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trlProps/ctrlProp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5.xml" ContentType="application/vnd.ms-excel.controlproperties+xml"/>
  <Override PartName="/xl/drawings/drawing13.xml" ContentType="application/vnd.openxmlformats-officedocument.drawing+xml"/>
  <Override PartName="/xl/ctrlProps/ctrlProp6.xml" ContentType="application/vnd.ms-excel.controlproperties+xml"/>
  <Override PartName="/xl/drawings/drawing14.xml" ContentType="application/vnd.openxmlformats-officedocument.drawing+xml"/>
  <Override PartName="/xl/ctrlProps/ctrlProp7.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8.xml" ContentType="application/vnd.ms-excel.controlproperties+xml"/>
  <Override PartName="/xl/drawings/drawing17.xml" ContentType="application/vnd.openxmlformats-officedocument.drawing+xml"/>
  <Override PartName="/xl/ctrlProps/ctrlProp9.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showInkAnnotation="0" codeName="ThisWorkbook" defaultThemeVersion="124226"/>
  <mc:AlternateContent xmlns:mc="http://schemas.openxmlformats.org/markup-compatibility/2006">
    <mc:Choice Requires="x15">
      <x15ac:absPath xmlns:x15ac="http://schemas.microsoft.com/office/spreadsheetml/2010/11/ac" url="C:\Users\dweja\Downloads\jamanatbihincmsme\jamanatbihin cmsme cc\"/>
    </mc:Choice>
  </mc:AlternateContent>
  <xr:revisionPtr revIDLastSave="0" documentId="13_ncr:1_{C771BCDE-5FE8-432F-BC1A-9A1D42A504CA}" xr6:coauthVersionLast="47" xr6:coauthVersionMax="47" xr10:uidLastSave="{00000000-0000-0000-0000-000000000000}"/>
  <bookViews>
    <workbookView xWindow="-120" yWindow="-120" windowWidth="20730" windowHeight="11160" tabRatio="926" firstSheet="28" activeTab="31" xr2:uid="{00000000-000D-0000-FFFF-FFFF00000000}"/>
  </bookViews>
  <sheets>
    <sheet name="Forwarding" sheetId="80" r:id="rId1"/>
    <sheet name="Index" sheetId="97" r:id="rId2"/>
    <sheet name="Note Sheet-BR" sheetId="96" r:id="rId3"/>
    <sheet name="Data Input" sheetId="9" r:id="rId4"/>
    <sheet name="LF-5" sheetId="10" r:id="rId5"/>
    <sheet name="Profile" sheetId="109" r:id="rId6"/>
    <sheet name="SME App" sheetId="112" r:id="rId7"/>
    <sheet name="Check List MGR" sheetId="71" state="hidden" r:id="rId8"/>
    <sheet name="Valuation" sheetId="110" r:id="rId9"/>
    <sheet name="Information Sheet" sheetId="111" r:id="rId10"/>
    <sheet name="Gosonapattra" sheetId="113" r:id="rId11"/>
    <sheet name="25 Years Succession" sheetId="83" r:id="rId12"/>
    <sheet name="Business Run" sheetId="114" r:id="rId13"/>
    <sheet name="Road Map" sheetId="31" r:id="rId14"/>
    <sheet name="Nobayon Form-LF-58" sheetId="30" r:id="rId15"/>
    <sheet name="Sanction Order Br" sheetId="81" r:id="rId16"/>
    <sheet name="Cover Seal" sheetId="73" r:id="rId17"/>
    <sheet name="Note Sheet-RM" sheetId="11" r:id="rId18"/>
    <sheet name="Index-MGR-New" sheetId="92" r:id="rId19"/>
    <sheet name="Index-MGR-ReNew" sheetId="91" r:id="rId20"/>
    <sheet name="Risk Free" sheetId="93" r:id="rId21"/>
    <sheet name="Audit Free" sheetId="94" r:id="rId22"/>
    <sheet name="Main Documents" sheetId="36" r:id="rId23"/>
    <sheet name="Asset Liabilities" sheetId="41" r:id="rId24"/>
    <sheet name="Investment Sourch Lonee" sheetId="67" r:id="rId25"/>
    <sheet name="Audit Free MGR" sheetId="40" r:id="rId26"/>
    <sheet name="Letter of Continuty" sheetId="105" r:id="rId27"/>
    <sheet name="Letter of Revival" sheetId="106" r:id="rId28"/>
    <sheet name="Acceptance" sheetId="107" r:id="rId29"/>
    <sheet name="ghosonapotro2" sheetId="118" r:id="rId30"/>
    <sheet name="spouseguarantee" sheetId="121" r:id="rId31"/>
    <sheet name="personalguarantee" sheetId="122" r:id="rId32"/>
    <sheet name="Holopnama" sheetId="12" state="hidden" r:id="rId33"/>
  </sheets>
  <functionGroups builtInGroupCount="19"/>
  <externalReferences>
    <externalReference r:id="rId34"/>
    <externalReference r:id="rId35"/>
  </externalReferences>
  <definedNames>
    <definedName name="_xlnm._FilterDatabase" localSheetId="3" hidden="1">'Data Input'!#REF!</definedName>
    <definedName name="_xlnm._FilterDatabase" localSheetId="8" hidden="1">Valuation!$A$74:$AM$88</definedName>
    <definedName name="OLE_LINK7" localSheetId="26">'Letter of Continuty'!#REF!</definedName>
    <definedName name="_xlnm.Print_Area" localSheetId="11">'25 Years Succession'!$A$1:$K$26</definedName>
    <definedName name="_xlnm.Print_Area" localSheetId="28">Acceptance!$A$1:$J$76</definedName>
    <definedName name="_xlnm.Print_Area" localSheetId="23">'Asset Liabilities'!$A$1:$J$42</definedName>
    <definedName name="_xlnm.Print_Area" localSheetId="21">'Audit Free'!$A$1:$AT$28</definedName>
    <definedName name="_xlnm.Print_Area" localSheetId="25">'Audit Free MGR'!$A$1:$AT$31</definedName>
    <definedName name="_xlnm.Print_Area" localSheetId="16">'Cover Seal'!$A$1:$I$29</definedName>
    <definedName name="_xlnm.Print_Area" localSheetId="0">Forwarding!$A$1:$Y$25</definedName>
    <definedName name="_xlnm.Print_Area" localSheetId="29">ghosonapotro2!$A$1:$O$119</definedName>
    <definedName name="_xlnm.Print_Area" localSheetId="32">Holopnama!$A$1:$N$59</definedName>
    <definedName name="_xlnm.Print_Area" localSheetId="1">Index!$A$1:$D$33</definedName>
    <definedName name="_xlnm.Print_Area" localSheetId="18">'Index-MGR-New'!$A$1:$D$45</definedName>
    <definedName name="_xlnm.Print_Area" localSheetId="19">'Index-MGR-ReNew'!$A$1:$D$32</definedName>
    <definedName name="_xlnm.Print_Area" localSheetId="9">'Information Sheet'!$A$1:$AC$212</definedName>
    <definedName name="_xlnm.Print_Area" localSheetId="24">'Investment Sourch Lonee'!$A$1:$AT$29</definedName>
    <definedName name="_xlnm.Print_Area" localSheetId="26">'Letter of Continuty'!$A$1:$T$73</definedName>
    <definedName name="_xlnm.Print_Area" localSheetId="4">'LF-5'!$A$1:$AN$192</definedName>
    <definedName name="_xlnm.Print_Area" localSheetId="14">'Nobayon Form-LF-58'!$A$1:$AN$48</definedName>
    <definedName name="_xlnm.Print_Area" localSheetId="2">'Note Sheet-BR'!$A$1:$Y$61</definedName>
    <definedName name="_xlnm.Print_Area" localSheetId="17">'Note Sheet-RM'!$B$1:$Y$27</definedName>
    <definedName name="_xlnm.Print_Area" localSheetId="31">personalguarantee!$A$1:$AT$77</definedName>
    <definedName name="_xlnm.Print_Area" localSheetId="5">Profile!$A$1:$N$185</definedName>
    <definedName name="_xlnm.Print_Area" localSheetId="15">'Sanction Order Br'!$A$1:$AN$77</definedName>
    <definedName name="_xlnm.Print_Area" localSheetId="30">spouseguarantee!$A$1:$AT$77</definedName>
    <definedName name="_xlnm.Print_Area" localSheetId="8">Valuation!$A$1:$AM$109</definedName>
  </definedNames>
  <calcPr calcId="191029"/>
</workbook>
</file>

<file path=xl/calcChain.xml><?xml version="1.0" encoding="utf-8"?>
<calcChain xmlns="http://schemas.openxmlformats.org/spreadsheetml/2006/main">
  <c r="B21" i="122" l="1"/>
  <c r="B21" i="121"/>
  <c r="A14" i="107"/>
  <c r="A15" i="106"/>
  <c r="B25" i="105"/>
  <c r="A18" i="106"/>
  <c r="B27" i="105"/>
  <c r="B34" i="10"/>
  <c r="A8" i="109"/>
  <c r="B18" i="83"/>
  <c r="E17" i="10"/>
  <c r="I17" i="10"/>
  <c r="N17" i="10"/>
  <c r="R17" i="10"/>
  <c r="S17" i="10"/>
  <c r="C16" i="80" l="1"/>
  <c r="W122" i="10" l="1"/>
  <c r="B7" i="111" l="1"/>
  <c r="E26" i="112"/>
  <c r="R16" i="111"/>
  <c r="H40" i="109"/>
  <c r="E11" i="112"/>
  <c r="E12" i="112"/>
  <c r="R126" i="111"/>
  <c r="Y6" i="10"/>
  <c r="A100" i="10" l="1"/>
  <c r="C49" i="10"/>
  <c r="E12" i="114"/>
  <c r="I70" i="10"/>
  <c r="L134" i="111" s="1"/>
  <c r="N48" i="9"/>
  <c r="AD53" i="10"/>
  <c r="AD55" i="10" s="1"/>
  <c r="I134" i="111" l="1"/>
  <c r="Q166" i="109"/>
  <c r="Q165" i="109" l="1"/>
  <c r="F165" i="109" s="1"/>
  <c r="F154" i="109"/>
  <c r="U132" i="109"/>
  <c r="Q132" i="109"/>
  <c r="F132" i="109" s="1"/>
  <c r="L106" i="109"/>
  <c r="L107" i="109"/>
  <c r="L46" i="109"/>
  <c r="F10" i="10"/>
  <c r="AE9" i="10"/>
  <c r="S9" i="10"/>
  <c r="F9" i="10"/>
  <c r="C22" i="96" l="1"/>
  <c r="W2" i="96" l="1"/>
  <c r="S1" i="96"/>
  <c r="E3" i="96"/>
  <c r="A2" i="31"/>
  <c r="A3" i="31"/>
  <c r="A4" i="31"/>
  <c r="J20" i="31"/>
  <c r="J17" i="31"/>
  <c r="A17" i="81"/>
  <c r="D12" i="80" l="1"/>
  <c r="J88" i="111" l="1"/>
  <c r="W151" i="111"/>
  <c r="W149" i="111"/>
  <c r="W148" i="111"/>
  <c r="W146" i="111"/>
  <c r="U83" i="111"/>
  <c r="M88" i="111"/>
  <c r="AE10" i="10"/>
  <c r="S10" i="10"/>
  <c r="AE8" i="10"/>
  <c r="F7" i="10"/>
  <c r="P88" i="111" l="1"/>
  <c r="E88" i="111"/>
  <c r="L31" i="111"/>
  <c r="Q31" i="111" s="1"/>
  <c r="R25" i="111"/>
  <c r="A95" i="110" l="1"/>
  <c r="B21" i="114" s="1"/>
  <c r="C136" i="111"/>
  <c r="I136" i="111"/>
  <c r="L136" i="111"/>
  <c r="E70" i="10"/>
  <c r="O139" i="109" l="1"/>
  <c r="O140" i="109"/>
  <c r="O141" i="109"/>
  <c r="E17" i="112" l="1"/>
  <c r="E19" i="110"/>
  <c r="B18" i="110"/>
  <c r="C135" i="111"/>
  <c r="C134" i="111"/>
  <c r="R41" i="111"/>
  <c r="AS19" i="110" l="1"/>
  <c r="A78" i="109"/>
  <c r="A79" i="109"/>
  <c r="A77" i="109"/>
  <c r="A76" i="109"/>
  <c r="R24" i="10" l="1"/>
  <c r="AO55" i="10" s="1"/>
  <c r="R20" i="10"/>
  <c r="N20" i="10"/>
  <c r="I20" i="10"/>
  <c r="E20" i="10"/>
  <c r="B17" i="10"/>
  <c r="AH31" i="81"/>
  <c r="AE31" i="81"/>
  <c r="AB31" i="81"/>
  <c r="Y31" i="81"/>
  <c r="V31" i="81"/>
  <c r="C31" i="81"/>
  <c r="L31" i="81"/>
  <c r="J13" i="83"/>
  <c r="AK31" i="81" s="1"/>
  <c r="AP19" i="110" l="1"/>
  <c r="H19" i="110"/>
  <c r="AO19" i="110"/>
  <c r="AQ19" i="110"/>
  <c r="D37" i="111"/>
  <c r="AR20" i="81" l="1"/>
  <c r="N151" i="111"/>
  <c r="N149" i="111"/>
  <c r="N148" i="111"/>
  <c r="N146" i="111"/>
  <c r="I69" i="111"/>
  <c r="E18" i="110"/>
  <c r="B22" i="83" l="1"/>
  <c r="A10" i="81" l="1"/>
  <c r="W36" i="81"/>
  <c r="AH30" i="81"/>
  <c r="AE30" i="81"/>
  <c r="AB30" i="81"/>
  <c r="Y30" i="81"/>
  <c r="V30" i="81"/>
  <c r="W22" i="81" l="1"/>
  <c r="E42" i="113"/>
  <c r="Y15" i="81"/>
  <c r="AA24" i="81" s="1"/>
  <c r="E10" i="112"/>
  <c r="H53" i="109"/>
  <c r="E67" i="112" l="1"/>
  <c r="S13" i="110"/>
  <c r="S12" i="110"/>
  <c r="E66" i="112"/>
  <c r="E64" i="112"/>
  <c r="E65" i="112"/>
  <c r="E63" i="112"/>
  <c r="E62" i="112"/>
  <c r="E61" i="112"/>
  <c r="K36" i="111"/>
  <c r="E60" i="112"/>
  <c r="E59" i="112"/>
  <c r="E58" i="112"/>
  <c r="A5" i="113"/>
  <c r="A35" i="113" s="1"/>
  <c r="N155" i="111"/>
  <c r="M36" i="111"/>
  <c r="J3" i="111"/>
  <c r="R13" i="111" s="1"/>
  <c r="R12" i="111"/>
  <c r="G46" i="109" l="1"/>
  <c r="E24" i="112" l="1"/>
  <c r="E23" i="112"/>
  <c r="E18" i="112"/>
  <c r="E8" i="112"/>
  <c r="C12" i="83"/>
  <c r="L30" i="81" s="1"/>
  <c r="B12" i="83"/>
  <c r="C30" i="81" s="1"/>
  <c r="R23" i="10" l="1"/>
  <c r="T23" i="10"/>
  <c r="S23" i="10"/>
  <c r="V25" i="110" l="1"/>
  <c r="V24" i="110"/>
  <c r="V23" i="110"/>
  <c r="V22" i="110"/>
  <c r="H95" i="109" l="1"/>
  <c r="W154" i="111" s="1"/>
  <c r="H94" i="109"/>
  <c r="W153" i="111" s="1"/>
  <c r="P141" i="109"/>
  <c r="E141" i="109"/>
  <c r="I141" i="109" s="1"/>
  <c r="L141" i="109" s="1"/>
  <c r="P140" i="109"/>
  <c r="E140" i="109"/>
  <c r="I140" i="109" s="1"/>
  <c r="L140" i="109" s="1"/>
  <c r="P139" i="109"/>
  <c r="E139" i="109"/>
  <c r="I139" i="109" s="1"/>
  <c r="L139" i="109" s="1"/>
  <c r="P138" i="109"/>
  <c r="O138" i="109"/>
  <c r="E138" i="109"/>
  <c r="Q126" i="109"/>
  <c r="F126" i="109" s="1"/>
  <c r="J126" i="109" s="1"/>
  <c r="L126" i="109" s="1"/>
  <c r="K119" i="109"/>
  <c r="J154" i="109" s="1"/>
  <c r="L154" i="109" s="1"/>
  <c r="L109" i="109"/>
  <c r="Q125" i="109" s="1"/>
  <c r="F125" i="109" s="1"/>
  <c r="J125" i="109" s="1"/>
  <c r="L125" i="109" s="1"/>
  <c r="J90" i="109"/>
  <c r="P79" i="109"/>
  <c r="I79" i="109"/>
  <c r="L79" i="109" s="1"/>
  <c r="P78" i="109"/>
  <c r="I78" i="109"/>
  <c r="L78" i="109" s="1"/>
  <c r="P77" i="109"/>
  <c r="I77" i="109"/>
  <c r="P76" i="109"/>
  <c r="I76" i="109"/>
  <c r="AI68" i="109"/>
  <c r="L57" i="109"/>
  <c r="E95" i="109" s="1"/>
  <c r="N154" i="111" s="1"/>
  <c r="H57" i="109"/>
  <c r="E94" i="109" s="1"/>
  <c r="N153" i="111" s="1"/>
  <c r="C46" i="109"/>
  <c r="B25" i="109"/>
  <c r="J132" i="109" l="1"/>
  <c r="L132" i="109" s="1"/>
  <c r="I138" i="109"/>
  <c r="L77" i="109"/>
  <c r="I80" i="109"/>
  <c r="P80" i="109" s="1"/>
  <c r="H96" i="109"/>
  <c r="W25" i="81" s="1"/>
  <c r="J165" i="109"/>
  <c r="L165" i="109" s="1"/>
  <c r="J96" i="109"/>
  <c r="AA25" i="81" s="1"/>
  <c r="Q156" i="109"/>
  <c r="F156" i="109" s="1"/>
  <c r="L159" i="111" s="1"/>
  <c r="L76" i="109"/>
  <c r="A14" i="109"/>
  <c r="A15" i="109"/>
  <c r="A35" i="109" s="1"/>
  <c r="A36" i="109"/>
  <c r="A7" i="109"/>
  <c r="A139" i="109"/>
  <c r="A141" i="109"/>
  <c r="A140" i="109"/>
  <c r="A138" i="109"/>
  <c r="I142" i="109" l="1"/>
  <c r="L138" i="109"/>
  <c r="L142" i="109" s="1"/>
  <c r="Q151" i="109" s="1"/>
  <c r="F151" i="109" s="1"/>
  <c r="L80" i="109"/>
  <c r="Q124" i="109" s="1"/>
  <c r="F166" i="109"/>
  <c r="J166" i="109" s="1"/>
  <c r="L166" i="109" s="1"/>
  <c r="P90" i="109"/>
  <c r="J156" i="109"/>
  <c r="L156" i="109" s="1"/>
  <c r="F174" i="109"/>
  <c r="J174" i="109" s="1"/>
  <c r="L174" i="109" s="1"/>
  <c r="L135" i="111"/>
  <c r="L137" i="111" s="1"/>
  <c r="D36" i="111"/>
  <c r="R24" i="111"/>
  <c r="R11" i="111"/>
  <c r="R10" i="111"/>
  <c r="AF52" i="110"/>
  <c r="AF54" i="110" s="1"/>
  <c r="AF48" i="110"/>
  <c r="AF65" i="110" s="1"/>
  <c r="AL65" i="110" s="1"/>
  <c r="S11" i="110"/>
  <c r="S10" i="110"/>
  <c r="S9" i="110"/>
  <c r="M11" i="110"/>
  <c r="M10" i="110"/>
  <c r="M9" i="110"/>
  <c r="A8" i="110"/>
  <c r="M4" i="110"/>
  <c r="I135" i="111"/>
  <c r="B131" i="111"/>
  <c r="S107" i="111"/>
  <c r="R80" i="111"/>
  <c r="C109" i="111" s="1"/>
  <c r="AK72" i="111"/>
  <c r="AJ72" i="111"/>
  <c r="AI72" i="111"/>
  <c r="AH72" i="111"/>
  <c r="AG72" i="111"/>
  <c r="AF72" i="111"/>
  <c r="AE72" i="111"/>
  <c r="P69" i="111"/>
  <c r="O103" i="111" s="1"/>
  <c r="O107" i="111" s="1"/>
  <c r="C69" i="111"/>
  <c r="K103" i="111" s="1"/>
  <c r="K107" i="111" s="1"/>
  <c r="AD61" i="111"/>
  <c r="C61" i="111"/>
  <c r="AD60" i="111"/>
  <c r="C60" i="111"/>
  <c r="Z59" i="111"/>
  <c r="C59" i="111"/>
  <c r="Y54" i="111"/>
  <c r="Y53" i="111"/>
  <c r="AF66" i="110"/>
  <c r="AL66" i="110" s="1"/>
  <c r="AL62" i="110"/>
  <c r="AL61" i="110"/>
  <c r="AL49" i="110"/>
  <c r="AF45" i="110"/>
  <c r="AL45" i="110" s="1"/>
  <c r="AS36" i="110"/>
  <c r="AQ36" i="110"/>
  <c r="AP36" i="110"/>
  <c r="AO36" i="110"/>
  <c r="AS35" i="110"/>
  <c r="AQ35" i="110"/>
  <c r="AP35" i="110"/>
  <c r="AO35" i="110"/>
  <c r="AS34" i="110"/>
  <c r="AQ34" i="110"/>
  <c r="AP34" i="110"/>
  <c r="AO34" i="110"/>
  <c r="AS33" i="110"/>
  <c r="AQ33" i="110"/>
  <c r="AP33" i="110"/>
  <c r="AO33" i="110"/>
  <c r="AS32" i="110"/>
  <c r="AQ32" i="110"/>
  <c r="AP32" i="110"/>
  <c r="AO32" i="110"/>
  <c r="AS31" i="110"/>
  <c r="AQ31" i="110"/>
  <c r="AP31" i="110"/>
  <c r="AO31" i="110"/>
  <c r="AS30" i="110"/>
  <c r="AQ30" i="110"/>
  <c r="AP30" i="110"/>
  <c r="AO30" i="110"/>
  <c r="AS26" i="110"/>
  <c r="AQ26" i="110"/>
  <c r="AP26" i="110"/>
  <c r="AO26" i="110"/>
  <c r="AS25" i="110"/>
  <c r="AQ25" i="110"/>
  <c r="AP25" i="110"/>
  <c r="AO25" i="110"/>
  <c r="N25" i="110"/>
  <c r="K25" i="110"/>
  <c r="H25" i="110"/>
  <c r="AS24" i="110"/>
  <c r="AQ24" i="110"/>
  <c r="AP24" i="110"/>
  <c r="AO24" i="110"/>
  <c r="N24" i="110"/>
  <c r="K24" i="110"/>
  <c r="H24" i="110"/>
  <c r="AS23" i="110"/>
  <c r="AQ23" i="110"/>
  <c r="AP23" i="110"/>
  <c r="AO23" i="110"/>
  <c r="AS22" i="110"/>
  <c r="AQ22" i="110"/>
  <c r="AP22" i="110"/>
  <c r="AO22" i="110"/>
  <c r="AS21" i="110"/>
  <c r="AQ21" i="110"/>
  <c r="AP21" i="110"/>
  <c r="AO21" i="110"/>
  <c r="AS20" i="110"/>
  <c r="AQ20" i="110"/>
  <c r="AP20" i="110"/>
  <c r="AO20" i="110"/>
  <c r="V19" i="110"/>
  <c r="Q19" i="110"/>
  <c r="K19" i="110"/>
  <c r="F124" i="109" l="1"/>
  <c r="J124" i="109" s="1"/>
  <c r="L124" i="109" s="1"/>
  <c r="E14" i="112"/>
  <c r="J151" i="109"/>
  <c r="L151" i="109" s="1"/>
  <c r="W152" i="111"/>
  <c r="C159" i="111"/>
  <c r="F173" i="109"/>
  <c r="J173" i="109" s="1"/>
  <c r="L173" i="109" s="1"/>
  <c r="R85" i="111"/>
  <c r="C91" i="111"/>
  <c r="AF44" i="110"/>
  <c r="AL48" i="110"/>
  <c r="F127" i="109" l="1"/>
  <c r="F152" i="109" s="1"/>
  <c r="J152" i="109" s="1"/>
  <c r="L152" i="109" s="1"/>
  <c r="F175" i="109"/>
  <c r="E182" i="109" s="1"/>
  <c r="I182" i="109" s="1"/>
  <c r="K182" i="109" s="1"/>
  <c r="AL44" i="110"/>
  <c r="AI64" i="109"/>
  <c r="F153" i="109" l="1"/>
  <c r="J153" i="109" s="1"/>
  <c r="L153" i="109" s="1"/>
  <c r="G159" i="111"/>
  <c r="O159" i="111" s="1"/>
  <c r="E15" i="112"/>
  <c r="J127" i="109"/>
  <c r="L127" i="109" s="1"/>
  <c r="J175" i="109"/>
  <c r="L175" i="109" s="1"/>
  <c r="W159" i="111"/>
  <c r="F155" i="109"/>
  <c r="AK103" i="109"/>
  <c r="AJ77" i="109"/>
  <c r="AJ78" i="109"/>
  <c r="AJ79" i="109"/>
  <c r="AJ76" i="109"/>
  <c r="AH77" i="109"/>
  <c r="AH78" i="109"/>
  <c r="AH79" i="109"/>
  <c r="AH76" i="109"/>
  <c r="AC77" i="109"/>
  <c r="AC78" i="109"/>
  <c r="AC79" i="109"/>
  <c r="AC76" i="109"/>
  <c r="AI57" i="109"/>
  <c r="J155" i="109" l="1"/>
  <c r="L155" i="109" s="1"/>
  <c r="F157" i="109"/>
  <c r="Q183" i="109" s="1"/>
  <c r="F164" i="109"/>
  <c r="H39" i="109"/>
  <c r="U25" i="109"/>
  <c r="U30" i="109"/>
  <c r="F167" i="109" l="1"/>
  <c r="O183" i="109" s="1"/>
  <c r="J164" i="109"/>
  <c r="L164" i="109" s="1"/>
  <c r="J157" i="109"/>
  <c r="L157" i="109" s="1"/>
  <c r="AC30" i="109"/>
  <c r="AF30" i="109" s="1"/>
  <c r="U29" i="109"/>
  <c r="U24" i="109"/>
  <c r="S159" i="111" l="1"/>
  <c r="E181" i="109"/>
  <c r="J167" i="109"/>
  <c r="L167" i="109" s="1"/>
  <c r="B26" i="109"/>
  <c r="I181" i="109" l="1"/>
  <c r="K181" i="109" s="1"/>
  <c r="E183" i="109"/>
  <c r="I183" i="109" s="1"/>
  <c r="K183" i="109" s="1"/>
  <c r="A6" i="109"/>
  <c r="A34" i="109" s="1"/>
  <c r="AH109" i="109"/>
  <c r="AM104" i="109"/>
  <c r="AK105" i="109"/>
  <c r="AG148" i="109" s="1"/>
  <c r="AK96" i="109"/>
  <c r="AG144" i="109" s="1"/>
  <c r="AM95" i="109"/>
  <c r="AM94" i="109"/>
  <c r="AM93" i="109"/>
  <c r="AM92" i="109"/>
  <c r="AK88" i="109"/>
  <c r="AG143" i="109" s="1"/>
  <c r="AM87" i="109"/>
  <c r="AM86" i="109"/>
  <c r="AM85" i="109"/>
  <c r="AM84" i="109"/>
  <c r="AM83" i="109"/>
  <c r="AM82" i="109"/>
  <c r="AH120" i="109"/>
  <c r="AH119" i="109"/>
  <c r="AJ118" i="109"/>
  <c r="AP118" i="109" s="1"/>
  <c r="AH118" i="109"/>
  <c r="AJ117" i="109"/>
  <c r="AP117" i="109" s="1"/>
  <c r="AH117" i="109"/>
  <c r="AC117" i="109"/>
  <c r="AH116" i="109"/>
  <c r="AC116" i="109"/>
  <c r="AJ115" i="109"/>
  <c r="AP115" i="109" s="1"/>
  <c r="AH115" i="109"/>
  <c r="AC115" i="109"/>
  <c r="AH114" i="109"/>
  <c r="AC114" i="109"/>
  <c r="AP78" i="109"/>
  <c r="AH113" i="109"/>
  <c r="AC113" i="109"/>
  <c r="AH112" i="109"/>
  <c r="AC112" i="109"/>
  <c r="AP76" i="109"/>
  <c r="AH101" i="109"/>
  <c r="AC101" i="109"/>
  <c r="AM96" i="109" l="1"/>
  <c r="AK144" i="109" s="1"/>
  <c r="AM88" i="109"/>
  <c r="AK143" i="109" s="1"/>
  <c r="AK118" i="109"/>
  <c r="AM118" i="109" s="1"/>
  <c r="AK117" i="109"/>
  <c r="AM117" i="109" s="1"/>
  <c r="AM103" i="109"/>
  <c r="AM105" i="109" s="1"/>
  <c r="AK148" i="109" s="1"/>
  <c r="AK79" i="109"/>
  <c r="AM79" i="109" s="1"/>
  <c r="AK77" i="109"/>
  <c r="AM77" i="109" s="1"/>
  <c r="AK115" i="109"/>
  <c r="AM115" i="109" s="1"/>
  <c r="AJ130" i="109"/>
  <c r="AJ112" i="109"/>
  <c r="AP112" i="109" s="1"/>
  <c r="AJ114" i="109"/>
  <c r="AP114" i="109" s="1"/>
  <c r="AJ116" i="109"/>
  <c r="AP116" i="109" s="1"/>
  <c r="AJ119" i="109"/>
  <c r="AP119" i="109" s="1"/>
  <c r="AK76" i="109"/>
  <c r="AP77" i="109"/>
  <c r="AK78" i="109"/>
  <c r="AM78" i="109" s="1"/>
  <c r="AP79" i="109"/>
  <c r="AJ120" i="109"/>
  <c r="AP120" i="109" s="1"/>
  <c r="AJ101" i="109"/>
  <c r="AP101" i="109" s="1"/>
  <c r="AJ113" i="109"/>
  <c r="AP113" i="109" s="1"/>
  <c r="AJ129" i="109" l="1"/>
  <c r="AJ132" i="109"/>
  <c r="AK119" i="109"/>
  <c r="AM119" i="109" s="1"/>
  <c r="AK120" i="109"/>
  <c r="AM120" i="109" s="1"/>
  <c r="AK112" i="109"/>
  <c r="AM112" i="109" s="1"/>
  <c r="AK101" i="109"/>
  <c r="AG142" i="109"/>
  <c r="AM76" i="109"/>
  <c r="AK113" i="109"/>
  <c r="AM113" i="109" s="1"/>
  <c r="AK114" i="109"/>
  <c r="AM114" i="109" s="1"/>
  <c r="AK116" i="109"/>
  <c r="AM116" i="109" s="1"/>
  <c r="AK121" i="109" l="1"/>
  <c r="AM101" i="109"/>
  <c r="AM121" i="109" s="1"/>
  <c r="AK142" i="109"/>
  <c r="AJ127" i="109"/>
  <c r="AJ126" i="109" l="1"/>
  <c r="AJ128" i="109" s="1"/>
  <c r="AJ131" i="109" s="1"/>
  <c r="AJ133" i="109" s="1"/>
  <c r="A14" i="73" l="1"/>
  <c r="G15" i="9" l="1"/>
  <c r="AJ155" i="109" s="1"/>
  <c r="AG140" i="109" l="1"/>
  <c r="AK140" i="109" l="1"/>
  <c r="A79" i="10"/>
  <c r="AY66" i="10"/>
  <c r="BI66" i="10" s="1"/>
  <c r="A54" i="10"/>
  <c r="G63" i="10"/>
  <c r="Q63" i="10" s="1"/>
  <c r="P135" i="111" s="1"/>
  <c r="U135" i="111" s="1"/>
  <c r="G64" i="10"/>
  <c r="Q64" i="10" s="1"/>
  <c r="P136" i="111" s="1"/>
  <c r="U136" i="111" s="1"/>
  <c r="N23" i="10" l="1"/>
  <c r="I23" i="10"/>
  <c r="E23" i="10"/>
  <c r="F2" i="9" l="1"/>
  <c r="A50" i="81" l="1"/>
  <c r="E12" i="36" l="1"/>
  <c r="E12" i="94"/>
  <c r="E12" i="93"/>
  <c r="M2" i="9" l="1"/>
  <c r="A78" i="10" l="1"/>
  <c r="A27" i="97" l="1"/>
  <c r="A28" i="97"/>
  <c r="A29" i="97"/>
  <c r="A30" i="97"/>
  <c r="A31" i="97"/>
  <c r="E11" i="11"/>
  <c r="C16" i="11"/>
  <c r="K43" i="30"/>
  <c r="B31" i="30"/>
  <c r="B32" i="30"/>
  <c r="A17" i="97"/>
  <c r="A25" i="97"/>
  <c r="A26" i="97"/>
  <c r="A16" i="97"/>
  <c r="A11" i="97"/>
  <c r="A19" i="97"/>
  <c r="A18" i="97"/>
  <c r="A10" i="97"/>
  <c r="A20" i="97"/>
  <c r="A13" i="97"/>
  <c r="A21" i="97"/>
  <c r="A22" i="97"/>
  <c r="A12" i="97"/>
  <c r="A24" i="97"/>
  <c r="A15" i="97"/>
  <c r="A23" i="97"/>
  <c r="A9" i="97"/>
  <c r="A14" i="97"/>
  <c r="K10" i="30" l="1"/>
  <c r="C5" i="80"/>
  <c r="A6" i="97"/>
  <c r="A4" i="97"/>
  <c r="A3" i="97"/>
  <c r="A2" i="97"/>
  <c r="L15" i="10" l="1"/>
  <c r="E12" i="113"/>
  <c r="AO65" i="10"/>
  <c r="B24" i="83"/>
  <c r="J12" i="83"/>
  <c r="H18" i="110"/>
  <c r="AS18" i="110"/>
  <c r="AP18" i="110"/>
  <c r="Q18" i="110" s="1"/>
  <c r="AO18" i="110"/>
  <c r="K18" i="110" s="1"/>
  <c r="AQ18" i="110"/>
  <c r="AK30" i="81" l="1"/>
  <c r="AK32" i="81" s="1"/>
  <c r="J14" i="83"/>
  <c r="I137" i="111"/>
  <c r="Q62" i="10"/>
  <c r="V18" i="110"/>
  <c r="R20" i="110"/>
  <c r="AF43" i="110" s="1"/>
  <c r="AF47" i="110" l="1"/>
  <c r="AF64" i="110"/>
  <c r="C14" i="96"/>
  <c r="E12" i="96"/>
  <c r="E11" i="96"/>
  <c r="E10" i="96"/>
  <c r="C10" i="96"/>
  <c r="E9" i="96"/>
  <c r="C9" i="96"/>
  <c r="E8" i="96"/>
  <c r="C8" i="96"/>
  <c r="O70" i="10" l="1"/>
  <c r="W60" i="110"/>
  <c r="AL43" i="110"/>
  <c r="AF46" i="110"/>
  <c r="AL64" i="110"/>
  <c r="AF67" i="110"/>
  <c r="P183" i="10"/>
  <c r="B38" i="10"/>
  <c r="P134" i="111" l="1"/>
  <c r="U134" i="111" s="1"/>
  <c r="S70" i="10"/>
  <c r="T81" i="10" s="1"/>
  <c r="AE56" i="110"/>
  <c r="AF60" i="110"/>
  <c r="G16" i="9"/>
  <c r="AJ154" i="109"/>
  <c r="F16" i="9" l="1"/>
  <c r="AJ157" i="109"/>
  <c r="AG141" i="109"/>
  <c r="AL157" i="109"/>
  <c r="AZ15" i="67"/>
  <c r="P15" i="30"/>
  <c r="L15" i="30"/>
  <c r="AX8" i="9"/>
  <c r="AX4" i="9"/>
  <c r="A6" i="91"/>
  <c r="AJ156" i="109"/>
  <c r="A13" i="67"/>
  <c r="B15" i="67" a="1"/>
  <c r="AK141" i="109" l="1"/>
  <c r="B15" i="67"/>
  <c r="A7" i="67"/>
  <c r="A5" i="67"/>
  <c r="P24" i="67"/>
  <c r="A26" i="94"/>
  <c r="P26" i="94" s="1"/>
  <c r="A5" i="94"/>
  <c r="A4" i="94"/>
  <c r="A3" i="94"/>
  <c r="A2" i="94"/>
  <c r="AJ26" i="94" s="1"/>
  <c r="A26" i="93"/>
  <c r="P26" i="93" s="1"/>
  <c r="A5" i="93"/>
  <c r="A4" i="93"/>
  <c r="A3" i="93"/>
  <c r="A2" i="93"/>
  <c r="AJ26" i="93" s="1"/>
  <c r="AK150" i="109" l="1"/>
  <c r="AK151" i="109" s="1"/>
  <c r="AG150" i="109"/>
  <c r="AG151" i="109" s="1"/>
  <c r="A6" i="92"/>
  <c r="A4" i="92"/>
  <c r="A3" i="92"/>
  <c r="A2" i="92"/>
  <c r="A4" i="91"/>
  <c r="A3" i="91"/>
  <c r="A2" i="91"/>
  <c r="A7" i="41"/>
  <c r="A32" i="83"/>
  <c r="A8" i="73"/>
  <c r="A7" i="73" l="1"/>
  <c r="E10" i="11"/>
  <c r="C10" i="11"/>
  <c r="E9" i="11"/>
  <c r="K11" i="30"/>
  <c r="Y62" i="10" l="1"/>
  <c r="A8" i="10"/>
  <c r="F8" i="10"/>
  <c r="K13" i="30"/>
  <c r="B30" i="30" l="1"/>
  <c r="A153" i="10"/>
  <c r="Y64" i="10" l="1"/>
  <c r="G65" i="10"/>
  <c r="AR25" i="30" l="1"/>
  <c r="Y63" i="10"/>
  <c r="Q65" i="10" l="1"/>
  <c r="R22" i="80"/>
  <c r="R23" i="80"/>
  <c r="U137" i="111" l="1"/>
  <c r="P137" i="111"/>
  <c r="K81" i="10"/>
  <c r="W63" i="110"/>
  <c r="E32" i="83"/>
  <c r="J32" i="83" s="1"/>
  <c r="E33" i="83"/>
  <c r="J33" i="83" s="1"/>
  <c r="AL47" i="110" l="1"/>
  <c r="AF50" i="110"/>
  <c r="AH56" i="81"/>
  <c r="A5" i="81"/>
  <c r="A4" i="81"/>
  <c r="AF3" i="81"/>
  <c r="S3" i="81"/>
  <c r="C4" i="11"/>
  <c r="V3" i="11"/>
  <c r="H3" i="11"/>
  <c r="V3" i="80"/>
  <c r="C4" i="80"/>
  <c r="H3" i="80"/>
  <c r="K44" i="30"/>
  <c r="AZ14" i="67" l="1"/>
  <c r="B14" i="67"/>
  <c r="C22" i="11" l="1"/>
  <c r="B189" i="111" s="1"/>
  <c r="E13" i="11"/>
  <c r="A3" i="40" l="1"/>
  <c r="A4" i="40"/>
  <c r="A2" i="40"/>
  <c r="A4" i="36"/>
  <c r="A3" i="36"/>
  <c r="A2" i="36"/>
  <c r="AD4" i="30" l="1"/>
  <c r="AE3" i="30"/>
  <c r="N3" i="30"/>
  <c r="E12" i="40"/>
  <c r="A5" i="40"/>
  <c r="AG31" i="30" l="1"/>
  <c r="AG32" i="30"/>
  <c r="A11" i="73" l="1"/>
  <c r="Z159" i="111" l="1"/>
  <c r="B16" i="73" l="1"/>
  <c r="A4" i="71"/>
  <c r="A3" i="71"/>
  <c r="A2" i="71"/>
  <c r="B4" i="73" l="1"/>
  <c r="B19" i="73" s="1"/>
  <c r="B3" i="73"/>
  <c r="B18" i="73" s="1"/>
  <c r="B2" i="73"/>
  <c r="B17" i="73" s="1"/>
  <c r="A13" i="73" l="1"/>
  <c r="A28" i="73" s="1"/>
  <c r="C5" i="11"/>
  <c r="A29" i="73" l="1"/>
  <c r="A26" i="73"/>
  <c r="A10" i="73"/>
  <c r="A25" i="73" s="1"/>
  <c r="A23" i="73"/>
  <c r="A22" i="73"/>
  <c r="A6" i="73"/>
  <c r="A21" i="73" s="1"/>
  <c r="A5" i="36" l="1"/>
  <c r="AI81" i="10" l="1"/>
  <c r="Y70" i="10"/>
  <c r="A5" i="30"/>
  <c r="AA134" i="111" l="1"/>
  <c r="AE137" i="111" s="1"/>
  <c r="Y65" i="10"/>
  <c r="AI21" i="30" l="1"/>
  <c r="H19" i="41"/>
  <c r="B4" i="83" l="1"/>
  <c r="AI22" i="30" l="1"/>
  <c r="AL60" i="110" l="1"/>
  <c r="AF63" i="110"/>
  <c r="X134" i="111" s="1"/>
  <c r="E35" i="12"/>
  <c r="E36" i="12"/>
  <c r="E37" i="12"/>
  <c r="E38" i="12"/>
  <c r="E39" i="12"/>
  <c r="E40" i="12"/>
  <c r="E41" i="12"/>
  <c r="E42" i="12"/>
  <c r="E43" i="12"/>
  <c r="E44" i="12"/>
  <c r="E34" i="12"/>
  <c r="AL63" i="110" l="1"/>
  <c r="X137" i="111"/>
  <c r="B58" i="12"/>
  <c r="B59" i="12"/>
  <c r="B57" i="12"/>
  <c r="G35" i="12"/>
  <c r="G36" i="12"/>
  <c r="G37" i="12"/>
  <c r="G38" i="12"/>
  <c r="G39" i="12"/>
  <c r="G40" i="12"/>
  <c r="G41" i="12"/>
  <c r="G42" i="12"/>
  <c r="G43" i="12"/>
  <c r="G44" i="12"/>
  <c r="L35" i="12"/>
  <c r="L36" i="12"/>
  <c r="L37" i="12"/>
  <c r="L38" i="12"/>
  <c r="L39" i="12"/>
  <c r="L40" i="12"/>
  <c r="L41" i="12"/>
  <c r="L42" i="12"/>
  <c r="L43" i="12"/>
  <c r="L44" i="12"/>
  <c r="K36" i="12"/>
  <c r="K37" i="12"/>
  <c r="K38" i="12"/>
  <c r="K39" i="12"/>
  <c r="K40" i="12"/>
  <c r="K41" i="12"/>
  <c r="K42" i="12"/>
  <c r="K43" i="12"/>
  <c r="K44" i="12"/>
  <c r="K35" i="12"/>
  <c r="I44" i="12"/>
  <c r="I41" i="12"/>
  <c r="I42" i="12"/>
  <c r="I43" i="12"/>
  <c r="I40" i="12"/>
  <c r="I39" i="12"/>
  <c r="I38" i="12"/>
  <c r="I37" i="12"/>
  <c r="I36" i="12"/>
  <c r="I35" i="12"/>
  <c r="L34" i="12"/>
  <c r="K34" i="12"/>
  <c r="I34" i="12"/>
  <c r="G34" i="12"/>
  <c r="C34" i="12"/>
  <c r="A34" i="12"/>
  <c r="K45" i="12" l="1"/>
  <c r="A11" i="41" l="1"/>
  <c r="H41" i="41" l="1"/>
  <c r="E41" i="41"/>
  <c r="A40" i="41"/>
  <c r="AI29" i="67"/>
  <c r="B29" i="67"/>
  <c r="P23" i="67"/>
  <c r="A9" i="67"/>
  <c r="A6" i="67"/>
  <c r="A4" i="67"/>
  <c r="AZ17" i="67"/>
  <c r="AZ16" i="67"/>
  <c r="B16" i="67"/>
  <c r="BA16" i="67" l="1"/>
  <c r="G19" i="41" l="1"/>
  <c r="H23" i="41" s="1"/>
  <c r="AG30" i="30" l="1"/>
  <c r="S37" i="30" s="1"/>
  <c r="H27" i="41" l="1"/>
  <c r="H30" i="41" s="1"/>
  <c r="A8" i="41" l="1"/>
  <c r="AE26" i="40"/>
  <c r="AC23" i="36" l="1"/>
  <c r="A12" i="41" l="1"/>
  <c r="A6" i="41"/>
  <c r="E32" i="41" l="1"/>
  <c r="E8" i="11" l="1"/>
  <c r="K14" i="30" l="1"/>
  <c r="AE48" i="30" l="1"/>
  <c r="A9" i="12" l="1"/>
  <c r="F6" i="10" l="1"/>
  <c r="M122" i="10" l="1"/>
  <c r="M127" i="10" s="1"/>
  <c r="C9" i="11" l="1"/>
  <c r="C8" i="11"/>
  <c r="BA18" i="67" l="1"/>
  <c r="A20" i="67" s="1" a="1"/>
  <c r="A20" i="67" l="1"/>
  <c r="BA19" i="67"/>
  <c r="AO30" i="10"/>
</calcChain>
</file>

<file path=xl/sharedStrings.xml><?xml version="1.0" encoding="utf-8"?>
<sst xmlns="http://schemas.openxmlformats.org/spreadsheetml/2006/main" count="2160" uniqueCount="1237">
  <si>
    <t>evsjv‡`k K…wl e¨vsK</t>
  </si>
  <si>
    <t>t</t>
  </si>
  <si>
    <t>03|</t>
  </si>
  <si>
    <t>µt bs</t>
  </si>
  <si>
    <t>weeiY</t>
  </si>
  <si>
    <t>`i</t>
  </si>
  <si>
    <t>-</t>
  </si>
  <si>
    <t>Dc-‡gvU=</t>
  </si>
  <si>
    <t>c‡Y¨i weeiY</t>
  </si>
  <si>
    <t>1 eQ‡ii</t>
  </si>
  <si>
    <t>cY¨ µq</t>
  </si>
  <si>
    <t>Avw_©K e¨q</t>
  </si>
  <si>
    <t>cÖK…Z gybvdv</t>
  </si>
  <si>
    <t>AvbygvwbK bM` †jb‡`b cÖevn (UvBW Avc wcwiqW /m¤^bq P‡µi wfwË‡Z )</t>
  </si>
  <si>
    <t>K) AvšÍtcÖevn t</t>
  </si>
  <si>
    <t>µtbs</t>
  </si>
  <si>
    <t>D‡`¨v³vi wewb‡qvM</t>
  </si>
  <si>
    <t>e¨vsK FY</t>
  </si>
  <si>
    <t>Ab¨vb¨ e¨q</t>
  </si>
  <si>
    <t>bxU DØ„Ë</t>
  </si>
  <si>
    <t>cÖwZ ¯^vÿi wi‡cvwU©s Awdmvi</t>
  </si>
  <si>
    <t>cÖwZ¯^vÿi (e¨e¯’vcK)</t>
  </si>
  <si>
    <t>D‡`¨v³vi ¯^vÿi</t>
  </si>
  <si>
    <t xml:space="preserve">1| </t>
  </si>
  <si>
    <t>cÖKí/ e¨emv cÖwZôvb msµvšÍ Z_¨vw`t</t>
  </si>
  <si>
    <t>(K)</t>
  </si>
  <si>
    <t>bvg</t>
  </si>
  <si>
    <t>(L)</t>
  </si>
  <si>
    <t xml:space="preserve">Ae¯’vb  </t>
  </si>
  <si>
    <t>(M)</t>
  </si>
  <si>
    <t>Awd‡mi wVKvbv</t>
  </si>
  <si>
    <t>(N)</t>
  </si>
  <si>
    <t>cÖKí cÖwZôv/ e¨emv ïii ZvwiL I A‡_©i Drm</t>
  </si>
  <si>
    <t>(O)</t>
  </si>
  <si>
    <t>AÎ e¨vs‡Ki mv‡_ e¨emv ïiæi ZvwiL</t>
  </si>
  <si>
    <t>(P)</t>
  </si>
  <si>
    <t>(Q)</t>
  </si>
  <si>
    <t>MVbZš¿</t>
  </si>
  <si>
    <t xml:space="preserve">e¨w³ gvwjKvbvaxb    </t>
  </si>
  <si>
    <t>(R)</t>
  </si>
  <si>
    <t>g~jab KvVv‡gv (wjwg‡UW †Kv¤úvwbi †¶‡Î)</t>
  </si>
  <si>
    <t>cÖ‡hvR¨ bq|</t>
  </si>
  <si>
    <t>Aby‡gvw`Z gyjab</t>
  </si>
  <si>
    <t>cwi‡kvwaZ gyjab</t>
  </si>
  <si>
    <t>‡kqvi msL¨v</t>
  </si>
  <si>
    <t>cÖ‡hvR¨ bq</t>
  </si>
  <si>
    <t>(S)</t>
  </si>
  <si>
    <t>Av‡e`bK…Z F‡Yi cwigvb</t>
  </si>
  <si>
    <t>(T)</t>
  </si>
  <si>
    <t>cÖKí/e¨emvi aib/ D‡Ïk¨</t>
  </si>
  <si>
    <t>(U)</t>
  </si>
  <si>
    <t xml:space="preserve">Drcvw`Z cb¨ I Drcv`b ÿgZv  </t>
  </si>
  <si>
    <t>(V)</t>
  </si>
  <si>
    <t>‡gvU AvqZb</t>
  </si>
  <si>
    <t>cwigvb</t>
  </si>
  <si>
    <t>gyj¨</t>
  </si>
  <si>
    <t>2|</t>
  </si>
  <si>
    <t>bvg I wcZv/¯^vgxi bvg</t>
  </si>
  <si>
    <t>wVKvbv</t>
  </si>
  <si>
    <t>gvwjK</t>
  </si>
  <si>
    <t>mswkøó cÖwZôv‡bi cye©eZx I eZ©gvb cvidi‡gÝ</t>
  </si>
  <si>
    <t>eQi</t>
  </si>
  <si>
    <t>gÄyiKvix KZ©„cÿ</t>
  </si>
  <si>
    <t>my` Avq</t>
  </si>
  <si>
    <t>Ab¨vb¨ Avq</t>
  </si>
  <si>
    <t>‡gvU Avq</t>
  </si>
  <si>
    <t>weMZ 3 (wZb) eQ‡ii e¨emvwqK cvidi‡gÝ t</t>
  </si>
  <si>
    <t>ermi</t>
  </si>
  <si>
    <t>Drcv`b/µq</t>
  </si>
  <si>
    <t>weµq</t>
  </si>
  <si>
    <t>Avg`vbx</t>
  </si>
  <si>
    <t>ißvbx</t>
  </si>
  <si>
    <t>jvf/ÿwZ</t>
  </si>
  <si>
    <t>Aby‡gvw`Z mxgv</t>
  </si>
  <si>
    <t>‰eaZvi ZvwiL</t>
  </si>
  <si>
    <t>‡µwWU mv‡gkb</t>
  </si>
  <si>
    <t>eZ©gvb w¯’wZ</t>
  </si>
  <si>
    <t>Pµvqb msL¨v</t>
  </si>
  <si>
    <t>AwR©Z my`</t>
  </si>
  <si>
    <t>wba©vwiZ</t>
  </si>
  <si>
    <t>cÖK„Z</t>
  </si>
  <si>
    <t>FbvsK †gvZ‡eK</t>
  </si>
  <si>
    <t>m‡e©v”P w¯’wZ</t>
  </si>
  <si>
    <t>me©wb¤œ w¯’wZ</t>
  </si>
  <si>
    <t>m‡e©v”P D‡Ëvjb</t>
  </si>
  <si>
    <t>gRy` gv‡ji weeiY/ Uv¯‹‡dvm© cÖwZ‡e`b †gvZv‡eKt</t>
  </si>
  <si>
    <t>‡gvU gRy` gv‡ji weeiY I cwigvb</t>
  </si>
  <si>
    <t>g~j¨</t>
  </si>
  <si>
    <t>MÖnY‡hvM¨ g~j¨</t>
  </si>
  <si>
    <t>FY w¯’wZ</t>
  </si>
  <si>
    <t>÷Kj‡Ui cwigvb I Kvib (hw` _v‡K)</t>
  </si>
  <si>
    <t>04|</t>
  </si>
  <si>
    <t>`vq I m¤ú` t</t>
  </si>
  <si>
    <t xml:space="preserve">K) </t>
  </si>
  <si>
    <t>†gvU m¤ú`</t>
  </si>
  <si>
    <t>†gvU `vq</t>
  </si>
  <si>
    <t>bxU Iqv_©/ (gyj¨)</t>
  </si>
  <si>
    <t>m¤ú`</t>
  </si>
  <si>
    <t>`vq</t>
  </si>
  <si>
    <t>bxU Iqv_©</t>
  </si>
  <si>
    <t>‡Kvb F‡Yi Rb¨ `vqe× _vK‡j Zvi cwigvb</t>
  </si>
  <si>
    <t>cÖwZôv‡bi bvg</t>
  </si>
  <si>
    <t>05|</t>
  </si>
  <si>
    <t>K)</t>
  </si>
  <si>
    <t>F‡bi aiY</t>
  </si>
  <si>
    <t>gÄyixK…Z FY</t>
  </si>
  <si>
    <t>w¯’wZ</t>
  </si>
  <si>
    <t>‡gqv‡`vËxY©</t>
  </si>
  <si>
    <t>F‡bi ÷¨vUvm</t>
  </si>
  <si>
    <t>gšÍe¨</t>
  </si>
  <si>
    <t>cÖKí FY</t>
  </si>
  <si>
    <t>PjwZ g~jab FY</t>
  </si>
  <si>
    <t>K¨vk †µwWU FY</t>
  </si>
  <si>
    <t>Gjwm</t>
  </si>
  <si>
    <t>Ab¨vb¨</t>
  </si>
  <si>
    <t>‡gvUt</t>
  </si>
  <si>
    <t>L)</t>
  </si>
  <si>
    <t>cÖKí/cÖwZôv‡bi bvg</t>
  </si>
  <si>
    <t>FY`vbKvix cÖwZôv‡bi bvg</t>
  </si>
  <si>
    <t>F‡bi cwigvb</t>
  </si>
  <si>
    <t>÷¨vUvm</t>
  </si>
  <si>
    <t>M)</t>
  </si>
  <si>
    <t xml:space="preserve">MÖæ‡ci `vq †`bvt </t>
  </si>
  <si>
    <t>MÖæ‡ci bvg</t>
  </si>
  <si>
    <t>cÖ‡hvR¨ b‡n|</t>
  </si>
  <si>
    <t>(j¶ UvKvq)</t>
  </si>
  <si>
    <t>Rvgvb‡Zi cÖKvi I weeiY</t>
  </si>
  <si>
    <t>cwigvb/ AvqZb</t>
  </si>
  <si>
    <t>cÖwZ GKi/ eM©dzU g~j¨</t>
  </si>
  <si>
    <t>‡gvU g~j¨</t>
  </si>
  <si>
    <t>AePq</t>
  </si>
  <si>
    <t>bxU g~j¨</t>
  </si>
  <si>
    <t>16|</t>
  </si>
  <si>
    <t>LvZ</t>
  </si>
  <si>
    <t>UvBW-Avc wcwiqW</t>
  </si>
  <si>
    <t>F‡Yi cwigvb</t>
  </si>
  <si>
    <t>KvPvgvj</t>
  </si>
  <si>
    <t>weµq‡hvM¨ gRy` cb¨</t>
  </si>
  <si>
    <t>evwK‡Z weµq</t>
  </si>
  <si>
    <t>LyPiv hš¿vsk/Avb¨vb¨</t>
  </si>
  <si>
    <t>bM` A_©</t>
  </si>
  <si>
    <t>†gvU Avq</t>
  </si>
  <si>
    <t>‡gvU e¨q</t>
  </si>
  <si>
    <t>F‡Yi my`</t>
  </si>
  <si>
    <t>AvšÍtcÖevn</t>
  </si>
  <si>
    <t>ewntcÖevn</t>
  </si>
  <si>
    <t>Znwej DØ„Ë</t>
  </si>
  <si>
    <t>wØZxq Ask</t>
  </si>
  <si>
    <t>20|</t>
  </si>
  <si>
    <t>21|</t>
  </si>
  <si>
    <t xml:space="preserve"> </t>
  </si>
  <si>
    <t>22|</t>
  </si>
  <si>
    <t xml:space="preserve">   </t>
  </si>
  <si>
    <t>mshyw³t</t>
  </si>
  <si>
    <t>FY Av‡e`b dig;</t>
  </si>
  <si>
    <t>Gj Gd-5 cÖwZ‡e`b;</t>
  </si>
  <si>
    <t>wm AvB we cÖwZ‡e`b;</t>
  </si>
  <si>
    <t>N)</t>
  </si>
  <si>
    <t>Uv¯‹‡dvm© cÖwZ‡e`b;</t>
  </si>
  <si>
    <t>O)</t>
  </si>
  <si>
    <t>‡evW© mfvi †iRy‡jkb (cÖ‡hvR¨ †ÿ‡Î)|</t>
  </si>
  <si>
    <t>(gvV-Kg©KZ©vi mxj I ¯^vÿi)</t>
  </si>
  <si>
    <t>e¨e¯’vcK</t>
  </si>
  <si>
    <t>(kvLv nB‡Z FY MÖnxZv)</t>
  </si>
  <si>
    <t>wcÖq g‡nv`q,</t>
  </si>
  <si>
    <t>evsjv‡`k K…wl e¨vsK,</t>
  </si>
  <si>
    <t>gyL¨ AvÂwjK e¨e¯’vcK</t>
  </si>
  <si>
    <t>AvBb Dc‡`óvi gZvgZ</t>
  </si>
  <si>
    <t>Avcbvi wek¦¯Í,</t>
  </si>
  <si>
    <t>(mxj †gvni e¨envi Ki‡Z n‡e)</t>
  </si>
  <si>
    <t>01|</t>
  </si>
  <si>
    <t>02|</t>
  </si>
  <si>
    <t>H</t>
  </si>
  <si>
    <t xml:space="preserve"> cÖ¯ÍvweZ RvgvbwZ m¤úwËi Zdwmj t</t>
  </si>
  <si>
    <t>‡Rjv</t>
  </si>
  <si>
    <t xml:space="preserve">Dc‡Rjv </t>
  </si>
  <si>
    <t xml:space="preserve"> †gŠRv</t>
  </si>
  <si>
    <t xml:space="preserve">LwZqvb bs </t>
  </si>
  <si>
    <t>`vM bs</t>
  </si>
  <si>
    <t xml:space="preserve">Rwgi cwigvY </t>
  </si>
  <si>
    <t>gvwjKvbvi aib</t>
  </si>
  <si>
    <t>06|</t>
  </si>
  <si>
    <t>07|</t>
  </si>
  <si>
    <t xml:space="preserve">cÖ¯ÍvweZ m¤úwË‡Z </t>
  </si>
  <si>
    <t>08|</t>
  </si>
  <si>
    <t>09|</t>
  </si>
  <si>
    <t>10|</t>
  </si>
  <si>
    <t>11|</t>
  </si>
  <si>
    <t>12|</t>
  </si>
  <si>
    <t>13|</t>
  </si>
  <si>
    <t>14|</t>
  </si>
  <si>
    <t>15|</t>
  </si>
  <si>
    <t>ZvrÿwYK weµq g~j¨</t>
  </si>
  <si>
    <t>17|</t>
  </si>
  <si>
    <t>wbiƒwcZ g~j¨</t>
  </si>
  <si>
    <t>18|</t>
  </si>
  <si>
    <t>g~j¨q‡bi wfwË t</t>
  </si>
  <si>
    <t>19|</t>
  </si>
  <si>
    <t>m¤úwËi gvwjKvbv m¯ú‡K© e¨vs‡Ki ZvwjKvf~³ AvBbRxexi gZvgZ t</t>
  </si>
  <si>
    <t>23|</t>
  </si>
  <si>
    <t>mvwe©K gšÍe¨ t</t>
  </si>
  <si>
    <t>24|</t>
  </si>
  <si>
    <t>g~j¨vqb KwgwUi cÖZ¨qb t</t>
  </si>
  <si>
    <t>M¨vm ms‡hvM Av‡Q wK bv?</t>
  </si>
  <si>
    <t>we`y¨r ms‡hvM Av‡Q wK bv?</t>
  </si>
  <si>
    <t>cvwbi ms‡hvM Av‡Q wK bv?</t>
  </si>
  <si>
    <t>Dc‡Rjv</t>
  </si>
  <si>
    <t>c`ex</t>
  </si>
  <si>
    <t>nvi</t>
  </si>
  <si>
    <t>ZvwiLt</t>
  </si>
  <si>
    <t>my‡`i nvi</t>
  </si>
  <si>
    <t>‡cÖvcvBUi</t>
  </si>
  <si>
    <t>(jÿ UvKvq)</t>
  </si>
  <si>
    <t>gvwjKvbv</t>
  </si>
  <si>
    <t>(wbR¯^/fvov)</t>
  </si>
  <si>
    <t>80% aviY ¶gZvq</t>
  </si>
  <si>
    <t>100% aviY ¶gZvq</t>
  </si>
  <si>
    <t>¸`v‡gi weeib (cª‡hvR¨ †ÿ‡Î)  t</t>
  </si>
  <si>
    <t>‡Kv¤úvbx wbeÜ‡bi</t>
  </si>
  <si>
    <t>ZvwiL</t>
  </si>
  <si>
    <t>cÖwZ †kqv‡ii</t>
  </si>
  <si>
    <t>AwfwnZ gyj¨</t>
  </si>
  <si>
    <t>wiRvf©</t>
  </si>
  <si>
    <t>µt</t>
  </si>
  <si>
    <t>bs</t>
  </si>
  <si>
    <t xml:space="preserve">c`ex / </t>
  </si>
  <si>
    <t>gh©v`v</t>
  </si>
  <si>
    <t>D‡`¨v³v/ D‡`¨v³vM‡bi cwiwPwZ t</t>
  </si>
  <si>
    <t>D‡`¨v³v/D‡`¨v³M‡bi AwfÁZvi weeiY</t>
  </si>
  <si>
    <t>3|</t>
  </si>
  <si>
    <t>me©‡kl ‡fvMK…Z F‡Yi ‡jb‡`b †gvZv‡eK cvidi‡gÝ t</t>
  </si>
  <si>
    <t>FYvsK + gvwR©bmn</t>
  </si>
  <si>
    <t>4|</t>
  </si>
  <si>
    <t>mswkøô cÖKí/cÖwZôv‡bi `vq I m¤ú‡`i cwigvb</t>
  </si>
  <si>
    <t>D‡`¨v³v/ Askx`vi/ †Kv¤úvbxi cwiPvjKM‡bi `vq I m¤ú‡`i  cwigvb</t>
  </si>
  <si>
    <t>(‡Kv¤úvbxi †ÿ‡Î wbixwÿZ w¯’wZcÎ `vwLj Kwi‡Z n‡e)</t>
  </si>
  <si>
    <t>01)</t>
  </si>
  <si>
    <t>5|</t>
  </si>
  <si>
    <t>6|</t>
  </si>
  <si>
    <t>†UªW jvB‡mÝ</t>
  </si>
  <si>
    <t>wUb b¤^i mn AvqKi cwi‡kv‡ai Z_¨</t>
  </si>
  <si>
    <t>fvov Pzw³i †gqv`</t>
  </si>
  <si>
    <t>LvRbv cwi‡kv‡ai Z_¨</t>
  </si>
  <si>
    <t>MCL</t>
  </si>
  <si>
    <t xml:space="preserve"> nvi</t>
  </si>
  <si>
    <t>RvgvbwZ m¤úwË m¤ú‡K© AvBb Dc‡`óvi gZvgZ</t>
  </si>
  <si>
    <t>PjwZ gyjab/ bM` cywRu F‡bi cÖv°jb</t>
  </si>
  <si>
    <t>(e¨vs‡Ki wbav©wiZ UvBW-Avc wcwiqW Abyhvqx)</t>
  </si>
  <si>
    <t>‡cÖvdvBj mshy³ Av‡Q|</t>
  </si>
  <si>
    <t>Av‡qi cye©vfvm I Znwej cÖevn (j¶ UvKvq)</t>
  </si>
  <si>
    <t>gyj¨vqbKvix Kg©KZv©</t>
  </si>
  <si>
    <t>(¯^v¶i I bv‡gi mxj)</t>
  </si>
  <si>
    <t>7|</t>
  </si>
  <si>
    <t>8|</t>
  </si>
  <si>
    <t>9|</t>
  </si>
  <si>
    <t xml:space="preserve">         ‡gvU</t>
  </si>
  <si>
    <t xml:space="preserve">         mgš^q Pµ </t>
  </si>
  <si>
    <t>wmAvBwe cÖwZ‡e`‡b F‡Yi ÷¨vUvm</t>
  </si>
  <si>
    <t>my` gIKyd/ Ae‡jvcb/ cybt ZdwkjxKib msµvšÍ Z_¨ (cÖ‡hvR¨ †ÿ‡Î)</t>
  </si>
  <si>
    <t>GKi</t>
  </si>
  <si>
    <t xml:space="preserve">       ‡gvU Rwgi cwigvb</t>
  </si>
  <si>
    <t>‡PŠnÏxt Rwgi gvwjK I `vM LwZqvbt</t>
  </si>
  <si>
    <t>(cÖ‡hvR¨ Z_vw` D‡jøL Ki‡Z n‡e)</t>
  </si>
  <si>
    <t>UvKv</t>
  </si>
  <si>
    <t>=</t>
  </si>
  <si>
    <t>hš¿cvwZ</t>
  </si>
  <si>
    <t>BgviZ /d¬¨vU</t>
  </si>
  <si>
    <t>Rwgi g~j¨</t>
  </si>
  <si>
    <t>g~j¨vq‡bi ZvwiL</t>
  </si>
  <si>
    <t>K) wbiƒwcZ g~j¨</t>
  </si>
  <si>
    <t>L) MÖnb †hvM¨ g~j¨ (GgwmGj)</t>
  </si>
  <si>
    <t xml:space="preserve">                                                                                                                     </t>
  </si>
  <si>
    <t xml:space="preserve">cª¯‘ZKvix †`k, cÖmÍ‡Zi eQi, bZzb /wiKwÛkb, Gj wm  Bbf‡q‡mi Kwc, wej Ae Gw›Uª BZ¨vw`, ¯’vbxq †gwkbvixi †ejvq `icÎ, wej, Pvjvb  BZ¨vw` Kwc MÖnb Ki‡Z n‡e  </t>
  </si>
  <si>
    <t>cÖ¯ÍvweZ RvgvbwZ m¤úwËi eZ©gvb †fvM `LjKvixi bvg I wVKvbv</t>
  </si>
  <si>
    <t>hš¿cvwZi †ÿ‡Î cª‡qvRbxq KvMRcÎ I Z_¨vw`t</t>
  </si>
  <si>
    <t>Bs</t>
  </si>
  <si>
    <t>1|</t>
  </si>
  <si>
    <t>‡gvevBj</t>
  </si>
  <si>
    <t xml:space="preserve">         e¨vsK FY</t>
  </si>
  <si>
    <t xml:space="preserve">         D‡`¨v³vi gvwR©b</t>
  </si>
  <si>
    <t>gÄyixi wefvRb</t>
  </si>
  <si>
    <t>my‡hvM myweavi aib</t>
  </si>
  <si>
    <t>FY ZË¡veavb/cwiaviY</t>
  </si>
  <si>
    <t>exgv</t>
  </si>
  <si>
    <t>`wjj m¤úv`b</t>
  </si>
  <si>
    <t>my`/mvwf©m PvR©/`Û my` BZ¨vw`</t>
  </si>
  <si>
    <t>msMÖn c×wZ</t>
  </si>
  <si>
    <t>(cÖwZ‡e`bKvix Kg©KZ©v KZ…©K cÖ‡Z¨K c„ôvq Aek¨B mwn Kwi‡Z nB‡e|)</t>
  </si>
  <si>
    <t>Rvgvb‡Zi Rb¨ cÖ¯ÍvweZ m¤úwËi wek` weeiY t</t>
  </si>
  <si>
    <t xml:space="preserve">kvLv e¨e¯’vcK </t>
  </si>
  <si>
    <t xml:space="preserve">(÷¨vUvm- MÖnb‡hvM¨) </t>
  </si>
  <si>
    <t>g~j¨vqb cªwZ‡e`b   (†gqv`x FY)</t>
  </si>
  <si>
    <t>Gj. Gd - 5</t>
  </si>
  <si>
    <t>mb` cÎ t</t>
  </si>
  <si>
    <t>Avwg</t>
  </si>
  <si>
    <t xml:space="preserve">Znwkj Awdm </t>
  </si>
  <si>
    <t>¯^vÿi</t>
  </si>
  <si>
    <t>c~Y© bvg</t>
  </si>
  <si>
    <t xml:space="preserve"> †gŠRv / MÖvg</t>
  </si>
  <si>
    <t>AvqZb (GK‡i)</t>
  </si>
  <si>
    <t>01</t>
  </si>
  <si>
    <t>02</t>
  </si>
  <si>
    <t>03</t>
  </si>
  <si>
    <t>04</t>
  </si>
  <si>
    <t>05</t>
  </si>
  <si>
    <t>06</t>
  </si>
  <si>
    <t>07</t>
  </si>
  <si>
    <t>‡gvU</t>
  </si>
  <si>
    <t>Rvgvb‡Zi g~j¨vqb t</t>
  </si>
  <si>
    <t>Rwgi †kÖYx web¨vm</t>
  </si>
  <si>
    <t>K…wl Rwg</t>
  </si>
  <si>
    <t xml:space="preserve">‡cŠi Rwg </t>
  </si>
  <si>
    <t xml:space="preserve">    </t>
  </si>
  <si>
    <t>Rwgi †kÖYx</t>
  </si>
  <si>
    <t>AvqZb GK‡i</t>
  </si>
  <si>
    <t>GKi cÖwZ g~j¨ (wfAvBAvi)</t>
  </si>
  <si>
    <t>c~e©vbygvb Kg©Pvix</t>
  </si>
  <si>
    <t>AvÂwjK e¨e¯’vcK</t>
  </si>
  <si>
    <t>‡cŠi Rwgt</t>
  </si>
  <si>
    <t>Ae¯’vb (GKi)</t>
  </si>
  <si>
    <t>GKi cÖwZ g~j¨</t>
  </si>
  <si>
    <t>Bgvi‡Zi cÖKvi</t>
  </si>
  <si>
    <t>wbg©v‡Yi cÖKvi</t>
  </si>
  <si>
    <t>‡gvU AvIZvaxb RvqMv</t>
  </si>
  <si>
    <t>nvi cÖwZ eM©dzU</t>
  </si>
  <si>
    <t>Bgvi‡Zi ¯’zj g~j¨</t>
  </si>
  <si>
    <t>Bgvi‡Zi bxU g~j¨</t>
  </si>
  <si>
    <t>hvnvi Øviv ¯^xK…Z</t>
  </si>
  <si>
    <t>5)</t>
  </si>
  <si>
    <t>m‡e©v”P FY mxgvt</t>
  </si>
  <si>
    <t>mxgv</t>
  </si>
  <si>
    <t>‡cŠi/AvevwmK Rwg</t>
  </si>
  <si>
    <t>BgviZ</t>
  </si>
  <si>
    <t>eZ©gvb Avq</t>
  </si>
  <si>
    <t>FY e¨env‡ii ci cÖZ¨vwkZ AvbygvwbK Avq</t>
  </si>
  <si>
    <t>e„w×</t>
  </si>
  <si>
    <t>¯’zj UvKvt</t>
  </si>
  <si>
    <t>bxU UvKvt</t>
  </si>
  <si>
    <t>Kvh©µg/D‡Ïk¨</t>
  </si>
  <si>
    <t>F‡Yi cwigvY</t>
  </si>
  <si>
    <t>cwi‡kv‡ai kZ©vejx</t>
  </si>
  <si>
    <t>g~j¨vqbKvix Kg©KZ©vi ¯^vÿit</t>
  </si>
  <si>
    <t>Rvgvb‡Zi wel‡q AvBb Dc‡`óv/e¨e¯’vc‡Ki AwfgZt</t>
  </si>
  <si>
    <t>(Avq m„wó nB‡e)</t>
  </si>
  <si>
    <t>dmj BZ¨vw`</t>
  </si>
  <si>
    <t>Avev`x Rwgi wigvY</t>
  </si>
  <si>
    <t>GKi cÖwZ Drcv`b</t>
  </si>
  <si>
    <t>‡gvU Drcv`b</t>
  </si>
  <si>
    <t>(gY wnmve)</t>
  </si>
  <si>
    <t>gY cÖwZ g~j¨</t>
  </si>
  <si>
    <t>‡mP hy³</t>
  </si>
  <si>
    <t>‡mP wenxb</t>
  </si>
  <si>
    <t>K) eZ©gvb Avq</t>
  </si>
  <si>
    <t>(FY e¨env‡ii c~‡e©)</t>
  </si>
  <si>
    <t>L) e„w×</t>
  </si>
  <si>
    <t xml:space="preserve">                                  </t>
  </si>
  <si>
    <t>Rwgi cÖKvi aiY</t>
  </si>
  <si>
    <t>4L</t>
  </si>
  <si>
    <t>wbg©vY eQi t</t>
  </si>
  <si>
    <t xml:space="preserve">Ae¯’vb t </t>
  </si>
  <si>
    <t>4M</t>
  </si>
  <si>
    <t>UvKvt</t>
  </si>
  <si>
    <t>Av‡e`bKvix (MY) A_ev Zvnvi/Zvnv‡`i †cv‡l¨i AÎ e¨vsK/ A_©jMœx cÖwZôvb A_ev Ab¨vb¨ e¨vsK/weAviwWwe mgevq mwgwZi wbKU FY iwnqv‡Q wK?</t>
  </si>
  <si>
    <t xml:space="preserve">(K) </t>
  </si>
  <si>
    <t>1g c„ôvq ewY©Z RvgvbZ m¤úwËi miKvix `Lj RwbZ ÿq-ÿwZi Av‡Q wK?</t>
  </si>
  <si>
    <t xml:space="preserve">(L) </t>
  </si>
  <si>
    <t>Av‡e`bKvixi (MY) Aci †Kvb Av‡qi Drm Av‡Q wK? mswÿß eY©bv w`b|</t>
  </si>
  <si>
    <t>Av‡e`bKvixi PwiÎ Ges FY cwi‡kv‡ai wek¦¯ÍZvi wel‡q gšÍe¨ Kiæb|</t>
  </si>
  <si>
    <t>Av‡e`bKvixi †gvU gvwjKvbvaxb Rwgi cwigvY</t>
  </si>
  <si>
    <t>g~j¨vqbKvix Kg©KZ©vi / Kg©Pvixi mycvwik t</t>
  </si>
  <si>
    <t>ZvwiL t</t>
  </si>
  <si>
    <t>c`ex t</t>
  </si>
  <si>
    <t>c~Y© bvg t</t>
  </si>
  <si>
    <t>¯’vbxq KvwiMix KwgwUi mycvwik t</t>
  </si>
  <si>
    <t>FY gÄyiKvix KZ©„c‡¶i mycvwik/Av‡`k</t>
  </si>
  <si>
    <t>M) ¯’zj Av‡qi 50%</t>
  </si>
  <si>
    <t>Drcv`b e¨q awiqv</t>
  </si>
  <si>
    <t>bxU e„w×</t>
  </si>
  <si>
    <t>¯‹x‡gi / cÖK‡íi A_©‰bwZK w`K</t>
  </si>
  <si>
    <t>L) AcÖ‡qvRbxq Ask¸wj ev` w`b|</t>
  </si>
  <si>
    <t xml:space="preserve">M) cÖ‡qvRb‡ev‡a c„_K KvMR e¨envi Kiæb| </t>
  </si>
  <si>
    <t xml:space="preserve">‡gvUt </t>
  </si>
  <si>
    <t>kvLvi bvg</t>
  </si>
  <si>
    <t>g~j¨vqb wb¤œiƒct</t>
  </si>
  <si>
    <t>cvU</t>
  </si>
  <si>
    <t>njdbvgv</t>
  </si>
  <si>
    <t>Avwg/Avgiv cÖwZÁv c~e©K RvbvB‡ZwQ †h, Avwg/ Avgiv evsjv‡`‡ki cªvßeq¯‹ bvMwiK| †Kvb e¨w³ ev A_© jwMœKvix cÖwZôv‡b Avgvi/Avgv‡`I bv‡g †Kvb `vq-‡`bv †bB|</t>
  </si>
  <si>
    <r>
      <t xml:space="preserve">evsjv‡`k K…wl e¨vs‡Ki gÄyixK…Z </t>
    </r>
    <r>
      <rPr>
        <vertAlign val="subscript"/>
        <sz val="16"/>
        <color theme="1"/>
        <rFont val="SutonnyMJ"/>
      </rPr>
      <t>...................................</t>
    </r>
    <r>
      <rPr>
        <sz val="16"/>
        <color theme="1"/>
        <rFont val="SutonnyMJ"/>
      </rPr>
      <t xml:space="preserve"> Zvwi‡Li F‡Yi `iLv‡¯Í wb‡¤œ ewY©Z m¤úwË Avgvi/Avgv‡`i ¯^Z¡ `Ljxq GKK/GRgvjx †lvj-AvbvivqZx †RvZ ¯^Z¡ hvnv †Kv_vI †Kvb cÖKv‡i `vb, weµq, n¯ÍvšÍiev †Kvb cÖKv‡i `vqe× b‡n| D³ m¤úwË †Kvb cÖKv‡I n¯ÍvšÍi ev `vqe× Kwi‡j Avwg/Avgiv MYcÖRvZš¿x esjv‡`k miKv‡ii gnvgvb¨ ivóªcwZi evsjv‡`k K…wl e¨vsK Av‡`‡ki 29 bs aviv g‡Z AvBbZ `Ûbxq nBe| </t>
    </r>
  </si>
  <si>
    <t>eÜKx Rwgi weeiY</t>
  </si>
  <si>
    <t>Dc‡iv³ Z_¨vw` m¤ú~Y© mZ¨ Ges †Kvbiƒc cÖZviYv Kwi‡j AvBbZ `ÐYxq nB‡e Ges m¤ú~b© ÿwZc~iY w`‡Z eva¨ _vwK‡ev|</t>
  </si>
  <si>
    <t>GZØv‡_© †¯^”Qvq, ¯^Áv‡b Ges my¯’ gw¯Í‡¯‹ Avwg/Avgiv GB njdbvgvq ¯^vÿi/wUc mwn w`jvg|</t>
  </si>
  <si>
    <t>¯^vÿxi ¯^vÿi t</t>
  </si>
  <si>
    <t>FY MÖnxZvi ¯^vÿi</t>
  </si>
  <si>
    <t>kvLvi †dvb bs</t>
  </si>
  <si>
    <t>kvLvi B‡gBj</t>
  </si>
  <si>
    <t>wewfbœ cÖKvi wmivc</t>
  </si>
  <si>
    <t>evwýK e¨envh© Jla</t>
  </si>
  <si>
    <t>mvi I KxUbvkK wecYb</t>
  </si>
  <si>
    <t>Jla wecYb e¨emvq</t>
  </si>
  <si>
    <t>eÜKx m¤úwËi †PŠnwÏi weeiY</t>
  </si>
  <si>
    <t>gvZvi bvg</t>
  </si>
  <si>
    <t>¯‹xg/cÖK‡íi m¤¢ve¨Zv m¤ú‡K© c~e©vbygvYKvix Kg©KZ©v/Kg©Pvixi gšÍe¨t</t>
  </si>
  <si>
    <t>(cÖ‡qvRb‡ev‡a c„_K KvMR e¨envi Kwi‡Z nB‡e| )</t>
  </si>
  <si>
    <t>80% avib ¶gZvq gRy`‡hvM¨ gvj</t>
  </si>
  <si>
    <t>(bM` FY/PjwZ gyjab FY bevqb dig)</t>
  </si>
  <si>
    <t>Ask-K</t>
  </si>
  <si>
    <t xml:space="preserve">2| </t>
  </si>
  <si>
    <t xml:space="preserve">3| </t>
  </si>
  <si>
    <t xml:space="preserve">4| </t>
  </si>
  <si>
    <t>Ask-L</t>
  </si>
  <si>
    <t>1| wnmv‡ei m‡e©v”P AvniY</t>
  </si>
  <si>
    <t>2| wnmv‡ei m‡e©v”P cwi‡kva/Rgv</t>
  </si>
  <si>
    <t xml:space="preserve">L) </t>
  </si>
  <si>
    <t xml:space="preserve">M) </t>
  </si>
  <si>
    <t xml:space="preserve">  </t>
  </si>
  <si>
    <t xml:space="preserve">N) </t>
  </si>
  <si>
    <t xml:space="preserve">O) </t>
  </si>
  <si>
    <t xml:space="preserve">P) </t>
  </si>
  <si>
    <t xml:space="preserve">Q) </t>
  </si>
  <si>
    <t>‡gvU †Wwe‡Ui †hvMdj</t>
  </si>
  <si>
    <t>‡gvU †µwW‡Ui †hvMdj</t>
  </si>
  <si>
    <t xml:space="preserve">R) </t>
  </si>
  <si>
    <t xml:space="preserve">A_v©r UvKvq </t>
  </si>
  <si>
    <t xml:space="preserve">S) </t>
  </si>
  <si>
    <t xml:space="preserve">exgv (AšÍeZ©xKvwjb exgvmn c~b© exgv Kfv‡iR cvIqv wMqv‡Q wK bv?) </t>
  </si>
  <si>
    <t xml:space="preserve">t </t>
  </si>
  <si>
    <t>n¨uv</t>
  </si>
  <si>
    <t xml:space="preserve">                                                                 </t>
  </si>
  <si>
    <t xml:space="preserve">T) </t>
  </si>
  <si>
    <t xml:space="preserve">U) </t>
  </si>
  <si>
    <t>†gŠRy` Ae¯’v t</t>
  </si>
  <si>
    <t>¸`v‡g (eÜKx wnmv‡e)</t>
  </si>
  <si>
    <t>‡gvU g~j¨ (j¶ UvKvq)</t>
  </si>
  <si>
    <t xml:space="preserve">V) </t>
  </si>
  <si>
    <t>cwi‡kva c×wZ</t>
  </si>
  <si>
    <t xml:space="preserve">W) </t>
  </si>
  <si>
    <t xml:space="preserve">mvaviY gšÍe¨ </t>
  </si>
  <si>
    <t xml:space="preserve">X) </t>
  </si>
  <si>
    <t xml:space="preserve">                     </t>
  </si>
  <si>
    <t>Gj.Gd-58</t>
  </si>
  <si>
    <t>Aemvq‡bi ZvwiLt</t>
  </si>
  <si>
    <t xml:space="preserve">‰eaZvi †gqv` </t>
  </si>
  <si>
    <t>gÄyixi cwigvb</t>
  </si>
  <si>
    <t>FY MÖnxZvi bvg</t>
  </si>
  <si>
    <t>FY mxgvi D‡Ïk¨</t>
  </si>
  <si>
    <t>eÜK-`vqe‡Üi AbycvZ</t>
  </si>
  <si>
    <t>me©vwaK cwigv‡b e¨eüZ</t>
  </si>
  <si>
    <t>Rvgvb‡Zi weeiY (eÜKx e¨ZxZ)</t>
  </si>
  <si>
    <t>Rvgvb‡Zi g~j¨vqb</t>
  </si>
  <si>
    <t>Rvgvb‡Zi (eÜKx) weeiY</t>
  </si>
  <si>
    <t>eÜKx `ªe¨vw` msi¶Y msµvšÍ</t>
  </si>
  <si>
    <t>cÖvß `wjjcÎ</t>
  </si>
  <si>
    <t>c~e© K…wZ</t>
  </si>
  <si>
    <t>1| e¨e¯’vcK KZ…©K wbiƒwcZ g~j¨</t>
  </si>
  <si>
    <t>2| Rvgvb‡Zi Gg. wm. Gj  g~j¨</t>
  </si>
  <si>
    <t>wewfbœ cÖKvi U¨ve‡jU</t>
  </si>
  <si>
    <t>wewfbœ cÖKvi K¨vcmyj</t>
  </si>
  <si>
    <t>wewfbœ cÖKvi Bb‡RKkb</t>
  </si>
  <si>
    <t>Ab¨vb¨ Jla</t>
  </si>
  <si>
    <t>Mv‡g©›Um e¨emvq</t>
  </si>
  <si>
    <t>_vb Kvco (wgt)</t>
  </si>
  <si>
    <t>w_ªwcP (wcQ)</t>
  </si>
  <si>
    <t>jyw½ (wcQ)</t>
  </si>
  <si>
    <t>MvgQv (wcQ)</t>
  </si>
  <si>
    <t>‡MwÄ (wcQ)</t>
  </si>
  <si>
    <t>weQvbvi Pv`i (wcQ)</t>
  </si>
  <si>
    <t>cvÄvex (wcQ)</t>
  </si>
  <si>
    <t>Mv‡g©›Um mvgMÖx</t>
  </si>
  <si>
    <t>Qvcv kvwo (wcQ)</t>
  </si>
  <si>
    <t>wcÖ‡›Ui kvwo (wcQ)</t>
  </si>
  <si>
    <t xml:space="preserve">mvB‡K‡ji hš¿vsk </t>
  </si>
  <si>
    <t xml:space="preserve">f¨v‡bi hš¿vsk </t>
  </si>
  <si>
    <t>Ab¨vb¨ Uzjm</t>
  </si>
  <si>
    <t>‡givgZ</t>
  </si>
  <si>
    <t xml:space="preserve">mvB‡Kj, f¨vb BZ¨vw`i hš¿vsk wecYb I †givgZ e¨emv </t>
  </si>
  <si>
    <t>Jla I Ab¨vb¨ mvgMÖx</t>
  </si>
  <si>
    <t>wewfbœ cÖKvi Mvfx</t>
  </si>
  <si>
    <t>Miæi Lvevi</t>
  </si>
  <si>
    <t>Miæi Ni †givgZ</t>
  </si>
  <si>
    <t>wewfbœ cÖKvi evQzi</t>
  </si>
  <si>
    <t>ivLvj LiP</t>
  </si>
  <si>
    <t>jvB‡eªix e¨emvq</t>
  </si>
  <si>
    <t>wewfbœ ai‡bi MvBW eB</t>
  </si>
  <si>
    <t>wewfbœ ai‡bi ‡óbvix</t>
  </si>
  <si>
    <t>wewfbœ ai‡bi LvZv</t>
  </si>
  <si>
    <t>wjwgU</t>
  </si>
  <si>
    <t>gvwK©b Wjv‡i</t>
  </si>
  <si>
    <t>t cÖ‡hvR¨ bq|</t>
  </si>
  <si>
    <t>iæUg¨vc</t>
  </si>
  <si>
    <t>‡gvU UvKv</t>
  </si>
  <si>
    <t>cÖZ¨qb cÎ</t>
  </si>
  <si>
    <t xml:space="preserve">                                                   </t>
  </si>
  <si>
    <t>¯^Z¡vwaKvix</t>
  </si>
  <si>
    <t>cwim¤ú` I `vq msµvšÍ †NvlYv</t>
  </si>
  <si>
    <t>Avwg GB g‡g© †Nvlbv KiwQ †h,Avgvi wb¤œ ewY©Z m¤úwË I `vq †`bv i‡q‡Q|</t>
  </si>
  <si>
    <r>
      <t xml:space="preserve">(K) </t>
    </r>
    <r>
      <rPr>
        <b/>
        <u/>
        <sz val="13"/>
        <color theme="1"/>
        <rFont val="SutonnyMJ"/>
      </rPr>
      <t>m¤ú`</t>
    </r>
    <r>
      <rPr>
        <b/>
        <sz val="13"/>
        <color theme="1"/>
        <rFont val="SutonnyMJ"/>
      </rPr>
      <t>t</t>
    </r>
  </si>
  <si>
    <t>m¤ú‡`i weeiY</t>
  </si>
  <si>
    <t>‡gŠRv,LwZqvb,`vM bs</t>
  </si>
  <si>
    <t>Rwgi cwigvb (GKi)</t>
  </si>
  <si>
    <t>evRvi g~j¨</t>
  </si>
  <si>
    <t>Rwg</t>
  </si>
  <si>
    <t>cyivcvov, (Gj.Gd-5 g‡Z)</t>
  </si>
  <si>
    <t>Nievox</t>
  </si>
  <si>
    <t>3 wU</t>
  </si>
  <si>
    <r>
      <t xml:space="preserve">(L) </t>
    </r>
    <r>
      <rPr>
        <b/>
        <u/>
        <sz val="13"/>
        <color theme="1"/>
        <rFont val="SutonnyMJ"/>
      </rPr>
      <t>`vq</t>
    </r>
    <r>
      <rPr>
        <b/>
        <sz val="13"/>
        <color theme="1"/>
        <rFont val="SutonnyMJ"/>
      </rPr>
      <t>t</t>
    </r>
  </si>
  <si>
    <t>F‡Yi cÖK…wZ/weeiY</t>
  </si>
  <si>
    <t>UvKvi cwigvb</t>
  </si>
  <si>
    <t>we‡Kwe,cyivcvov evRvi kvLv,dwi`cyi</t>
  </si>
  <si>
    <t>Ab¨vb¨ `vq</t>
  </si>
  <si>
    <t>e¨emvwqK</t>
  </si>
  <si>
    <t>Avwg AviI †NvlYv KiwQ Dc‡iv³ Z_¨vejx mwVK I wbf©yj|</t>
  </si>
  <si>
    <t xml:space="preserve"> Kg©KZ©v</t>
  </si>
  <si>
    <t xml:space="preserve">5| </t>
  </si>
  <si>
    <t>6| FYmxgvi cÖK…Z</t>
  </si>
  <si>
    <t>7| FY MÖnxZvi DcvË</t>
  </si>
  <si>
    <t>wewb‡qvM Drm †NvlYvcÎ</t>
  </si>
  <si>
    <t>K…wl m¤ú`</t>
  </si>
  <si>
    <t>FY</t>
  </si>
  <si>
    <t>GK P‡µ</t>
  </si>
  <si>
    <t>gY</t>
  </si>
  <si>
    <t>gyw` †`vKvb e¨emvq</t>
  </si>
  <si>
    <t>Mevw` cï cvjb e¨emvq</t>
  </si>
  <si>
    <t>Mevw` cï cvjb I †WBix dvg© e¨emvq</t>
  </si>
  <si>
    <t>gvwjKvbv m¤ú‡K© gšÍe¨</t>
  </si>
  <si>
    <t>cwiPvjb e¨q %</t>
  </si>
  <si>
    <t>jvf</t>
  </si>
  <si>
    <t>আগে এল.এফ 58</t>
  </si>
  <si>
    <t>02)</t>
  </si>
  <si>
    <t>03)</t>
  </si>
  <si>
    <t>04)</t>
  </si>
  <si>
    <t>†cvwë wdW e¨emvq</t>
  </si>
  <si>
    <t>wewfbœ ai‡Yi cwëª wdW</t>
  </si>
  <si>
    <t>ev”Qv</t>
  </si>
  <si>
    <t>&amp;Jla</t>
  </si>
  <si>
    <t>Kg©KZ©v</t>
  </si>
  <si>
    <t>welq</t>
  </si>
  <si>
    <t>c„ôv bs</t>
  </si>
  <si>
    <t>nB‡Z</t>
  </si>
  <si>
    <t>ch©šÍ</t>
  </si>
  <si>
    <t>iwOb Qwe I bgybv ¯^vÿi KvW©</t>
  </si>
  <si>
    <t>nvjm‡bi †UªW jvB‡m‡Ýi d‡UvKwc/ nvjm‡bi WªvM jvB‡m‡Ýi d‡UvKwc</t>
  </si>
  <si>
    <t>Ab¨vb¨ e¨vsK/Avw_©K cÖwZôv‡bi ‡Mvcbxq gZvgZ</t>
  </si>
  <si>
    <t>FY bevq‡bi †¶‡Î FY bevqb dig GjGd - 58</t>
  </si>
  <si>
    <t>FY gÄyixi Z_¨mxU (cÎ bs-cÖKv/Ft At-1/(13)/2013-14/511(1250) Zvt 23.01.14 Bs|)</t>
  </si>
  <si>
    <t>FY cÖ¯Ív‡ei Av‡e`b cÖwµqvKiY/ m‡iRwg‡b Z_¨ hvPvB KiY</t>
  </si>
  <si>
    <t>FY Av‡e`bKvix KZ…©K cÖ`Ë cÖ‡R±/K¨vk †µwWU/wmGgGmGgB F‡Yi ‡cÖvdvBj</t>
  </si>
  <si>
    <r>
      <t>wm, AvB, we (</t>
    </r>
    <r>
      <rPr>
        <sz val="12"/>
        <color theme="1"/>
        <rFont val="Times New Roman"/>
        <family val="1"/>
      </rPr>
      <t>CIB</t>
    </r>
    <r>
      <rPr>
        <sz val="12"/>
        <color theme="1"/>
        <rFont val="SutonnyMJ"/>
      </rPr>
      <t>) welqK †cÖwiZ cÎ/ AbyK~j wm,AvB,we (</t>
    </r>
    <r>
      <rPr>
        <sz val="12"/>
        <color theme="1"/>
        <rFont val="Times New Roman"/>
        <family val="1"/>
      </rPr>
      <t>CIB</t>
    </r>
    <r>
      <rPr>
        <sz val="12"/>
        <color theme="1"/>
        <rFont val="SutonnyMJ"/>
      </rPr>
      <t>) wi‡cvU©</t>
    </r>
  </si>
  <si>
    <t>g~j¨vqb cÖwZ‡e`b (Gj Gd-5)</t>
  </si>
  <si>
    <t>mve-‡iwRwóª Awdm KZ…©K Rwgi g~j¨ ZvwjKv</t>
  </si>
  <si>
    <t>gyj¨vqb KwgwU KZ„©K RvgvbwZ m¤úwËi ¯’vbxq gyj¨vqb cÖwZ‡e`b</t>
  </si>
  <si>
    <t>cwim¤ú` I `vq msµvšÍ ‡Nvlbv cÎ</t>
  </si>
  <si>
    <t>nvj `vwLjv mg~n</t>
  </si>
  <si>
    <t>cP©v mg~n (Av‡e`bKvixi wbR bv‡g)</t>
  </si>
  <si>
    <t>e¨emv cÖwZôvb wbR gvwjKvbvaxb n‡j cÖwZôv‡bi `v‡Mi cP©vi d‡UvKwc</t>
  </si>
  <si>
    <t>e¨emv cÖwZôvb wbR gvwjKvbvaxb bv n‡j Nifvov Pzw³bvgv I Pzw³K…Z `v‡Mi cP©vi d‡UvKwc</t>
  </si>
  <si>
    <t>óKjU/ gRy` gv‡ji weeibx + U¨v¯‹‡dvm© cÖwZ‡e`b</t>
  </si>
  <si>
    <t>‡jb‡`b kxU</t>
  </si>
  <si>
    <t>‡gŠRv g¨vc + e¨emv cÖwZôv‡bi ‡¯‹P g¨vc + e¨emv cÖwZôv‡bi iæU g¨vc</t>
  </si>
  <si>
    <t>wewb‡qv‡Mi Dr‡mi †NvlbvcÎ</t>
  </si>
  <si>
    <t>RvgvbwZ m¤úwË mg~‡ni wecix‡Z †Kvb ai‡Yi gvgjv  †gvKÏgv bvB g‡g© cÖZ¨qbcÎ</t>
  </si>
  <si>
    <t>†fvMK…Z F‡Yi `wjjvqb mwVK i‡q‡Q g‡g© gyL¨ AvÂwjK e¨e¯’vc‡Ki cÖZ¨qb (10 jÿ I Z`y×© FY)</t>
  </si>
  <si>
    <r>
      <t xml:space="preserve">      </t>
    </r>
    <r>
      <rPr>
        <b/>
        <u/>
        <sz val="13.5"/>
        <color theme="1"/>
        <rFont val="SutonnyMJ"/>
      </rPr>
      <t>g~j¨vqbKvix</t>
    </r>
    <r>
      <rPr>
        <b/>
        <sz val="13.5"/>
        <color theme="1"/>
        <rFont val="SutonnyMJ"/>
      </rPr>
      <t xml:space="preserve"> </t>
    </r>
  </si>
  <si>
    <t>dvBj Kvfvi I m~wPcÎ</t>
  </si>
  <si>
    <t>‡bvU kxU</t>
  </si>
  <si>
    <t>FY gÄyix c‡Îi Kwc</t>
  </si>
  <si>
    <t>eÜKx `wjj (meyR)</t>
  </si>
  <si>
    <t>RvZxq cwiPqcÎ I RvZxq cwiPqc‡Îi f¨vwidvBW Kwc / AbjvBb Rb¥ wbeÜb / cvm‡cv‡U©i Kwc</t>
  </si>
  <si>
    <t>bvg msµvšÍ mb` mg~n (hw` wfbœ bvg _v‡K)</t>
  </si>
  <si>
    <t>wWwc †bvU, wifvBfvj †jUvi, ‡jUvi Ad Kw›UwbDwU, Gj.Gd 42, Gj Gd 46</t>
  </si>
  <si>
    <t>FY Av‡e`b cÎ {Gj Gd- 2}|</t>
  </si>
  <si>
    <t>g~j¨vqb cÖwZ‡e`‡bi mshyw³ mg~n (Zjøv‡ki Kwc, †PŠnwÏ, 25 eQ‡ii gvwjKvbv ¯^‡Z¡i weeiY BZ¨vw`)</t>
  </si>
  <si>
    <t>Av‡e`bKvix, gyj¨vqbKvix I e¨e¯’vcK mn m‡iRwg‡b Z`‡šÍi Qwe</t>
  </si>
  <si>
    <t>weMZ eQ‡ii FY gÄyix c‡Îi Kwc (bevq‡bi †ÿ‡Î)</t>
  </si>
  <si>
    <t>÷v¤ú</t>
  </si>
  <si>
    <t>we`y¨r we‡ji Kwc + †PŠwK`vix U¨v· iwk‡`i Kwc</t>
  </si>
  <si>
    <t>Òcwi‡ek evÜe e¨vwKs KiæbÓ</t>
  </si>
  <si>
    <t>‰ÎgvwmK wfwË‡Z my`v‡ivc Ki‡Z n‡e Ges Zv †WweU K¨vk fvDPv‡ii gva¨‡g Av`vq Ki‡Z n‡e|  1g D‡Ëvj‡bi ZvwiL n‡Z cieZx© 1 eQi ‡gqv‡` my`mn cwi‡kva‡hvM¨/ bevqb‡hvM¨ n‡e|</t>
  </si>
  <si>
    <t>bvg  t</t>
  </si>
  <si>
    <t>wcZv t</t>
  </si>
  <si>
    <t>MÖvg  t</t>
  </si>
  <si>
    <t>1 wU</t>
  </si>
  <si>
    <t>cwëª GÛ d¨vUvwbs e¨emvq</t>
  </si>
  <si>
    <t>nvj m‡bi AvqKi cÖZ¨qbcÎ / Zvi evrmwiK Avq AvqKi cÖ`v‡bi AvIZv ewnf©~Z g‡g© †NvlYv cÎ</t>
  </si>
  <si>
    <t>১ম আবেদনকারী</t>
  </si>
  <si>
    <t>†givgZ</t>
  </si>
  <si>
    <t>‡cvëª Lv`¨</t>
  </si>
  <si>
    <t>‡cvëªi ev”Qv</t>
  </si>
  <si>
    <t>‡Wmcvm© bs</t>
  </si>
  <si>
    <r>
      <rPr>
        <sz val="11"/>
        <color theme="1"/>
        <rFont val="SutonnyMJ"/>
      </rPr>
      <t>mycvwikK„Z A‡_©i cwigvY</t>
    </r>
    <r>
      <rPr>
        <sz val="12"/>
        <color theme="1"/>
        <rFont val="SutonnyMJ"/>
      </rPr>
      <t xml:space="preserve">
</t>
    </r>
    <r>
      <rPr>
        <sz val="10"/>
        <color theme="1"/>
        <rFont val="SutonnyMJ"/>
      </rPr>
      <t>(wba©viYx weeiY mshy³ nB‡e)</t>
    </r>
  </si>
  <si>
    <t xml:space="preserve"> Abv`vqx FY</t>
  </si>
  <si>
    <t>c~e© FY</t>
  </si>
  <si>
    <t>শাখা ব্যবস্থাপক</t>
  </si>
  <si>
    <t>gyw` cb¨</t>
  </si>
  <si>
    <t>Km‡gwUK cb¨</t>
  </si>
  <si>
    <t>nvW©Iqvi cb¨</t>
  </si>
  <si>
    <t>K…wl cb¨</t>
  </si>
  <si>
    <t>bvg Lvwi‡Ri ‡ÿ‡Î - wWwmAvi, AW©vi kxU, `vZvi cP©v/ Iqvwik mb` / `wjj cÎ</t>
  </si>
  <si>
    <t>AwfÁZv KZ eQ‡ii?</t>
  </si>
  <si>
    <t>এল.এফ-৫ থেকে আসবে</t>
  </si>
  <si>
    <t>প্রোফাইল থেকে আসবে</t>
  </si>
  <si>
    <t>আ্যসেট, লাইয়াবিলিটি থেকে আসবে</t>
  </si>
  <si>
    <t>CRG  থেকে আসবে</t>
  </si>
  <si>
    <t>m‡e©v”P cwi‡kva</t>
  </si>
  <si>
    <t>AvqZb (Nb dzU)</t>
  </si>
  <si>
    <t>এল.এফ-৫ থেকে আবেদনের তারিখ আসবে।</t>
  </si>
  <si>
    <t>‡PK I Rgv iwk‡`i gva¨‡g|</t>
  </si>
  <si>
    <t>LwZqvb bs</t>
  </si>
  <si>
    <t>Web: www.krishibank.org.bd</t>
  </si>
  <si>
    <t>weMZ erm‡ii ißvwbK…Z `ª‡e¨ I g~j¨ (cÖ‡hvR¨ †ÿ‡Î)</t>
  </si>
  <si>
    <t>wewfbœ ai‡bi ‡jwWm Rvgv</t>
  </si>
  <si>
    <t>wewfbœ ai‡bi ‡jwWm cvqRvgv</t>
  </si>
  <si>
    <t>wewfbœ ai‡bi ‡jwWm Iobv</t>
  </si>
  <si>
    <t>wewfbœ ai‡bi dzjnvZv kvU©</t>
  </si>
  <si>
    <t>wewfbœ ai‡bi ‡R›Um c¨v›U</t>
  </si>
  <si>
    <t>wewfbœ emqx wkï‡`i ‰Zix †cvkvK</t>
  </si>
  <si>
    <t>Ab¨vb¨ ‰Zix †cvkvK</t>
  </si>
  <si>
    <t>cÖ‡qvRb n‡jt</t>
  </si>
  <si>
    <t>ZvwiKzj Bmjvg</t>
  </si>
  <si>
    <t>01911-555756</t>
  </si>
  <si>
    <t>http://fb.com/tariq756</t>
  </si>
  <si>
    <r>
      <t xml:space="preserve">(M) </t>
    </r>
    <r>
      <rPr>
        <b/>
        <u/>
        <sz val="13"/>
        <color theme="1"/>
        <rFont val="SutonnyMJ"/>
      </rPr>
      <t>bxU m¤ú` (K - L)</t>
    </r>
    <r>
      <rPr>
        <b/>
        <sz val="13"/>
        <color theme="1"/>
        <rFont val="SutonnyMJ"/>
      </rPr>
      <t>t</t>
    </r>
  </si>
  <si>
    <t>মূখ্য আঃ ব্যবস্থাপক্ষ</t>
  </si>
  <si>
    <t>cyKzi/‡Ni ms®‹vi</t>
  </si>
  <si>
    <t>hš¿cvwZ/cvwbi cv®ú</t>
  </si>
  <si>
    <t>‡cvbv µq</t>
  </si>
  <si>
    <t>kÖwgK I gRywi</t>
  </si>
  <si>
    <t>we`¨yr/R¡vjvbx</t>
  </si>
  <si>
    <t>wPsox Avnib</t>
  </si>
  <si>
    <t>‡Ni jxR/fvov</t>
  </si>
  <si>
    <t>wewea e¨q</t>
  </si>
  <si>
    <t>Jla/RxevbybvkK</t>
  </si>
  <si>
    <t>‰Re /A‰Re mvi I m¤úyiK Lv`¨</t>
  </si>
  <si>
    <t>evM`v wPsox Pvl e¨emvq</t>
  </si>
  <si>
    <t>‡gvU FY mxgv gbÍe¨ (4K+4L+4M)</t>
  </si>
  <si>
    <t>†Kvb m¤¢ebv ‡bB|</t>
  </si>
  <si>
    <t>K…wl RwgRgv †_‡K Avq|</t>
  </si>
  <si>
    <t>PwiÎ fvj Ges FY cwi‡kv‡ai wek¦vm Av‡Q|</t>
  </si>
  <si>
    <t>Av‡qi weeiYx c„_K c„ôvq †`Lv‡bv n‡q‡Q|</t>
  </si>
  <si>
    <t>m¤úwËi ‡PŠnÏx</t>
  </si>
  <si>
    <t xml:space="preserve">eZ©gvb evRvi g~j¨/AwfwnZ g~j¨ t </t>
  </si>
  <si>
    <t>jÿ UvKv wnmv‡e</t>
  </si>
  <si>
    <t>( Face Value )</t>
  </si>
  <si>
    <t>( Projected Value )</t>
  </si>
  <si>
    <t>(Forced Sale Value)</t>
  </si>
  <si>
    <t>‡jb‡`b m¤c©‡K gšÍe¨</t>
  </si>
  <si>
    <t>‡bvU mxU/ AMÖvqb cÎ-</t>
  </si>
  <si>
    <t>mve †iwRwóª Awd‡mi †gŠRvwfwËK g~j¨ ZvwjKv</t>
  </si>
  <si>
    <t>RvgvbwZ m¤úwËi g~j¨vqY KwgwU KZ©„K g~j¨vqb cªwZ‡e`b</t>
  </si>
  <si>
    <t>wm. AvB. we cÖwZ‡e`b-</t>
  </si>
  <si>
    <t>wm. Avi. wR</t>
  </si>
  <si>
    <t>cÖwZôv‡bi g¨vc I jvB‡mÝ</t>
  </si>
  <si>
    <t>cÖkvmwbK e¨q</t>
  </si>
  <si>
    <t>PjwZ wnmve bs</t>
  </si>
  <si>
    <t>‡gvevBj bs</t>
  </si>
  <si>
    <t>wmwm wnmve bs t</t>
  </si>
  <si>
    <t>,</t>
  </si>
  <si>
    <t>myPxcÎ</t>
  </si>
  <si>
    <t>FY gÄyix cÖ¯Íve †cÖib msµvšÍ e¨e¯’vcK Z_¨mxU</t>
  </si>
  <si>
    <t>wewfbœ ai‡bi cÖZ¨qYcÎ</t>
  </si>
  <si>
    <t>‡Ni/cÖK‡íi Ae¯’vb mswkøô Rwgi gvwjKvbv msµvšÍ KvMRcÎ</t>
  </si>
  <si>
    <t>cye© F‡bi gÄyixcÎ</t>
  </si>
  <si>
    <t>‡gŠRv g¨v‡ci d‡UvKwc</t>
  </si>
  <si>
    <t>‡gŠRv</t>
  </si>
  <si>
    <t xml:space="preserve">Av‡e`bKvixi (MY) cÖwZ‡e`‡bi 38 c„ôvq ewY©Z RvgvbZx m¤úwËi GK”QÎ gvwjK|                                                </t>
  </si>
  <si>
    <t>Rwg‡Z Av‡e`bKvixi (MY) DËivaxKvi m~‡Î cvBevi Ges n¯ÍvšÍ‡ii AwaKvi iwnqv‡Q A_©vr RwgwU e¨vs‡Ki wbKU n¯ÍvšÍ‡ii ÿgZv iwnqv‡Q|</t>
  </si>
  <si>
    <t>Bnv GRgvjx m¤úwË Ges ˆea RvgvbZ wnmv‡e MÖn Kwievi Rb¨ cÖ‡qvRbxq mKj kZ© Av‡e`bKvix (MY) c~iY Kwiqv‡Q|</t>
  </si>
  <si>
    <t>KuvPvgvj</t>
  </si>
  <si>
    <t>"Mbgvby‡li e¨vsK"</t>
  </si>
  <si>
    <t>gRy` e¨e¯’vcbv / wbqš¿Y / Zvjve× ivLv BZ¨vw`</t>
  </si>
  <si>
    <t>Despas No</t>
  </si>
  <si>
    <t>Gj. Gd-5 (Avw_©K we‡kølY I mshyw³ Kwcmn)</t>
  </si>
  <si>
    <t>FY bw_ m~Px</t>
  </si>
  <si>
    <t>নিচে কর্মকর্তার সুপারিশ লিখুন</t>
  </si>
  <si>
    <t>নিচে ব্যবস্থাপকের সুপারিশ লিখুন</t>
  </si>
  <si>
    <t>মহাব্যবস্থাপক</t>
  </si>
  <si>
    <t>wUGmwc (e¯Ív)</t>
  </si>
  <si>
    <t>GgIwc (e¯Ív)</t>
  </si>
  <si>
    <t>wWGwc (e¯Ív)</t>
  </si>
  <si>
    <t>BbwRwbqvm -eªvÛ wmgjv KxUbvkK</t>
  </si>
  <si>
    <t>GwmAvB KxUbvkK eªvÛt ev¤úvi g‡bvwRsK</t>
  </si>
  <si>
    <t>GwmAvB KxUbvkK eªvÛt ev‡qv‡dvwU</t>
  </si>
  <si>
    <t>BbwRwbqvm -eªvÛ ‡døv‡iÝ KxUbvkK</t>
  </si>
  <si>
    <t>BDwiqv (e¯Ív)</t>
  </si>
  <si>
    <t>RvZxq cwiPqcÎ bs</t>
  </si>
  <si>
    <t xml:space="preserve">ZvwiL cwi`k©b Ges wbeÜ-02 mn Ab¨vb¨ bw_‡Z Rbve/Rbvev  </t>
  </si>
  <si>
    <t>Rvgvb‡Zi m¦Z¡/ gvwjKvbv wel‡q gšÍe¨</t>
  </si>
  <si>
    <t>`vg</t>
  </si>
  <si>
    <t>‡kqvi msL¨v I nvi/ gvwjKvbvi Ask</t>
  </si>
  <si>
    <t>wk¶vMZ †hvM¨Zv</t>
  </si>
  <si>
    <t>eÜKx m¤úwËi KvMR-cÎvw`</t>
  </si>
  <si>
    <t>LvRbvi `vwLjv</t>
  </si>
  <si>
    <t>‡UªW jvB‡mÝ, cvm‡cvU© mvB‡Ri Qwe I AvBwW Kv‡W©i d‡UvKwc</t>
  </si>
  <si>
    <t>wm. AvB. we cÖwZ‡e`b</t>
  </si>
  <si>
    <t>gÄixcÎ, wWwc †bvU I PvR© WKz‡g›Um</t>
  </si>
  <si>
    <t>†jb‡`b mxU</t>
  </si>
  <si>
    <t>FY Av‡e`b dig- Gj Gd-8 I FY bevqb dig Gj Gd-58</t>
  </si>
  <si>
    <t>c~‡ei FY bw_</t>
  </si>
  <si>
    <t>2q Kg©KZ©v</t>
  </si>
  <si>
    <t>avb</t>
  </si>
  <si>
    <t>Gj. Gd-5 (Avw_©K we‡kølY, DwKj gZvgZ I mshyw³ Kwcmn)</t>
  </si>
  <si>
    <t>AvBb Dc‡`óvi gZvgZ (cÖ‡hvR¨ †ÿ‡Î)</t>
  </si>
  <si>
    <t>cye© F‡bi gÄyixcÎ (hw` _v‡K)</t>
  </si>
  <si>
    <t>(e¨e¯’vc‡Ki mxj I ¯^vÿi)</t>
  </si>
  <si>
    <t>wRÝ c¨v›U  (†R›Um/‡jwWm)</t>
  </si>
  <si>
    <t>kvU©</t>
  </si>
  <si>
    <t>kvwo -wmé/mywZ/wcÖ›U (wcQ)</t>
  </si>
  <si>
    <t>kvwo -‡ebviwm/KvZvb (wcQ)</t>
  </si>
  <si>
    <t>my</t>
  </si>
  <si>
    <t>cvm‡cvU© mvB‡Ri Qwe I AvBwW Kv‡W©i d‡UvKwc</t>
  </si>
  <si>
    <t>eÜKx m¤úwËi KvMR-cÎvw` I LvRbvi `vwLjv</t>
  </si>
  <si>
    <t>‡UªW jvB‡mÝ</t>
  </si>
  <si>
    <r>
      <t xml:space="preserve">wba©vwiZ g~j¨vqb d¨v±i |
</t>
    </r>
    <r>
      <rPr>
        <b/>
        <sz val="13"/>
        <color theme="1"/>
        <rFont val="SutonnyMJ"/>
      </rPr>
      <t xml:space="preserve">
</t>
    </r>
  </si>
  <si>
    <t>mve-‡iwRwóª Awd‡m iwÿZ me©wb¤œ †gŠRv †iU |</t>
  </si>
  <si>
    <t>g~j¨vqb KwgwU KZ„©K eZ©gvb evRvi g~j¨|</t>
  </si>
  <si>
    <t>Pµ KZ gv‡mi?</t>
  </si>
  <si>
    <t>‡gvU Rwg (GKi)</t>
  </si>
  <si>
    <t>‰Zix †cvkvK wecYb e¨emv</t>
  </si>
  <si>
    <t>bgybv †cÖvdvBj</t>
  </si>
  <si>
    <t>‡fvMiZ F‡bi me©‡kl gÄywii ZvwiL</t>
  </si>
  <si>
    <t>webv Rvgvb‡Z e¨w³MZ/¯úDm M¨vivw›U wb‡q, Z‡e cÖPwjZ wbq‡g cÖ_g PvR© m„wó Ki‡Z n‡e|</t>
  </si>
  <si>
    <t>LvRbv `vwLjvmg~n, cP©vmg~n, `wjj mg~n I Iqvwik mb` cÎmg~n BZ¨vw`</t>
  </si>
  <si>
    <t>A_©vr eÜKx gRy‡`i cÖK…wZ, cwigvY I g~j¨</t>
  </si>
  <si>
    <r>
      <t xml:space="preserve">             </t>
    </r>
    <r>
      <rPr>
        <b/>
        <u/>
        <sz val="13.5"/>
        <color theme="1"/>
        <rFont val="SutonnyMJ"/>
      </rPr>
      <t>g~j¨vqbKvix</t>
    </r>
    <r>
      <rPr>
        <b/>
        <sz val="13.5"/>
        <color theme="1"/>
        <rFont val="SutonnyMJ"/>
      </rPr>
      <t xml:space="preserve"> </t>
    </r>
  </si>
  <si>
    <t>wnmve bs</t>
  </si>
  <si>
    <t>‡Rjv      t</t>
  </si>
  <si>
    <t>Wªc WvDb †gby wm‡j± Kiæb</t>
  </si>
  <si>
    <t xml:space="preserve"> Rwgi †kÖbx wjLyb</t>
  </si>
  <si>
    <t>wcZv/¯^vgxi bvg</t>
  </si>
  <si>
    <t>c~e©m~Ît gyAvKv(mvZ)/Gj,wm,Avi,Gg-107/(wmwm-wPsox)/2018-19/2249, ZvwiL 12/02/2019 Bs</t>
  </si>
  <si>
    <t>_vbv</t>
  </si>
  <si>
    <t>Economics থেকে আসবে</t>
  </si>
  <si>
    <t xml:space="preserve"> cwiKíbv &amp;I cwiPvjb cwicÎ bs-02/2022 Zvs-14/02/2022 †gvZv‡eK me©wb¤œ †gŠRv g~‡j¨i 2.5 d¨v±i we‡ePbv Kiv n‡q‡Q</t>
  </si>
  <si>
    <t xml:space="preserve">d¨v±i g~j¨= </t>
  </si>
  <si>
    <t>*</t>
  </si>
  <si>
    <t>PvDj ‰Zixi KvPvgvj (e¯Ív cÖwZ)</t>
  </si>
  <si>
    <t>cwienb LiP (e¯Ív cÖwZ)</t>
  </si>
  <si>
    <t>we`¨yZ I R¡jvbx LiP (cÖwZ P‡µ)</t>
  </si>
  <si>
    <t>LyPiv hš¿vsk I iÿbv‡eÿY LiP (cÖwZ P‡µ)</t>
  </si>
  <si>
    <t>gRyix I †eZb (cÖwZ P‡µ)</t>
  </si>
  <si>
    <t>wewea e¨q (cÖwZ P‡µ)</t>
  </si>
  <si>
    <t>ivBP wgj I ZzlKvV e¨emvq</t>
  </si>
  <si>
    <t>cvm‡cvU© mvB‡Ri Qwe, AvBwW Kv‡W©i d‡UvKwc I ‡UªW jvB‡mÝ</t>
  </si>
  <si>
    <t>MÖvg</t>
  </si>
  <si>
    <t>BDwbqb</t>
  </si>
  <si>
    <t>LF- 60 (G)</t>
  </si>
  <si>
    <t>Dear Sir,</t>
  </si>
  <si>
    <t>Yours’ Faithfully</t>
  </si>
  <si>
    <t xml:space="preserve">Avkvïwb mve-‡iwRóvi KZ©„K 2022 mv‡ji †gŠRv Iqvix cÖwZ kZvsk Mo Rwgi g~j¨ Ges evRvigyj¨ †gvZv‡eK </t>
  </si>
  <si>
    <t>সাব-রেজিষ্ট্রি অফিসে রক্ষিত সর্বনিম্ন মৌজা রেট</t>
  </si>
  <si>
    <t>m~Î bst-‡jvb †Km bs- wmwm t     /(wmwm)/2023-24</t>
  </si>
  <si>
    <t>wdWvi I cvwbi cvÎ µq</t>
  </si>
  <si>
    <t>wUKv, Jla I wfUvwgb µq</t>
  </si>
  <si>
    <t>‡givgZ I ms¯‹vi (GKKvjxb)</t>
  </si>
  <si>
    <t>wewfbœ ai‡Yi wdW (cÖwZ nvR‡i)</t>
  </si>
  <si>
    <t>we`¨yt I R¡vjvbx</t>
  </si>
  <si>
    <t>kÖwgK e¨q</t>
  </si>
  <si>
    <t>weµq Avbylw½K e¨q</t>
  </si>
  <si>
    <t>ev”Qv µq  (cÖwZ nvR‡i)</t>
  </si>
  <si>
    <t>Ab¨vb¨ LiP</t>
  </si>
  <si>
    <t>Gj Gd-5 c~e©vbygvb cÖwZ‡e`‡b ewY©Z bvj Rwg, 0.36  GKi RvgvbZ wn‡m‡e eÜK _vK‡e| cÖPwjZ wbq‡g cÖ_g PvR© m„wó Ki‡Z n‡e|</t>
  </si>
  <si>
    <t xml:space="preserve">01| </t>
  </si>
  <si>
    <t>cÖK‡íi bvg</t>
  </si>
  <si>
    <t xml:space="preserve">02| </t>
  </si>
  <si>
    <t>D‡`¨v³vM‡Yi bvg I wVKvbv</t>
  </si>
  <si>
    <t xml:space="preserve">05| </t>
  </si>
  <si>
    <t>F‡Yi D‡Ïk¨</t>
  </si>
  <si>
    <t xml:space="preserve">06| </t>
  </si>
  <si>
    <t>wbR¯^</t>
  </si>
  <si>
    <t xml:space="preserve">07| </t>
  </si>
  <si>
    <t>Av‡e`bK…Z UvKvi cwigvb</t>
  </si>
  <si>
    <t xml:space="preserve">08| </t>
  </si>
  <si>
    <t>cÖK‡íi Ae¯’vb I aviY ÿgZv</t>
  </si>
  <si>
    <t xml:space="preserve">09| </t>
  </si>
  <si>
    <t>e¨vsK my‡`i nvi</t>
  </si>
  <si>
    <t>7%| Z‡e mg‡q mg‡q e¨vsK KZ©„K cwiewZ©Z my‡`i nvi   GB F‡Yi †ÿ‡Î cÖ‡hvR¨ n‡e|</t>
  </si>
  <si>
    <t xml:space="preserve">10| </t>
  </si>
  <si>
    <t>`vq‡`bv</t>
  </si>
  <si>
    <t xml:space="preserve">11| </t>
  </si>
  <si>
    <t>D‡`¨v³vM‡Yi `ÿZv I AwfÁZv</t>
  </si>
  <si>
    <t xml:space="preserve">12| </t>
  </si>
  <si>
    <t>FY cwi‡kv‡aimgqm~Px</t>
  </si>
  <si>
    <t xml:space="preserve">FY cÖ`v‡bi ZvwiL n‡Z cÖwZ 03 (wZb) gvm ci ci my` mgš^q mn 1 (GK) eQ‡ii g‡a¨ my`mn cwi‡kva †hvM¨| </t>
  </si>
  <si>
    <t xml:space="preserve">13| </t>
  </si>
  <si>
    <t>c‡Y¨i wecbb e¨e¯’v</t>
  </si>
  <si>
    <t>Avw_©K wnmve</t>
  </si>
  <si>
    <t>K) µq cÖv°jb t-</t>
  </si>
  <si>
    <t xml:space="preserve">                                    cY¨ msMÖn, µq-weµq, wecbb, g~jab I FY mÂvj‡bi Avw_©K wnmve wb¤œiƒc t                         (jÿ UvKvq)</t>
  </si>
  <si>
    <r>
      <t xml:space="preserve">cwigvb
</t>
    </r>
    <r>
      <rPr>
        <sz val="11"/>
        <color theme="1"/>
        <rFont val="SutonnyMJ"/>
      </rPr>
      <t>(cÖwZ BDwbU)</t>
    </r>
  </si>
  <si>
    <t>‡gvU gyj¨ 60 w`‡bi</t>
  </si>
  <si>
    <t>‡gvU g~j¨ 1 eQ‡ii</t>
  </si>
  <si>
    <t>Yes</t>
  </si>
  <si>
    <t>L) cwiPvjb e¨q t-</t>
  </si>
  <si>
    <t>weeib</t>
  </si>
  <si>
    <t>60 w`‡bi e¨q</t>
  </si>
  <si>
    <t>1 eQ‡ii e¨q</t>
  </si>
  <si>
    <t>cwienb e¨q</t>
  </si>
  <si>
    <t>‰e`¨ywZK wej</t>
  </si>
  <si>
    <t>‰bk¨Kvjxb cÖnix</t>
  </si>
  <si>
    <t>‡eZb fvZvw`</t>
  </si>
  <si>
    <t>wewea (fvov, cvwb, cwiQbœZv, Avc¨vqb BZ¨vw`)</t>
  </si>
  <si>
    <t>M) cÖkvmwbK I wecbb e¨q t-</t>
  </si>
  <si>
    <t>jvB‡mÝ I m`m¨ wd</t>
  </si>
  <si>
    <t>hvZvqvZ LiP</t>
  </si>
  <si>
    <t>gy`ªb I †÷kbvix</t>
  </si>
  <si>
    <t>N) Avw_©K e¨q t-</t>
  </si>
  <si>
    <t>my` e¨q</t>
  </si>
  <si>
    <t>FY di‡gi gyj¨, `iLv¯Í wd, mvP© wd, `wjjvqb I exgv LiP|</t>
  </si>
  <si>
    <t>Dc‡gvU</t>
  </si>
  <si>
    <t xml:space="preserve"> K| weµq cÖv°jb t</t>
  </si>
  <si>
    <t xml:space="preserve">                                cY¨ msMÖn, µq-weµq, wecbb, g~jab I FY mÂvj‡bi Avw_©K wnmve wb¤œiƒc t                          (jÿ UvKvq)</t>
  </si>
  <si>
    <t>‡gvU g~j¨ 60 w`‡bi</t>
  </si>
  <si>
    <t>jv‡fi nvi (%)</t>
  </si>
  <si>
    <t>jvfÑ‡jvKmvb weeiYx</t>
  </si>
  <si>
    <t>†gvU weµq n‡Z Avq</t>
  </si>
  <si>
    <t>†gvU gybvdv</t>
  </si>
  <si>
    <t>cwiPvjb e¨q</t>
  </si>
  <si>
    <t>cÖkvmwbK I evRviRvZ e¨q</t>
  </si>
  <si>
    <t>Acv‡iwUs gybvdv</t>
  </si>
  <si>
    <t>cÖkvmwbK I wecbb e¨q</t>
  </si>
  <si>
    <t>†gvU ewntcÖevn</t>
  </si>
  <si>
    <t xml:space="preserve">                                                                    wewb‡qvM wefvRb t-                                           (jÿ UvKvq)</t>
  </si>
  <si>
    <t>01) e¨vsK FY             Ñ</t>
  </si>
  <si>
    <t>02) D‡`¨v³vi wewb‡qvM   Ñ</t>
  </si>
  <si>
    <t>03) †gvU wewb‡qvM        Ñ</t>
  </si>
  <si>
    <t>04) e¨vsK I D‡`¨v³vi wewb‡qvM AbycvZ t</t>
  </si>
  <si>
    <t xml:space="preserve">AZGe bM` FY wnmvewU Avw_K we‡køl‡b jvfRbK g‡b nq| d‡j A_©vqb‡hvM¨ wnmv‡e we‡ePbv Kiv hvB‡Z cv‡i | </t>
  </si>
  <si>
    <t>Mobile: 01730-708739</t>
  </si>
  <si>
    <t>mgrsiddhirgonj@krishibank.org.bd</t>
  </si>
  <si>
    <t>bvivqYMÄ m`i</t>
  </si>
  <si>
    <t>bvivqYMÄ</t>
  </si>
  <si>
    <t>bvj</t>
  </si>
  <si>
    <t>wmw×iMÄ</t>
  </si>
  <si>
    <t>welq t  cÖ¯ÍvweZ RvgvbwZ m¤úwËi g~j¨vqb cªwZ‡e`b |</t>
  </si>
  <si>
    <t>Òg~j¨vqb cªwZ‡e`‡bi QKÓ</t>
  </si>
  <si>
    <t>eÜKZe¨ m¤úwËi gvwj‡Ki bvg I wVKvbv</t>
  </si>
  <si>
    <t>eZ©gvb</t>
  </si>
  <si>
    <t xml:space="preserve">¯’vqx </t>
  </si>
  <si>
    <t>gvwjKvbvi Drm t µq/‰cwÎK, BRviv, e‡›`ve¯Í, IqvK&amp;d, †`‡evËi, ûKyg `LjKvix BZ¨vw`g~‡j cÖvß Rwgi g~j ¯^Ë¡xq `wjjcÎ †hgb g~j `wjj, evqv `wjj, bvgRvix LwZqvb I cP©vi avivevwnK ch©v‡jvPbv</t>
  </si>
  <si>
    <t>Rwgi cÖK…wZ</t>
  </si>
  <si>
    <t xml:space="preserve">cÖ¯ÍvweZ m¤úwËi Ae¯’vb t cjøx, kni, kniZjx, K¨v›Ub‡g›U Gwiqv, AvevwmK/evwYwR¨K/cyKzi/‡Wvev/Lvjt
(hvZvqvZ wb‡`©kbv, iæU g¨vc mshy³ Ki‡Z n‡e)
kni
evwYwR¨K, AvevwmK, kniZjx, †gŠRv I †ZŠwR, wmwU K‡c©v‡ikb/‡cŠimfvi †nvwìs bs BZ¨vw`mn
cjøx
dmjx †gŠRv, †ZŠwR BZ¨vw`mn
</t>
  </si>
  <si>
    <t xml:space="preserve">m¤úwËi Dci wbwg©Z m¤ú` (hw` _v‡K) t_x000D_
‡hgb KuvPv/ †mwgcvKv/cvKv /N‡ii msL¨v/ Zjvi msL¨v /d¬¨vU  †gvU AvqZb / Aby‡gvw`Z bKkv (c¨vb) BZ¨vw` D‡jøL Ki‡Z n‡e </t>
  </si>
  <si>
    <t xml:space="preserve">RvgvbwZ m¤úwËi Dci m¤¢e¨ SzwKu t_x000D_
b`x fvsMb, R‡jv”Qvm, N~wY© S‡oi cÖebZv D‡jøL Ki‡Z n‡e </t>
  </si>
  <si>
    <t>`vjvb‡KvVv/ fe‡bi †ÿ‡Î cÖ‡qvRbxq KvMRcÎ I Z_¨vw`t Aby‡gvw`Z bKkv, wbg©vY eQi, fe‡bi cÖK…wZ, evwYwR¨K/AvevwmK, MgbvMg‡bi iv¯Ív (Approach Road) BZ¨vw` D‡jøL Ki‡Z n‡e</t>
  </si>
  <si>
    <r>
      <t>(</t>
    </r>
    <r>
      <rPr>
        <sz val="13"/>
        <color indexed="8"/>
        <rFont val="Times New Roman"/>
        <family val="1"/>
      </rPr>
      <t>Mouja Sale Value)</t>
    </r>
  </si>
  <si>
    <t xml:space="preserve">mv‡f©qvi †Kv¤úvbx KZ©„K wbiæwcZ g~j¨ </t>
  </si>
  <si>
    <t>(With Enclosure)</t>
  </si>
  <si>
    <t>Z„Zxq evi ZrcieZx© I mswkøó eQi)</t>
  </si>
  <si>
    <t>Projected Value</t>
  </si>
  <si>
    <r>
      <t>MCL</t>
    </r>
    <r>
      <rPr>
        <sz val="13"/>
        <color indexed="8"/>
        <rFont val="SutonnyMJ"/>
      </rPr>
      <t>%</t>
    </r>
  </si>
  <si>
    <r>
      <t>MCL</t>
    </r>
    <r>
      <rPr>
        <sz val="13"/>
        <color indexed="8"/>
        <rFont val="SutonnyMJ"/>
      </rPr>
      <t xml:space="preserve"> g~j¨</t>
    </r>
  </si>
  <si>
    <r>
      <t xml:space="preserve">evRvi g~j¨ </t>
    </r>
    <r>
      <rPr>
        <b/>
        <sz val="13"/>
        <color indexed="8"/>
        <rFont val="SutonnyMJ"/>
      </rPr>
      <t>(ZvrÿwYK weµqg~j¨)</t>
    </r>
    <r>
      <rPr>
        <sz val="13"/>
        <color indexed="8"/>
        <rFont val="SutonnyMJ"/>
      </rPr>
      <t xml:space="preserve"> aiv n‡q‡Q|</t>
    </r>
  </si>
  <si>
    <t>mve-‡iwRwóª Awd‡m iwÿZ me©wb¤œ †gŠRv †iU|</t>
  </si>
  <si>
    <t xml:space="preserve"> wewea</t>
  </si>
  <si>
    <t>eÜK Ae¯’v t_x000D_
wK ai‡bi eÜK ‡bqv n‡q‡Q Zvi c~b© weeiY</t>
  </si>
  <si>
    <t>BwZevPK gšÍe¨ bw_f~³</t>
  </si>
  <si>
    <t>mshy³ `wjjc‡Îi ZvwjKvt g~j `wjj/cP©v/LwZqvb/evqv `wjj/ Zjøvkx mb`/ nvjm‡bi LvRbvi iwk`/ †cŠiKi iwk` BZ¨vw` t</t>
  </si>
  <si>
    <t>wb`©vq mb` (Non Encumbrance Certificate) m¤ú` eÜK MÖn‡Yi c~‡e© Znwkj Awdm I †iwRwóª Awdm n‡Z Zjøvkx K‡i `wjjvw`i ï×Zvi wel‡q gZvgZt</t>
  </si>
  <si>
    <t xml:space="preserve">FYwU gÄyixi ci wb`©vq mb` MÖnb Kiv n‡e| </t>
  </si>
  <si>
    <t xml:space="preserve">ewY©Z f~wg RvgvbZ wnmv‡e eÜK †bqv †h‡Z cv‡i </t>
  </si>
  <si>
    <t>25|</t>
  </si>
  <si>
    <t>Avgiv †hŠ_fv‡e Q‡K ewY©Z Rwg Ges mswkøó `wjj I KvMRcÎvw` h_vh_fv‡e m‡iRwg‡b cwi`k©b I cixÿv K‡iwQ Ges mKj Z_¨vw` mwVK I mZ¨ e‡j cÖZ¨qb KiwQ|</t>
  </si>
  <si>
    <t xml:space="preserve">cÖKí I_x000D_
‡cÖvcvBUi Gi bvg_x000D_
</t>
  </si>
  <si>
    <t xml:space="preserve">†cÖvdvB‡j we¯ÍvwiZ Av‡Q| </t>
  </si>
  <si>
    <r>
      <rPr>
        <sz val="13"/>
        <color indexed="8"/>
        <rFont val="SutonnyMJ"/>
      </rPr>
      <t>(Askx`vixMb I †Kv¤úvwbi cwiPvjKe„›`mn)</t>
    </r>
    <r>
      <rPr>
        <b/>
        <sz val="13"/>
        <color indexed="8"/>
        <rFont val="SutonnyMJ"/>
      </rPr>
      <t xml:space="preserve"> </t>
    </r>
  </si>
  <si>
    <t>‡WweU_x000D_
mv‡gkb</t>
  </si>
  <si>
    <r>
      <t>w</t>
    </r>
    <r>
      <rPr>
        <u/>
        <sz val="13"/>
        <color indexed="8"/>
        <rFont val="SutonnyMJ"/>
      </rPr>
      <t>e`¨gvb `vq‡`bv t</t>
    </r>
  </si>
  <si>
    <r>
      <t xml:space="preserve">mswkøó cÖKí/cÖwZôv‡bi wbKU e¨vsK/Avw_©K cÖwZôv‡bi F‡Yi wefvRb (F‡Yi ai‡Y cÖKí FY/ </t>
    </r>
    <r>
      <rPr>
        <sz val="10"/>
        <color indexed="8"/>
        <rFont val="Cambria"/>
        <family val="1"/>
      </rPr>
      <t>BMRI</t>
    </r>
    <r>
      <rPr>
        <sz val="13"/>
        <color indexed="8"/>
        <rFont val="SutonnyMJ"/>
      </rPr>
      <t>/ PjwZ g~jab/ bM` FY/ ˆe‡`wkK evwbR¨ FY myweav BZ¨vw` Z_¨ _vK‡e) t                                   (jÿ UvKvq)</t>
    </r>
  </si>
  <si>
    <r>
      <t>†µwWU wi¯‹ ‡MÖwWs (</t>
    </r>
    <r>
      <rPr>
        <b/>
        <sz val="12"/>
        <color indexed="8"/>
        <rFont val="Cambria"/>
        <family val="1"/>
      </rPr>
      <t>CRG</t>
    </r>
    <r>
      <rPr>
        <b/>
        <sz val="13"/>
        <color indexed="8"/>
        <rFont val="SutonnyMJ"/>
      </rPr>
      <t>) (‡eªK-Avc wfwËK) †¯‹vi</t>
    </r>
  </si>
  <si>
    <r>
      <rPr>
        <sz val="12"/>
        <color indexed="8"/>
        <rFont val="Cambria"/>
        <family val="1"/>
      </rPr>
      <t>MCL</t>
    </r>
    <r>
      <rPr>
        <sz val="12"/>
        <color indexed="8"/>
        <rFont val="SutonnyMJ"/>
      </rPr>
      <t xml:space="preserve"> I nvi</t>
    </r>
  </si>
  <si>
    <r>
      <t xml:space="preserve">17| </t>
    </r>
    <r>
      <rPr>
        <u/>
        <sz val="13"/>
        <color indexed="8"/>
        <rFont val="Cambria"/>
        <family val="1"/>
      </rPr>
      <t>Single Borrower Exposure Limi</t>
    </r>
    <r>
      <rPr>
        <u/>
        <sz val="13"/>
        <color indexed="8"/>
        <rFont val="SutonnyMJ"/>
      </rPr>
      <t>t (</t>
    </r>
    <r>
      <rPr>
        <u/>
        <sz val="13"/>
        <color indexed="8"/>
        <rFont val="Cambria"/>
        <family val="1"/>
      </rPr>
      <t>SBEL</t>
    </r>
    <r>
      <rPr>
        <u/>
        <sz val="13"/>
        <color indexed="8"/>
        <rFont val="SutonnyMJ"/>
      </rPr>
      <t>) msµvšÍ Z_¨</t>
    </r>
  </si>
  <si>
    <r>
      <t xml:space="preserve">18| </t>
    </r>
    <r>
      <rPr>
        <b/>
        <u/>
        <sz val="13"/>
        <color indexed="8"/>
        <rFont val="SutonnyMJ"/>
      </rPr>
      <t>Ab¨vb¨ Z_¨ (hw` _v‡K)</t>
    </r>
  </si>
  <si>
    <r>
      <t xml:space="preserve">19| </t>
    </r>
    <r>
      <rPr>
        <b/>
        <u/>
        <sz val="13"/>
        <color indexed="8"/>
        <rFont val="SutonnyMJ"/>
      </rPr>
      <t>bevq‡bi †hŠw³KZv t</t>
    </r>
  </si>
  <si>
    <r>
      <t>e¨e¯’vcK/ K‡cv©‡iU kvLv cÖav‡bi mycvwik</t>
    </r>
    <r>
      <rPr>
        <b/>
        <sz val="13"/>
        <color indexed="8"/>
        <rFont val="SutonnyMJ"/>
      </rPr>
      <t xml:space="preserve"> t</t>
    </r>
  </si>
  <si>
    <r>
      <t>AvÂwjK/ gyL¨ AvÂwjK e¨e¯’vc‡Ki mycvwik</t>
    </r>
    <r>
      <rPr>
        <b/>
        <sz val="13"/>
        <color indexed="8"/>
        <rFont val="SutonnyMJ"/>
      </rPr>
      <t xml:space="preserve"> t</t>
    </r>
  </si>
  <si>
    <r>
      <t>wefvMxq gnve¨e¯’vc‡Ki mycvwik</t>
    </r>
    <r>
      <rPr>
        <b/>
        <sz val="13"/>
        <color indexed="8"/>
        <rFont val="SutonnyMJ"/>
      </rPr>
      <t xml:space="preserve"> t</t>
    </r>
  </si>
  <si>
    <t>cwi`k©bKvix Kg©KZ©ve„›` t</t>
  </si>
  <si>
    <t>e¨emv cÖwZôv‡bi bvg</t>
  </si>
  <si>
    <t>cÖwZôv‡bi Ae¯’vb</t>
  </si>
  <si>
    <t>eqm</t>
  </si>
  <si>
    <t>wcZv I gvZvi bvg</t>
  </si>
  <si>
    <t xml:space="preserve">03| </t>
  </si>
  <si>
    <t>e¨emvi gvwjKvbv cÖK…wZ</t>
  </si>
  <si>
    <t>e¨emvwqK aib</t>
  </si>
  <si>
    <t>e¨emv cÖwZôv‡bi weeiY</t>
  </si>
  <si>
    <t>wewb‡qv‡Mi Drm</t>
  </si>
  <si>
    <t>e¨vsK FY =</t>
  </si>
  <si>
    <t>Uvt</t>
  </si>
  <si>
    <t>D‡`¨v³vi gvwR©b =</t>
  </si>
  <si>
    <t>e¨vsK FY I D‡`¨v³vi BKzBwUi AbycvZ</t>
  </si>
  <si>
    <t xml:space="preserve">D‡`¨v³vi †hvM¨Zv/AwfÁZv I e¨emv m¤úªmvib </t>
  </si>
  <si>
    <t>Ab¨vb¨ e¨emv</t>
  </si>
  <si>
    <t xml:space="preserve">14| </t>
  </si>
  <si>
    <t>wecbb</t>
  </si>
  <si>
    <t xml:space="preserve">15| </t>
  </si>
  <si>
    <t>bM` F‡Yi †gqv` I mgš^q Pµ</t>
  </si>
  <si>
    <t xml:space="preserve">16| </t>
  </si>
  <si>
    <t xml:space="preserve">17| </t>
  </si>
  <si>
    <t xml:space="preserve">cÖwZôvbwUi KvwiMix I A_©‰bwZK m¤¢ve¨Zv </t>
  </si>
  <si>
    <t xml:space="preserve">18| </t>
  </si>
  <si>
    <t>AbywgwZ mg~n</t>
  </si>
  <si>
    <t xml:space="preserve">e¨emv cÖwZôvbwU KvwiMix I A_©‰bwZK w`K †_‡K m¤¢ve¨Zv BwZevPK|
</t>
  </si>
  <si>
    <t>µq g~j¨ e„w× †c‡j AvbycvwZK nv‡i weµq g~j¨ e„w× cv‡e|</t>
  </si>
  <si>
    <t>wmw×iMÄ kvLv, bvivqYMÄ</t>
  </si>
  <si>
    <t xml:space="preserve">19 |  AbywgZ e¨q (60 w`‡b) t </t>
  </si>
  <si>
    <t>(UvKvq)</t>
  </si>
  <si>
    <t>20| bM` cuywR Fb Pvwn`vi cÖv°jb (60 w`b P‡µ) t</t>
  </si>
  <si>
    <t>UvBW Avc wcwiqW</t>
  </si>
  <si>
    <t>Pvwn`v (UvKvq)</t>
  </si>
  <si>
    <t>30 w`b</t>
  </si>
  <si>
    <t>15 w`b</t>
  </si>
  <si>
    <t>evKx‡Z weµq</t>
  </si>
  <si>
    <t xml:space="preserve">21| A_©vq‡bi Drm                                          </t>
  </si>
  <si>
    <t xml:space="preserve">(K) e¨vsK FY   </t>
  </si>
  <si>
    <t xml:space="preserve">(L) D‡`¨v³vi gvwR©b </t>
  </si>
  <si>
    <t>(M) e¨vsK FY t BKzBwUi AbycvZ</t>
  </si>
  <si>
    <t>(N) mgš^q Pµ</t>
  </si>
  <si>
    <t>w`b</t>
  </si>
  <si>
    <t xml:space="preserve">22| gRyix/‡eZb  t                                       </t>
  </si>
  <si>
    <t>c`</t>
  </si>
  <si>
    <t>msL¨v</t>
  </si>
  <si>
    <t>gvwmK †eZb</t>
  </si>
  <si>
    <t>Kg©Pvix</t>
  </si>
  <si>
    <t>‡evbvm (1 gv‡mi †eZ‡bi mgcwigvb)</t>
  </si>
  <si>
    <t xml:space="preserve">we`y¨r </t>
  </si>
  <si>
    <t>me©‡gvU t</t>
  </si>
  <si>
    <t xml:space="preserve">23|  cÖkvmwbK e¨q t                                        </t>
  </si>
  <si>
    <t>LiP</t>
  </si>
  <si>
    <t>‡Uwj‡dvb</t>
  </si>
  <si>
    <t>hvZvqvZ</t>
  </si>
  <si>
    <t>WvK/Zvi</t>
  </si>
  <si>
    <t xml:space="preserve">24 | cwiPvjb e¨q t                                        </t>
  </si>
  <si>
    <t>1g el©</t>
  </si>
  <si>
    <t>2q el©</t>
  </si>
  <si>
    <t>3q el©</t>
  </si>
  <si>
    <t>‡eZb I gRyix</t>
  </si>
  <si>
    <t>cvwb, we`y¨r, M¨vm</t>
  </si>
  <si>
    <t xml:space="preserve">25 | Avw_©K e¨q t                                      </t>
  </si>
  <si>
    <t>bM` cuywR Fb (my`)</t>
  </si>
  <si>
    <t xml:space="preserve">27| Av‡qi c~e©vfvm t                                     </t>
  </si>
  <si>
    <t>weµqjä</t>
  </si>
  <si>
    <t>‡gvU gybvdv</t>
  </si>
  <si>
    <t xml:space="preserve">cwiPvjb gybvdv    </t>
  </si>
  <si>
    <t>bxU gybvdv</t>
  </si>
  <si>
    <t xml:space="preserve">28|  Znwej cÖevn t                                 </t>
  </si>
  <si>
    <t>K) Znwej AvšÍt cÖevn t</t>
  </si>
  <si>
    <t>cwiPvjb gybvdv</t>
  </si>
  <si>
    <t>PjwZ `vq e„w×</t>
  </si>
  <si>
    <t>bM` cywR wewb‡qvM</t>
  </si>
  <si>
    <t>L) Znwej ewnt cÖevn t</t>
  </si>
  <si>
    <t>PjwZ m¤ú` e„w×</t>
  </si>
  <si>
    <t>Znwej DØ„Ë t</t>
  </si>
  <si>
    <t>cÖK‡íi aiY</t>
  </si>
  <si>
    <t>UvKv aiv n‡q‡Q</t>
  </si>
  <si>
    <t xml:space="preserve">Rwgi Ae¯’vb I eZ©gvb evRvi`i we‡ePbv K‡i kZK cÖwZ Rwgi g~j¨ </t>
  </si>
  <si>
    <t>¯’vb    t</t>
  </si>
  <si>
    <t>¯^vÿi t</t>
  </si>
  <si>
    <t>µqm~‡Î gvwjK</t>
  </si>
  <si>
    <t>DË‡i-</t>
  </si>
  <si>
    <t>`wÿ‡b-</t>
  </si>
  <si>
    <t>c~‡e©-</t>
  </si>
  <si>
    <t>cwð‡g-</t>
  </si>
  <si>
    <t>DË‡i t</t>
  </si>
  <si>
    <t>`wÿ‡Y t</t>
  </si>
  <si>
    <t>c~‡e© t</t>
  </si>
  <si>
    <t>cwð‡g t</t>
  </si>
  <si>
    <t xml:space="preserve">cÖwZ kZvsk </t>
  </si>
  <si>
    <t>(1) D”P g~‡j¨i Rwg</t>
  </si>
  <si>
    <t>(3) wbgœ g~‡j¨i Rwg</t>
  </si>
  <si>
    <t>FY e¨env‡ii ci cÖZ¨vwkZ AvbygvwbK Avq t</t>
  </si>
  <si>
    <t>Av‡e`b c‡Îi MwZwewa t</t>
  </si>
  <si>
    <t xml:space="preserve">1| Av‡e`‡bi ZvwiL t </t>
  </si>
  <si>
    <t xml:space="preserve">2| cwi`k©K /Kg©KZ©v KZ©„K cÖvwßi ZvwiL t </t>
  </si>
  <si>
    <t xml:space="preserve">3| g~j¨vq‡bi ZvwiL t </t>
  </si>
  <si>
    <t xml:space="preserve">4| cÖwZ‡e`b `vwL‡ji ZvwiL t </t>
  </si>
  <si>
    <t>5| cÖwZ‡e`bKvix Kg©KZ©vi ¯^vÿi I ZvwiL t</t>
  </si>
  <si>
    <t>cÖK‡íi Ae¯’vb/wVKvbv</t>
  </si>
  <si>
    <t>cwikó - ÒকÓ</t>
  </si>
  <si>
    <t>FY †KBm bs</t>
  </si>
  <si>
    <t>Av‡e`bKvixi bvg</t>
  </si>
  <si>
    <t>Gi wecix‡Z M„nxZ RvgvbwZ m¤úwËi gvwjKvbv/¯^Ë¡ m¤úK©xq gšÍe¨ t-</t>
  </si>
  <si>
    <t>‡gŠRv/MÖvg</t>
  </si>
  <si>
    <t>cøU bs</t>
  </si>
  <si>
    <t>AvqZb (GKi)</t>
  </si>
  <si>
    <t>LvwiRv</t>
  </si>
  <si>
    <t>Gm G</t>
  </si>
  <si>
    <t>Avi Gm</t>
  </si>
  <si>
    <t>Zdwmj</t>
  </si>
  <si>
    <r>
      <t xml:space="preserve">wmGgGmGgB D‡`¨v³v wn‡m‡e FY/wewb‡qvM Gi Rb¨ </t>
    </r>
    <r>
      <rPr>
        <b/>
        <u/>
        <sz val="14"/>
        <color theme="1"/>
        <rFont val="SutonnyMJ"/>
      </rPr>
      <t xml:space="preserve">Av‡e`b </t>
    </r>
  </si>
  <si>
    <t>Av‡e`bKvix cÖwZôv‡bi e„ËvšÍ</t>
  </si>
  <si>
    <t>‡U«W jvB‡mÝ</t>
  </si>
  <si>
    <t>e¨emvq wewb‡qvMK…Z g~jab</t>
  </si>
  <si>
    <t>wUb (U¨v· AvB‡Ww›Uwd‡Kkb b¤^i)</t>
  </si>
  <si>
    <t>e¨vsK wnmv‡ei bvg I b¤^i</t>
  </si>
  <si>
    <t>cÖwZôv‡bi evwl©K weµq (cÖ‡hvR¨ ‡¶‡Î)</t>
  </si>
  <si>
    <t>cÖwZôv‡bi ‡gvU evwl©K Avq</t>
  </si>
  <si>
    <t>cÖwZôv‡bi ‡gvU evwl©K e¨q</t>
  </si>
  <si>
    <t>cÖwZôv‡bi ¯’vqx m¤ú` (f~wg I BgviZ e¨ZxZ)</t>
  </si>
  <si>
    <t>cÖwZôv‡b wb‡qvwRZ Rbe‡ji msL¨v</t>
  </si>
  <si>
    <t>gRy` c‡Y¨i g~j¨</t>
  </si>
  <si>
    <t>Av‡e`bKvix cÖwZôv‡bi `vq</t>
  </si>
  <si>
    <t>e¨vsK/Avw_©K cÖwZôvb</t>
  </si>
  <si>
    <t>Av‡e`bKvixi e…ËvšÍ (Askx`vwi/‡hŠ_ g~jabx Kviev‡ii ‡¶‡Î cwiPvjK‡`i Abyiƒc Z_¨ c…_K KvM‡R mshy³ Ki‡Z n‡e|</t>
  </si>
  <si>
    <t>RvZxq cwiPqcÎ b¤^i</t>
  </si>
  <si>
    <t>cÖwk¶Y (cÖ‡hvR¨ ‡¶‡Î)</t>
  </si>
  <si>
    <t>wUAvBGb b¤^i (cÖ‡hvR¨ †ÿ‡Î)</t>
  </si>
  <si>
    <t>Rvgvb‡Zi weeiY (cÖ‡hvR¨ ‡¶‡Î)</t>
  </si>
  <si>
    <t>Rvwgb`vi m¤úwK©Z Z_¨</t>
  </si>
  <si>
    <t>‡ckv</t>
  </si>
  <si>
    <t>Av‡e`bKvixi mv‡_ m¤úK©</t>
  </si>
  <si>
    <r>
      <t>(we‡kl `«óe¨t cÖ‡qvR‡b c…_K KvMR mshy³ Ki‡Z n‡e Ges FY/wewb‡qvM gÄywii Rb</t>
    </r>
    <r>
      <rPr>
        <sz val="12.5"/>
        <color theme="1"/>
        <rFont val="SutonnyMJ"/>
      </rPr>
      <t>¨ Avek¨Kxq Ab¨ ‡h ‡Kvb Z_¨, cÖgvYcÎ Ges `wjjvw` e¨vsK/Avw_©K cÖwZôv‡bi Pvwn`v Abyhvqx MÖvnK cÖgvb Ki‡Z eva¨ _vK‡e|</t>
    </r>
  </si>
  <si>
    <t>GB g‡g© cÖZ¨qb KiwQ ‡h, G Av‡e`bc‡Î cÖ`Ë mKj Z_¨vw` mwVK|</t>
  </si>
  <si>
    <t>Rvwgb`v‡ii ¯^v¶i I ZvwiL</t>
  </si>
  <si>
    <t>Av‡e`bKvixi ¯^v¶i I ZvwiL</t>
  </si>
  <si>
    <t>cÖ¯ÍvweZ eÜKx Rwgi 25 eQ‡ii gvwjKvbvi avivµg</t>
  </si>
  <si>
    <t xml:space="preserve">                                                   ms‡kvwaZ ms‡hvRbx-3                            (webvg~‡j¨ cÖ‡`q)
</t>
  </si>
  <si>
    <t>_vbv  t</t>
  </si>
  <si>
    <t>kvLv n‡Z `~iZ¡ (wKtwgt)</t>
  </si>
  <si>
    <t>exgv msµvšÍ Z_¨</t>
  </si>
  <si>
    <t>m¤ú` I `v‡qi †NvlbvcÎ</t>
  </si>
  <si>
    <t xml:space="preserve">gvZvi bvg          </t>
  </si>
  <si>
    <t xml:space="preserve">eqm  </t>
  </si>
  <si>
    <t>wkÿvMZ †hvM¨Zv</t>
  </si>
  <si>
    <t xml:space="preserve">AwfÁZv   </t>
  </si>
  <si>
    <t>¯’vqx wVKvbv</t>
  </si>
  <si>
    <t>eZ©gvb wVKvbv</t>
  </si>
  <si>
    <t xml:space="preserve">e¨emvwqK wVKvbv  </t>
  </si>
  <si>
    <t>Av‡e`bKvixi Rxeb e„ËvšÍ</t>
  </si>
  <si>
    <t xml:space="preserve">wcZv/¯^vgxi bvg         </t>
  </si>
  <si>
    <t>gvwR©‡bi Drm m¤ú‡K© †Nvlbv</t>
  </si>
  <si>
    <t>jÿ</t>
  </si>
  <si>
    <t>‡Kvb e¨vsK ev Avw_©K cÖwZôv‡b `vq‡`bv bvB|</t>
  </si>
  <si>
    <t>UvKv t</t>
  </si>
  <si>
    <t>L) `ª‡e¨ UvKv t cÖ‡hvR¨ b‡n|</t>
  </si>
  <si>
    <t>bM‡` UvKv t</t>
  </si>
  <si>
    <t>RvgvbZ/mnvqK RvgvbZ</t>
  </si>
  <si>
    <t>RvgvbZ/mnvqK Rvgvb‡Zi Dci PvR©</t>
  </si>
  <si>
    <t>e¨vs‡Ki cÖPwjZ wbq‡g cÖ_g PvR© m„wó Kiv n‡e|</t>
  </si>
  <si>
    <t>e¨vs‡Ki cÖPwjZ wbq‡g|</t>
  </si>
  <si>
    <t>weZi‡bi ZvwiL n‡Z cieZx© 1 eQi ‡gqv‡` my`mn cwi‡kva‡hvM¨/bevqb‡hvM¨ n‡e|</t>
  </si>
  <si>
    <t>Avnib c×wZ</t>
  </si>
  <si>
    <t xml:space="preserve">e¨vs‡K cÖ`vbK…Z RvgvbZ I cb¨ eÜKx‡Z cÖ`Ë c‡b¨i evRvi gy‡j¨i mv‡_ 10% †hvM K‡i mKj cÖKvi SzwKi wecix‡Z e¨vsK I D‡`¨v³vi †hŠ_bv‡g D‡`¨v³vi Li‡P KgwcÖ‡nbwkf exgv Ki‡Z n‡e| 
</t>
  </si>
  <si>
    <t>cÖPwjZ wbq‡g|</t>
  </si>
  <si>
    <t>weZi‡bi ZvwiL n‡Z 1 erm‡i cwi‡kva‡hvM¨ |</t>
  </si>
  <si>
    <t xml:space="preserve">FY cwi‡kva (†iqvZxKvj D‡jøL Kiæb) </t>
  </si>
  <si>
    <t>kvLv e¨e¯’vcK|</t>
  </si>
  <si>
    <t>we‡kl kZ©vejx (mswkøó KvMRcÎ mshy³ Ki‡Z n‡e)</t>
  </si>
  <si>
    <t>Òc‡o eySjvg I MÖnY KijvgÓ</t>
  </si>
  <si>
    <t xml:space="preserve"> 17|  Dc‡iv³ FY mxgv cwiPvj‡bi †¶‡Î Ab¨ †h †Kvb kZ©vejx Av‡ivc Ges FY wewj iwnZ/ evwZj A_ev cÖZ¨vnvi Kwievi ¶gZv e¨vsK KZ©„K msiw¶Z _vwK‡e|</t>
  </si>
  <si>
    <t>e¨vsK FY I D‡`¨v³vi wewb‡qvM AbycvZ</t>
  </si>
  <si>
    <t>gvVKg©KZ©vi bvg</t>
  </si>
  <si>
    <t>‡gvt AvwRRyj nK</t>
  </si>
  <si>
    <t>DaŸ©Zb Kg©KZ©v</t>
  </si>
  <si>
    <t>gyL¨ AvÂwjK Kvh©vjq, bvivqYMÄ|</t>
  </si>
  <si>
    <t>g~j iwk`mn AweKj bKj `wjj, evqv `wj‡ji d‡Uv Kwcmg~n, GmG I AviGm cP©vi mvwU©dvBW Kwc, wWwmAvi, bvgRvix LwZqvb, nvjm‡bi LvRbvi iwk` FY bw_‡Z Av‡Q|</t>
  </si>
  <si>
    <t>2025 m†bi Ryb gvm chšÍ© bevqbK…Z|</t>
  </si>
  <si>
    <t>cÖwµqvKiY Kvj</t>
  </si>
  <si>
    <t>welq t</t>
  </si>
  <si>
    <t>FY/ AMÖxg/bM` FY gÄyi|</t>
  </si>
  <si>
    <r>
      <t xml:space="preserve">Avcbvi cÖwZôv‡bi `k©bxq ¯’v‡b </t>
    </r>
    <r>
      <rPr>
        <b/>
        <sz val="12"/>
        <color rgb="FF000000"/>
        <rFont val="SutonnyMJ"/>
      </rPr>
      <t>ÔÔevsjv‡`k K…wl e¨vsK, wmw×iMÄ kvLvq `vqe×Ó</t>
    </r>
    <r>
      <rPr>
        <sz val="12"/>
        <color rgb="FF000000"/>
        <rFont val="SutonnyMJ"/>
      </rPr>
      <t xml:space="preserve"> K_vwU wjwce× Kwiqv GKwU mvBb‡evW© wbR Li‡P ˆZix Kwiqv UvbvBqv ivwL‡Z nB‡e|</t>
    </r>
  </si>
  <si>
    <t>gÄyixcÎ t</t>
  </si>
  <si>
    <t>wmGgGmGgB PjwZ g~jab FY</t>
  </si>
  <si>
    <t>FY MÖnxZv</t>
  </si>
  <si>
    <t>wmGgGmGgB Lv‡Z bM` cyuwR FY|</t>
  </si>
  <si>
    <t>bM` cyuwR FY Pvwn`vi cÖv°jb</t>
  </si>
  <si>
    <t>gvwjK : ‡gvt Avmjvg †ecvix Gi mvd Kejv `wjj bs t 10282 I 3953, ZvwiL t 13/12/2022 I 09/05/2023 Gi gvwjKvbvi avivevwnKZv</t>
  </si>
  <si>
    <t>Rwgi cÖK…wZ t DuPz/ga¨g/wbPz/mgZj/‡Wvev Rwg,BgviZmn</t>
  </si>
  <si>
    <t>‡gŠRvi weµq g~j¨(‡gŠRv †iU)</t>
  </si>
  <si>
    <t>evsjv 1431 Bs mb ch©šÍ cwi†kvwaZ|</t>
  </si>
  <si>
    <t>(2) ga¨g g~‡j¨i Rwg</t>
  </si>
  <si>
    <t xml:space="preserve">cÖ_g gÄyixi ZvwiL </t>
  </si>
  <si>
    <t>weMZ 3 (wZb) eQ‡ii †fvMK…Z Fb I FYMÖwnZvi wbKU n‡Z e¨vs‡Ki Avq t</t>
  </si>
  <si>
    <t>KZZg g~j¨vqb I g~j¨ (eQi wfwËK) Ges g~j¨vqb eQi t (wØZxq evi/</t>
  </si>
  <si>
    <t>75% nv‡i (GKK gvwjKvbvq)</t>
  </si>
  <si>
    <r>
      <t xml:space="preserve">eqm_x000D_ </t>
    </r>
    <r>
      <rPr>
        <sz val="11"/>
        <color indexed="8"/>
        <rFont val="SutonnyMJ"/>
      </rPr>
      <t>(eQi)</t>
    </r>
  </si>
  <si>
    <t xml:space="preserve">                             ‡cÖvdvBj mshy³ Av‡Q|</t>
  </si>
  <si>
    <t>bM` cyuwR FY Pvwn`vi cwigvY</t>
  </si>
  <si>
    <t>c~‡e©i g~j¨vqbt  cÖ_g g~j¨vqb/2025</t>
  </si>
  <si>
    <t>ভাড়াকৃত</t>
  </si>
  <si>
    <t>AvBb Dc‡`óvi AbyKzj gZvgZ Av‡Q|</t>
  </si>
  <si>
    <t>Av‡e`bKvix (MY) bvg</t>
  </si>
  <si>
    <t xml:space="preserve">gvZvi bvg t </t>
  </si>
  <si>
    <t>BDwbqY t</t>
  </si>
  <si>
    <t xml:space="preserve">WvKNi t </t>
  </si>
  <si>
    <t>‡Rjv t</t>
  </si>
  <si>
    <t xml:space="preserve">`yivjvcbx b¤^i t </t>
  </si>
  <si>
    <t>(1) Lvwj Rwg</t>
  </si>
  <si>
    <t>(2) BgviZmn</t>
  </si>
  <si>
    <t>(3) Ab¨vb¨</t>
  </si>
  <si>
    <t xml:space="preserve">‡gvU t </t>
  </si>
  <si>
    <t>4K</t>
  </si>
  <si>
    <r>
      <t xml:space="preserve">Ab¨vb¨ Z_¨ t </t>
    </r>
    <r>
      <rPr>
        <sz val="12"/>
        <color theme="1"/>
        <rFont val="SutonnyMJ"/>
      </rPr>
      <t>(wbw`©ó Kwiqv DËi w`‡Z nB‡e)</t>
    </r>
  </si>
  <si>
    <t xml:space="preserve">MÖnY‡hvM¨ Rvgvb‡Zi †gvU GjvKv t </t>
  </si>
  <si>
    <t>wi‡cvU© mshy³</t>
  </si>
  <si>
    <t>bvivqYMÄ wmwU K‡c©v‡ikb</t>
  </si>
  <si>
    <t>‡gvU t</t>
  </si>
  <si>
    <t>mshyw³ t eY©bv †gvZv‡eK</t>
  </si>
  <si>
    <t>wLªt</t>
  </si>
  <si>
    <t>(mycvwikKvix Kg©KZ©v)</t>
  </si>
  <si>
    <t xml:space="preserve">gÄyixcÎ Bm¨y Kiv n‡q‡Q| FY MÖnxZv gÄyixc‡Îi kZ© †g‡b wb¤œwjwLZ `wjjvqb m¤úv`b K‡i‡Qb| </t>
  </si>
  <si>
    <t>K) wWwc †bvU</t>
  </si>
  <si>
    <t>L) A½xKvibvgv</t>
  </si>
  <si>
    <t>M) †jUvi Ae nvB‡dvw_‡Kkb</t>
  </si>
  <si>
    <t>N) †jUvi Ae GK‡mc‡UÝ</t>
  </si>
  <si>
    <t>O) †jUvi Ae Kw›UwbDwU</t>
  </si>
  <si>
    <t>P) wifvB‡ej †jUvi</t>
  </si>
  <si>
    <r>
      <t xml:space="preserve">Q) GwMÖ‡g›U di K¨vk †µwWU </t>
    </r>
    <r>
      <rPr>
        <sz val="14"/>
        <color theme="1"/>
        <rFont val="Times New Roman"/>
        <family val="1"/>
      </rPr>
      <t>60(d</t>
    </r>
    <r>
      <rPr>
        <sz val="14"/>
        <color theme="1"/>
        <rFont val="SutonnyMJ"/>
      </rPr>
      <t>)</t>
    </r>
  </si>
  <si>
    <r>
      <t xml:space="preserve">R) GwMÖ‡g›U di K¨vk †µwWU </t>
    </r>
    <r>
      <rPr>
        <sz val="14"/>
        <color theme="1"/>
        <rFont val="Times New Roman"/>
        <family val="1"/>
      </rPr>
      <t>60(b</t>
    </r>
    <r>
      <rPr>
        <sz val="14"/>
        <color theme="1"/>
        <rFont val="SutonnyMJ"/>
      </rPr>
      <t>)</t>
    </r>
  </si>
  <si>
    <r>
      <t xml:space="preserve">S) cvi‡mvbvj M¨vivw›U </t>
    </r>
    <r>
      <rPr>
        <sz val="14"/>
        <color theme="1"/>
        <rFont val="Times New Roman"/>
        <family val="1"/>
      </rPr>
      <t>60(i</t>
    </r>
    <r>
      <rPr>
        <sz val="14"/>
        <color theme="1"/>
        <rFont val="SutonnyMJ"/>
      </rPr>
      <t>)</t>
    </r>
  </si>
  <si>
    <r>
      <t xml:space="preserve">T) </t>
    </r>
    <r>
      <rPr>
        <sz val="14"/>
        <color theme="1"/>
        <rFont val="Times New Roman"/>
        <family val="1"/>
      </rPr>
      <t>LF-19</t>
    </r>
  </si>
  <si>
    <t>U) eÜKx `wjj</t>
  </si>
  <si>
    <t>V) cvIqvi Ae GUwb©</t>
  </si>
  <si>
    <t>W) mvK‡mkb cøvb</t>
  </si>
  <si>
    <t>Av‡e`bKvix‡K gÄyixK…Z FY mxgvi g‡a¨ †jb‡`b Kivi I UvKv D‡Ëvj‡bi AbygwZ cÖ`vb Kiv n‡jv|</t>
  </si>
  <si>
    <t>mKj cÖKvi `wjjvqb mwVKfv‡e m¤úvw`Z n‡q‡Q| FY wnmve †Lv‡j †PK eB cÖ`vb Kiv n‡q‡Q| GgZve¯’vq, Av‡e`bKvix‡K gÂzixK…Z FY mxgvi g‡a¨ FY wnmv‡e †jb‡`b Kivi I UvKv D‡Ëvj‡bi AbygwZ cÖ`vb Kiv †h‡Z cv‡i|</t>
  </si>
  <si>
    <t>(2q Kg©KZ©vi mxj I ¯^vÿi)</t>
  </si>
  <si>
    <t>AZ&amp;Ge Zv‡K FY wnmv‡e †jb‡`b I UvKv D‡Ëvj‡bi Aby‡gv`b cÖ`v‡bi mycvwik Kiv n‡jv|</t>
  </si>
  <si>
    <t>Kvc‡oi e¨emv</t>
  </si>
  <si>
    <t>bRiæj Bmjvg</t>
  </si>
  <si>
    <t>kvnvbvR Bmjvg</t>
  </si>
  <si>
    <t>WvKNi</t>
  </si>
  <si>
    <t>wgRwgwR-1430</t>
  </si>
  <si>
    <r>
      <t xml:space="preserve">K) fvovK…Z †`vKvb hvi AvqZb (26© </t>
    </r>
    <r>
      <rPr>
        <sz val="13"/>
        <color theme="1"/>
        <rFont val="Times New Roman"/>
        <family val="1"/>
      </rPr>
      <t>x</t>
    </r>
    <r>
      <rPr>
        <sz val="13"/>
        <color theme="1"/>
        <rFont val="SutonnyMJ"/>
      </rPr>
      <t xml:space="preserve"> 10©)= 260 eM©dzU| </t>
    </r>
  </si>
  <si>
    <t>evwo fvov</t>
  </si>
  <si>
    <t>¯’vbxq GjvKvi †jvKRb</t>
  </si>
  <si>
    <t>kv‡U©i Kvco µq</t>
  </si>
  <si>
    <t>c¨v‡›Ui Kvco µq</t>
  </si>
  <si>
    <t>cvÄvexi Kvco µq</t>
  </si>
  <si>
    <t>cvqRvgvi Kvco µq</t>
  </si>
  <si>
    <t>cY¨ gRy`</t>
  </si>
  <si>
    <t>4 Rb</t>
  </si>
  <si>
    <t xml:space="preserve">26 | AbyzwgZ Avq ( 60 w`‡b) t </t>
  </si>
  <si>
    <t xml:space="preserve">29|  Znwej D×…Ë t                                 </t>
  </si>
  <si>
    <t>Znwej AvšÍtcÖevn</t>
  </si>
  <si>
    <t>Znwej ewntcÖevn</t>
  </si>
  <si>
    <t>13/07/2023, wbR¯^ Znwej|</t>
  </si>
  <si>
    <t>3757664531</t>
  </si>
  <si>
    <t>01923-401539</t>
  </si>
  <si>
    <t xml:space="preserve">¯’vqx wVKvbv </t>
  </si>
  <si>
    <t>kv‡U©i Kvco weµq</t>
  </si>
  <si>
    <t>c¨v‡›Ui Kvco weµq</t>
  </si>
  <si>
    <t>cvÄvexi Kvco weµq</t>
  </si>
  <si>
    <t>cvqRvgvi Kvco weµq</t>
  </si>
  <si>
    <t xml:space="preserve">Kvc‡oi e¨emv </t>
  </si>
  <si>
    <t>05)</t>
  </si>
  <si>
    <t>Rvgvb‡Zi wel‡q AvBb Dc‡`óvi AwfgZ bw_‡Z mshy³ Av‡Q|</t>
  </si>
  <si>
    <t>ˆea RvgvbZ iƒ‡c MÖnY Kwievi Rb¨ ¯^‡Ë¡ †Kvb wewa wb‡la bvB|</t>
  </si>
  <si>
    <t>‡gmvm© mvbd¬vIqvi †UBjvm© GÛ †dweªK&amp;ª</t>
  </si>
  <si>
    <t>cÖwZôv‡bi mvivsk</t>
  </si>
  <si>
    <t xml:space="preserve">D‡`¨v³v Kg©V I D‡`¨vgx e¨w³ I AwfÄZv m¤úbœ| D‡`¨v³v `xN© w`b hver Kvc‡oi e¨emv K‡i Avm‡Qb| Zv‡K FY mnvqZv cÖ`vb Ki‡j Zv †_‡K jvfevb n‡Z cvi‡eb| </t>
  </si>
  <si>
    <t>1(GK) eQi, mgš^q Pµ 60 w`b</t>
  </si>
  <si>
    <t xml:space="preserve">cÖ¯ÍvweZ RvgvbZx m¤úwËi Gm.G. †iKW©xq gvwjK QwjgwÏb wgqv| D³ QwjgwÏb wgqv gvwjK I †fvM`LjKvi _vKv Ae¯’vq 30/09/1968 Bs Zvwi‡L 6648 bs I 6649 bs mvd Kejv `wjj g~‡j AvwQqv LvZzb I nvRx `ei DwÏb †gvjøv G‡`i wbKU mvd Kejv weµq K‡i D³ m¤úwË †_‡K wPiZ‡i wbt¯^Z¡evb nb| D³ AvwQqv LvZzb  10/03/1970 Bs Zvwi‡L 2313 bs mvd Kejv `wjj g~‡j wKq`vsk m¤úwË AvBbwÏb Gi wbKU weµq K‡ib|    AZ:ci AvBbwÏb gvwjK I †fvM`LjKvi _vKv Ae¯’vq  20/06/1970 Bs Zvwi‡L 5466 bs ‡nev `wj‡ji gva¨‡g cyÎ bRiæj Bmjvg †K †nev K‡i D³ m¤úwË †_‡K wPiZ‡i wbt¯^Z¡evb nb| cieZ©x‡Z D³ bvevjK bRiæj Bmjvg Gi c‡ÿ ¯^vfvweK AwfeveK D³ AvBbwÏb Øviv I ¯^qs MZ 10/01/1979 Bs Zvwi‡L 1547 bs mvd Kejv `wjj g~‡j †gv: Pvby wgqv Ii‡d Pvby wgqvi wbKU weµq K‡i D³ m¤úwË †_‡K wPiZ‡i wbt¯^Z¡evb nb|  AZ:ci AvBbwÏb gvwjK I †fvM`LjKvi _vKv Ae¯’vq  20/06/1970 Bs Zvwi‡L 5466 bs ‡nev `wj‡ji gva¨‡g cyÎ bRiæj Bmjvg †K †nev K‡i D³ m¤úwË †_‡K wPiZ‡i wbt¯^Z¡evb nb| cieZ©x‡Z D³ bvevjK bRiæj Bmjvg Gi c‡ÿ ¯^vfvweK AwfeveK D³ AvBbwÏb Øviv I ¯^qs MZ 10/01/1979 Bs Zvwi‡L 1547 bs mvd Kejv `wjj g~‡j †gv: Pvb wgqv Ii‡d Pvby wgqvi wbKU weµq K‡i D³ m¤úwË †_‡K wPiZ‡i wbt¯^Z¡evb nb |   AZ:ci †gv: Pvb wgqv Ii‡d Pvby wgqv 09/07/1979 Bs Zvwi‡L 26921 bs mvd Kejv `wj‡ji gva¨‡g Avãyj Avwjg †gvj¨vi wbKU mvd weµq K‡i D³ m¤úwË †_‡K wPiZ‡i wbt¯^Z¡evb nb|  AZ:ci D‡jøwLZ AvwQqv _vZzb D³ m¤úwË weMZ 26/08/1976 Bs Zvwi‡L 16431 bs mvd Kejv `wj‡ji gva¨‡g Igi Avjx I dz‡jmv wewei wbKU mvd weµq K‡i  wPiZ‡i wbt¯^Z¡evb nb | Ges AZ:ci D‡jøwLZ Igi Avjx I dz‡jmv wewe D³ m¤úwË weMZ 11/01/1983 Bs Zvwi‡L 267 bs mvd Kejv `wj‡ji gva¨‡g Avãyj Avwjg †gvj¨vi wbKU mvd weµq K‡i  wPiZ‡i wbt¯^Z¡evb nb | Ges AZ:ci Avãyj Avwjg †gvj¨v Zdwmj ewYZ m¤úwË 26921 I 267 bs mvd Kejv `wj‡ji gva¨‡g Lwi` Kwiqv 28/03/2005 Bs Zvwi‡L  2280  mvd Kejv `wjj `¦viv AvjnvR †`‡jvqvi †nv‡mb wbKU mvd weµq K‡i  wPiZ‡i wbt¯^Z¡evb nb | AZ:ci AvjnvR †`‡jvqvi †nv‡mb mvd Kejv `wjj gy‡j Lwi` Kwiqv 14/02/2006 Bs Zvwi‡L  596  mvd Kejv `wjj `¦viv ‡gv: wejøvj †nv‡mb  Gi wbKU mvd weµq K‡i AvjnvR †`‡jvqvi †nv‡mb wPiZ‡i wbt¯^Z¡evb nb | Aciw`‡K `eiwÏb †gvjøv D‡jøwLZ 6649 bs `wjj gy‡j Lwi` Kwiqv ‡fvM`Lj LvKv Aeövq AvBbwÏb †K cyÎ mn Ab¨vb¨ Iqvwik we`¨vgvb ivwLqv `eiwÏb  ci‡jvK Mgb K‡ib| Ges AZ:ci AvBbwÏb Zdwmj ewYZ m¤úwË ‰cwÎK Iqvwik my‡Î gvwjK nBqv weMZ 02/03/1972 Bs Zvwi‡L  1348  mvd Kejv `wjj `¦viv bv‡RgwÏb wgqv Ii‡d bRygwÏb Gi wbKU mvd weµq K‡i wPiZ‡i wbt¯^Z¡evb nb | AZ:ci bv‡RgwÏb wgqv Ii‡d bRygwÏb ewY©Z m¤úwË mvd Kejv `wjj gy‡j Lwi` Kwiqv weMZ Avi Gm -222 bs LwZqv‡b wbR bvg ‡iKW©fz³ Ae¯’vq ‡gvnv¤§` †nv‡mb, †gv: Lwjj, wcqviv ‡eMg I ‡gvnv¤§` Avjx cyÎ I Kb¨v Ges ¯¿x †iwRqv LvZzb‡K Iqvwik we`¨vgvb ivwLqv D³ bv‡RgwÏb wgqv Ii‡d bRygwÏb ci‡jvK Mgb K‡ib|Ges AZ:ci D³ ‡gvnv¤§` †nv‡mb, †gv: Lwjj, wcqviv ‡eMg I ‡gvnv¤§` Avjx cyÎ I Kb¨v ewY©Z m¤úwË ˆcwÎK Iqvwikm~‡Î Ges ¯¿x †iwRqv LvZzb ¯^vgxi Iqvwikm~‡Î gvwjK nBqv 17/05/2004 Zvwi‡L ‡gvnv¤§` †nv‡mb, †gv: Lwjj, wcqviv ‡eMg I ¯¿x †iwRqv LvZzb Zvnv‡`i cÖvc¨ Ask 1704 bs Avg‡gv³vi `wjj Øviv Ges ‡gvnv¤§` Avjx weMZ 28/10/2003 Zvwi‡L 4086 bs Avg‡gv³vi `wjj Øviv ‡gvmv¤§Z gwiqg ‡eMg‡K Avg‡gv³vi wbhy³ K‡ib|Ges AZ:ci AvBbwÏb Zdwmj ewYZ m¤úwË ‰cwÎK Iqvwik my‡Î gvwjK nBqv weMZ 20/04/1970 Bs Zvwi‡L  3741 bs  mvd Kejv `wjj `¦viv L‡ZRv wewe, ¯^vgx-Rxeb &amp;Lvb Gi wbKU mvd weµq K‡i wPiZ‡i wbt¯^Z¡evb nb | AZ:ci D³ L‡ZRv wewe weMZ 24/08/1978 Bs Zvwi‡L  17306 bs  mvd Kejv `wjj `¦viv ‡gv: Pvb wgqv Ii‡d Pvby wgqv Gi wbKU mvd weµq K‡i wPiZ‡i wbt¯^Z¡evb nb|Ges  D³ AvwQqv LvZzb 10/03/1970 Bs Zvwi‡L 2315 bs  mvd Kejv `wjj `¦viv Avãym mvgv` Gi wbKU mvd weµq K‡ib| Ges AZ:ci D³ Avãym mvgv` 01/01/1979 Bs Zvwi‡L  47 bs  mvd Kejv `wjj `¦viv ‡gv: Pvb wgqv Ii‡d Pvby wgqv Gi wbKU mvd weµq K‡i wPiZ‡i wbt¯^Z¡evb nb| Ges AZ:ci D³ ‡gv: Pvb wgqv Ii‡d Pvby wgqv 1730 I 47 bs `wjj g~‡j cÖß m¤úwË 07/03/1979 Bs Zvwi‡L  5108 bs  mvd Kejv `wjj `¦viv ‡gv: Avjx †nv‡mb I R‡e`v LvZzb Gi wbKU mvd weµq K‡i wPiZ‡i wbt¯^Z¡evb nb| AZ:ci D³ ‡gv: Avjx †nv‡mb I R‡e`v LvZzb 30/07/1979 Bs Zvwi‡L  29726 bs  mvd Kejv `wjj `¦viv ‡gv: ‡n`v‡qZ †nv‡mb Lvb I Lvb kvnv`Z †nv‡mb G‡`i wbKU mvd weµq K‡i wPiZ‡i wbt¯^Z¡evb nb| Ges AZ:ci D³ ‡gv: ‡n`v‡qZ †nv‡mb Lvb I Lvb kvnv`Z †nv‡mb 18/04/1985 Bs Zvwi‡L  9272 bs  mvd Kejv `wjj `¦viv ‡gvmv¤§r KzjQzg Aviv †eMg Gi wbKU mvd weµq K‡i wPiZ‡i wbt¯^Z¡evb nb| AZ:ci D³ ‡gvmv¤§r KzjQzg Aviv †eMg gvwjK I †fvM`LjKvi wbqZ n‡q 23/11/2004 Bs Zvwi‡L  4380 bs  Avg-‡gv³vibvgv `wjj `¦viv †gv: †`‡jvqvi †nv‡mb †K Avg-‡gv³vi wbhy³ K‡ib Ges D³ †gv: †`‡jvqvi †nv‡mb 01/09/2005 Bs Zvwi‡L  4009 bs  mvd Kejv `wjj `¦viv ‡gvt wejøvj †nvmvBb Gi wbKU mvd weµq K‡i wPiZ‡i wbt¯^Z¡evb nb| AZ:ci D³ ‡gvt wejøvj †nvmvBb 26/05/2024 Bs Zvwi‡L  3642 bs  mvd Kejv `wjj `¦viv mvB`yi ingvb wgVz Gi wbKU mvd weµq K‡i wPiZ‡i wbt¯^Z¡evb nb| AZ:ci D³ mvB`yi ingvb wgVz µqm~‡Î gvwjK n‡q Zdwm‡j ewb©Z  D³ m¤úwË wbR wbR bv‡g LvwiR K‡ib| hvnvi †gvKÏgv bs 1100/2024-25 Zvs 21/08/2024 BsGes nvj LvRbv cwi‡kva K‡ib|
</t>
  </si>
  <si>
    <t>AvwU</t>
  </si>
  <si>
    <t>Kwei</t>
  </si>
  <si>
    <t>ev`kv wgqv I gwZb Ms</t>
  </si>
  <si>
    <t>gwZb Ms</t>
  </si>
  <si>
    <t>byiæbœvnvi</t>
  </si>
  <si>
    <t>bvivqYMÄ †Rjvi m`i mve-‡iwRw÷ª Awd‡mi 2023-2024 mv‡ji †gŠRv wfwËK g~j¨ ZvwjKv Ges m`i Dc‡Rjvi AvwU †gŠRvi bvj Rwgi eZ©gvb ev¯ÍewfwËK cÖK…Z evRvi g~j¨ I ZvrÿwYK weµqg~j¨ we‡ePbvq K‡i we‡Kwe, †µwWU wefvM, cÖavb Kvhv©jq, XvKv-Gi cwiKíbv I cwiPjb cwicÎ bs-19/2023, ZvwiLt 22/10/2023Bs ‡gvZv‡eK eZ©gvb ÒZvrÿwYK weµqg~j¨Ó-‡K wfwË a‡i gyj¨vqb Kiv n‡q‡Q|</t>
  </si>
  <si>
    <t>TRAD/NCC/0002462/2023</t>
  </si>
  <si>
    <r>
      <t xml:space="preserve">(1264069 </t>
    </r>
    <r>
      <rPr>
        <sz val="13"/>
        <color indexed="8"/>
        <rFont val="Times New Roman"/>
        <family val="1"/>
      </rPr>
      <t xml:space="preserve">x </t>
    </r>
    <r>
      <rPr>
        <sz val="13"/>
        <color indexed="8"/>
        <rFont val="SutonnyMJ"/>
      </rPr>
      <t>4.00)</t>
    </r>
  </si>
  <si>
    <r>
      <t xml:space="preserve">(3000000 </t>
    </r>
    <r>
      <rPr>
        <sz val="13"/>
        <color indexed="8"/>
        <rFont val="Times New Roman"/>
        <family val="1"/>
      </rPr>
      <t xml:space="preserve">x </t>
    </r>
    <r>
      <rPr>
        <sz val="13"/>
        <color indexed="8"/>
        <rFont val="SutonnyMJ"/>
      </rPr>
      <t>4.00)</t>
    </r>
  </si>
  <si>
    <t xml:space="preserve">kvLv †_‡K `wÿb w`‡K Lvj cvi n‡q wnivwSj AvevwmK GjvKvq Zvi RvgvbwZ m¤úwË
‡gŠRv t AvwU
</t>
  </si>
  <si>
    <t>we`~¨r ms‡hvM Av‡Q</t>
  </si>
  <si>
    <t>evwo</t>
  </si>
  <si>
    <t>‡mwg cvKv Ni</t>
  </si>
  <si>
    <t xml:space="preserve">‡nvwìs bs- 317, wnivwSj </t>
  </si>
  <si>
    <t>mshyw³ ÒKÓ †gvZv‡eK</t>
  </si>
  <si>
    <t>nvjbvMv` wmAvBwe wi‡c©v‡U  F‡Yi †h Z_¨ cvIqv †M‡Q Zv A‡kÖYxK…Z</t>
  </si>
  <si>
    <t>0.51 GKi</t>
  </si>
  <si>
    <t>‡gmvm© mvbd¬vIqvi †UBjvm© GÛ †dweªK&amp;ª bvgK e¨emv cÖwZôvbwU Av‡e`bKvixi wcZv `xN©w`b a‡i cwiPvjbv KiwQ‡jb| Av‡e`bKvixi wcZvi g„Z¨yi ci GKgvÎ Iqvwik wn‡m‡e wZwb D³ e¨emv cÖwZôvbwU cwiPvjbv Ki‡Qb|  Kvc‡oi e¨emvwU jvfRbK e¨emv| eZ©gvb evRvig~j¨ e„w× cvIqvq wZwb Zvi e¨emvwU cÖmvwiZ I mwVKfv‡e cwiPvjbv Ki‡Z cvi‡Qb bv | ZvB wZwb e¨vs‡K wmGgGmGgB Lv‡Z bM` cyuwR F‡Yi Av‡e`b K‡i‡Qb|  D³ cÖwZôv‡bi AbyKz‡j e¨vsK wewb‡qvM Ki‡j e¨vsK I D‡`¨v³v Df‡qB Avw_©Kfv‡e jvfevb n‡e| D‡`¨v³v Avw_©K w`K w`‡q ¯^”Qj Ges FY cwi‡kv‡a mvg_©¨evb| D‡`¨v³vi Av‡e`b, e¨emvwqK AwfÁZv, cÖwZôv‡bi µgweKvk BZ¨vw` we‡ePbv K‡i ‡gmvm© mvbd¬vIqvi †UBjvm© GÛ †dweªK&amp;ª Gi AbyKz‡j Kvc‡oi e¨emv cwiPvjbvi Rb¨ wmGgGmGgB Lv‡Z  1 (GK) erm‡ii ‡gqv‡` gs  70.00 (mËi) jÿ UvKv gvÎ bM` cyuwR FY gÄyixi  mycvwik Kiv n‡jv|</t>
  </si>
  <si>
    <t>Av‡e`bKvix†K ‡gmvm© mvbd¬vIqvi †UBjvm© GÛ †dweªK&amp;ª bvgK Kvc‡oi  e¨emv cwiPvjbvi Rb¨ wmGgGmGgB Lv‡Z 1 (GK) erm‡ii ‡gqv‡` gs  70.00 (mËi) jÿ UvKv gvÎ bM` cyuwR FY gÄyixi  mycvwik Kiv n‡jv|</t>
  </si>
  <si>
    <t xml:space="preserve">64(wmGgGmGgB)/2024-25 </t>
  </si>
  <si>
    <t>wnivwSj AvevwmK GjvKv</t>
  </si>
  <si>
    <t>GBP Gm wm</t>
  </si>
  <si>
    <t xml:space="preserve">(27/01/2025 Bs ZvwiL wfwËK) </t>
  </si>
  <si>
    <t>fv‡jv</t>
  </si>
  <si>
    <t>Kvco</t>
  </si>
  <si>
    <t>BDwm</t>
  </si>
  <si>
    <t>FY weZi‡Yi ci exgv Kiv n‡e|</t>
  </si>
  <si>
    <t>TIN</t>
  </si>
  <si>
    <t>wnmve ‡Lvjvi ZvwiL</t>
  </si>
  <si>
    <t>19/12/2024 wLªt</t>
  </si>
  <si>
    <t>P wnt bs-3678</t>
  </si>
  <si>
    <r>
      <t>Gbfvqib‡g›U wi¯‹ ‡MÖwWs (</t>
    </r>
    <r>
      <rPr>
        <b/>
        <sz val="13"/>
        <color indexed="8"/>
        <rFont val="Times New Roman"/>
        <family val="1"/>
      </rPr>
      <t>ERG</t>
    </r>
    <r>
      <rPr>
        <b/>
        <sz val="13"/>
        <color indexed="8"/>
        <rFont val="SutonnyMJ"/>
      </rPr>
      <t>) (25.00 jÿ UvKvi D‡×©)</t>
    </r>
  </si>
  <si>
    <t>101, 222</t>
  </si>
  <si>
    <t>23, 226</t>
  </si>
  <si>
    <t>c`yqvi cvo, Kvjxcyi, †cvt cvVvb evRvi-3643, BDwct mv`yjøvcyi, Dc‡Rjv t gZje DËi, †Rjv t Puv`cyi</t>
  </si>
  <si>
    <t>RvgvbwZ m¤úwË</t>
  </si>
  <si>
    <t>‡nvwìs bs- 317, wnivwSj Av/G</t>
  </si>
  <si>
    <t>K) Avwg Av‡e`bKvixi (MY) `wjj, ¯^ËvwaKvi  cÎ cixÿv Kwiqv †`wLqvwQ Ges GB g‡g© cÖZ¨vqb Kwi‡ZwQ †h t</t>
  </si>
  <si>
    <t>wmGmGgB AvIZvq RvgvbZwewnb FY (Z…Zxq cÿxq M¨vivw›U</t>
  </si>
  <si>
    <t>LF-60(e)</t>
  </si>
  <si>
    <t xml:space="preserve">The Manager </t>
  </si>
  <si>
    <t>Bangladesh  Krishi Bank</t>
  </si>
  <si>
    <t>Fatullah Branch Narayanganj</t>
  </si>
  <si>
    <t>LETTER OF CONTINUITY</t>
  </si>
  <si>
    <t>Place: Fatullah</t>
  </si>
  <si>
    <t>Date: ......................</t>
  </si>
  <si>
    <t>Dapa Idrakpur, Fatullah,  Narayangonj</t>
  </si>
  <si>
    <t>M/S Jony Store</t>
  </si>
  <si>
    <t>Md Jony</t>
  </si>
  <si>
    <t>Borrower</t>
  </si>
  <si>
    <t>Yours faithfully</t>
  </si>
  <si>
    <t>you as a Continuing Security for repayment of any outstanding including interest in my/our overdraft/cash credit account which is at present outstanding or may be outstanding in future in my/our account with you, I/we undertake that I/we will remain liable on the said Promissory Note jointly and severally until final adjustment of the loan, notwithstanding the fact that the outstanding in the said account may from time to time be reduced or completely extinguished or brought into credit by payment of cash/cheque therein by me/us</t>
  </si>
  <si>
    <t>by me/us in your favor, I/we acknowledge for the purpose of Section 19 of the Limitation Act IX of 1908 and any like Limitation Law in order to preclude any question of Limitation Law that I am/we are liable to you for payment of the said promissory note with interest and the same is to remain in force with all relative securities, agreement and obligations.</t>
  </si>
  <si>
    <t>Note: - This is for signature by the maker of a demand promissory note made in favour of the Bank itself.</t>
  </si>
  <si>
    <t>Date:</t>
  </si>
  <si>
    <t>Bangladesh Krishi Bank</t>
  </si>
  <si>
    <r>
      <t>Sub:</t>
    </r>
    <r>
      <rPr>
        <u/>
        <sz val="14"/>
        <color theme="1"/>
        <rFont val="Times New Roman"/>
        <family val="1"/>
      </rPr>
      <t xml:space="preserve"> Letter of Acceptance.</t>
    </r>
  </si>
  <si>
    <t>Date: .................................</t>
  </si>
  <si>
    <t>With reference to your Loan Sanctioned Letter No. 12(CMSME)/24-25/439 , Dated: 17/11/2024  (including Sanction order of BKB,</t>
  </si>
  <si>
    <t>CRM Office No.....................................................................). I/We do hereby agree with all the terms &amp; conditions contained therein.</t>
  </si>
  <si>
    <t>Your’s Faithfully,</t>
  </si>
  <si>
    <t xml:space="preserve">উত্তরাধিকার সংক্রান্ত ঘোষনাপত্র </t>
  </si>
  <si>
    <t>এই উত্তারাধিকার সংক্রান্ত ঘোষনাপত্র অদ্য ২০২4 সনের b‡f¤^i মাসের 20/08/2024 ইং তারিখে সম্পাদিত হল।</t>
  </si>
  <si>
    <t>(SUCCESSION PLAN)</t>
  </si>
  <si>
    <t>নাম</t>
  </si>
  <si>
    <t>01| ‡gvmvt Avgexqv LvZzb</t>
  </si>
  <si>
    <t xml:space="preserve">02| †gvt iwb </t>
  </si>
  <si>
    <t xml:space="preserve">03| cwc Av³vi </t>
  </si>
  <si>
    <t xml:space="preserve">04| ixcv </t>
  </si>
  <si>
    <r>
      <t>বয়স</t>
    </r>
    <r>
      <rPr>
        <u/>
        <sz val="16"/>
        <color theme="1"/>
        <rFont val="SutonnyMJ"/>
      </rPr>
      <t xml:space="preserve">( </t>
    </r>
    <r>
      <rPr>
        <u/>
        <sz val="16"/>
        <color theme="1"/>
        <rFont val="SutonnyOMJ"/>
      </rPr>
      <t>বছর</t>
    </r>
    <r>
      <rPr>
        <u/>
        <sz val="16"/>
        <color theme="1"/>
        <rFont val="SutonnyMJ"/>
      </rPr>
      <t>)</t>
    </r>
    <r>
      <rPr>
        <sz val="16"/>
        <color theme="1"/>
        <rFont val="SutonnyMJ"/>
      </rPr>
      <t xml:space="preserve"> </t>
    </r>
  </si>
  <si>
    <r>
      <t>ঋন</t>
    </r>
    <r>
      <rPr>
        <u/>
        <sz val="16"/>
        <color theme="1"/>
        <rFont val="SutonnyMJ"/>
      </rPr>
      <t xml:space="preserve"> </t>
    </r>
    <r>
      <rPr>
        <u/>
        <sz val="16"/>
        <color theme="1"/>
        <rFont val="SutonnyOMJ"/>
      </rPr>
      <t>গ্রহিতার</t>
    </r>
    <r>
      <rPr>
        <u/>
        <sz val="16"/>
        <color theme="1"/>
        <rFont val="SutonnyMJ"/>
      </rPr>
      <t xml:space="preserve"> </t>
    </r>
    <r>
      <rPr>
        <u/>
        <sz val="16"/>
        <color theme="1"/>
        <rFont val="SutonnyOMJ"/>
      </rPr>
      <t>সাথে</t>
    </r>
    <r>
      <rPr>
        <u/>
        <sz val="16"/>
        <color theme="1"/>
        <rFont val="SutonnyMJ"/>
      </rPr>
      <t xml:space="preserve"> </t>
    </r>
    <r>
      <rPr>
        <u/>
        <sz val="16"/>
        <color theme="1"/>
        <rFont val="SutonnyOMJ"/>
      </rPr>
      <t>সম্পর্ক</t>
    </r>
    <r>
      <rPr>
        <u/>
        <sz val="16"/>
        <color theme="1"/>
        <rFont val="SutonnyMJ"/>
      </rPr>
      <t xml:space="preserve"> </t>
    </r>
  </si>
  <si>
    <t>REVIVAL LETTER</t>
  </si>
  <si>
    <t xml:space="preserve">Witness:                1.                                                                                                                  </t>
  </si>
  <si>
    <r>
      <t>আমি/আমরা, জনাব/জনাবাঃ ‡gmvm© Rwb †÷vi Gi †cÖvcvBUi ‡gvt Rwb, wcZv- g„Z †gvt Bw`ªm Avjx, gvZv- ‡gvmvt Avgexqv LvZzb , eZ©gvb wVKvbv- `vcv B`ªvKcyi, dZzjøv, bvivqYMÄ, ¯’vqx wVKvbvt `vcv B`ªvKcyi, dZzjøv, bvivqYMÄ Ges e¨emvwqK wVKvbvt `vcv B`ªvKcyi, dZzjøv, bvivqYMÄ</t>
    </r>
    <r>
      <rPr>
        <b/>
        <sz val="16"/>
        <color theme="1"/>
        <rFont val="SutonnyMJ"/>
      </rPr>
      <t>|</t>
    </r>
    <r>
      <rPr>
        <sz val="16"/>
        <color theme="1"/>
        <rFont val="SutonnyMJ"/>
      </rPr>
      <t xml:space="preserve"> বাংলাদেশ কৃষি ব্যাংক,  প্রধান কার্যালয়, ৮৩-৮৫, মতিঝিল বাণিজ্যিক এলাকা, ঢাকা, যে ব্যাংক ১৯৭৩ সনের বাংলাদেশ কৃষি ব্যাংক আদেশে (১৯৭৩ সনের রাষ্টপতির আদেশ নং- ২৭)  প্রদত্ত ক্ষমতা বলে প্রতিষ্ঠিত ( অতঃপর বিকেবি বলে অবিহিত হবে), এর অনুকূলে উত্তরাধিকার সংক্রান্ত ঘোষনাপত্র সম্পাদন করলামঃ-যেহেতু আমি: ‡gvt Rwb </t>
    </r>
    <r>
      <rPr>
        <b/>
        <sz val="16"/>
        <color theme="1"/>
        <rFont val="SutonnyMJ"/>
      </rPr>
      <t xml:space="preserve"> </t>
    </r>
    <r>
      <rPr>
        <sz val="16"/>
        <color theme="1"/>
        <rFont val="SutonnyMJ"/>
      </rPr>
      <t>নিজ নামে বিকেবি, dZzjøv শাখায় একটি ঋন হিসাব নং myÎ bs-FY- wmGgGmGgB- 12/2024-25 গ্রহন করি এবং ঋন পরিশোধপূর্বে আমার মৃত্যুরক্ষেত্রে নিম্নলিখিত উত্তরাধিকার রেখে যাই</t>
    </r>
  </si>
  <si>
    <t>‡gvt Rwb</t>
  </si>
  <si>
    <t>g„Z †gvt Bw`ªm Avjx</t>
  </si>
  <si>
    <t>gvmvt Avgexqv LvZzb</t>
  </si>
  <si>
    <t>`vcv B`ªvKcyi, dZzjøv, bvivqYMÄ</t>
  </si>
  <si>
    <t>gyw` cY¨ e¨emv</t>
  </si>
  <si>
    <t>dZzjøv</t>
  </si>
  <si>
    <t>`vcv B`ªvKcyi</t>
  </si>
  <si>
    <t>bvivqYMÄ-1430</t>
  </si>
  <si>
    <t>e¨w³MZ M¨vivw›U</t>
  </si>
  <si>
    <r>
      <t xml:space="preserve">                                                </t>
    </r>
    <r>
      <rPr>
        <u/>
        <sz val="16"/>
        <color theme="1"/>
        <rFont val="SutonnyMJ"/>
      </rPr>
      <t>cvZv-2</t>
    </r>
    <r>
      <rPr>
        <sz val="16"/>
        <color theme="1"/>
        <rFont val="SutonnyMJ"/>
      </rPr>
      <t xml:space="preserve">                                                             02| Avwg wbwðqZv cÖ`vb Kwi‡ZwQ †h, GB F‡Yi mKj wbqgKvbyb h_vh_fv‡e gvwbqv Pjv nB‡e| 
03| Avwg AviI A½xKvi Kwi‡ZwQ †h, F‡Yi UvKvi mØ¨envi bv nB‡j A_ev h_vmg‡q Av`vq wbwðZ bv nB‡j Avwg e¨w³MZfv‡e FYwU my` Avm‡j †gqv` DËx‡Y©i c~‡e©B cwi‡kva Kwi‡Z eva¨ _vwKe|</t>
    </r>
  </si>
  <si>
    <r>
      <t xml:space="preserve">                                                </t>
    </r>
    <r>
      <rPr>
        <u/>
        <sz val="18"/>
        <color theme="1"/>
        <rFont val="SutonnyMJ"/>
      </rPr>
      <t>cvZv-2</t>
    </r>
    <r>
      <rPr>
        <sz val="18"/>
        <color theme="1"/>
        <rFont val="SutonnyMJ"/>
      </rPr>
      <t xml:space="preserve">                                                             02| Avwg wbwðqZv cÖ`vb Kwi‡ZwQ †h, GB F‡Yi mKj wbqgKvbyb h_vh_fv‡e gvwbqv Pjv nB‡e| 
03| Avwg AviI A½xKvi Kwi‡ZwQ †h, F‡Yi UvKvi mØ¨envi bv nB‡j A_ev h_vmg‡q Av`vq wbwðZ bv nB‡j Avwg e¨w³MZfv‡e FYwU my` Avm‡j †gqv` DËx‡Y©i c~‡e©B cwi‡kva Kwi‡Z eva¨ _vwKe|</t>
    </r>
  </si>
  <si>
    <t xml:space="preserve"> এবং যেহেতু আমার ঋন  হিসাবে মূল টাকা ...................................মাত্র ও সুদ   আছে এবং যাহেতু আমি/আমার উল্লিখিত ঋনের সমুদয় অর্থ আমার মৃত্যুর পূর্বে পরিশোধিত না হলে  উক্ত  ঋনের অর্থ আমার উত্তরাধিকার ................... পরিশোধ করবে বলে ঘোষনার  প্রেক্ষিতে আমাকে/আমাদেরকে বিকেবি উল্লেখিত হিসাবের টাকা প্রদানে সম্মত হয়েছে।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</si>
</sst>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0.000"/>
    <numFmt numFmtId="165" formatCode="_-* #,##0_-;\-* #,##0_-;_-* &quot;-&quot;??_-;_-@_-"/>
    <numFmt numFmtId="166" formatCode="[$-5000845]dd\ mmmm\ yyyy;@"/>
    <numFmt numFmtId="167" formatCode="00.00"/>
    <numFmt numFmtId="168" formatCode="_-* #,##0.0000_-;\-* #,##0.0000_-;_-* &quot;-&quot;??_-;_-@_-"/>
    <numFmt numFmtId="169" formatCode="_-* #,##0.000_-;\-* #,##0.000_-;_-* &quot;-&quot;??_-;_-@_-"/>
    <numFmt numFmtId="170" formatCode="00"/>
    <numFmt numFmtId="171" formatCode="General\ &quot;UvKv&quot;"/>
    <numFmt numFmtId="172" formatCode="0.00&quot; GKi&quot;"/>
    <numFmt numFmtId="173" formatCode="General\ &quot;GKi&quot;"/>
    <numFmt numFmtId="174" formatCode="0.00\ &quot;GKi&quot;"/>
    <numFmt numFmtId="175" formatCode="0.0\ &quot;gvm&quot;"/>
    <numFmt numFmtId="176" formatCode="General\ &quot;jÿ UvKv&quot;"/>
    <numFmt numFmtId="177" formatCode="General\ &quot; w`b&quot;"/>
    <numFmt numFmtId="178" formatCode="_(* #,##0.00_);_(* \(#,##0.00\);_(* &quot;-&quot;??_);_(@_)"/>
    <numFmt numFmtId="179" formatCode="_(* #,##0.0000_);_(* \(#,##0.0000\);_(* &quot;-&quot;??_);_(@_)"/>
    <numFmt numFmtId="180" formatCode="_-* #,##0.000000_-;\-* #,##0.000000_-;_-* &quot;-&quot;??_-;_-@_-"/>
    <numFmt numFmtId="181" formatCode="0_ ;\-0\ "/>
    <numFmt numFmtId="182" formatCode="#,##0_ ;\-#,##0\ "/>
    <numFmt numFmtId="183" formatCode="0.00000"/>
    <numFmt numFmtId="184" formatCode="0.0000"/>
    <numFmt numFmtId="185" formatCode="_-* #,##0.00000_-;\-* #,##0.00000_-;_-* &quot;-&quot;??_-;_-@_-"/>
    <numFmt numFmtId="186" formatCode="0.0000&quot; GKi&quot;"/>
    <numFmt numFmtId="187" formatCode="0.000\ &quot;GKi&quot;"/>
    <numFmt numFmtId="188" formatCode="0.00_ ;\-0.00\ "/>
  </numFmts>
  <fonts count="222">
    <font>
      <sz val="11"/>
      <color theme="1"/>
      <name val="Calibri"/>
      <family val="2"/>
      <scheme val="minor"/>
    </font>
    <font>
      <sz val="14"/>
      <color theme="1"/>
      <name val="SutonnyMJ"/>
    </font>
    <font>
      <b/>
      <sz val="22"/>
      <color theme="1"/>
      <name val="SutonnyMJ"/>
    </font>
    <font>
      <sz val="12"/>
      <color theme="1"/>
      <name val="SutonnyMJ"/>
    </font>
    <font>
      <sz val="13"/>
      <color theme="1"/>
      <name val="SutonnyMJ"/>
    </font>
    <font>
      <b/>
      <u/>
      <sz val="16"/>
      <color theme="1"/>
      <name val="SutonnyMJ"/>
    </font>
    <font>
      <b/>
      <sz val="15"/>
      <color theme="1"/>
      <name val="SutonnyMJ"/>
    </font>
    <font>
      <b/>
      <sz val="12"/>
      <color theme="1"/>
      <name val="SutonnyMJ"/>
    </font>
    <font>
      <b/>
      <sz val="14"/>
      <color theme="1"/>
      <name val="SutonnyMJ"/>
    </font>
    <font>
      <b/>
      <sz val="16"/>
      <color theme="1"/>
      <name val="SutonnyMJ"/>
    </font>
    <font>
      <sz val="5"/>
      <color theme="1"/>
      <name val="SutonnyMJ"/>
    </font>
    <font>
      <sz val="11"/>
      <color theme="1"/>
      <name val="Calibri"/>
      <family val="2"/>
      <scheme val="minor"/>
    </font>
    <font>
      <sz val="77"/>
      <color rgb="FF000000"/>
      <name val="SutonnyMJ"/>
    </font>
    <font>
      <sz val="14"/>
      <color rgb="FF000000"/>
      <name val="SutonnyMJ"/>
    </font>
    <font>
      <b/>
      <sz val="34"/>
      <color rgb="FF000000"/>
      <name val="SutonnyMJ"/>
    </font>
    <font>
      <sz val="20"/>
      <color rgb="FF000000"/>
      <name val="SutonnyMJ"/>
    </font>
    <font>
      <sz val="23"/>
      <color rgb="FF000000"/>
      <name val="SutonnyMJ"/>
    </font>
    <font>
      <b/>
      <sz val="20"/>
      <color rgb="FF000000"/>
      <name val="SutonnyMJ"/>
    </font>
    <font>
      <sz val="11"/>
      <color theme="1"/>
      <name val="SutonnyMJ"/>
    </font>
    <font>
      <sz val="15"/>
      <color theme="1"/>
      <name val="SutonnyMJ"/>
    </font>
    <font>
      <sz val="11"/>
      <color theme="1"/>
      <name val="SulekhaT"/>
    </font>
    <font>
      <sz val="22"/>
      <color theme="1"/>
      <name val="SutonnyMJ"/>
    </font>
    <font>
      <b/>
      <sz val="13"/>
      <color theme="1"/>
      <name val="SutonnyMJ"/>
    </font>
    <font>
      <sz val="10"/>
      <color theme="1"/>
      <name val="SutonnyMJ"/>
    </font>
    <font>
      <sz val="9"/>
      <color theme="1"/>
      <name val="SutonnyMJ"/>
    </font>
    <font>
      <sz val="6"/>
      <color theme="1"/>
      <name val="SutonnyMJ"/>
    </font>
    <font>
      <sz val="12"/>
      <color rgb="FF000000"/>
      <name val="SutonnyMJ"/>
    </font>
    <font>
      <sz val="7"/>
      <color rgb="FF000000"/>
      <name val="Times New Roman"/>
      <family val="1"/>
    </font>
    <font>
      <sz val="12"/>
      <color theme="1"/>
      <name val="Cambria"/>
      <family val="1"/>
      <scheme val="major"/>
    </font>
    <font>
      <sz val="12"/>
      <color theme="1"/>
      <name val="Calibri"/>
      <family val="2"/>
      <scheme val="minor"/>
    </font>
    <font>
      <u/>
      <sz val="13"/>
      <color theme="1"/>
      <name val="SutonnyMJ"/>
    </font>
    <font>
      <sz val="13"/>
      <color rgb="FFFF0000"/>
      <name val="SutonnyMJ"/>
    </font>
    <font>
      <b/>
      <u/>
      <sz val="13"/>
      <color theme="1"/>
      <name val="SutonnyMJ"/>
    </font>
    <font>
      <sz val="11"/>
      <color theme="1"/>
      <name val="Times New Roman"/>
      <family val="1"/>
    </font>
    <font>
      <sz val="16"/>
      <color theme="1"/>
      <name val="SutonnyMJ"/>
    </font>
    <font>
      <sz val="8"/>
      <color theme="1"/>
      <name val="SutonnyMJ"/>
    </font>
    <font>
      <sz val="12"/>
      <name val="SutonnyMJ"/>
    </font>
    <font>
      <sz val="12"/>
      <color rgb="FFFF0000"/>
      <name val="SutonnyMJ"/>
    </font>
    <font>
      <sz val="14"/>
      <color theme="1"/>
      <name val="Calibri"/>
      <family val="2"/>
      <scheme val="minor"/>
    </font>
    <font>
      <sz val="16"/>
      <color theme="1"/>
      <name val="Calibri"/>
      <family val="2"/>
      <scheme val="minor"/>
    </font>
    <font>
      <sz val="13"/>
      <color theme="1"/>
      <name val="Calibri"/>
      <family val="2"/>
      <scheme val="minor"/>
    </font>
    <font>
      <b/>
      <i/>
      <sz val="14"/>
      <color theme="1"/>
      <name val="SutonnyMJ"/>
    </font>
    <font>
      <b/>
      <sz val="24"/>
      <color theme="1"/>
      <name val="SutonnyMJ"/>
    </font>
    <font>
      <b/>
      <sz val="8"/>
      <color theme="1"/>
      <name val="SutonnyMJ"/>
    </font>
    <font>
      <b/>
      <sz val="21"/>
      <color theme="1"/>
      <name val="SutonnyMJ"/>
    </font>
    <font>
      <b/>
      <u/>
      <sz val="36"/>
      <color theme="1"/>
      <name val="SutonnyMJ"/>
    </font>
    <font>
      <b/>
      <sz val="10"/>
      <color theme="1"/>
      <name val="SutonnyMJ"/>
    </font>
    <font>
      <vertAlign val="subscript"/>
      <sz val="16"/>
      <color theme="1"/>
      <name val="SutonnyMJ"/>
    </font>
    <font>
      <u/>
      <sz val="22"/>
      <color theme="1"/>
      <name val="SutonnyMJ"/>
    </font>
    <font>
      <sz val="17"/>
      <color theme="1"/>
      <name val="SutonnyMJ"/>
    </font>
    <font>
      <sz val="20"/>
      <color theme="1"/>
      <name val="SutonnyMJ"/>
    </font>
    <font>
      <b/>
      <u/>
      <sz val="12"/>
      <color theme="1"/>
      <name val="SutonnyMJ"/>
    </font>
    <font>
      <sz val="12"/>
      <color theme="0"/>
      <name val="SutonnyMJ"/>
    </font>
    <font>
      <b/>
      <sz val="14"/>
      <color theme="1"/>
      <name val="Calibri"/>
      <family val="2"/>
      <scheme val="minor"/>
    </font>
    <font>
      <u/>
      <sz val="12"/>
      <color theme="1"/>
      <name val="SutonnyMJ"/>
    </font>
    <font>
      <b/>
      <sz val="12"/>
      <color rgb="FF000000"/>
      <name val="SutonnyMJ"/>
    </font>
    <font>
      <sz val="7"/>
      <color rgb="FF000000"/>
      <name val="SutonnyMJ"/>
    </font>
    <font>
      <b/>
      <sz val="9"/>
      <color rgb="FF000000"/>
      <name val="SutonnyMJ"/>
    </font>
    <font>
      <sz val="30"/>
      <color theme="1"/>
      <name val="SutonnyMJ"/>
    </font>
    <font>
      <b/>
      <sz val="36"/>
      <color theme="1"/>
      <name val="SutonnyMJ"/>
    </font>
    <font>
      <b/>
      <u/>
      <sz val="30"/>
      <color theme="1"/>
      <name val="SutonnyMJ"/>
    </font>
    <font>
      <u/>
      <sz val="36"/>
      <color theme="1"/>
      <name val="SutonnyMJ"/>
    </font>
    <font>
      <u/>
      <sz val="30"/>
      <color theme="1"/>
      <name val="SutonnyMJ"/>
    </font>
    <font>
      <b/>
      <sz val="24"/>
      <color rgb="FF000000"/>
      <name val="SutonnyMJ"/>
    </font>
    <font>
      <sz val="24"/>
      <color theme="1"/>
      <name val="Calibri"/>
      <family val="2"/>
      <scheme val="minor"/>
    </font>
    <font>
      <sz val="16"/>
      <color theme="1" tint="0.499984740745262"/>
      <name val="SutonnyMJ"/>
    </font>
    <font>
      <u/>
      <sz val="23"/>
      <color theme="1"/>
      <name val="SutonnyMJ"/>
    </font>
    <font>
      <b/>
      <sz val="13"/>
      <color theme="1" tint="0.499984740745262"/>
      <name val="SutonnyMJ"/>
    </font>
    <font>
      <b/>
      <sz val="24"/>
      <color rgb="FF00B050"/>
      <name val="SutonnyMJ"/>
    </font>
    <font>
      <sz val="16"/>
      <color rgb="FF00B050"/>
      <name val="SutonnyMJ"/>
    </font>
    <font>
      <b/>
      <i/>
      <sz val="10"/>
      <color rgb="FF00B050"/>
      <name val="Cambria"/>
      <family val="1"/>
    </font>
    <font>
      <i/>
      <sz val="10"/>
      <color rgb="FF00B050"/>
      <name val="Calibri"/>
      <family val="2"/>
      <scheme val="minor"/>
    </font>
    <font>
      <sz val="14"/>
      <color rgb="FF00B050"/>
      <name val="SutonnyMJ"/>
    </font>
    <font>
      <sz val="26"/>
      <color theme="1"/>
      <name val="SutonnyMJ"/>
    </font>
    <font>
      <sz val="14"/>
      <name val="SutonnyMJ"/>
    </font>
    <font>
      <u/>
      <sz val="14"/>
      <color theme="1"/>
      <name val="SutonnyMJ"/>
    </font>
    <font>
      <sz val="18"/>
      <color theme="1"/>
      <name val="SutonnyMJ"/>
    </font>
    <font>
      <sz val="12"/>
      <color theme="1"/>
      <name val="Times New Roman"/>
      <family val="1"/>
    </font>
    <font>
      <sz val="13.5"/>
      <color theme="1"/>
      <name val="SutonnyMJ"/>
    </font>
    <font>
      <b/>
      <sz val="13.5"/>
      <color theme="1"/>
      <name val="SutonnyMJ"/>
    </font>
    <font>
      <b/>
      <u/>
      <sz val="13.5"/>
      <color theme="1"/>
      <name val="SutonnyMJ"/>
    </font>
    <font>
      <b/>
      <sz val="20"/>
      <color theme="1"/>
      <name val="SutonnyMJ"/>
    </font>
    <font>
      <sz val="16"/>
      <color rgb="FF000000"/>
      <name val="SutonnyMJ"/>
    </font>
    <font>
      <u/>
      <sz val="11"/>
      <color theme="10"/>
      <name val="Calibri"/>
      <family val="2"/>
      <scheme val="minor"/>
    </font>
    <font>
      <sz val="11"/>
      <color theme="1"/>
      <name val="Sitka Banner"/>
    </font>
    <font>
      <sz val="13"/>
      <color rgb="FF000000"/>
      <name val="SutonnyMJ"/>
    </font>
    <font>
      <sz val="14"/>
      <color rgb="FFFF0000"/>
      <name val="SutonnyMJ"/>
    </font>
    <font>
      <sz val="21"/>
      <color theme="1"/>
      <name val="Calibri"/>
      <family val="2"/>
      <scheme val="minor"/>
    </font>
    <font>
      <sz val="23"/>
      <color rgb="FF003A00"/>
      <name val="SutonnyMJ"/>
    </font>
    <font>
      <sz val="21"/>
      <color rgb="FF003A00"/>
      <name val="SutonnyMJ"/>
    </font>
    <font>
      <sz val="16"/>
      <color rgb="FF003A00"/>
      <name val="SutonnyMJ"/>
    </font>
    <font>
      <sz val="18"/>
      <color theme="1" tint="0.499984740745262"/>
      <name val="SutonnyMJ"/>
    </font>
    <font>
      <sz val="11"/>
      <name val="Calibri"/>
      <family val="2"/>
      <scheme val="minor"/>
    </font>
    <font>
      <i/>
      <sz val="11"/>
      <color rgb="FF00B050"/>
      <name val="Calibri"/>
      <family val="2"/>
      <scheme val="minor"/>
    </font>
    <font>
      <sz val="11"/>
      <color rgb="FF000000"/>
      <name val="Calibri"/>
      <family val="2"/>
      <scheme val="minor"/>
    </font>
    <font>
      <sz val="11"/>
      <name val="SutonnyMJ"/>
    </font>
    <font>
      <sz val="12"/>
      <color rgb="FF0000FF"/>
      <name val="SutonnyMJ"/>
    </font>
    <font>
      <sz val="13"/>
      <name val="SutonnyMJ"/>
    </font>
    <font>
      <sz val="12"/>
      <color theme="1"/>
      <name val="Nikosh"/>
    </font>
    <font>
      <b/>
      <sz val="13"/>
      <name val="SutonnyMJ"/>
    </font>
    <font>
      <sz val="10"/>
      <color theme="1"/>
      <name val="Calibri"/>
      <family val="2"/>
    </font>
    <font>
      <b/>
      <sz val="16"/>
      <color rgb="FF006600"/>
      <name val="SutonnyMJ"/>
    </font>
    <font>
      <sz val="11"/>
      <color rgb="FF0000FF"/>
      <name val="Calibri"/>
      <family val="2"/>
      <scheme val="minor"/>
    </font>
    <font>
      <b/>
      <sz val="24"/>
      <color rgb="FF006600"/>
      <name val="SutonnyMJ"/>
    </font>
    <font>
      <sz val="11"/>
      <color rgb="FF00B050"/>
      <name val="Calibri"/>
      <family val="2"/>
      <scheme val="minor"/>
    </font>
    <font>
      <b/>
      <sz val="26"/>
      <color rgb="FF00B050"/>
      <name val="SutonnyMJ"/>
    </font>
    <font>
      <b/>
      <sz val="22"/>
      <color rgb="FF006600"/>
      <name val="SutonnyMJ"/>
    </font>
    <font>
      <sz val="14"/>
      <color rgb="FF006600"/>
      <name val="SutonnyMJ"/>
    </font>
    <font>
      <sz val="14"/>
      <color rgb="FF0000FF"/>
      <name val="SutonnyMJ"/>
    </font>
    <font>
      <sz val="14"/>
      <name val="Calibri"/>
      <family val="2"/>
    </font>
    <font>
      <sz val="12"/>
      <name val="NikoshBAN"/>
    </font>
    <font>
      <sz val="11"/>
      <name val="NikoshBAN"/>
    </font>
    <font>
      <sz val="14"/>
      <color theme="1"/>
      <name val="NikoshBAN"/>
    </font>
    <font>
      <sz val="16"/>
      <color rgb="FFFF0000"/>
      <name val="SutonnyMJ"/>
    </font>
    <font>
      <sz val="12"/>
      <color rgb="FFC00000"/>
      <name val="SutonnyMJ"/>
    </font>
    <font>
      <sz val="11"/>
      <color rgb="FFC00000"/>
      <name val="SutonnyMJ"/>
    </font>
    <font>
      <sz val="13"/>
      <color theme="1"/>
      <name val="Times New Roman"/>
      <family val="1"/>
    </font>
    <font>
      <b/>
      <sz val="12"/>
      <color rgb="FF00B050"/>
      <name val="SutonnyMJ"/>
    </font>
    <font>
      <sz val="8"/>
      <name val="Calibri"/>
      <family val="2"/>
      <scheme val="minor"/>
    </font>
    <font>
      <b/>
      <i/>
      <sz val="16"/>
      <color rgb="FF00B050"/>
      <name val="SutonnyMJ"/>
    </font>
    <font>
      <b/>
      <i/>
      <sz val="14"/>
      <color rgb="FF00B050"/>
      <name val="SutonnyMJ"/>
    </font>
    <font>
      <sz val="12"/>
      <color rgb="FF00B050"/>
      <name val="SutonnyMJ"/>
    </font>
    <font>
      <sz val="16"/>
      <color theme="1"/>
      <name val="NikoshBAN"/>
    </font>
    <font>
      <sz val="14"/>
      <color rgb="FF0000FF"/>
      <name val="NikoshBAN"/>
    </font>
    <font>
      <b/>
      <u/>
      <sz val="14"/>
      <color theme="1"/>
      <name val="SutonnyMJ"/>
    </font>
    <font>
      <b/>
      <u/>
      <sz val="20"/>
      <color theme="1"/>
      <name val="Times New Roman"/>
      <family val="1"/>
    </font>
    <font>
      <b/>
      <sz val="14"/>
      <color theme="1"/>
      <name val="Times New Roman"/>
      <family val="1"/>
    </font>
    <font>
      <sz val="9"/>
      <color theme="1"/>
      <name val="Times New Roman"/>
      <family val="1"/>
    </font>
    <font>
      <sz val="14"/>
      <color theme="1"/>
      <name val="Times New Roman"/>
      <family val="1"/>
    </font>
    <font>
      <sz val="6"/>
      <color theme="1"/>
      <name val="Times New Roman"/>
      <family val="1"/>
    </font>
    <font>
      <sz val="77"/>
      <color theme="0" tint="-0.499984740745262"/>
      <name val="SutonnyMJ"/>
    </font>
    <font>
      <sz val="23"/>
      <color theme="1" tint="0.499984740745262"/>
      <name val="SutonnyMJ"/>
    </font>
    <font>
      <b/>
      <sz val="23"/>
      <color theme="1" tint="0.499984740745262"/>
      <name val="SutonnyMJ"/>
    </font>
    <font>
      <b/>
      <sz val="20"/>
      <color theme="1" tint="0.499984740745262"/>
      <name val="SutonnyMJ"/>
    </font>
    <font>
      <b/>
      <u/>
      <sz val="15"/>
      <color theme="1"/>
      <name val="SutonnyMJ"/>
    </font>
    <font>
      <sz val="14"/>
      <color rgb="FF5A2781"/>
      <name val="SutonnyMJ"/>
    </font>
    <font>
      <sz val="12"/>
      <color rgb="FF5A2781"/>
      <name val="SutonnyMJ"/>
    </font>
    <font>
      <b/>
      <u/>
      <sz val="15"/>
      <color rgb="FF0000FF"/>
      <name val="SutonnyMJ"/>
    </font>
    <font>
      <sz val="11"/>
      <name val="Calibri"/>
      <family val="2"/>
    </font>
    <font>
      <sz val="14"/>
      <color indexed="8"/>
      <name val="SutonnyMJ"/>
    </font>
    <font>
      <sz val="11"/>
      <color indexed="8"/>
      <name val="Calibri"/>
      <family val="2"/>
    </font>
    <font>
      <sz val="11"/>
      <color indexed="8"/>
      <name val="AdarshaLipiNormal"/>
    </font>
    <font>
      <sz val="11"/>
      <color indexed="8"/>
      <name val="SulekhaT"/>
    </font>
    <font>
      <sz val="18"/>
      <color indexed="8"/>
      <name val="SutonnyMJ"/>
    </font>
    <font>
      <sz val="11"/>
      <color indexed="8"/>
      <name val="SutonnyMJ"/>
    </font>
    <font>
      <b/>
      <sz val="20"/>
      <color indexed="8"/>
      <name val="SutonnyMJ"/>
    </font>
    <font>
      <b/>
      <sz val="16"/>
      <color indexed="8"/>
      <name val="SutonnyMJ"/>
    </font>
    <font>
      <b/>
      <sz val="14"/>
      <color rgb="FF006600"/>
      <name val="SutonnyMJ"/>
    </font>
    <font>
      <sz val="13"/>
      <color indexed="8"/>
      <name val="SutonnyMJ"/>
    </font>
    <font>
      <sz val="11"/>
      <color indexed="8"/>
      <name val="ArhialkhanMJ"/>
    </font>
    <font>
      <sz val="13"/>
      <color indexed="8"/>
      <name val="Calibri"/>
      <family val="2"/>
    </font>
    <font>
      <sz val="10"/>
      <color indexed="8"/>
      <name val="SutonnyMJ"/>
    </font>
    <font>
      <sz val="10"/>
      <color indexed="8"/>
      <name val="AdarshaLipiNormal"/>
    </font>
    <font>
      <sz val="10"/>
      <color indexed="8"/>
      <name val="Calibri"/>
      <family val="2"/>
    </font>
    <font>
      <sz val="9"/>
      <color indexed="8"/>
      <name val="SutonnyMJ"/>
    </font>
    <font>
      <sz val="12"/>
      <color indexed="8"/>
      <name val="SutonnyMJ"/>
    </font>
    <font>
      <b/>
      <sz val="13"/>
      <color indexed="8"/>
      <name val="SutonnyMJ"/>
    </font>
    <font>
      <sz val="13"/>
      <color indexed="8"/>
      <name val="Times New Roman"/>
      <family val="1"/>
    </font>
    <font>
      <sz val="10"/>
      <color indexed="8"/>
      <name val="Times New Roman"/>
      <family val="1"/>
    </font>
    <font>
      <sz val="13"/>
      <name val="Calibri"/>
      <family val="2"/>
    </font>
    <font>
      <u/>
      <sz val="13"/>
      <color indexed="8"/>
      <name val="SutonnyMJ"/>
    </font>
    <font>
      <sz val="9"/>
      <color indexed="8"/>
      <name val="Calibri"/>
      <family val="2"/>
    </font>
    <font>
      <sz val="14"/>
      <color indexed="8"/>
      <name val="Calibri"/>
      <family val="2"/>
    </font>
    <font>
      <b/>
      <u/>
      <sz val="13"/>
      <color indexed="8"/>
      <name val="SutonnyMJ"/>
    </font>
    <font>
      <sz val="13"/>
      <color indexed="8"/>
      <name val="Nikosh"/>
    </font>
    <font>
      <sz val="13"/>
      <color indexed="12"/>
      <name val="SutonnyMJ"/>
    </font>
    <font>
      <b/>
      <sz val="11"/>
      <color indexed="8"/>
      <name val="Calibri"/>
      <family val="2"/>
    </font>
    <font>
      <sz val="11"/>
      <color indexed="10"/>
      <name val="SutonnyMJ"/>
    </font>
    <font>
      <sz val="13"/>
      <color indexed="12"/>
      <name val="Nikosh"/>
    </font>
    <font>
      <sz val="11.5"/>
      <color indexed="8"/>
      <name val="SutonnyMJ"/>
    </font>
    <font>
      <sz val="11"/>
      <color indexed="12"/>
      <name val="SutonnyMJ"/>
    </font>
    <font>
      <sz val="13"/>
      <color rgb="FFA5A5A5"/>
      <name val="SutonnyMJ"/>
    </font>
    <font>
      <sz val="12"/>
      <color indexed="12"/>
      <name val="SutonnyMJ"/>
    </font>
    <font>
      <sz val="10"/>
      <color indexed="8"/>
      <name val="Cambria"/>
      <family val="1"/>
    </font>
    <font>
      <b/>
      <sz val="13"/>
      <color indexed="8"/>
      <name val="Calibri"/>
      <family val="2"/>
    </font>
    <font>
      <b/>
      <sz val="13"/>
      <color indexed="12"/>
      <name val="SutonnyMJ"/>
    </font>
    <font>
      <b/>
      <sz val="12"/>
      <color indexed="8"/>
      <name val="Cambria"/>
      <family val="1"/>
    </font>
    <font>
      <sz val="12"/>
      <color indexed="12"/>
      <name val="Nikosh"/>
    </font>
    <font>
      <sz val="12"/>
      <color indexed="8"/>
      <name val="Cambria"/>
      <family val="1"/>
    </font>
    <font>
      <b/>
      <sz val="10"/>
      <color indexed="8"/>
      <name val="SutonnyMJ"/>
    </font>
    <font>
      <b/>
      <sz val="12"/>
      <color indexed="8"/>
      <name val="SutonnyMJ"/>
    </font>
    <font>
      <u/>
      <sz val="13"/>
      <color indexed="8"/>
      <name val="Cambria"/>
      <family val="1"/>
    </font>
    <font>
      <sz val="12"/>
      <color indexed="8"/>
      <name val="Calibri"/>
      <family val="2"/>
    </font>
    <font>
      <b/>
      <sz val="23"/>
      <color theme="1"/>
      <name val="SutonnyMJ"/>
    </font>
    <font>
      <sz val="23"/>
      <color theme="1"/>
      <name val="SutonnyMJ"/>
    </font>
    <font>
      <sz val="11"/>
      <color rgb="FFFF0000"/>
      <name val="Calibri"/>
      <family val="2"/>
      <scheme val="minor"/>
    </font>
    <font>
      <sz val="22"/>
      <color theme="1" tint="0.499984740745262"/>
      <name val="SutonnyMJ"/>
    </font>
    <font>
      <sz val="20"/>
      <name val="SutonnyMJ"/>
    </font>
    <font>
      <sz val="14"/>
      <color rgb="FFFF0000"/>
      <name val="Calibri"/>
      <family val="2"/>
      <scheme val="minor"/>
    </font>
    <font>
      <u/>
      <sz val="12"/>
      <color rgb="FFFF0000"/>
      <name val="SutonnyMJ"/>
    </font>
    <font>
      <u/>
      <sz val="11"/>
      <color rgb="FFFF0000"/>
      <name val="SutonnyMJ"/>
    </font>
    <font>
      <sz val="23"/>
      <name val="SutonnyMJ"/>
    </font>
    <font>
      <b/>
      <u/>
      <sz val="15"/>
      <color theme="1"/>
      <name val="TonnyBanglaMJ"/>
    </font>
    <font>
      <sz val="18"/>
      <name val="SutonnyMJ"/>
    </font>
    <font>
      <b/>
      <sz val="14"/>
      <color theme="1"/>
      <name val="TonnyBanglaMJ"/>
    </font>
    <font>
      <sz val="14"/>
      <color theme="1"/>
      <name val="TonnyBanglaMJ"/>
    </font>
    <font>
      <b/>
      <u/>
      <sz val="14"/>
      <color rgb="FF000000"/>
      <name val="SutonnyMJ"/>
    </font>
    <font>
      <b/>
      <sz val="14"/>
      <color rgb="FF000000"/>
      <name val="SutonnyMJ"/>
    </font>
    <font>
      <sz val="12.5"/>
      <color theme="1"/>
      <name val="SutonnyMJ"/>
    </font>
    <font>
      <b/>
      <u/>
      <sz val="20"/>
      <color theme="1"/>
      <name val="TonnyBanglaMJ"/>
    </font>
    <font>
      <b/>
      <u/>
      <sz val="18"/>
      <color theme="1"/>
      <name val="SutonnyMJ"/>
    </font>
    <font>
      <b/>
      <sz val="20"/>
      <name val="SutonnyMJ"/>
    </font>
    <font>
      <b/>
      <u/>
      <sz val="14"/>
      <name val="SutonnyMJ"/>
    </font>
    <font>
      <b/>
      <sz val="16"/>
      <color rgb="FF00B050"/>
      <name val="SutonnyMJ"/>
    </font>
    <font>
      <b/>
      <sz val="18"/>
      <name val="SutonnyMJ"/>
    </font>
    <font>
      <b/>
      <sz val="12"/>
      <color rgb="FFFF0000"/>
      <name val="SutonnyMJ"/>
    </font>
    <font>
      <sz val="16"/>
      <color indexed="8"/>
      <name val="SutonnyMJ"/>
    </font>
    <font>
      <b/>
      <sz val="13"/>
      <color indexed="8"/>
      <name val="Times New Roman"/>
      <family val="1"/>
    </font>
    <font>
      <b/>
      <sz val="14"/>
      <color indexed="8"/>
      <name val="SutonnyMJ"/>
    </font>
    <font>
      <sz val="13"/>
      <color theme="1"/>
      <name val="Arial"/>
      <family val="2"/>
    </font>
    <font>
      <b/>
      <sz val="16"/>
      <color theme="1"/>
      <name val="Times New Roman"/>
      <family val="1"/>
    </font>
    <font>
      <sz val="12"/>
      <name val="Times New Roman"/>
      <family val="1"/>
    </font>
    <font>
      <b/>
      <u/>
      <sz val="14"/>
      <color theme="1"/>
      <name val="Times New Roman"/>
      <family val="1"/>
    </font>
    <font>
      <u/>
      <sz val="14"/>
      <color theme="1"/>
      <name val="Times New Roman"/>
      <family val="1"/>
    </font>
    <font>
      <u/>
      <sz val="16"/>
      <color theme="1"/>
      <name val="SutonnyMJ"/>
    </font>
    <font>
      <i/>
      <sz val="10"/>
      <color rgb="FF00B050"/>
      <name val="SutonnyMJ"/>
    </font>
    <font>
      <sz val="16"/>
      <color theme="1"/>
      <name val="Times New Roman"/>
      <family val="1"/>
    </font>
    <font>
      <sz val="18"/>
      <color theme="1"/>
      <name val="SutonnyOMJ"/>
    </font>
    <font>
      <u/>
      <sz val="16"/>
      <color theme="1"/>
      <name val="SutonnyOMJ"/>
    </font>
    <font>
      <sz val="11"/>
      <color rgb="FF000000"/>
      <name val="Calibri"/>
      <family val="2"/>
    </font>
    <font>
      <b/>
      <sz val="18"/>
      <color theme="1"/>
      <name val="Times New Roman"/>
      <family val="1"/>
    </font>
    <font>
      <u/>
      <sz val="18"/>
      <color theme="1"/>
      <name val="SutonnyMJ"/>
    </font>
  </fonts>
  <fills count="21">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theme="0"/>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rgb="FFFFC000"/>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rgb="FFAFFFAF"/>
        <bgColor indexed="64"/>
      </patternFill>
    </fill>
    <fill>
      <patternFill patternType="solid">
        <fgColor rgb="FFD8D8D8"/>
        <bgColor indexed="64"/>
      </patternFill>
    </fill>
    <fill>
      <patternFill patternType="solid">
        <fgColor theme="8" tint="0.39997558519241921"/>
        <bgColor indexed="64"/>
      </patternFill>
    </fill>
    <fill>
      <patternFill patternType="solid">
        <fgColor theme="0" tint="-4.9989318521683403E-2"/>
        <bgColor indexed="64"/>
      </patternFill>
    </fill>
  </fills>
  <borders count="1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auto="1"/>
      </right>
      <top/>
      <bottom style="thin">
        <color auto="1"/>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medium">
        <color indexed="64"/>
      </left>
      <right style="thin">
        <color auto="1"/>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right/>
      <top style="hair">
        <color auto="1"/>
      </top>
      <bottom style="hair">
        <color auto="1"/>
      </bottom>
      <diagonal/>
    </border>
    <border>
      <left/>
      <right/>
      <top/>
      <bottom style="hair">
        <color auto="1"/>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right style="thin">
        <color indexed="64"/>
      </right>
      <top style="thin">
        <color theme="0" tint="-0.34998626667073579"/>
      </top>
      <bottom style="thin">
        <color theme="0" tint="-0.34998626667073579"/>
      </bottom>
      <diagonal/>
    </border>
    <border>
      <left style="thin">
        <color rgb="FF5BFF5B"/>
      </left>
      <right style="thin">
        <color rgb="FF5BFF5B"/>
      </right>
      <top style="thin">
        <color rgb="FF5BFF5B"/>
      </top>
      <bottom style="thin">
        <color rgb="FF5BFF5B"/>
      </bottom>
      <diagonal/>
    </border>
    <border>
      <left style="thin">
        <color rgb="FF0000FF"/>
      </left>
      <right style="thin">
        <color rgb="FF92D050"/>
      </right>
      <top style="thin">
        <color rgb="FF0000FF"/>
      </top>
      <bottom style="thin">
        <color rgb="FF92D050"/>
      </bottom>
      <diagonal/>
    </border>
    <border>
      <left style="thin">
        <color rgb="FF92D050"/>
      </left>
      <right style="thin">
        <color rgb="FF92D050"/>
      </right>
      <top style="thin">
        <color rgb="FF0000FF"/>
      </top>
      <bottom style="thin">
        <color rgb="FF92D050"/>
      </bottom>
      <diagonal/>
    </border>
    <border>
      <left style="thin">
        <color rgb="FF92D050"/>
      </left>
      <right style="thin">
        <color rgb="FF0000FF"/>
      </right>
      <top style="thin">
        <color rgb="FF0000FF"/>
      </top>
      <bottom style="thin">
        <color rgb="FF92D050"/>
      </bottom>
      <diagonal/>
    </border>
    <border>
      <left style="thin">
        <color rgb="FF0000FF"/>
      </left>
      <right style="thin">
        <color rgb="FF92D050"/>
      </right>
      <top style="thin">
        <color rgb="FF92D050"/>
      </top>
      <bottom style="thin">
        <color rgb="FF92D050"/>
      </bottom>
      <diagonal/>
    </border>
    <border>
      <left style="thin">
        <color rgb="FF92D050"/>
      </left>
      <right style="thin">
        <color rgb="FF92D050"/>
      </right>
      <top style="thin">
        <color rgb="FF92D050"/>
      </top>
      <bottom style="thin">
        <color rgb="FF92D050"/>
      </bottom>
      <diagonal/>
    </border>
    <border>
      <left style="thin">
        <color rgb="FF92D050"/>
      </left>
      <right style="thin">
        <color rgb="FF0000FF"/>
      </right>
      <top style="thin">
        <color rgb="FF92D050"/>
      </top>
      <bottom style="thin">
        <color rgb="FF92D050"/>
      </bottom>
      <diagonal/>
    </border>
    <border>
      <left style="thin">
        <color rgb="FF0000FF"/>
      </left>
      <right style="thin">
        <color rgb="FF92D050"/>
      </right>
      <top style="thin">
        <color rgb="FF92D050"/>
      </top>
      <bottom style="thin">
        <color rgb="FF0000FF"/>
      </bottom>
      <diagonal/>
    </border>
    <border>
      <left style="thin">
        <color rgb="FF92D050"/>
      </left>
      <right style="thin">
        <color rgb="FF92D050"/>
      </right>
      <top style="thin">
        <color rgb="FF92D050"/>
      </top>
      <bottom style="thin">
        <color rgb="FF0000FF"/>
      </bottom>
      <diagonal/>
    </border>
    <border>
      <left style="thin">
        <color rgb="FF92D050"/>
      </left>
      <right style="thin">
        <color rgb="FF0000FF"/>
      </right>
      <top style="thin">
        <color rgb="FF92D050"/>
      </top>
      <bottom style="thin">
        <color rgb="FF0000FF"/>
      </bottom>
      <diagonal/>
    </border>
    <border>
      <left style="medium">
        <color indexed="64"/>
      </left>
      <right style="thin">
        <color indexed="64"/>
      </right>
      <top style="thin">
        <color indexed="64"/>
      </top>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indexed="64"/>
      </left>
      <right style="medium">
        <color indexed="64"/>
      </right>
      <top style="thin">
        <color indexed="64"/>
      </top>
      <bottom/>
      <diagonal/>
    </border>
    <border>
      <left style="thin">
        <color rgb="FF0000FF"/>
      </left>
      <right style="thin">
        <color rgb="FF817E00"/>
      </right>
      <top style="thin">
        <color rgb="FF0000FF"/>
      </top>
      <bottom style="thin">
        <color rgb="FF817E00"/>
      </bottom>
      <diagonal/>
    </border>
    <border>
      <left style="thin">
        <color rgb="FF817E00"/>
      </left>
      <right style="thin">
        <color rgb="FF817E00"/>
      </right>
      <top style="thin">
        <color rgb="FF0000FF"/>
      </top>
      <bottom style="thin">
        <color rgb="FF817E00"/>
      </bottom>
      <diagonal/>
    </border>
    <border>
      <left style="thin">
        <color rgb="FF817E00"/>
      </left>
      <right style="thin">
        <color rgb="FF0000FF"/>
      </right>
      <top style="thin">
        <color rgb="FF0000FF"/>
      </top>
      <bottom style="thin">
        <color rgb="FF817E00"/>
      </bottom>
      <diagonal/>
    </border>
    <border>
      <left style="thin">
        <color rgb="FF0000FF"/>
      </left>
      <right style="thin">
        <color rgb="FF817E00"/>
      </right>
      <top style="thin">
        <color rgb="FF817E00"/>
      </top>
      <bottom style="thin">
        <color rgb="FF817E00"/>
      </bottom>
      <diagonal/>
    </border>
    <border>
      <left style="thin">
        <color rgb="FF817E00"/>
      </left>
      <right style="thin">
        <color rgb="FF817E00"/>
      </right>
      <top style="thin">
        <color rgb="FF817E00"/>
      </top>
      <bottom style="thin">
        <color rgb="FF817E00"/>
      </bottom>
      <diagonal/>
    </border>
    <border>
      <left style="thin">
        <color rgb="FF817E00"/>
      </left>
      <right style="thin">
        <color rgb="FF0000FF"/>
      </right>
      <top style="thin">
        <color rgb="FF817E00"/>
      </top>
      <bottom style="thin">
        <color rgb="FF817E00"/>
      </bottom>
      <diagonal/>
    </border>
    <border>
      <left style="thin">
        <color rgb="FF0000FF"/>
      </left>
      <right style="thin">
        <color rgb="FF817E00"/>
      </right>
      <top style="thin">
        <color rgb="FF817E00"/>
      </top>
      <bottom style="thin">
        <color rgb="FF0000FF"/>
      </bottom>
      <diagonal/>
    </border>
    <border>
      <left style="thin">
        <color rgb="FF817E00"/>
      </left>
      <right style="thin">
        <color rgb="FF817E00"/>
      </right>
      <top style="thin">
        <color rgb="FF817E00"/>
      </top>
      <bottom style="thin">
        <color rgb="FF0000FF"/>
      </bottom>
      <diagonal/>
    </border>
    <border>
      <left style="thin">
        <color rgb="FF817E00"/>
      </left>
      <right style="thin">
        <color rgb="FF0000FF"/>
      </right>
      <top style="thin">
        <color rgb="FF817E00"/>
      </top>
      <bottom style="thin">
        <color rgb="FF0000FF"/>
      </bottom>
      <diagonal/>
    </border>
    <border>
      <left style="thin">
        <color rgb="FF0000FF"/>
      </left>
      <right style="thin">
        <color rgb="FF5BFF5B"/>
      </right>
      <top style="thin">
        <color rgb="FF0000FF"/>
      </top>
      <bottom style="thin">
        <color rgb="FF5BFF5B"/>
      </bottom>
      <diagonal/>
    </border>
    <border>
      <left style="thin">
        <color rgb="FF5BFF5B"/>
      </left>
      <right style="thin">
        <color rgb="FF5BFF5B"/>
      </right>
      <top style="thin">
        <color rgb="FF0000FF"/>
      </top>
      <bottom style="thin">
        <color rgb="FF5BFF5B"/>
      </bottom>
      <diagonal/>
    </border>
    <border>
      <left style="thin">
        <color rgb="FF5BFF5B"/>
      </left>
      <right style="thin">
        <color rgb="FF0000FF"/>
      </right>
      <top style="thin">
        <color rgb="FF0000FF"/>
      </top>
      <bottom style="thin">
        <color rgb="FF5BFF5B"/>
      </bottom>
      <diagonal/>
    </border>
    <border>
      <left style="thin">
        <color rgb="FF0000FF"/>
      </left>
      <right style="thin">
        <color rgb="FF5BFF5B"/>
      </right>
      <top style="thin">
        <color rgb="FF5BFF5B"/>
      </top>
      <bottom style="thin">
        <color rgb="FF5BFF5B"/>
      </bottom>
      <diagonal/>
    </border>
    <border>
      <left style="thin">
        <color rgb="FF5BFF5B"/>
      </left>
      <right style="thin">
        <color rgb="FF0000FF"/>
      </right>
      <top style="thin">
        <color rgb="FF5BFF5B"/>
      </top>
      <bottom style="thin">
        <color rgb="FF5BFF5B"/>
      </bottom>
      <diagonal/>
    </border>
    <border>
      <left style="thin">
        <color rgb="FF0000FF"/>
      </left>
      <right style="thin">
        <color rgb="FF5BFF5B"/>
      </right>
      <top style="thin">
        <color rgb="FF5BFF5B"/>
      </top>
      <bottom style="thin">
        <color rgb="FF0000FF"/>
      </bottom>
      <diagonal/>
    </border>
    <border>
      <left style="thin">
        <color rgb="FF5BFF5B"/>
      </left>
      <right style="thin">
        <color rgb="FF5BFF5B"/>
      </right>
      <top style="thin">
        <color rgb="FF5BFF5B"/>
      </top>
      <bottom style="thin">
        <color rgb="FF0000FF"/>
      </bottom>
      <diagonal/>
    </border>
    <border>
      <left style="thin">
        <color rgb="FF5BFF5B"/>
      </left>
      <right style="thin">
        <color rgb="FF0000FF"/>
      </right>
      <top style="thin">
        <color rgb="FF5BFF5B"/>
      </top>
      <bottom style="thin">
        <color rgb="FF0000FF"/>
      </bottom>
      <diagonal/>
    </border>
    <border>
      <left/>
      <right/>
      <top/>
      <bottom style="dotted">
        <color auto="1"/>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rgb="FF0000FF"/>
      </left>
      <right style="thin">
        <color rgb="FF00B050"/>
      </right>
      <top style="thin">
        <color rgb="FF0000FF"/>
      </top>
      <bottom style="thin">
        <color rgb="FF00B050"/>
      </bottom>
      <diagonal/>
    </border>
    <border>
      <left style="thin">
        <color rgb="FF00B050"/>
      </left>
      <right style="thin">
        <color rgb="FF00B050"/>
      </right>
      <top style="thin">
        <color rgb="FF0000FF"/>
      </top>
      <bottom style="thin">
        <color rgb="FF00B050"/>
      </bottom>
      <diagonal/>
    </border>
    <border>
      <left style="thin">
        <color rgb="FF00B050"/>
      </left>
      <right style="thin">
        <color rgb="FF0000FF"/>
      </right>
      <top style="thin">
        <color rgb="FF0000FF"/>
      </top>
      <bottom style="thin">
        <color rgb="FF00B050"/>
      </bottom>
      <diagonal/>
    </border>
    <border>
      <left style="thin">
        <color rgb="FF0000FF"/>
      </left>
      <right style="thin">
        <color rgb="FF00B050"/>
      </right>
      <top style="thin">
        <color rgb="FF00B050"/>
      </top>
      <bottom style="thin">
        <color rgb="FF00B050"/>
      </bottom>
      <diagonal/>
    </border>
    <border>
      <left style="thin">
        <color rgb="FF00B050"/>
      </left>
      <right style="thin">
        <color rgb="FF00B050"/>
      </right>
      <top style="thin">
        <color rgb="FF00B050"/>
      </top>
      <bottom style="thin">
        <color rgb="FF00B050"/>
      </bottom>
      <diagonal/>
    </border>
    <border>
      <left style="thin">
        <color rgb="FF00B050"/>
      </left>
      <right style="thin">
        <color rgb="FF0000FF"/>
      </right>
      <top style="thin">
        <color rgb="FF00B050"/>
      </top>
      <bottom style="thin">
        <color rgb="FF00B050"/>
      </bottom>
      <diagonal/>
    </border>
    <border>
      <left style="medium">
        <color indexed="64"/>
      </left>
      <right style="thin">
        <color indexed="64"/>
      </right>
      <top/>
      <bottom/>
      <diagonal/>
    </border>
    <border>
      <left style="thin">
        <color theme="1" tint="0.24994659260841701"/>
      </left>
      <right style="thin">
        <color theme="1" tint="0.24994659260841701"/>
      </right>
      <top/>
      <bottom style="thin">
        <color theme="1" tint="0.24994659260841701"/>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top style="thin">
        <color indexed="64"/>
      </top>
      <bottom style="thin">
        <color theme="1" tint="0.24994659260841701"/>
      </bottom>
      <diagonal/>
    </border>
    <border>
      <left/>
      <right style="thin">
        <color theme="1" tint="0.24994659260841701"/>
      </right>
      <top style="thin">
        <color indexed="64"/>
      </top>
      <bottom style="thin">
        <color theme="1" tint="0.24994659260841701"/>
      </bottom>
      <diagonal/>
    </border>
    <border>
      <left style="thin">
        <color theme="1" tint="0.24994659260841701"/>
      </left>
      <right/>
      <top style="thin">
        <color theme="1" tint="0.24994659260841701"/>
      </top>
      <bottom style="thin">
        <color theme="1" tint="0.24994659260841701"/>
      </bottom>
      <diagonal/>
    </border>
    <border>
      <left/>
      <right style="thin">
        <color theme="1" tint="0.24994659260841701"/>
      </right>
      <top style="thin">
        <color theme="1" tint="0.24994659260841701"/>
      </top>
      <bottom style="thin">
        <color theme="1" tint="0.24994659260841701"/>
      </bottom>
      <diagonal/>
    </border>
    <border>
      <left/>
      <right/>
      <top style="thin">
        <color indexed="64"/>
      </top>
      <bottom style="thin">
        <color theme="1" tint="0.24994659260841701"/>
      </bottom>
      <diagonal/>
    </border>
    <border>
      <left style="thin">
        <color theme="1" tint="0.24994659260841701"/>
      </left>
      <right/>
      <top style="thin">
        <color indexed="64"/>
      </top>
      <bottom style="thin">
        <color indexed="64"/>
      </bottom>
      <diagonal/>
    </border>
    <border>
      <left/>
      <right style="thin">
        <color theme="1" tint="0.24994659260841701"/>
      </right>
      <top style="thin">
        <color indexed="64"/>
      </top>
      <bottom style="thin">
        <color indexed="64"/>
      </bottom>
      <diagonal/>
    </border>
    <border>
      <left/>
      <right/>
      <top style="thin">
        <color theme="1" tint="0.24994659260841701"/>
      </top>
      <bottom style="thin">
        <color theme="1" tint="0.24994659260841701"/>
      </bottom>
      <diagonal/>
    </border>
    <border>
      <left style="medium">
        <color indexed="64"/>
      </left>
      <right style="thin">
        <color indexed="64"/>
      </right>
      <top/>
      <bottom style="thin">
        <color indexed="64"/>
      </bottom>
      <diagonal/>
    </border>
    <border>
      <left style="thin">
        <color indexed="64"/>
      </left>
      <right/>
      <top style="thin">
        <color theme="1" tint="0.24994659260841701"/>
      </top>
      <bottom style="thin">
        <color theme="1" tint="0.24994659260841701"/>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s>
  <cellStyleXfs count="7">
    <xf numFmtId="0" fontId="0" fillId="0" borderId="0"/>
    <xf numFmtId="43" fontId="11" fillId="0" borderId="0" applyFont="0" applyFill="0" applyBorder="0" applyAlignment="0" applyProtection="0"/>
    <xf numFmtId="9" fontId="11" fillId="0" borderId="0" applyFont="0" applyFill="0" applyBorder="0" applyAlignment="0" applyProtection="0"/>
    <xf numFmtId="0" fontId="83" fillId="0" borderId="0" applyNumberFormat="0" applyFill="0" applyBorder="0" applyAlignment="0" applyProtection="0"/>
    <xf numFmtId="0" fontId="138" fillId="0" borderId="0">
      <alignment vertical="center"/>
    </xf>
    <xf numFmtId="178" fontId="140" fillId="0" borderId="0" applyFont="0" applyFill="0" applyBorder="0">
      <alignment vertical="top"/>
      <protection locked="0"/>
    </xf>
    <xf numFmtId="9" fontId="140" fillId="0" borderId="0" applyFont="0" applyFill="0" applyBorder="0">
      <alignment vertical="top"/>
      <protection locked="0"/>
    </xf>
  </cellStyleXfs>
  <cellXfs count="2104">
    <xf numFmtId="0" fontId="0" fillId="0" borderId="0" xfId="0"/>
    <xf numFmtId="0" fontId="0" fillId="0" borderId="0" xfId="0" applyAlignment="1">
      <alignment horizontal="left"/>
    </xf>
    <xf numFmtId="0" fontId="1" fillId="0" borderId="0" xfId="0" applyFont="1" applyAlignment="1">
      <alignment horizontal="left" vertical="center" wrapText="1"/>
    </xf>
    <xf numFmtId="0" fontId="1" fillId="0" borderId="0" xfId="0" applyFont="1" applyAlignment="1">
      <alignment horizontal="center" vertical="center" wrapText="1"/>
    </xf>
    <xf numFmtId="0" fontId="0" fillId="0" borderId="0" xfId="0" applyAlignment="1">
      <alignment horizontal="center"/>
    </xf>
    <xf numFmtId="0" fontId="1" fillId="0" borderId="0" xfId="0" applyFont="1" applyAlignment="1">
      <alignment horizontal="left" vertical="center"/>
    </xf>
    <xf numFmtId="0" fontId="10" fillId="0" borderId="0" xfId="0" applyFont="1" applyAlignment="1">
      <alignment horizontal="left" vertical="center" indent="15"/>
    </xf>
    <xf numFmtId="0" fontId="12" fillId="0" borderId="0" xfId="0" applyFont="1" applyAlignment="1">
      <alignment horizontal="center" vertical="center"/>
    </xf>
    <xf numFmtId="0" fontId="13" fillId="0" borderId="0" xfId="0" applyFont="1" applyAlignment="1">
      <alignment horizontal="center" vertical="center"/>
    </xf>
    <xf numFmtId="0" fontId="15" fillId="0" borderId="0" xfId="0" applyFont="1" applyAlignment="1">
      <alignment horizontal="center" vertical="center"/>
    </xf>
    <xf numFmtId="0" fontId="17" fillId="0" borderId="0" xfId="0" applyFont="1"/>
    <xf numFmtId="0" fontId="16" fillId="0" borderId="0" xfId="0" applyFont="1" applyAlignment="1">
      <alignment horizontal="center" vertical="center"/>
    </xf>
    <xf numFmtId="0" fontId="3" fillId="0" borderId="0" xfId="0" applyFont="1" applyAlignment="1">
      <alignment vertical="center"/>
    </xf>
    <xf numFmtId="0" fontId="22" fillId="0" borderId="0" xfId="0" applyFont="1" applyAlignment="1">
      <alignment vertical="center"/>
    </xf>
    <xf numFmtId="0" fontId="3" fillId="0" borderId="0" xfId="0" applyFont="1" applyAlignment="1">
      <alignment horizontal="justify" vertical="center"/>
    </xf>
    <xf numFmtId="0" fontId="10" fillId="0" borderId="0" xfId="0" applyFont="1" applyAlignment="1">
      <alignment horizontal="justify" vertical="center"/>
    </xf>
    <xf numFmtId="0" fontId="25" fillId="0" borderId="0" xfId="0" applyFont="1" applyAlignment="1">
      <alignment horizontal="justify" vertical="center"/>
    </xf>
    <xf numFmtId="0" fontId="0" fillId="0" borderId="0" xfId="0" applyAlignment="1">
      <alignment vertical="center"/>
    </xf>
    <xf numFmtId="0" fontId="0" fillId="0" borderId="13" xfId="0" applyBorder="1"/>
    <xf numFmtId="0" fontId="0" fillId="0" borderId="14" xfId="0" applyBorder="1"/>
    <xf numFmtId="0" fontId="0" fillId="0" borderId="11" xfId="0" applyBorder="1"/>
    <xf numFmtId="0" fontId="0" fillId="0" borderId="1" xfId="0" applyBorder="1"/>
    <xf numFmtId="0" fontId="0" fillId="0" borderId="2" xfId="0" applyBorder="1"/>
    <xf numFmtId="0" fontId="3" fillId="0" borderId="0" xfId="0" applyFont="1"/>
    <xf numFmtId="0" fontId="1" fillId="0" borderId="0" xfId="0" applyFont="1" applyAlignment="1">
      <alignment vertical="center" wrapText="1"/>
    </xf>
    <xf numFmtId="0" fontId="4" fillId="0" borderId="0" xfId="0" applyFont="1" applyAlignment="1">
      <alignment vertical="center"/>
    </xf>
    <xf numFmtId="0" fontId="4" fillId="0" borderId="0" xfId="0" applyFont="1"/>
    <xf numFmtId="0" fontId="4" fillId="0" borderId="0" xfId="0" applyFont="1" applyAlignment="1">
      <alignment horizontal="left" vertical="top"/>
    </xf>
    <xf numFmtId="0" fontId="4" fillId="0" borderId="0" xfId="0" applyFont="1" applyAlignment="1">
      <alignment horizontal="left"/>
    </xf>
    <xf numFmtId="0" fontId="4" fillId="0" borderId="0" xfId="0" applyFont="1" applyAlignment="1">
      <alignment vertical="top"/>
    </xf>
    <xf numFmtId="0" fontId="3" fillId="0" borderId="0" xfId="0" applyFont="1" applyAlignment="1">
      <alignment horizontal="left" vertical="center"/>
    </xf>
    <xf numFmtId="0" fontId="3" fillId="0" borderId="0" xfId="0" applyFont="1" applyAlignment="1">
      <alignment horizontal="left" vertical="top"/>
    </xf>
    <xf numFmtId="0" fontId="4" fillId="0" borderId="0" xfId="0" applyFont="1" applyAlignment="1">
      <alignment horizontal="center" vertical="center"/>
    </xf>
    <xf numFmtId="0" fontId="0" fillId="0" borderId="0" xfId="0" applyAlignment="1">
      <alignment horizontal="left" vertical="top"/>
    </xf>
    <xf numFmtId="0" fontId="18" fillId="0" borderId="0" xfId="0" applyFont="1" applyAlignment="1">
      <alignment vertical="center"/>
    </xf>
    <xf numFmtId="0" fontId="3" fillId="0" borderId="4" xfId="0" applyFont="1" applyBorder="1" applyAlignment="1">
      <alignment vertical="center" wrapText="1"/>
    </xf>
    <xf numFmtId="0" fontId="18" fillId="0" borderId="0" xfId="0" applyFont="1" applyAlignment="1">
      <alignment horizontal="left" vertical="top"/>
    </xf>
    <xf numFmtId="0" fontId="1" fillId="0" borderId="0" xfId="0" applyFont="1" applyAlignment="1">
      <alignment horizontal="left" vertical="top"/>
    </xf>
    <xf numFmtId="0" fontId="4" fillId="0" borderId="2" xfId="0" applyFont="1" applyBorder="1" applyAlignment="1">
      <alignment horizontal="center" vertical="center" wrapText="1"/>
    </xf>
    <xf numFmtId="0" fontId="3" fillId="0" borderId="0" xfId="0" applyFont="1" applyAlignment="1">
      <alignment vertical="top"/>
    </xf>
    <xf numFmtId="0" fontId="3" fillId="0" borderId="4" xfId="0" applyFont="1" applyBorder="1"/>
    <xf numFmtId="0" fontId="3" fillId="0" borderId="0" xfId="0" applyFont="1" applyAlignment="1">
      <alignment horizontal="justify" vertical="top" wrapText="1"/>
    </xf>
    <xf numFmtId="0" fontId="4" fillId="0" borderId="0" xfId="0" applyFont="1" applyAlignment="1">
      <alignment vertical="center" wrapText="1"/>
    </xf>
    <xf numFmtId="0" fontId="3" fillId="0" borderId="0" xfId="0" applyFont="1" applyAlignment="1">
      <alignment horizontal="left" vertical="center" wrapText="1"/>
    </xf>
    <xf numFmtId="14" fontId="3" fillId="0" borderId="0" xfId="0" applyNumberFormat="1" applyFont="1" applyAlignment="1">
      <alignment vertical="center" wrapText="1"/>
    </xf>
    <xf numFmtId="14" fontId="3" fillId="0" borderId="5" xfId="0" applyNumberFormat="1" applyFont="1" applyBorder="1" applyAlignment="1">
      <alignment vertical="center" wrapText="1"/>
    </xf>
    <xf numFmtId="0" fontId="26" fillId="0" borderId="0" xfId="0" applyFont="1" applyAlignment="1">
      <alignment vertical="center"/>
    </xf>
    <xf numFmtId="0" fontId="26" fillId="0" borderId="0" xfId="0" applyFont="1" applyAlignment="1">
      <alignment horizontal="left" vertical="center" wrapText="1"/>
    </xf>
    <xf numFmtId="0" fontId="0" fillId="0" borderId="0" xfId="0" applyAlignment="1">
      <alignment horizontal="left" vertical="center" wrapText="1"/>
    </xf>
    <xf numFmtId="0" fontId="0" fillId="0" borderId="4" xfId="0" applyBorder="1"/>
    <xf numFmtId="0" fontId="3" fillId="0" borderId="0" xfId="0" applyFont="1" applyAlignment="1">
      <alignment horizontal="right" vertical="center"/>
    </xf>
    <xf numFmtId="0" fontId="0" fillId="0" borderId="0" xfId="0" applyAlignment="1">
      <alignment vertical="top"/>
    </xf>
    <xf numFmtId="0" fontId="3" fillId="0" borderId="0" xfId="0" applyFont="1" applyAlignment="1">
      <alignment vertical="center" wrapText="1"/>
    </xf>
    <xf numFmtId="0" fontId="0" fillId="0" borderId="0" xfId="0" applyAlignment="1">
      <alignment horizontal="right" vertical="top"/>
    </xf>
    <xf numFmtId="0" fontId="3" fillId="0" borderId="0" xfId="0" applyFont="1" applyAlignment="1">
      <alignment horizontal="right" vertical="top" wrapText="1"/>
    </xf>
    <xf numFmtId="14" fontId="3" fillId="0" borderId="0" xfId="0" applyNumberFormat="1" applyFont="1" applyAlignment="1">
      <alignment horizontal="center" vertical="center" wrapText="1"/>
    </xf>
    <xf numFmtId="0" fontId="0" fillId="0" borderId="3" xfId="0" applyBorder="1"/>
    <xf numFmtId="0" fontId="22" fillId="0" borderId="4" xfId="0" applyFont="1" applyBorder="1" applyAlignment="1">
      <alignment vertical="center"/>
    </xf>
    <xf numFmtId="14" fontId="3" fillId="0" borderId="4" xfId="0" applyNumberFormat="1" applyFont="1" applyBorder="1" applyAlignment="1">
      <alignment vertical="center" wrapText="1"/>
    </xf>
    <xf numFmtId="0" fontId="23" fillId="0" borderId="0" xfId="0" applyFont="1" applyAlignment="1">
      <alignment horizontal="right" vertical="center"/>
    </xf>
    <xf numFmtId="0" fontId="26" fillId="0" borderId="0" xfId="0" applyFont="1" applyAlignment="1">
      <alignment vertical="center" wrapText="1"/>
    </xf>
    <xf numFmtId="0" fontId="3" fillId="0" borderId="2" xfId="0" applyFont="1" applyBorder="1" applyAlignment="1">
      <alignment horizontal="center" vertical="center" wrapText="1"/>
    </xf>
    <xf numFmtId="0" fontId="3" fillId="0" borderId="0" xfId="0" applyFont="1" applyAlignment="1">
      <alignment horizontal="left"/>
    </xf>
    <xf numFmtId="0" fontId="3" fillId="0" borderId="0" xfId="0" applyFont="1" applyAlignment="1">
      <alignment vertical="top" wrapText="1"/>
    </xf>
    <xf numFmtId="0" fontId="1" fillId="0" borderId="0" xfId="0" applyFont="1" applyAlignment="1">
      <alignment vertical="top"/>
    </xf>
    <xf numFmtId="0" fontId="38" fillId="0" borderId="0" xfId="0" applyFont="1"/>
    <xf numFmtId="0" fontId="1" fillId="0" borderId="0" xfId="0" applyFont="1" applyAlignment="1">
      <alignment vertical="center"/>
    </xf>
    <xf numFmtId="0" fontId="38" fillId="0" borderId="0" xfId="0" applyFont="1" applyAlignment="1">
      <alignment vertical="center"/>
    </xf>
    <xf numFmtId="0" fontId="1" fillId="0" borderId="0" xfId="0" applyFont="1"/>
    <xf numFmtId="0" fontId="3" fillId="0" borderId="2" xfId="0" applyFont="1" applyBorder="1" applyAlignment="1">
      <alignment vertical="top"/>
    </xf>
    <xf numFmtId="0" fontId="8" fillId="0" borderId="0" xfId="0" applyFont="1" applyAlignment="1">
      <alignment horizontal="left" vertical="center"/>
    </xf>
    <xf numFmtId="0" fontId="38" fillId="0" borderId="0" xfId="0" applyFont="1" applyAlignment="1">
      <alignment horizontal="left"/>
    </xf>
    <xf numFmtId="0" fontId="18" fillId="0" borderId="0" xfId="0" applyFont="1"/>
    <xf numFmtId="0" fontId="38" fillId="0" borderId="0" xfId="0" applyFont="1" applyAlignment="1">
      <alignment horizontal="center"/>
    </xf>
    <xf numFmtId="0" fontId="8" fillId="0" borderId="0" xfId="0" applyFont="1" applyAlignment="1">
      <alignment vertical="center"/>
    </xf>
    <xf numFmtId="0" fontId="8" fillId="0" borderId="2" xfId="0" applyFont="1" applyBorder="1" applyAlignment="1">
      <alignment vertical="center"/>
    </xf>
    <xf numFmtId="0" fontId="39" fillId="0" borderId="0" xfId="0" applyFont="1"/>
    <xf numFmtId="0" fontId="9" fillId="0" borderId="0" xfId="0" applyFont="1" applyAlignment="1">
      <alignment vertical="center" wrapText="1"/>
    </xf>
    <xf numFmtId="0" fontId="39" fillId="0" borderId="0" xfId="0" applyFont="1" applyAlignment="1">
      <alignment horizontal="left"/>
    </xf>
    <xf numFmtId="0" fontId="34" fillId="0" borderId="0" xfId="0" applyFont="1" applyAlignment="1">
      <alignment horizontal="left" vertical="center"/>
    </xf>
    <xf numFmtId="0" fontId="9" fillId="0" borderId="0" xfId="0" applyFont="1" applyAlignment="1">
      <alignment horizontal="left" vertical="center"/>
    </xf>
    <xf numFmtId="0" fontId="1" fillId="0" borderId="3" xfId="0" applyFont="1" applyBorder="1" applyAlignment="1">
      <alignment vertical="top" wrapText="1"/>
    </xf>
    <xf numFmtId="0" fontId="1" fillId="0" borderId="4" xfId="0" applyFont="1" applyBorder="1" applyAlignment="1">
      <alignment vertical="top"/>
    </xf>
    <xf numFmtId="0" fontId="1" fillId="0" borderId="5" xfId="0" applyFont="1" applyBorder="1" applyAlignment="1">
      <alignment vertical="top"/>
    </xf>
    <xf numFmtId="0" fontId="1" fillId="0" borderId="13" xfId="0" applyFont="1" applyBorder="1" applyAlignment="1">
      <alignment vertical="top" wrapText="1"/>
    </xf>
    <xf numFmtId="0" fontId="38" fillId="0" borderId="0" xfId="0" applyFont="1" applyAlignment="1">
      <alignment horizontal="left" vertical="top"/>
    </xf>
    <xf numFmtId="0" fontId="38" fillId="0" borderId="0" xfId="0" applyFont="1" applyAlignment="1">
      <alignment horizontal="center" wrapText="1"/>
    </xf>
    <xf numFmtId="0" fontId="1" fillId="0" borderId="0" xfId="0" applyFont="1" applyAlignment="1">
      <alignment horizontal="left"/>
    </xf>
    <xf numFmtId="0" fontId="1" fillId="0" borderId="2" xfId="0" applyFont="1" applyBorder="1"/>
    <xf numFmtId="0" fontId="38" fillId="0" borderId="0" xfId="0" applyFont="1" applyAlignment="1">
      <alignment horizontal="left" wrapText="1"/>
    </xf>
    <xf numFmtId="0" fontId="38" fillId="0" borderId="0" xfId="0" applyFont="1" applyAlignment="1">
      <alignment wrapText="1"/>
    </xf>
    <xf numFmtId="0" fontId="40" fillId="0" borderId="0" xfId="0" applyFont="1"/>
    <xf numFmtId="0" fontId="40" fillId="0" borderId="0" xfId="0" applyFont="1" applyAlignment="1">
      <alignment vertical="top"/>
    </xf>
    <xf numFmtId="0" fontId="34" fillId="0" borderId="0" xfId="0" applyFont="1" applyAlignment="1">
      <alignment vertical="center"/>
    </xf>
    <xf numFmtId="0" fontId="1" fillId="0" borderId="0" xfId="0" applyFont="1" applyAlignment="1">
      <alignment horizontal="justify" vertical="justify" wrapText="1"/>
    </xf>
    <xf numFmtId="0" fontId="42" fillId="0" borderId="0" xfId="0" applyFont="1" applyAlignment="1">
      <alignment horizontal="center" vertical="center"/>
    </xf>
    <xf numFmtId="0" fontId="43" fillId="0" borderId="0" xfId="0"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center" vertical="center"/>
    </xf>
    <xf numFmtId="0" fontId="46" fillId="0" borderId="0" xfId="0" applyFont="1" applyAlignment="1">
      <alignment horizontal="justify" vertical="center"/>
    </xf>
    <xf numFmtId="0" fontId="21" fillId="0" borderId="0" xfId="0" applyFont="1" applyAlignment="1">
      <alignment horizontal="center" vertical="center"/>
    </xf>
    <xf numFmtId="0" fontId="21" fillId="0" borderId="0" xfId="0" applyFont="1" applyAlignment="1">
      <alignment vertical="center"/>
    </xf>
    <xf numFmtId="0" fontId="34" fillId="0" borderId="0" xfId="0" applyFont="1" applyAlignment="1">
      <alignment horizontal="justify" vertical="center" wrapText="1"/>
    </xf>
    <xf numFmtId="0" fontId="49" fillId="0" borderId="0" xfId="0" applyFont="1" applyAlignment="1">
      <alignment horizontal="left" vertical="center"/>
    </xf>
    <xf numFmtId="0" fontId="49" fillId="0" borderId="0" xfId="0" applyFont="1" applyAlignment="1">
      <alignment horizontal="left" vertical="justify" wrapText="1"/>
    </xf>
    <xf numFmtId="0" fontId="1" fillId="0" borderId="0" xfId="0" applyFont="1" applyAlignment="1">
      <alignment vertical="top" wrapText="1"/>
    </xf>
    <xf numFmtId="0" fontId="1" fillId="0" borderId="0" xfId="0" applyFont="1" applyAlignment="1">
      <alignment horizontal="right" vertical="center"/>
    </xf>
    <xf numFmtId="168" fontId="1" fillId="0" borderId="0" xfId="1" applyNumberFormat="1" applyFont="1" applyBorder="1" applyAlignment="1">
      <alignment horizontal="center" vertical="center" wrapText="1"/>
    </xf>
    <xf numFmtId="165" fontId="1" fillId="0" borderId="0" xfId="1" applyNumberFormat="1" applyFont="1" applyBorder="1" applyAlignment="1">
      <alignment horizontal="center"/>
    </xf>
    <xf numFmtId="0" fontId="9" fillId="0" borderId="4" xfId="0" applyFont="1" applyBorder="1" applyAlignment="1">
      <alignment horizontal="left" vertical="center"/>
    </xf>
    <xf numFmtId="0" fontId="53" fillId="0" borderId="0" xfId="0" applyFont="1"/>
    <xf numFmtId="14" fontId="3" fillId="0" borderId="0" xfId="0" applyNumberFormat="1" applyFont="1" applyAlignment="1">
      <alignment vertical="center"/>
    </xf>
    <xf numFmtId="0" fontId="55" fillId="0" borderId="0" xfId="0" applyFont="1"/>
    <xf numFmtId="0" fontId="7" fillId="0" borderId="0" xfId="0" applyFont="1" applyAlignment="1">
      <alignment horizontal="left" vertical="top"/>
    </xf>
    <xf numFmtId="0" fontId="3" fillId="7" borderId="2" xfId="0" applyFont="1" applyFill="1" applyBorder="1"/>
    <xf numFmtId="0" fontId="4" fillId="8" borderId="2" xfId="0" applyFont="1" applyFill="1" applyBorder="1"/>
    <xf numFmtId="0" fontId="3" fillId="8" borderId="2" xfId="0" applyFont="1" applyFill="1" applyBorder="1"/>
    <xf numFmtId="0" fontId="3" fillId="9" borderId="2" xfId="0" applyFont="1" applyFill="1" applyBorder="1"/>
    <xf numFmtId="0" fontId="26" fillId="0" borderId="0" xfId="0" applyFont="1" applyAlignment="1">
      <alignment horizontal="left" vertical="top"/>
    </xf>
    <xf numFmtId="0" fontId="3" fillId="0" borderId="0" xfId="0" applyFont="1" applyAlignment="1">
      <alignment horizontal="right" vertical="top"/>
    </xf>
    <xf numFmtId="0" fontId="56" fillId="0" borderId="0" xfId="0" applyFont="1" applyAlignment="1">
      <alignment horizontal="left" vertical="top"/>
    </xf>
    <xf numFmtId="165" fontId="26" fillId="0" borderId="0" xfId="0" applyNumberFormat="1" applyFont="1" applyAlignment="1">
      <alignment horizontal="left" vertical="top"/>
    </xf>
    <xf numFmtId="165" fontId="18" fillId="0" borderId="0" xfId="0" applyNumberFormat="1" applyFont="1" applyAlignment="1">
      <alignment horizontal="left" vertical="top"/>
    </xf>
    <xf numFmtId="0" fontId="1" fillId="0" borderId="0" xfId="0" applyFont="1" applyAlignment="1">
      <alignment horizontal="center" vertical="center"/>
    </xf>
    <xf numFmtId="0" fontId="34" fillId="0" borderId="0" xfId="0" applyFont="1" applyAlignment="1">
      <alignment horizontal="center" vertical="center"/>
    </xf>
    <xf numFmtId="0" fontId="18" fillId="0" borderId="0" xfId="0" applyFont="1" applyAlignment="1">
      <alignment horizontal="center" vertical="center"/>
    </xf>
    <xf numFmtId="0" fontId="23" fillId="0" borderId="0" xfId="0" applyFont="1" applyAlignment="1">
      <alignment horizontal="center" vertical="center"/>
    </xf>
    <xf numFmtId="0" fontId="34" fillId="0" borderId="0" xfId="0" applyFont="1" applyAlignment="1">
      <alignment horizontal="right" vertical="center"/>
    </xf>
    <xf numFmtId="0" fontId="9" fillId="0" borderId="0" xfId="0" applyFont="1" applyAlignment="1">
      <alignment vertical="center"/>
    </xf>
    <xf numFmtId="43" fontId="4" fillId="0" borderId="2" xfId="1" applyFont="1" applyBorder="1" applyAlignment="1">
      <alignment horizontal="center" vertical="center" wrapText="1"/>
    </xf>
    <xf numFmtId="0" fontId="20" fillId="0" borderId="0" xfId="0" applyFont="1" applyAlignment="1">
      <alignment vertical="top" wrapText="1"/>
    </xf>
    <xf numFmtId="0" fontId="3" fillId="0" borderId="0" xfId="0" applyFont="1" applyAlignment="1">
      <alignment horizontal="center" vertical="center" wrapText="1"/>
    </xf>
    <xf numFmtId="0" fontId="4" fillId="0" borderId="2" xfId="0" applyFont="1" applyBorder="1" applyAlignment="1">
      <alignment vertical="center" wrapText="1"/>
    </xf>
    <xf numFmtId="0" fontId="1" fillId="0" borderId="4" xfId="0" applyFont="1" applyBorder="1" applyAlignment="1">
      <alignment vertical="center" wrapText="1"/>
    </xf>
    <xf numFmtId="0" fontId="0" fillId="0" borderId="0" xfId="0" applyAlignment="1">
      <alignment vertical="top" wrapText="1"/>
    </xf>
    <xf numFmtId="0" fontId="1" fillId="0" borderId="4" xfId="0" applyFont="1" applyBorder="1"/>
    <xf numFmtId="14" fontId="1" fillId="0" borderId="5" xfId="0" applyNumberFormat="1" applyFont="1" applyBorder="1" applyAlignment="1">
      <alignment vertical="center" wrapText="1"/>
    </xf>
    <xf numFmtId="0" fontId="59" fillId="0" borderId="0" xfId="0" applyFont="1"/>
    <xf numFmtId="14" fontId="1" fillId="0" borderId="0" xfId="0" applyNumberFormat="1" applyFont="1" applyAlignment="1">
      <alignment horizontal="center" vertical="center" wrapText="1"/>
    </xf>
    <xf numFmtId="14" fontId="1" fillId="0" borderId="0" xfId="0" applyNumberFormat="1" applyFont="1" applyAlignment="1">
      <alignment vertical="center" wrapText="1"/>
    </xf>
    <xf numFmtId="0" fontId="1" fillId="0" borderId="0" xfId="0" applyFont="1" applyAlignment="1">
      <alignment horizontal="right" vertical="top" wrapText="1"/>
    </xf>
    <xf numFmtId="0" fontId="38" fillId="0" borderId="0" xfId="0" applyFont="1" applyAlignment="1">
      <alignment vertical="top"/>
    </xf>
    <xf numFmtId="0" fontId="13" fillId="0" borderId="0" xfId="0" applyFont="1" applyAlignment="1">
      <alignment vertical="center" wrapText="1"/>
    </xf>
    <xf numFmtId="14" fontId="34" fillId="0" borderId="0" xfId="0" applyNumberFormat="1" applyFont="1" applyAlignment="1">
      <alignment horizontal="center" vertical="center" wrapText="1"/>
    </xf>
    <xf numFmtId="14" fontId="34" fillId="0" borderId="0" xfId="0" applyNumberFormat="1" applyFont="1" applyAlignment="1">
      <alignment vertical="center" wrapText="1"/>
    </xf>
    <xf numFmtId="0" fontId="34" fillId="0" borderId="0" xfId="0" applyFont="1"/>
    <xf numFmtId="0" fontId="34" fillId="0" borderId="0" xfId="0" applyFont="1" applyAlignment="1">
      <alignment vertical="center" wrapText="1"/>
    </xf>
    <xf numFmtId="0" fontId="64" fillId="0" borderId="0" xfId="0" applyFont="1" applyAlignment="1">
      <alignment horizontal="left"/>
    </xf>
    <xf numFmtId="0" fontId="54" fillId="0" borderId="0" xfId="0" applyFont="1" applyAlignment="1">
      <alignment vertical="center"/>
    </xf>
    <xf numFmtId="0" fontId="54" fillId="0" borderId="0" xfId="0" applyFont="1" applyAlignment="1">
      <alignment horizontal="left" vertical="center"/>
    </xf>
    <xf numFmtId="0" fontId="30" fillId="0" borderId="0" xfId="0" applyFont="1" applyAlignment="1">
      <alignment horizontal="center" vertical="center"/>
    </xf>
    <xf numFmtId="0" fontId="4" fillId="0" borderId="2" xfId="0" applyFont="1" applyBorder="1" applyAlignment="1">
      <alignment horizontal="right" vertical="center" wrapText="1"/>
    </xf>
    <xf numFmtId="43" fontId="4" fillId="0" borderId="2" xfId="1" applyFont="1" applyBorder="1" applyAlignment="1">
      <alignment vertical="center" wrapText="1"/>
    </xf>
    <xf numFmtId="0" fontId="67" fillId="0" borderId="0" xfId="0" applyFont="1" applyAlignment="1">
      <alignment vertical="center"/>
    </xf>
    <xf numFmtId="0" fontId="67" fillId="0" borderId="0" xfId="0" applyFont="1"/>
    <xf numFmtId="0" fontId="18" fillId="0" borderId="0" xfId="0" applyFont="1" applyAlignment="1">
      <alignment horizontal="left"/>
    </xf>
    <xf numFmtId="43" fontId="4" fillId="0" borderId="0" xfId="0" applyNumberFormat="1" applyFont="1"/>
    <xf numFmtId="0" fontId="68" fillId="0" borderId="0" xfId="0" applyFont="1" applyAlignment="1">
      <alignment vertical="center" wrapText="1"/>
    </xf>
    <xf numFmtId="0" fontId="69" fillId="0" borderId="0" xfId="0" applyFont="1" applyAlignment="1">
      <alignment vertical="center" wrapText="1"/>
    </xf>
    <xf numFmtId="0" fontId="70" fillId="0" borderId="0" xfId="0" applyFont="1" applyAlignment="1">
      <alignment vertical="center" wrapText="1"/>
    </xf>
    <xf numFmtId="0" fontId="71" fillId="0" borderId="0" xfId="0" applyFont="1" applyAlignment="1">
      <alignment vertical="center" wrapText="1"/>
    </xf>
    <xf numFmtId="0" fontId="4" fillId="0" borderId="0" xfId="0" applyFont="1" applyAlignment="1">
      <alignment horizontal="right" vertical="center" wrapText="1"/>
    </xf>
    <xf numFmtId="0" fontId="68" fillId="0" borderId="0" xfId="0" applyFont="1" applyAlignment="1">
      <alignment vertical="top" wrapText="1"/>
    </xf>
    <xf numFmtId="0" fontId="72" fillId="0" borderId="0" xfId="0" applyFont="1" applyAlignment="1">
      <alignment vertical="center" wrapText="1"/>
    </xf>
    <xf numFmtId="0" fontId="3" fillId="0" borderId="0" xfId="0" applyFont="1" applyAlignment="1">
      <alignment wrapText="1"/>
    </xf>
    <xf numFmtId="164" fontId="4" fillId="0" borderId="2" xfId="0" applyNumberFormat="1" applyFont="1" applyBorder="1" applyAlignment="1">
      <alignment vertical="center" wrapText="1"/>
    </xf>
    <xf numFmtId="0" fontId="3" fillId="10" borderId="2" xfId="0" applyFont="1" applyFill="1" applyBorder="1"/>
    <xf numFmtId="0" fontId="0" fillId="10" borderId="2" xfId="0" applyFill="1" applyBorder="1"/>
    <xf numFmtId="0" fontId="3" fillId="0" borderId="0" xfId="0" applyFont="1" applyAlignment="1">
      <alignment horizontal="right" vertical="center" wrapText="1"/>
    </xf>
    <xf numFmtId="0" fontId="3" fillId="0" borderId="24" xfId="0" applyFont="1" applyBorder="1" applyAlignment="1">
      <alignment wrapText="1"/>
    </xf>
    <xf numFmtId="0" fontId="37" fillId="0" borderId="44" xfId="0" applyFont="1" applyBorder="1" applyAlignment="1">
      <alignment wrapText="1"/>
    </xf>
    <xf numFmtId="0" fontId="3" fillId="0" borderId="44" xfId="0" applyFont="1" applyBorder="1"/>
    <xf numFmtId="0" fontId="3" fillId="0" borderId="44" xfId="0" applyFont="1" applyBorder="1" applyAlignment="1">
      <alignment wrapText="1"/>
    </xf>
    <xf numFmtId="0" fontId="3" fillId="0" borderId="26" xfId="0" applyFont="1" applyBorder="1" applyAlignment="1">
      <alignment wrapText="1"/>
    </xf>
    <xf numFmtId="0" fontId="37" fillId="0" borderId="45" xfId="0" applyFont="1" applyBorder="1" applyAlignment="1">
      <alignment wrapText="1"/>
    </xf>
    <xf numFmtId="0" fontId="3" fillId="0" borderId="45" xfId="0" applyFont="1" applyBorder="1"/>
    <xf numFmtId="0" fontId="3" fillId="0" borderId="45" xfId="0" applyFont="1" applyBorder="1" applyAlignment="1">
      <alignment wrapText="1"/>
    </xf>
    <xf numFmtId="0" fontId="3" fillId="0" borderId="42" xfId="0" applyFont="1" applyBorder="1" applyAlignment="1">
      <alignment vertical="center"/>
    </xf>
    <xf numFmtId="0" fontId="3" fillId="0" borderId="43" xfId="0" applyFont="1" applyBorder="1" applyAlignment="1">
      <alignment vertical="top" wrapText="1"/>
    </xf>
    <xf numFmtId="9" fontId="37" fillId="0" borderId="43" xfId="2" applyFont="1" applyBorder="1" applyAlignment="1">
      <alignment horizontal="center" vertical="center"/>
    </xf>
    <xf numFmtId="0" fontId="37" fillId="0" borderId="44" xfId="0" applyFont="1" applyBorder="1" applyAlignment="1">
      <alignment vertical="center" wrapText="1"/>
    </xf>
    <xf numFmtId="0" fontId="37" fillId="0" borderId="45" xfId="0" applyFont="1" applyBorder="1" applyAlignment="1">
      <alignment vertical="center" wrapText="1"/>
    </xf>
    <xf numFmtId="0" fontId="3" fillId="0" borderId="43" xfId="0" applyFont="1" applyBorder="1"/>
    <xf numFmtId="0" fontId="1" fillId="0" borderId="0" xfId="0" applyFont="1" applyAlignment="1">
      <alignment horizontal="justify" vertical="center"/>
    </xf>
    <xf numFmtId="0" fontId="4" fillId="0" borderId="0" xfId="0" applyFont="1" applyAlignment="1">
      <alignment horizontal="center" vertical="center" wrapText="1"/>
    </xf>
    <xf numFmtId="0" fontId="3" fillId="11" borderId="2" xfId="0" applyFont="1" applyFill="1" applyBorder="1" applyAlignment="1">
      <alignment horizontal="left"/>
    </xf>
    <xf numFmtId="0" fontId="3" fillId="11" borderId="2" xfId="0" applyFont="1" applyFill="1" applyBorder="1"/>
    <xf numFmtId="0" fontId="0" fillId="11" borderId="2" xfId="0" applyFill="1" applyBorder="1"/>
    <xf numFmtId="0" fontId="40" fillId="0" borderId="0" xfId="0" applyFont="1" applyAlignment="1">
      <alignment vertical="center"/>
    </xf>
    <xf numFmtId="0" fontId="38" fillId="0" borderId="0" xfId="0" applyFont="1" applyAlignment="1">
      <alignment horizontal="center" vertical="center"/>
    </xf>
    <xf numFmtId="0" fontId="38" fillId="0" borderId="0" xfId="0" applyFont="1" applyAlignment="1">
      <alignment horizontal="left" vertical="center"/>
    </xf>
    <xf numFmtId="0" fontId="34" fillId="0" borderId="0" xfId="0" applyFont="1" applyAlignment="1">
      <alignment vertical="top" wrapText="1"/>
    </xf>
    <xf numFmtId="0" fontId="79" fillId="0" borderId="0" xfId="0" applyFont="1" applyAlignment="1">
      <alignment vertical="center"/>
    </xf>
    <xf numFmtId="0" fontId="29" fillId="0" borderId="0" xfId="0" applyFont="1" applyAlignment="1">
      <alignment vertical="center" wrapText="1"/>
    </xf>
    <xf numFmtId="0" fontId="76" fillId="0" borderId="0" xfId="0" applyFont="1" applyAlignment="1">
      <alignment vertical="center" wrapText="1"/>
    </xf>
    <xf numFmtId="0" fontId="34" fillId="0" borderId="0" xfId="0" applyFont="1" applyAlignment="1">
      <alignment horizontal="left" vertical="center" wrapText="1"/>
    </xf>
    <xf numFmtId="0" fontId="34" fillId="0" borderId="0" xfId="0" applyFont="1" applyAlignment="1">
      <alignment horizontal="right" vertical="top" wrapText="1"/>
    </xf>
    <xf numFmtId="0" fontId="39" fillId="0" borderId="0" xfId="0" applyFont="1" applyAlignment="1">
      <alignment vertical="top"/>
    </xf>
    <xf numFmtId="0" fontId="3" fillId="0" borderId="22" xfId="0" applyFont="1" applyBorder="1" applyAlignment="1">
      <alignment horizontal="center" vertical="center" wrapText="1"/>
    </xf>
    <xf numFmtId="0" fontId="7" fillId="0" borderId="9" xfId="0" applyFont="1" applyBorder="1" applyAlignment="1">
      <alignment horizontal="center" vertical="center" wrapText="1"/>
    </xf>
    <xf numFmtId="0" fontId="23" fillId="3" borderId="2" xfId="0" applyFont="1" applyFill="1" applyBorder="1" applyAlignment="1">
      <alignment horizontal="center" vertical="center"/>
    </xf>
    <xf numFmtId="0" fontId="3" fillId="4" borderId="49" xfId="0" applyFont="1" applyFill="1" applyBorder="1" applyAlignment="1">
      <alignment horizontal="center" vertical="top"/>
    </xf>
    <xf numFmtId="0" fontId="3" fillId="3" borderId="2" xfId="0" applyFont="1" applyFill="1" applyBorder="1" applyAlignment="1">
      <alignment horizontal="right" vertical="top"/>
    </xf>
    <xf numFmtId="0" fontId="40" fillId="0" borderId="0" xfId="0" applyFont="1" applyAlignment="1">
      <alignment horizontal="left" vertical="top"/>
    </xf>
    <xf numFmtId="0" fontId="85" fillId="0" borderId="0" xfId="0" applyFont="1" applyAlignment="1">
      <alignment vertical="center" wrapText="1"/>
    </xf>
    <xf numFmtId="0" fontId="87" fillId="0" borderId="0" xfId="0" applyFont="1" applyAlignment="1">
      <alignment horizontal="left"/>
    </xf>
    <xf numFmtId="0" fontId="88" fillId="0" borderId="0" xfId="0" applyFont="1" applyAlignment="1">
      <alignment horizontal="center" vertical="center"/>
    </xf>
    <xf numFmtId="165" fontId="23" fillId="14" borderId="2" xfId="1" applyNumberFormat="1" applyFont="1" applyFill="1" applyBorder="1" applyAlignment="1">
      <alignment horizontal="right" vertical="center" wrapText="1"/>
    </xf>
    <xf numFmtId="0" fontId="23" fillId="14" borderId="2" xfId="0" applyFont="1" applyFill="1" applyBorder="1"/>
    <xf numFmtId="0" fontId="23" fillId="3" borderId="17" xfId="0" applyFont="1" applyFill="1" applyBorder="1" applyAlignment="1">
      <alignment horizontal="center" vertical="center"/>
    </xf>
    <xf numFmtId="14" fontId="52" fillId="0" borderId="4" xfId="0" applyNumberFormat="1" applyFont="1" applyBorder="1" applyAlignment="1">
      <alignment vertical="center"/>
    </xf>
    <xf numFmtId="0" fontId="94" fillId="0" borderId="0" xfId="0" applyFont="1" applyAlignment="1">
      <alignment horizontal="left" vertical="center" readingOrder="1"/>
    </xf>
    <xf numFmtId="0" fontId="84" fillId="0" borderId="0" xfId="0" applyFont="1" applyAlignment="1">
      <alignment horizontal="left" vertical="top"/>
    </xf>
    <xf numFmtId="0" fontId="98" fillId="0" borderId="0" xfId="0" applyFont="1"/>
    <xf numFmtId="0" fontId="36" fillId="0" borderId="0" xfId="0" applyFont="1" applyAlignment="1">
      <alignment horizontal="left" vertical="top"/>
    </xf>
    <xf numFmtId="0" fontId="96" fillId="0" borderId="0" xfId="0" applyFont="1" applyAlignment="1">
      <alignment horizontal="left" vertical="top"/>
    </xf>
    <xf numFmtId="0" fontId="18" fillId="0" borderId="0" xfId="0" applyFont="1" applyAlignment="1">
      <alignment horizontal="center" vertical="center" wrapText="1"/>
    </xf>
    <xf numFmtId="0" fontId="81" fillId="0" borderId="0" xfId="0" applyFont="1" applyAlignment="1">
      <alignment vertical="top" wrapText="1"/>
    </xf>
    <xf numFmtId="0" fontId="100" fillId="0" borderId="0" xfId="0" applyFont="1" applyAlignment="1">
      <alignment horizontal="center" vertical="center" wrapText="1"/>
    </xf>
    <xf numFmtId="0" fontId="100" fillId="0" borderId="0" xfId="0" quotePrefix="1" applyFont="1" applyAlignment="1">
      <alignment horizontal="center" vertical="center" wrapText="1"/>
    </xf>
    <xf numFmtId="0" fontId="18" fillId="0" borderId="0" xfId="0" applyFont="1" applyAlignment="1">
      <alignment vertical="center" wrapText="1"/>
    </xf>
    <xf numFmtId="0" fontId="100" fillId="0" borderId="0" xfId="0" applyFont="1" applyAlignment="1">
      <alignment vertical="center" wrapText="1"/>
    </xf>
    <xf numFmtId="0" fontId="100" fillId="0" borderId="0" xfId="0" quotePrefix="1" applyFont="1" applyAlignment="1">
      <alignment vertical="center" wrapText="1"/>
    </xf>
    <xf numFmtId="0" fontId="38" fillId="0" borderId="0" xfId="0" applyFont="1" applyAlignment="1">
      <alignment vertical="center" shrinkToFit="1"/>
    </xf>
    <xf numFmtId="0" fontId="68" fillId="0" borderId="0" xfId="0" applyFont="1" applyAlignment="1">
      <alignment vertical="top"/>
    </xf>
    <xf numFmtId="0" fontId="72" fillId="0" borderId="0" xfId="0" applyFont="1" applyAlignment="1">
      <alignment vertical="center"/>
    </xf>
    <xf numFmtId="0" fontId="70" fillId="0" borderId="0" xfId="0" applyFont="1" applyAlignment="1">
      <alignment vertical="center"/>
    </xf>
    <xf numFmtId="170" fontId="78" fillId="0" borderId="57" xfId="0" applyNumberFormat="1" applyFont="1" applyBorder="1" applyAlignment="1">
      <alignment horizontal="center" vertical="center" wrapText="1"/>
    </xf>
    <xf numFmtId="0" fontId="3" fillId="0" borderId="58" xfId="0" applyFont="1" applyBorder="1" applyAlignment="1">
      <alignment vertical="center" wrapText="1"/>
    </xf>
    <xf numFmtId="0" fontId="79" fillId="0" borderId="58" xfId="0" applyFont="1" applyBorder="1" applyAlignment="1">
      <alignment horizontal="center" vertical="center" wrapText="1"/>
    </xf>
    <xf numFmtId="0" fontId="78" fillId="0" borderId="59" xfId="0" applyFont="1" applyBorder="1" applyAlignment="1">
      <alignment horizontal="center" vertical="center" wrapText="1"/>
    </xf>
    <xf numFmtId="170" fontId="78" fillId="0" borderId="60" xfId="0" applyNumberFormat="1" applyFont="1" applyBorder="1" applyAlignment="1">
      <alignment horizontal="center" vertical="center" wrapText="1"/>
    </xf>
    <xf numFmtId="0" fontId="3" fillId="0" borderId="61" xfId="0" applyFont="1" applyBorder="1" applyAlignment="1">
      <alignment vertical="center" wrapText="1"/>
    </xf>
    <xf numFmtId="0" fontId="79" fillId="0" borderId="61" xfId="0" applyFont="1" applyBorder="1" applyAlignment="1">
      <alignment horizontal="center" vertical="center" wrapText="1"/>
    </xf>
    <xf numFmtId="0" fontId="78" fillId="0" borderId="62" xfId="0" applyFont="1" applyBorder="1" applyAlignment="1">
      <alignment horizontal="center" vertical="center" wrapText="1"/>
    </xf>
    <xf numFmtId="0" fontId="79" fillId="0" borderId="61" xfId="0" applyFont="1" applyBorder="1" applyAlignment="1">
      <alignment vertical="center" wrapText="1"/>
    </xf>
    <xf numFmtId="0" fontId="78" fillId="0" borderId="62" xfId="0" applyFont="1" applyBorder="1" applyAlignment="1">
      <alignment vertical="center" wrapText="1"/>
    </xf>
    <xf numFmtId="170" fontId="78" fillId="0" borderId="63" xfId="0" applyNumberFormat="1" applyFont="1" applyBorder="1" applyAlignment="1">
      <alignment horizontal="center" vertical="center" wrapText="1"/>
    </xf>
    <xf numFmtId="0" fontId="3" fillId="0" borderId="64" xfId="0" applyFont="1" applyBorder="1" applyAlignment="1">
      <alignment vertical="center" wrapText="1"/>
    </xf>
    <xf numFmtId="0" fontId="79" fillId="0" borderId="64" xfId="0" applyFont="1" applyBorder="1" applyAlignment="1">
      <alignment vertical="center" wrapText="1"/>
    </xf>
    <xf numFmtId="0" fontId="78" fillId="0" borderId="65" xfId="0" applyFont="1" applyBorder="1" applyAlignment="1">
      <alignment horizontal="center" vertical="center" wrapText="1"/>
    </xf>
    <xf numFmtId="0" fontId="3" fillId="13" borderId="2" xfId="0" applyFont="1" applyFill="1" applyBorder="1"/>
    <xf numFmtId="0" fontId="18" fillId="13" borderId="2" xfId="0" applyFont="1" applyFill="1" applyBorder="1"/>
    <xf numFmtId="165" fontId="3" fillId="0" borderId="0" xfId="0" applyNumberFormat="1" applyFont="1" applyAlignment="1">
      <alignment vertical="top" wrapText="1"/>
    </xf>
    <xf numFmtId="14" fontId="3" fillId="3" borderId="4" xfId="0" applyNumberFormat="1" applyFont="1" applyFill="1" applyBorder="1" applyAlignment="1">
      <alignment vertical="center" wrapText="1"/>
    </xf>
    <xf numFmtId="0" fontId="3" fillId="4" borderId="50" xfId="0" applyFont="1" applyFill="1" applyBorder="1" applyAlignment="1">
      <alignment horizontal="center" vertical="top"/>
    </xf>
    <xf numFmtId="0" fontId="23" fillId="3" borderId="16" xfId="0" applyFont="1" applyFill="1" applyBorder="1" applyAlignment="1">
      <alignment horizontal="center" vertical="center"/>
    </xf>
    <xf numFmtId="0" fontId="3" fillId="3" borderId="17" xfId="0" applyFont="1" applyFill="1" applyBorder="1"/>
    <xf numFmtId="0" fontId="3" fillId="3" borderId="18" xfId="0" applyFont="1" applyFill="1" applyBorder="1"/>
    <xf numFmtId="0" fontId="18" fillId="3" borderId="17" xfId="0" applyFont="1" applyFill="1" applyBorder="1"/>
    <xf numFmtId="0" fontId="18" fillId="3" borderId="66" xfId="0" applyFont="1" applyFill="1" applyBorder="1"/>
    <xf numFmtId="3" fontId="38" fillId="0" borderId="0" xfId="0" applyNumberFormat="1" applyFont="1"/>
    <xf numFmtId="43" fontId="4" fillId="3" borderId="2" xfId="1" applyFont="1" applyFill="1" applyBorder="1" applyAlignment="1">
      <alignment vertical="center" wrapText="1"/>
    </xf>
    <xf numFmtId="43" fontId="4" fillId="3" borderId="2" xfId="1" applyFont="1" applyFill="1" applyBorder="1" applyAlignment="1">
      <alignment horizontal="center" vertical="center" wrapText="1"/>
    </xf>
    <xf numFmtId="0" fontId="4" fillId="3" borderId="2" xfId="0" applyFont="1" applyFill="1" applyBorder="1" applyAlignment="1">
      <alignment vertical="center" wrapText="1"/>
    </xf>
    <xf numFmtId="0" fontId="3" fillId="7" borderId="2" xfId="0" applyFont="1" applyFill="1" applyBorder="1" applyAlignment="1">
      <alignment horizontal="left"/>
    </xf>
    <xf numFmtId="0" fontId="3" fillId="13" borderId="2" xfId="0" applyFont="1" applyFill="1" applyBorder="1" applyAlignment="1">
      <alignment horizontal="left"/>
    </xf>
    <xf numFmtId="0" fontId="5" fillId="0" borderId="0" xfId="0" applyFont="1" applyAlignment="1">
      <alignment horizontal="left" vertical="center"/>
    </xf>
    <xf numFmtId="0" fontId="34" fillId="0" borderId="0" xfId="0" applyFont="1" applyAlignment="1">
      <alignment vertical="top"/>
    </xf>
    <xf numFmtId="0" fontId="115" fillId="0" borderId="0" xfId="0" applyFont="1"/>
    <xf numFmtId="0" fontId="68" fillId="0" borderId="0" xfId="0" applyFont="1" applyAlignment="1">
      <alignment horizontal="center" vertical="top"/>
    </xf>
    <xf numFmtId="0" fontId="72" fillId="0" borderId="0" xfId="0" applyFont="1" applyAlignment="1">
      <alignment horizontal="center" vertical="center"/>
    </xf>
    <xf numFmtId="0" fontId="70" fillId="0" borderId="0" xfId="0" applyFont="1" applyAlignment="1">
      <alignment horizontal="center" vertical="center"/>
    </xf>
    <xf numFmtId="0" fontId="38" fillId="0" borderId="0" xfId="0" applyFont="1" applyAlignment="1">
      <alignment vertical="top" wrapText="1"/>
    </xf>
    <xf numFmtId="0" fontId="1" fillId="0" borderId="0" xfId="0" applyFont="1" applyAlignment="1">
      <alignment horizontal="justify" vertical="top" wrapText="1"/>
    </xf>
    <xf numFmtId="0" fontId="1" fillId="0" borderId="0" xfId="0" applyFont="1" applyAlignment="1">
      <alignment horizontal="center"/>
    </xf>
    <xf numFmtId="3" fontId="3" fillId="3" borderId="18" xfId="0" applyNumberFormat="1" applyFont="1" applyFill="1" applyBorder="1"/>
    <xf numFmtId="0" fontId="4" fillId="0" borderId="0" xfId="0" applyFont="1" applyAlignment="1">
      <alignment vertical="justify" wrapText="1"/>
    </xf>
    <xf numFmtId="0" fontId="8" fillId="0" borderId="1" xfId="0" applyFont="1" applyBorder="1" applyAlignment="1">
      <alignment horizontal="right" vertical="center"/>
    </xf>
    <xf numFmtId="0" fontId="24" fillId="0" borderId="0" xfId="0" applyFont="1" applyAlignment="1">
      <alignment horizontal="left" vertical="top"/>
    </xf>
    <xf numFmtId="14" fontId="1" fillId="0" borderId="0" xfId="0" applyNumberFormat="1" applyFont="1" applyAlignment="1">
      <alignment horizontal="left" vertical="top"/>
    </xf>
    <xf numFmtId="0" fontId="29" fillId="0" borderId="0" xfId="0" applyFont="1"/>
    <xf numFmtId="170" fontId="78" fillId="0" borderId="0" xfId="0" applyNumberFormat="1" applyFont="1" applyAlignment="1">
      <alignment horizontal="center" vertical="center" wrapText="1"/>
    </xf>
    <xf numFmtId="0" fontId="13" fillId="0" borderId="0" xfId="0" applyFont="1" applyAlignment="1">
      <alignment vertical="center"/>
    </xf>
    <xf numFmtId="0" fontId="24" fillId="0" borderId="0" xfId="0" applyFont="1" applyAlignment="1">
      <alignment vertical="top"/>
    </xf>
    <xf numFmtId="0" fontId="53" fillId="0" borderId="0" xfId="0" applyFont="1" applyAlignment="1">
      <alignment horizontal="left"/>
    </xf>
    <xf numFmtId="0" fontId="69" fillId="3" borderId="0" xfId="0" applyFont="1" applyFill="1" applyAlignment="1">
      <alignment vertical="center" wrapText="1"/>
    </xf>
    <xf numFmtId="0" fontId="68" fillId="3" borderId="0" xfId="0" applyFont="1" applyFill="1" applyAlignment="1">
      <alignment vertical="top" wrapText="1"/>
    </xf>
    <xf numFmtId="0" fontId="73" fillId="0" borderId="0" xfId="0" applyFont="1" applyAlignment="1">
      <alignment horizontal="center"/>
    </xf>
    <xf numFmtId="0" fontId="36" fillId="0" borderId="0" xfId="0" applyFont="1"/>
    <xf numFmtId="0" fontId="92" fillId="0" borderId="0" xfId="0" applyFont="1"/>
    <xf numFmtId="0" fontId="36" fillId="0" borderId="0" xfId="0" applyFont="1" applyAlignment="1">
      <alignment horizontal="left"/>
    </xf>
    <xf numFmtId="43" fontId="108" fillId="0" borderId="2" xfId="1" applyFont="1" applyBorder="1" applyAlignment="1">
      <alignment vertical="center"/>
    </xf>
    <xf numFmtId="0" fontId="3" fillId="3" borderId="2" xfId="0" applyFont="1" applyFill="1" applyBorder="1"/>
    <xf numFmtId="0" fontId="3" fillId="3" borderId="2" xfId="0" applyFont="1" applyFill="1" applyBorder="1" applyAlignment="1">
      <alignment horizontal="center"/>
    </xf>
    <xf numFmtId="0" fontId="3" fillId="7" borderId="3" xfId="0" applyFont="1" applyFill="1" applyBorder="1"/>
    <xf numFmtId="0" fontId="3" fillId="3" borderId="68" xfId="0" applyFont="1" applyFill="1" applyBorder="1"/>
    <xf numFmtId="0" fontId="1" fillId="0" borderId="2" xfId="0" applyFont="1" applyBorder="1" applyAlignment="1">
      <alignment vertical="center" wrapText="1"/>
    </xf>
    <xf numFmtId="171" fontId="1" fillId="0" borderId="0" xfId="0" applyNumberFormat="1" applyFont="1" applyAlignment="1">
      <alignment horizontal="center"/>
    </xf>
    <xf numFmtId="0" fontId="80" fillId="0" borderId="0" xfId="0" applyFont="1" applyAlignment="1">
      <alignment horizontal="center" vertical="center"/>
    </xf>
    <xf numFmtId="170" fontId="78" fillId="0" borderId="69" xfId="0" applyNumberFormat="1" applyFont="1" applyBorder="1" applyAlignment="1">
      <alignment horizontal="center" vertical="center" wrapText="1"/>
    </xf>
    <xf numFmtId="0" fontId="3" fillId="0" borderId="70" xfId="0" applyFont="1" applyBorder="1" applyAlignment="1">
      <alignment vertical="center" wrapText="1"/>
    </xf>
    <xf numFmtId="0" fontId="79" fillId="0" borderId="70" xfId="0" applyFont="1" applyBorder="1" applyAlignment="1">
      <alignment vertical="center" wrapText="1"/>
    </xf>
    <xf numFmtId="0" fontId="0" fillId="0" borderId="71" xfId="0" applyBorder="1"/>
    <xf numFmtId="170" fontId="78" fillId="0" borderId="72" xfId="0" applyNumberFormat="1" applyFont="1" applyBorder="1" applyAlignment="1">
      <alignment horizontal="center" vertical="center" wrapText="1"/>
    </xf>
    <xf numFmtId="0" fontId="96" fillId="0" borderId="73" xfId="0" applyFont="1" applyBorder="1" applyAlignment="1">
      <alignment vertical="center" wrapText="1"/>
    </xf>
    <xf numFmtId="0" fontId="79" fillId="0" borderId="73" xfId="0" applyFont="1" applyBorder="1" applyAlignment="1">
      <alignment vertical="center" wrapText="1"/>
    </xf>
    <xf numFmtId="0" fontId="78" fillId="0" borderId="74" xfId="0" applyFont="1" applyBorder="1" applyAlignment="1">
      <alignment horizontal="center" vertical="center" wrapText="1"/>
    </xf>
    <xf numFmtId="0" fontId="3" fillId="0" borderId="73" xfId="0" applyFont="1" applyBorder="1" applyAlignment="1">
      <alignment vertical="center" wrapText="1"/>
    </xf>
    <xf numFmtId="0" fontId="0" fillId="0" borderId="74" xfId="0" applyBorder="1"/>
    <xf numFmtId="0" fontId="78" fillId="0" borderId="74" xfId="0" applyFont="1" applyBorder="1" applyAlignment="1">
      <alignment vertical="center" wrapText="1"/>
    </xf>
    <xf numFmtId="0" fontId="29" fillId="0" borderId="73" xfId="0" applyFont="1" applyBorder="1" applyAlignment="1">
      <alignment vertical="center" wrapText="1"/>
    </xf>
    <xf numFmtId="170" fontId="78" fillId="0" borderId="75" xfId="0" applyNumberFormat="1" applyFont="1" applyBorder="1" applyAlignment="1">
      <alignment horizontal="center" vertical="center" wrapText="1"/>
    </xf>
    <xf numFmtId="0" fontId="29" fillId="0" borderId="76" xfId="0" applyFont="1" applyBorder="1" applyAlignment="1">
      <alignment vertical="center" wrapText="1"/>
    </xf>
    <xf numFmtId="0" fontId="79" fillId="0" borderId="76" xfId="0" applyFont="1" applyBorder="1" applyAlignment="1">
      <alignment vertical="center" wrapText="1"/>
    </xf>
    <xf numFmtId="0" fontId="78" fillId="0" borderId="77" xfId="0" applyFont="1" applyBorder="1" applyAlignment="1">
      <alignment vertical="center" wrapText="1"/>
    </xf>
    <xf numFmtId="170" fontId="78" fillId="0" borderId="78" xfId="0" applyNumberFormat="1" applyFont="1" applyBorder="1" applyAlignment="1">
      <alignment horizontal="center" vertical="center" wrapText="1"/>
    </xf>
    <xf numFmtId="0" fontId="3" fillId="0" borderId="79" xfId="0" applyFont="1" applyBorder="1" applyAlignment="1">
      <alignment vertical="center" wrapText="1"/>
    </xf>
    <xf numFmtId="0" fontId="0" fillId="0" borderId="79" xfId="0" applyBorder="1"/>
    <xf numFmtId="0" fontId="78" fillId="0" borderId="80" xfId="0" applyFont="1" applyBorder="1" applyAlignment="1">
      <alignment horizontal="center" vertical="center" wrapText="1"/>
    </xf>
    <xf numFmtId="170" fontId="78" fillId="0" borderId="81" xfId="0" applyNumberFormat="1" applyFont="1" applyBorder="1" applyAlignment="1">
      <alignment horizontal="center" vertical="center" wrapText="1"/>
    </xf>
    <xf numFmtId="0" fontId="96" fillId="0" borderId="56" xfId="0" applyFont="1" applyBorder="1" applyAlignment="1">
      <alignment vertical="center" wrapText="1"/>
    </xf>
    <xf numFmtId="0" fontId="0" fillId="0" borderId="56" xfId="0" applyBorder="1"/>
    <xf numFmtId="0" fontId="78" fillId="0" borderId="82" xfId="0" applyFont="1" applyBorder="1" applyAlignment="1">
      <alignment horizontal="center" vertical="center" wrapText="1"/>
    </xf>
    <xf numFmtId="0" fontId="3" fillId="0" borderId="56" xfId="0" applyFont="1" applyBorder="1" applyAlignment="1">
      <alignment vertical="center" wrapText="1"/>
    </xf>
    <xf numFmtId="0" fontId="0" fillId="0" borderId="82" xfId="0" applyBorder="1"/>
    <xf numFmtId="0" fontId="78" fillId="0" borderId="82" xfId="0" applyFont="1" applyBorder="1" applyAlignment="1">
      <alignment vertical="center" wrapText="1"/>
    </xf>
    <xf numFmtId="170" fontId="78" fillId="0" borderId="83" xfId="0" applyNumberFormat="1" applyFont="1" applyBorder="1" applyAlignment="1">
      <alignment horizontal="center" vertical="center" wrapText="1"/>
    </xf>
    <xf numFmtId="0" fontId="29" fillId="0" borderId="84" xfId="0" applyFont="1" applyBorder="1" applyAlignment="1">
      <alignment vertical="center" wrapText="1"/>
    </xf>
    <xf numFmtId="0" fontId="79" fillId="0" borderId="84" xfId="0" applyFont="1" applyBorder="1" applyAlignment="1">
      <alignment vertical="center" wrapText="1"/>
    </xf>
    <xf numFmtId="0" fontId="78" fillId="0" borderId="85" xfId="0" applyFont="1" applyBorder="1" applyAlignment="1">
      <alignment vertical="center" wrapText="1"/>
    </xf>
    <xf numFmtId="0" fontId="3" fillId="0" borderId="47" xfId="0" applyFont="1" applyBorder="1" applyAlignment="1">
      <alignment horizontal="center" vertical="center"/>
    </xf>
    <xf numFmtId="0" fontId="3" fillId="16" borderId="2" xfId="0" applyFont="1" applyFill="1" applyBorder="1"/>
    <xf numFmtId="0" fontId="18" fillId="16" borderId="2" xfId="0" applyFont="1" applyFill="1" applyBorder="1"/>
    <xf numFmtId="0" fontId="29" fillId="0" borderId="0" xfId="0" applyFont="1" applyAlignment="1">
      <alignment horizontal="left" vertical="center" wrapText="1"/>
    </xf>
    <xf numFmtId="0" fontId="96" fillId="0" borderId="0" xfId="0" applyFont="1" applyAlignment="1">
      <alignment vertical="top"/>
    </xf>
    <xf numFmtId="0" fontId="4" fillId="3" borderId="0" xfId="0" applyFont="1" applyFill="1" applyAlignment="1">
      <alignment vertical="top"/>
    </xf>
    <xf numFmtId="0" fontId="3" fillId="13" borderId="19" xfId="0" applyFont="1" applyFill="1" applyBorder="1"/>
    <xf numFmtId="0" fontId="3" fillId="13" borderId="16" xfId="0" applyFont="1" applyFill="1" applyBorder="1"/>
    <xf numFmtId="0" fontId="3" fillId="13" borderId="20" xfId="0" applyFont="1" applyFill="1" applyBorder="1" applyAlignment="1">
      <alignment horizontal="center"/>
    </xf>
    <xf numFmtId="0" fontId="3" fillId="13" borderId="17" xfId="0" applyFont="1" applyFill="1" applyBorder="1"/>
    <xf numFmtId="0" fontId="3" fillId="13" borderId="18" xfId="0" applyFont="1" applyFill="1" applyBorder="1"/>
    <xf numFmtId="3" fontId="3" fillId="13" borderId="18" xfId="0" applyNumberFormat="1" applyFont="1" applyFill="1" applyBorder="1"/>
    <xf numFmtId="0" fontId="18" fillId="13" borderId="17" xfId="0" applyFont="1" applyFill="1" applyBorder="1"/>
    <xf numFmtId="0" fontId="18" fillId="13" borderId="21" xfId="0" applyFont="1" applyFill="1" applyBorder="1"/>
    <xf numFmtId="0" fontId="3" fillId="13" borderId="23" xfId="0" applyFont="1" applyFill="1" applyBorder="1"/>
    <xf numFmtId="0" fontId="7" fillId="3" borderId="19" xfId="0" applyFont="1" applyFill="1" applyBorder="1" applyAlignment="1">
      <alignment horizontal="center"/>
    </xf>
    <xf numFmtId="0" fontId="7" fillId="3" borderId="16" xfId="0" applyFont="1" applyFill="1" applyBorder="1" applyAlignment="1">
      <alignment horizontal="center"/>
    </xf>
    <xf numFmtId="0" fontId="7" fillId="3" borderId="20" xfId="0" applyFont="1" applyFill="1" applyBorder="1" applyAlignment="1">
      <alignment horizontal="center"/>
    </xf>
    <xf numFmtId="169" fontId="3" fillId="4" borderId="18" xfId="1" applyNumberFormat="1" applyFont="1" applyFill="1" applyBorder="1" applyAlignment="1">
      <alignment horizontal="center" vertical="top" shrinkToFit="1"/>
    </xf>
    <xf numFmtId="0" fontId="3" fillId="4" borderId="49" xfId="0" applyFont="1" applyFill="1" applyBorder="1"/>
    <xf numFmtId="0" fontId="3" fillId="14" borderId="19" xfId="0" applyFont="1" applyFill="1" applyBorder="1"/>
    <xf numFmtId="0" fontId="3" fillId="14" borderId="16" xfId="0" applyFont="1" applyFill="1" applyBorder="1"/>
    <xf numFmtId="0" fontId="3" fillId="14" borderId="20" xfId="0" applyFont="1" applyFill="1" applyBorder="1"/>
    <xf numFmtId="0" fontId="23" fillId="14" borderId="17" xfId="0" applyFont="1" applyFill="1" applyBorder="1" applyAlignment="1">
      <alignment vertical="center"/>
    </xf>
    <xf numFmtId="165" fontId="23" fillId="14" borderId="38" xfId="1" applyNumberFormat="1" applyFont="1" applyFill="1" applyBorder="1" applyAlignment="1">
      <alignment horizontal="right" vertical="center" wrapText="1"/>
    </xf>
    <xf numFmtId="0" fontId="23" fillId="14" borderId="38" xfId="0" applyFont="1" applyFill="1" applyBorder="1"/>
    <xf numFmtId="0" fontId="23" fillId="14" borderId="21" xfId="0" applyFont="1" applyFill="1" applyBorder="1"/>
    <xf numFmtId="0" fontId="23" fillId="14" borderId="22" xfId="0" applyFont="1" applyFill="1" applyBorder="1"/>
    <xf numFmtId="0" fontId="23" fillId="14" borderId="88" xfId="0" applyFont="1" applyFill="1" applyBorder="1"/>
    <xf numFmtId="0" fontId="3" fillId="7" borderId="19" xfId="0" applyFont="1" applyFill="1" applyBorder="1"/>
    <xf numFmtId="0" fontId="3" fillId="7" borderId="16" xfId="0" applyFont="1" applyFill="1" applyBorder="1"/>
    <xf numFmtId="0" fontId="3" fillId="7" borderId="20" xfId="0" applyFont="1" applyFill="1" applyBorder="1"/>
    <xf numFmtId="0" fontId="3" fillId="7" borderId="17" xfId="0" applyFont="1" applyFill="1" applyBorder="1"/>
    <xf numFmtId="0" fontId="3" fillId="7" borderId="18" xfId="0" applyFont="1" applyFill="1" applyBorder="1"/>
    <xf numFmtId="0" fontId="3" fillId="7" borderId="21" xfId="0" applyFont="1" applyFill="1" applyBorder="1"/>
    <xf numFmtId="0" fontId="3" fillId="7" borderId="22" xfId="0" applyFont="1" applyFill="1" applyBorder="1"/>
    <xf numFmtId="0" fontId="3" fillId="7" borderId="23" xfId="0" applyFont="1" applyFill="1" applyBorder="1"/>
    <xf numFmtId="0" fontId="3" fillId="9" borderId="19" xfId="0" applyFont="1" applyFill="1" applyBorder="1"/>
    <xf numFmtId="0" fontId="3" fillId="9" borderId="16" xfId="0" applyFont="1" applyFill="1" applyBorder="1"/>
    <xf numFmtId="0" fontId="3" fillId="9" borderId="20" xfId="0" applyFont="1" applyFill="1" applyBorder="1"/>
    <xf numFmtId="0" fontId="3" fillId="9" borderId="17" xfId="0" applyFont="1" applyFill="1" applyBorder="1"/>
    <xf numFmtId="0" fontId="3" fillId="9" borderId="18" xfId="0" applyFont="1" applyFill="1" applyBorder="1"/>
    <xf numFmtId="0" fontId="3" fillId="9" borderId="21" xfId="0" applyFont="1" applyFill="1" applyBorder="1"/>
    <xf numFmtId="0" fontId="3" fillId="9" borderId="22" xfId="0" applyFont="1" applyFill="1" applyBorder="1"/>
    <xf numFmtId="0" fontId="3" fillId="9" borderId="23" xfId="0" applyFont="1" applyFill="1" applyBorder="1"/>
    <xf numFmtId="0" fontId="3" fillId="13" borderId="20" xfId="0" applyFont="1" applyFill="1" applyBorder="1"/>
    <xf numFmtId="0" fontId="18" fillId="13" borderId="22" xfId="0" applyFont="1" applyFill="1" applyBorder="1"/>
    <xf numFmtId="0" fontId="3" fillId="7" borderId="17" xfId="0" applyFont="1" applyFill="1" applyBorder="1" applyAlignment="1">
      <alignment horizontal="left"/>
    </xf>
    <xf numFmtId="0" fontId="3" fillId="7" borderId="18" xfId="0" applyFont="1" applyFill="1" applyBorder="1" applyAlignment="1">
      <alignment horizontal="left"/>
    </xf>
    <xf numFmtId="0" fontId="3" fillId="7" borderId="21" xfId="0" applyFont="1" applyFill="1" applyBorder="1" applyAlignment="1">
      <alignment horizontal="left"/>
    </xf>
    <xf numFmtId="0" fontId="3" fillId="7" borderId="22" xfId="0" applyFont="1" applyFill="1" applyBorder="1" applyAlignment="1">
      <alignment horizontal="left"/>
    </xf>
    <xf numFmtId="0" fontId="3" fillId="7" borderId="23" xfId="0" applyFont="1" applyFill="1" applyBorder="1" applyAlignment="1">
      <alignment horizontal="left"/>
    </xf>
    <xf numFmtId="0" fontId="4" fillId="3" borderId="0" xfId="0" applyFont="1" applyFill="1" applyAlignment="1">
      <alignment vertical="top" wrapText="1"/>
    </xf>
    <xf numFmtId="0" fontId="86" fillId="0" borderId="2" xfId="0" applyFont="1" applyBorder="1" applyAlignment="1">
      <alignment horizontal="center"/>
    </xf>
    <xf numFmtId="0" fontId="86" fillId="0" borderId="0" xfId="0" applyFont="1" applyAlignment="1">
      <alignment horizontal="left" vertical="center"/>
    </xf>
    <xf numFmtId="0" fontId="86" fillId="0" borderId="0" xfId="0" applyFont="1" applyAlignment="1">
      <alignment horizontal="right" vertical="center"/>
    </xf>
    <xf numFmtId="0" fontId="108" fillId="0" borderId="2" xfId="0" applyFont="1" applyBorder="1" applyAlignment="1">
      <alignment horizontal="center"/>
    </xf>
    <xf numFmtId="0" fontId="3" fillId="4" borderId="89" xfId="0" applyFont="1" applyFill="1" applyBorder="1" applyAlignment="1">
      <alignment vertical="center"/>
    </xf>
    <xf numFmtId="0" fontId="3" fillId="4" borderId="5" xfId="0" applyFont="1" applyFill="1" applyBorder="1" applyAlignment="1">
      <alignment vertical="center"/>
    </xf>
    <xf numFmtId="170" fontId="78" fillId="0" borderId="90" xfId="0" applyNumberFormat="1" applyFont="1" applyBorder="1" applyAlignment="1">
      <alignment horizontal="center" vertical="center" wrapText="1"/>
    </xf>
    <xf numFmtId="0" fontId="4" fillId="0" borderId="91" xfId="0" applyFont="1" applyBorder="1" applyAlignment="1">
      <alignment horizontal="left" vertical="center" wrapText="1"/>
    </xf>
    <xf numFmtId="0" fontId="79" fillId="0" borderId="91" xfId="0" applyFont="1" applyBorder="1" applyAlignment="1">
      <alignment horizontal="center" vertical="center" wrapText="1"/>
    </xf>
    <xf numFmtId="0" fontId="78" fillId="0" borderId="92" xfId="0" applyFont="1" applyBorder="1" applyAlignment="1">
      <alignment horizontal="center" vertical="center" wrapText="1"/>
    </xf>
    <xf numFmtId="170" fontId="78" fillId="0" borderId="93" xfId="0" applyNumberFormat="1" applyFont="1" applyBorder="1" applyAlignment="1">
      <alignment horizontal="center" vertical="center" wrapText="1"/>
    </xf>
    <xf numFmtId="0" fontId="4" fillId="0" borderId="94" xfId="0" applyFont="1" applyBorder="1" applyAlignment="1">
      <alignment horizontal="left" vertical="center" wrapText="1"/>
    </xf>
    <xf numFmtId="0" fontId="78" fillId="0" borderId="94" xfId="0" applyFont="1" applyBorder="1" applyAlignment="1">
      <alignment horizontal="center" vertical="center" wrapText="1"/>
    </xf>
    <xf numFmtId="0" fontId="78" fillId="0" borderId="95" xfId="0" applyFont="1" applyBorder="1" applyAlignment="1">
      <alignment horizontal="center" vertical="center" wrapText="1"/>
    </xf>
    <xf numFmtId="0" fontId="78" fillId="0" borderId="95" xfId="0" applyFont="1" applyBorder="1" applyAlignment="1">
      <alignment vertical="center" wrapText="1"/>
    </xf>
    <xf numFmtId="0" fontId="29" fillId="0" borderId="94" xfId="0" applyFont="1" applyBorder="1" applyAlignment="1">
      <alignment horizontal="left" vertical="center" wrapText="1"/>
    </xf>
    <xf numFmtId="0" fontId="79" fillId="0" borderId="94" xfId="0" applyFont="1" applyBorder="1" applyAlignment="1">
      <alignment vertical="center" wrapText="1"/>
    </xf>
    <xf numFmtId="0" fontId="22" fillId="0" borderId="9" xfId="0" applyFont="1" applyBorder="1" applyAlignment="1">
      <alignment horizontal="center" vertical="center" wrapText="1"/>
    </xf>
    <xf numFmtId="168" fontId="18" fillId="3" borderId="16" xfId="1" applyNumberFormat="1" applyFont="1" applyFill="1" applyBorder="1" applyAlignment="1" applyProtection="1">
      <alignment horizontal="center" vertical="top" shrinkToFit="1"/>
    </xf>
    <xf numFmtId="168" fontId="18" fillId="3" borderId="2" xfId="1" applyNumberFormat="1" applyFont="1" applyFill="1" applyBorder="1" applyAlignment="1">
      <alignment horizontal="center" vertical="top" shrinkToFit="1"/>
    </xf>
    <xf numFmtId="0" fontId="3" fillId="3" borderId="87" xfId="0" applyFont="1" applyFill="1" applyBorder="1"/>
    <xf numFmtId="0" fontId="18" fillId="3" borderId="21" xfId="0" applyFont="1" applyFill="1" applyBorder="1"/>
    <xf numFmtId="0" fontId="3" fillId="3" borderId="22" xfId="0" applyFont="1" applyFill="1" applyBorder="1"/>
    <xf numFmtId="0" fontId="3" fillId="4" borderId="19" xfId="0" applyFont="1" applyFill="1" applyBorder="1"/>
    <xf numFmtId="0" fontId="3" fillId="4" borderId="21" xfId="0" applyFont="1" applyFill="1" applyBorder="1"/>
    <xf numFmtId="0" fontId="0" fillId="0" borderId="96" xfId="0" applyBorder="1"/>
    <xf numFmtId="14" fontId="74" fillId="0" borderId="0" xfId="0" applyNumberFormat="1" applyFont="1" applyAlignment="1">
      <alignment vertical="top"/>
    </xf>
    <xf numFmtId="0" fontId="3" fillId="4" borderId="8" xfId="0" applyFont="1" applyFill="1" applyBorder="1" applyAlignment="1">
      <alignment vertical="center"/>
    </xf>
    <xf numFmtId="0" fontId="3" fillId="4" borderId="2" xfId="0" applyFont="1" applyFill="1" applyBorder="1" applyAlignment="1">
      <alignment vertical="center"/>
    </xf>
    <xf numFmtId="0" fontId="3" fillId="4" borderId="2" xfId="0" applyFont="1" applyFill="1" applyBorder="1" applyAlignment="1">
      <alignment vertical="center" wrapText="1"/>
    </xf>
    <xf numFmtId="0" fontId="3" fillId="4" borderId="16" xfId="0" applyFont="1" applyFill="1" applyBorder="1" applyAlignment="1">
      <alignment vertical="center"/>
    </xf>
    <xf numFmtId="0" fontId="3" fillId="4" borderId="17" xfId="0" applyFont="1" applyFill="1" applyBorder="1"/>
    <xf numFmtId="0" fontId="3" fillId="4" borderId="17" xfId="0" applyFont="1" applyFill="1" applyBorder="1" applyAlignment="1">
      <alignment vertical="center" wrapText="1"/>
    </xf>
    <xf numFmtId="0" fontId="3" fillId="4" borderId="17" xfId="0" applyFont="1" applyFill="1" applyBorder="1" applyAlignment="1">
      <alignment vertical="center"/>
    </xf>
    <xf numFmtId="0" fontId="3" fillId="4" borderId="17" xfId="0" applyFont="1" applyFill="1" applyBorder="1" applyAlignment="1">
      <alignment vertical="top"/>
    </xf>
    <xf numFmtId="0" fontId="4" fillId="3" borderId="2" xfId="0" applyFont="1" applyFill="1" applyBorder="1" applyAlignment="1">
      <alignment vertical="top"/>
    </xf>
    <xf numFmtId="165" fontId="74" fillId="0" borderId="0" xfId="1" applyNumberFormat="1" applyFont="1" applyFill="1" applyBorder="1" applyAlignment="1">
      <alignment vertical="center" shrinkToFit="1"/>
    </xf>
    <xf numFmtId="0" fontId="1" fillId="0" borderId="0" xfId="0" applyFont="1" applyAlignment="1">
      <alignment vertical="center" shrinkToFit="1"/>
    </xf>
    <xf numFmtId="49" fontId="18" fillId="3" borderId="20" xfId="0" quotePrefix="1" applyNumberFormat="1" applyFont="1" applyFill="1" applyBorder="1" applyAlignment="1">
      <alignment horizontal="left" vertical="center"/>
    </xf>
    <xf numFmtId="0" fontId="3" fillId="3" borderId="18" xfId="0" applyFont="1" applyFill="1" applyBorder="1" applyAlignment="1">
      <alignment vertical="center"/>
    </xf>
    <xf numFmtId="0" fontId="3" fillId="8" borderId="18" xfId="0" applyFont="1" applyFill="1" applyBorder="1" applyAlignment="1">
      <alignment vertical="center"/>
    </xf>
    <xf numFmtId="0" fontId="36" fillId="3" borderId="18" xfId="1" applyNumberFormat="1" applyFont="1" applyFill="1" applyBorder="1" applyAlignment="1" applyProtection="1">
      <alignment horizontal="left" vertical="center"/>
    </xf>
    <xf numFmtId="49" fontId="3" fillId="3" borderId="18" xfId="0" applyNumberFormat="1" applyFont="1" applyFill="1" applyBorder="1" applyAlignment="1">
      <alignment vertical="center"/>
    </xf>
    <xf numFmtId="49" fontId="3" fillId="3" borderId="18" xfId="0" quotePrefix="1" applyNumberFormat="1" applyFont="1" applyFill="1" applyBorder="1" applyAlignment="1">
      <alignment horizontal="left" vertical="center"/>
    </xf>
    <xf numFmtId="0" fontId="18" fillId="3" borderId="18" xfId="0" applyFont="1" applyFill="1" applyBorder="1" applyAlignment="1">
      <alignment vertical="top" wrapText="1"/>
    </xf>
    <xf numFmtId="0" fontId="1" fillId="0" borderId="9" xfId="0" applyFont="1" applyBorder="1" applyAlignment="1">
      <alignment vertical="top" wrapText="1"/>
    </xf>
    <xf numFmtId="0" fontId="1" fillId="0" borderId="10" xfId="0" applyFont="1" applyBorder="1" applyAlignment="1">
      <alignment vertical="top" wrapText="1"/>
    </xf>
    <xf numFmtId="0" fontId="3" fillId="0" borderId="14" xfId="0" applyFont="1" applyBorder="1"/>
    <xf numFmtId="0" fontId="3" fillId="12" borderId="12" xfId="0" applyFont="1" applyFill="1" applyBorder="1"/>
    <xf numFmtId="0" fontId="3" fillId="12" borderId="3" xfId="0" applyFont="1" applyFill="1" applyBorder="1"/>
    <xf numFmtId="0" fontId="3" fillId="12" borderId="5" xfId="0" applyFont="1" applyFill="1" applyBorder="1"/>
    <xf numFmtId="0" fontId="3" fillId="12" borderId="2" xfId="0" applyFont="1" applyFill="1" applyBorder="1"/>
    <xf numFmtId="0" fontId="3" fillId="12" borderId="10" xfId="0" applyFont="1" applyFill="1" applyBorder="1"/>
    <xf numFmtId="0" fontId="3" fillId="12" borderId="11" xfId="0" applyFont="1" applyFill="1" applyBorder="1"/>
    <xf numFmtId="0" fontId="1" fillId="0" borderId="0" xfId="0" applyFont="1" applyAlignment="1">
      <alignment horizontal="right" vertical="center" wrapText="1"/>
    </xf>
    <xf numFmtId="0" fontId="9" fillId="0" borderId="0" xfId="0" applyFont="1" applyAlignment="1">
      <alignment horizontal="center" vertical="center"/>
    </xf>
    <xf numFmtId="0" fontId="125" fillId="0" borderId="0" xfId="0" applyFont="1" applyAlignment="1">
      <alignment horizontal="center" vertical="center"/>
    </xf>
    <xf numFmtId="0" fontId="128" fillId="0" borderId="0" xfId="0" applyFont="1" applyAlignment="1">
      <alignment horizontal="justify" vertical="center"/>
    </xf>
    <xf numFmtId="0" fontId="128" fillId="0" borderId="0" xfId="0" applyFont="1" applyAlignment="1">
      <alignment vertical="center"/>
    </xf>
    <xf numFmtId="49" fontId="1" fillId="0" borderId="0" xfId="0" applyNumberFormat="1" applyFont="1" applyAlignment="1">
      <alignment horizontal="left" vertical="top"/>
    </xf>
    <xf numFmtId="0" fontId="22" fillId="0" borderId="2" xfId="0" applyFont="1" applyBorder="1" applyAlignment="1">
      <alignment horizontal="center" vertical="center" wrapText="1"/>
    </xf>
    <xf numFmtId="0" fontId="1" fillId="0" borderId="2" xfId="0" applyFont="1" applyBorder="1" applyAlignment="1">
      <alignment horizontal="center" vertical="center"/>
    </xf>
    <xf numFmtId="0" fontId="1" fillId="0" borderId="2" xfId="0" applyFont="1" applyBorder="1" applyAlignment="1">
      <alignment horizontal="center" vertical="center" wrapText="1"/>
    </xf>
    <xf numFmtId="0" fontId="14" fillId="0" borderId="0" xfId="0" applyFont="1" applyAlignment="1">
      <alignment horizontal="center" vertical="center"/>
    </xf>
    <xf numFmtId="0" fontId="17" fillId="0" borderId="0" xfId="0" applyFont="1" applyAlignment="1">
      <alignment horizontal="center" vertical="center"/>
    </xf>
    <xf numFmtId="0" fontId="4" fillId="0" borderId="9" xfId="0" applyFont="1" applyBorder="1" applyAlignment="1">
      <alignment vertical="center" wrapText="1"/>
    </xf>
    <xf numFmtId="0" fontId="4" fillId="0" borderId="10" xfId="0" applyFont="1" applyBorder="1" applyAlignment="1">
      <alignment vertical="center" wrapText="1"/>
    </xf>
    <xf numFmtId="0" fontId="22" fillId="0" borderId="0" xfId="0" applyFont="1"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justify" vertical="top" wrapText="1"/>
    </xf>
    <xf numFmtId="0" fontId="1" fillId="2" borderId="2" xfId="0" applyFont="1" applyFill="1" applyBorder="1" applyAlignment="1">
      <alignment horizontal="center" vertical="center" wrapText="1"/>
    </xf>
    <xf numFmtId="0" fontId="1" fillId="0" borderId="97" xfId="0" quotePrefix="1" applyFont="1" applyBorder="1" applyAlignment="1">
      <alignment horizontal="center" vertical="center" wrapText="1"/>
    </xf>
    <xf numFmtId="165" fontId="13" fillId="0" borderId="97" xfId="1" applyNumberFormat="1" applyFont="1" applyBorder="1" applyAlignment="1">
      <alignment horizontal="center" vertical="center" wrapText="1"/>
    </xf>
    <xf numFmtId="0" fontId="0" fillId="0" borderId="0" xfId="0" applyAlignment="1">
      <alignment horizontal="center" vertical="center"/>
    </xf>
    <xf numFmtId="0" fontId="1" fillId="0" borderId="98" xfId="0" quotePrefix="1" applyFont="1" applyBorder="1" applyAlignment="1">
      <alignment horizontal="center" vertical="center" wrapText="1"/>
    </xf>
    <xf numFmtId="0" fontId="1" fillId="0" borderId="2" xfId="0" applyFont="1" applyBorder="1" applyAlignment="1">
      <alignment horizontal="left" vertical="center" wrapText="1"/>
    </xf>
    <xf numFmtId="0" fontId="1" fillId="2" borderId="2" xfId="0" applyFont="1" applyFill="1" applyBorder="1" applyAlignment="1">
      <alignment horizontal="left" vertical="center" wrapText="1"/>
    </xf>
    <xf numFmtId="9" fontId="1" fillId="2" borderId="2" xfId="2" applyFont="1" applyFill="1" applyBorder="1" applyAlignment="1">
      <alignment horizontal="center" vertical="center" wrapText="1"/>
    </xf>
    <xf numFmtId="165" fontId="136" fillId="0" borderId="2" xfId="1" applyNumberFormat="1" applyFont="1" applyBorder="1" applyAlignment="1">
      <alignment horizontal="right" vertical="center" wrapText="1"/>
    </xf>
    <xf numFmtId="2" fontId="1" fillId="0" borderId="0" xfId="0" applyNumberFormat="1" applyFont="1" applyAlignment="1">
      <alignment horizontal="center" vertical="center" wrapText="1"/>
    </xf>
    <xf numFmtId="0" fontId="1" fillId="2" borderId="6" xfId="0" applyFont="1" applyFill="1" applyBorder="1" applyAlignment="1">
      <alignment horizontal="center" vertical="center" wrapText="1"/>
    </xf>
    <xf numFmtId="0" fontId="1" fillId="0" borderId="13" xfId="0" applyFont="1" applyBorder="1" applyAlignment="1">
      <alignment horizontal="center" vertical="center" wrapText="1"/>
    </xf>
    <xf numFmtId="0" fontId="1" fillId="0" borderId="11" xfId="0" applyFont="1" applyBorder="1" applyAlignment="1">
      <alignment horizontal="center" vertical="center" wrapText="1"/>
    </xf>
    <xf numFmtId="0" fontId="1" fillId="2" borderId="13" xfId="0" applyFont="1" applyFill="1" applyBorder="1" applyAlignment="1">
      <alignment horizontal="center" vertical="center" wrapText="1"/>
    </xf>
    <xf numFmtId="9" fontId="34" fillId="0" borderId="3" xfId="2" applyFont="1" applyBorder="1" applyAlignment="1">
      <alignment horizontal="right" vertical="center"/>
    </xf>
    <xf numFmtId="9" fontId="34" fillId="0" borderId="4" xfId="2" applyFont="1" applyBorder="1" applyAlignment="1">
      <alignment horizontal="center" vertical="center"/>
    </xf>
    <xf numFmtId="9" fontId="34" fillId="0" borderId="4" xfId="2" applyFont="1" applyBorder="1" applyAlignment="1">
      <alignment horizontal="left" vertical="center"/>
    </xf>
    <xf numFmtId="9" fontId="34" fillId="0" borderId="5" xfId="2" applyFont="1" applyBorder="1" applyAlignment="1">
      <alignment horizontal="center" vertical="center"/>
    </xf>
    <xf numFmtId="0" fontId="23" fillId="3" borderId="16" xfId="0" applyFont="1" applyFill="1" applyBorder="1" applyAlignment="1">
      <alignment horizontal="right" vertical="top"/>
    </xf>
    <xf numFmtId="165" fontId="141" fillId="0" borderId="0" xfId="5" applyNumberFormat="1" applyFont="1" applyAlignment="1" applyProtection="1">
      <alignment horizontal="left" vertical="center"/>
    </xf>
    <xf numFmtId="0" fontId="140" fillId="0" borderId="0" xfId="4" applyFont="1">
      <alignment vertical="center"/>
    </xf>
    <xf numFmtId="0" fontId="138" fillId="0" borderId="0" xfId="4">
      <alignment vertical="center"/>
    </xf>
    <xf numFmtId="0" fontId="142" fillId="0" borderId="0" xfId="4" applyFont="1" applyAlignment="1">
      <alignment vertical="top" wrapText="1"/>
    </xf>
    <xf numFmtId="0" fontId="143" fillId="0" borderId="0" xfId="4" applyFont="1" applyAlignment="1">
      <alignment vertical="center" wrapText="1"/>
    </xf>
    <xf numFmtId="0" fontId="144" fillId="0" borderId="0" xfId="4" applyFont="1" applyAlignment="1"/>
    <xf numFmtId="0" fontId="145" fillId="0" borderId="0" xfId="4" applyFont="1" applyAlignment="1">
      <alignment vertical="top" wrapText="1"/>
    </xf>
    <xf numFmtId="0" fontId="101" fillId="0" borderId="0" xfId="4" applyFont="1" applyAlignment="1">
      <alignment vertical="center" wrapText="1"/>
    </xf>
    <xf numFmtId="0" fontId="145" fillId="0" borderId="0" xfId="4" applyFont="1" applyAlignment="1">
      <alignment horizontal="center" vertical="top" wrapText="1"/>
    </xf>
    <xf numFmtId="0" fontId="140" fillId="0" borderId="0" xfId="4" applyFont="1" applyAlignment="1">
      <alignment vertical="top" wrapText="1"/>
    </xf>
    <xf numFmtId="0" fontId="139" fillId="0" borderId="0" xfId="4" applyFont="1" applyAlignment="1">
      <alignment vertical="center" wrapText="1"/>
    </xf>
    <xf numFmtId="0" fontId="146" fillId="0" borderId="0" xfId="4" applyFont="1" applyAlignment="1">
      <alignment vertical="center" wrapText="1"/>
    </xf>
    <xf numFmtId="0" fontId="146" fillId="0" borderId="0" xfId="4" applyFont="1" applyAlignment="1">
      <alignment horizontal="center" vertical="center" wrapText="1"/>
    </xf>
    <xf numFmtId="0" fontId="142" fillId="0" borderId="45" xfId="4" applyFont="1" applyBorder="1" applyAlignment="1">
      <alignment vertical="top" wrapText="1"/>
    </xf>
    <xf numFmtId="0" fontId="140" fillId="0" borderId="45" xfId="4" applyFont="1" applyBorder="1" applyAlignment="1">
      <alignment vertical="top" wrapText="1"/>
    </xf>
    <xf numFmtId="0" fontId="139" fillId="0" borderId="45" xfId="4" applyFont="1" applyBorder="1" applyAlignment="1">
      <alignment vertical="center" wrapText="1"/>
    </xf>
    <xf numFmtId="0" fontId="140" fillId="0" borderId="45" xfId="4" applyFont="1" applyBorder="1" applyAlignment="1"/>
    <xf numFmtId="0" fontId="146" fillId="0" borderId="45" xfId="4" applyFont="1" applyBorder="1" applyAlignment="1">
      <alignment vertical="center" wrapText="1"/>
    </xf>
    <xf numFmtId="0" fontId="140" fillId="0" borderId="45" xfId="4" applyFont="1" applyBorder="1" applyAlignment="1">
      <alignment horizontal="center"/>
    </xf>
    <xf numFmtId="0" fontId="149" fillId="0" borderId="0" xfId="4" applyFont="1">
      <alignment vertical="center"/>
    </xf>
    <xf numFmtId="0" fontId="148" fillId="0" borderId="7" xfId="4" applyFont="1" applyBorder="1" applyAlignment="1">
      <alignment vertical="top"/>
    </xf>
    <xf numFmtId="0" fontId="140" fillId="0" borderId="0" xfId="4" applyFont="1" applyAlignment="1">
      <alignment horizontal="left" vertical="center"/>
    </xf>
    <xf numFmtId="0" fontId="140" fillId="0" borderId="0" xfId="4" applyFont="1" applyAlignment="1">
      <alignment horizontal="left" vertical="top"/>
    </xf>
    <xf numFmtId="0" fontId="140" fillId="0" borderId="0" xfId="4" applyFont="1" applyAlignment="1">
      <alignment horizontal="center"/>
    </xf>
    <xf numFmtId="0" fontId="148" fillId="0" borderId="0" xfId="4" applyFont="1" applyAlignment="1">
      <alignment horizontal="left" vertical="top"/>
    </xf>
    <xf numFmtId="0" fontId="140" fillId="0" borderId="1" xfId="4" applyFont="1" applyBorder="1" applyAlignment="1">
      <alignment horizontal="center"/>
    </xf>
    <xf numFmtId="0" fontId="148" fillId="0" borderId="1" xfId="4" applyFont="1" applyBorder="1" applyAlignment="1">
      <alignment horizontal="left" vertical="center"/>
    </xf>
    <xf numFmtId="0" fontId="148" fillId="0" borderId="1" xfId="4" applyFont="1" applyBorder="1" applyAlignment="1">
      <alignment vertical="top"/>
    </xf>
    <xf numFmtId="0" fontId="148" fillId="0" borderId="3" xfId="4" applyFont="1" applyBorder="1" applyAlignment="1">
      <alignment vertical="top" wrapText="1"/>
    </xf>
    <xf numFmtId="0" fontId="148" fillId="0" borderId="10" xfId="4" applyFont="1" applyBorder="1" applyAlignment="1">
      <alignment horizontal="center" vertical="top" wrapText="1"/>
    </xf>
    <xf numFmtId="165" fontId="152" fillId="0" borderId="0" xfId="5" applyNumberFormat="1" applyFont="1" applyAlignment="1" applyProtection="1">
      <alignment horizontal="left" vertical="center" wrapText="1"/>
    </xf>
    <xf numFmtId="0" fontId="153" fillId="0" borderId="0" xfId="4" applyFont="1" applyAlignment="1">
      <alignment horizontal="left" vertical="center" wrapText="1"/>
    </xf>
    <xf numFmtId="0" fontId="153" fillId="0" borderId="0" xfId="4" applyFont="1" applyAlignment="1">
      <alignment horizontal="left" vertical="top" wrapText="1"/>
    </xf>
    <xf numFmtId="178" fontId="151" fillId="0" borderId="0" xfId="5" applyFont="1" applyAlignment="1" applyProtection="1">
      <alignment horizontal="left" vertical="center" wrapText="1"/>
    </xf>
    <xf numFmtId="179" fontId="151" fillId="0" borderId="0" xfId="5" applyNumberFormat="1" applyFont="1" applyAlignment="1" applyProtection="1">
      <alignment horizontal="left" vertical="center" wrapText="1"/>
    </xf>
    <xf numFmtId="178" fontId="153" fillId="0" borderId="0" xfId="5" applyFont="1" applyAlignment="1" applyProtection="1">
      <alignment horizontal="left" vertical="center" wrapText="1"/>
    </xf>
    <xf numFmtId="178" fontId="153" fillId="0" borderId="0" xfId="5" applyFont="1" applyAlignment="1" applyProtection="1">
      <alignment horizontal="left" wrapText="1"/>
    </xf>
    <xf numFmtId="0" fontId="153" fillId="0" borderId="0" xfId="4" applyFont="1" applyAlignment="1">
      <alignment horizontal="left" wrapText="1"/>
    </xf>
    <xf numFmtId="178" fontId="144" fillId="0" borderId="0" xfId="5" applyFont="1" applyAlignment="1" applyProtection="1">
      <alignment horizontal="left" vertical="center"/>
    </xf>
    <xf numFmtId="0" fontId="144" fillId="0" borderId="0" xfId="5" applyNumberFormat="1" applyFont="1" applyAlignment="1" applyProtection="1">
      <alignment horizontal="center" vertical="center"/>
    </xf>
    <xf numFmtId="0" fontId="140" fillId="0" borderId="0" xfId="4" applyFont="1" applyAlignment="1">
      <alignment horizontal="left"/>
    </xf>
    <xf numFmtId="0" fontId="148" fillId="0" borderId="7" xfId="4" applyFont="1" applyBorder="1" applyAlignment="1">
      <alignment horizontal="left" vertical="center"/>
    </xf>
    <xf numFmtId="0" fontId="148" fillId="0" borderId="0" xfId="4" applyFont="1" applyAlignment="1">
      <alignment horizontal="left" vertical="center"/>
    </xf>
    <xf numFmtId="0" fontId="148" fillId="0" borderId="2" xfId="4" applyFont="1" applyBorder="1" applyAlignment="1">
      <alignment vertical="top"/>
    </xf>
    <xf numFmtId="0" fontId="148" fillId="0" borderId="6" xfId="4" applyFont="1" applyBorder="1">
      <alignment vertical="center"/>
    </xf>
    <xf numFmtId="0" fontId="148" fillId="0" borderId="7" xfId="4" applyFont="1" applyBorder="1">
      <alignment vertical="center"/>
    </xf>
    <xf numFmtId="0" fontId="150" fillId="0" borderId="13" xfId="4" applyFont="1" applyBorder="1" applyAlignment="1">
      <alignment vertical="top"/>
    </xf>
    <xf numFmtId="0" fontId="148" fillId="0" borderId="0" xfId="4" applyFont="1" applyAlignment="1">
      <alignment vertical="top"/>
    </xf>
    <xf numFmtId="0" fontId="148" fillId="0" borderId="13" xfId="4" applyFont="1" applyBorder="1">
      <alignment vertical="center"/>
    </xf>
    <xf numFmtId="0" fontId="148" fillId="0" borderId="0" xfId="4" applyFont="1">
      <alignment vertical="center"/>
    </xf>
    <xf numFmtId="0" fontId="148" fillId="0" borderId="13" xfId="4" applyFont="1" applyBorder="1" applyAlignment="1">
      <alignment vertical="top"/>
    </xf>
    <xf numFmtId="0" fontId="148" fillId="0" borderId="11" xfId="4" applyFont="1" applyBorder="1" applyAlignment="1">
      <alignment vertical="top"/>
    </xf>
    <xf numFmtId="0" fontId="148" fillId="0" borderId="4" xfId="4" applyFont="1" applyBorder="1">
      <alignment vertical="center"/>
    </xf>
    <xf numFmtId="0" fontId="148" fillId="0" borderId="14" xfId="4" applyFont="1" applyBorder="1" applyAlignment="1">
      <alignment vertical="top"/>
    </xf>
    <xf numFmtId="0" fontId="148" fillId="0" borderId="12" xfId="4" applyFont="1" applyBorder="1" applyAlignment="1">
      <alignment vertical="top"/>
    </xf>
    <xf numFmtId="0" fontId="148" fillId="0" borderId="8" xfId="4" applyFont="1" applyBorder="1">
      <alignment vertical="center"/>
    </xf>
    <xf numFmtId="0" fontId="150" fillId="0" borderId="6" xfId="4" applyFont="1" applyBorder="1" applyAlignment="1"/>
    <xf numFmtId="0" fontId="150" fillId="0" borderId="7" xfId="4" applyFont="1" applyBorder="1" applyAlignment="1"/>
    <xf numFmtId="0" fontId="140" fillId="0" borderId="7" xfId="4" applyFont="1" applyBorder="1" applyAlignment="1">
      <alignment horizontal="center"/>
    </xf>
    <xf numFmtId="0" fontId="148" fillId="0" borderId="8" xfId="4" applyFont="1" applyBorder="1" applyAlignment="1">
      <alignment horizontal="left" vertical="center"/>
    </xf>
    <xf numFmtId="0" fontId="150" fillId="0" borderId="13" xfId="4" applyFont="1" applyBorder="1" applyAlignment="1"/>
    <xf numFmtId="0" fontId="150" fillId="0" borderId="0" xfId="4" applyFont="1" applyAlignment="1"/>
    <xf numFmtId="0" fontId="148" fillId="0" borderId="14" xfId="4" applyFont="1" applyBorder="1" applyAlignment="1">
      <alignment horizontal="left" vertical="center"/>
    </xf>
    <xf numFmtId="0" fontId="150" fillId="0" borderId="11" xfId="4" applyFont="1" applyBorder="1" applyAlignment="1"/>
    <xf numFmtId="0" fontId="150" fillId="0" borderId="1" xfId="4" applyFont="1" applyBorder="1" applyAlignment="1"/>
    <xf numFmtId="0" fontId="148" fillId="0" borderId="1" xfId="4" applyFont="1" applyBorder="1">
      <alignment vertical="center"/>
    </xf>
    <xf numFmtId="0" fontId="148" fillId="0" borderId="12" xfId="4" applyFont="1" applyBorder="1" applyAlignment="1">
      <alignment horizontal="left" vertical="center"/>
    </xf>
    <xf numFmtId="0" fontId="148" fillId="0" borderId="12" xfId="4" applyFont="1" applyBorder="1">
      <alignment vertical="center"/>
    </xf>
    <xf numFmtId="0" fontId="97" fillId="0" borderId="7" xfId="4" applyFont="1" applyBorder="1" applyAlignment="1">
      <alignment vertical="top"/>
    </xf>
    <xf numFmtId="0" fontId="97" fillId="0" borderId="8" xfId="4" applyFont="1" applyBorder="1" applyAlignment="1">
      <alignment vertical="top"/>
    </xf>
    <xf numFmtId="0" fontId="97" fillId="0" borderId="6" xfId="4" applyFont="1" applyBorder="1">
      <alignment vertical="center"/>
    </xf>
    <xf numFmtId="0" fontId="97" fillId="0" borderId="7" xfId="4" applyFont="1" applyBorder="1">
      <alignment vertical="center"/>
    </xf>
    <xf numFmtId="0" fontId="159" fillId="0" borderId="13" xfId="4" applyFont="1" applyBorder="1" applyAlignment="1">
      <alignment vertical="top"/>
    </xf>
    <xf numFmtId="0" fontId="97" fillId="0" borderId="0" xfId="4" applyFont="1" applyAlignment="1">
      <alignment vertical="top"/>
    </xf>
    <xf numFmtId="0" fontId="97" fillId="0" borderId="14" xfId="4" applyFont="1" applyBorder="1" applyAlignment="1">
      <alignment vertical="top"/>
    </xf>
    <xf numFmtId="0" fontId="97" fillId="0" borderId="13" xfId="4" applyFont="1" applyBorder="1">
      <alignment vertical="center"/>
    </xf>
    <xf numFmtId="0" fontId="97" fillId="0" borderId="0" xfId="4" applyFont="1">
      <alignment vertical="center"/>
    </xf>
    <xf numFmtId="0" fontId="97" fillId="0" borderId="13" xfId="4" applyFont="1" applyBorder="1" applyAlignment="1">
      <alignment vertical="top"/>
    </xf>
    <xf numFmtId="0" fontId="140" fillId="0" borderId="13" xfId="4" applyFont="1" applyBorder="1" applyAlignment="1">
      <alignment horizontal="center"/>
    </xf>
    <xf numFmtId="0" fontId="140" fillId="0" borderId="11" xfId="4" applyFont="1" applyBorder="1" applyAlignment="1">
      <alignment horizontal="center"/>
    </xf>
    <xf numFmtId="0" fontId="150" fillId="0" borderId="0" xfId="4" applyFont="1" applyAlignment="1">
      <alignment vertical="top"/>
    </xf>
    <xf numFmtId="0" fontId="148" fillId="0" borderId="0" xfId="4" applyFont="1" applyAlignment="1">
      <alignment horizontal="center" vertical="top"/>
    </xf>
    <xf numFmtId="0" fontId="148" fillId="0" borderId="0" xfId="4" applyFont="1" applyAlignment="1">
      <alignment horizontal="center" vertical="center"/>
    </xf>
    <xf numFmtId="0" fontId="148" fillId="0" borderId="0" xfId="4" applyFont="1" applyAlignment="1">
      <alignment horizontal="center"/>
    </xf>
    <xf numFmtId="0" fontId="160" fillId="0" borderId="0" xfId="4" applyFont="1" applyAlignment="1">
      <alignment horizontal="center"/>
    </xf>
    <xf numFmtId="0" fontId="150" fillId="0" borderId="0" xfId="4" applyFont="1" applyAlignment="1">
      <alignment horizontal="center"/>
    </xf>
    <xf numFmtId="0" fontId="139" fillId="0" borderId="0" xfId="4" applyFont="1" applyAlignment="1"/>
    <xf numFmtId="0" fontId="140" fillId="0" borderId="0" xfId="4" applyFont="1" applyAlignment="1">
      <alignment horizontal="center" vertical="top"/>
    </xf>
    <xf numFmtId="0" fontId="103" fillId="0" borderId="0" xfId="4" applyFont="1" applyAlignment="1">
      <alignment vertical="center" wrapText="1"/>
    </xf>
    <xf numFmtId="0" fontId="144" fillId="0" borderId="0" xfId="4" applyFont="1" applyAlignment="1">
      <alignment vertical="center" wrapText="1"/>
    </xf>
    <xf numFmtId="0" fontId="140" fillId="0" borderId="0" xfId="4" applyFont="1" applyAlignment="1">
      <alignment vertical="center" wrapText="1"/>
    </xf>
    <xf numFmtId="0" fontId="140" fillId="0" borderId="0" xfId="4" quotePrefix="1" applyFont="1" applyAlignment="1">
      <alignment vertical="center" wrapText="1"/>
    </xf>
    <xf numFmtId="0" fontId="162" fillId="0" borderId="0" xfId="4" applyFont="1" applyAlignment="1">
      <alignment vertical="center" shrinkToFit="1"/>
    </xf>
    <xf numFmtId="0" fontId="148" fillId="0" borderId="0" xfId="4" applyFont="1" applyAlignment="1"/>
    <xf numFmtId="0" fontId="156" fillId="0" borderId="0" xfId="4" applyFont="1">
      <alignment vertical="center"/>
    </xf>
    <xf numFmtId="166" fontId="148" fillId="0" borderId="0" xfId="4" applyNumberFormat="1" applyFont="1" applyAlignment="1">
      <alignment horizontal="center" vertical="center"/>
    </xf>
    <xf numFmtId="0" fontId="156" fillId="0" borderId="0" xfId="4" applyFont="1" applyAlignment="1"/>
    <xf numFmtId="14" fontId="148" fillId="0" borderId="0" xfId="4" applyNumberFormat="1" applyFont="1" applyAlignment="1"/>
    <xf numFmtId="2" fontId="148" fillId="0" borderId="0" xfId="4" applyNumberFormat="1" applyFont="1" applyAlignment="1">
      <alignment horizontal="left"/>
    </xf>
    <xf numFmtId="0" fontId="166" fillId="0" borderId="0" xfId="4" applyFont="1" applyAlignment="1"/>
    <xf numFmtId="0" fontId="148" fillId="0" borderId="0" xfId="4" applyFont="1" applyAlignment="1">
      <alignment wrapText="1"/>
    </xf>
    <xf numFmtId="0" fontId="165" fillId="0" borderId="2" xfId="4" applyFont="1" applyBorder="1" applyAlignment="1"/>
    <xf numFmtId="0" fontId="97" fillId="0" borderId="0" xfId="4" applyFont="1" applyAlignment="1">
      <alignment horizontal="left"/>
    </xf>
    <xf numFmtId="0" fontId="97" fillId="0" borderId="0" xfId="4" applyFont="1" applyAlignment="1"/>
    <xf numFmtId="0" fontId="138" fillId="0" borderId="0" xfId="4" applyAlignment="1"/>
    <xf numFmtId="2" fontId="140" fillId="0" borderId="0" xfId="4" applyNumberFormat="1" applyFont="1" applyAlignment="1"/>
    <xf numFmtId="0" fontId="148" fillId="0" borderId="0" xfId="4" applyFont="1" applyAlignment="1">
      <alignment horizontal="left"/>
    </xf>
    <xf numFmtId="0" fontId="164" fillId="0" borderId="0" xfId="4" applyFont="1" applyAlignment="1">
      <alignment horizontal="left"/>
    </xf>
    <xf numFmtId="178" fontId="148" fillId="0" borderId="0" xfId="4" applyNumberFormat="1" applyFont="1" applyAlignment="1">
      <alignment horizontal="left"/>
    </xf>
    <xf numFmtId="0" fontId="171" fillId="0" borderId="0" xfId="4" applyFont="1" applyAlignment="1">
      <alignment horizontal="left"/>
    </xf>
    <xf numFmtId="0" fontId="156" fillId="0" borderId="0" xfId="4" applyFont="1" applyAlignment="1">
      <alignment horizontal="justify" vertical="center"/>
    </xf>
    <xf numFmtId="0" fontId="164" fillId="0" borderId="0" xfId="4" applyFont="1" applyAlignment="1"/>
    <xf numFmtId="0" fontId="148" fillId="0" borderId="0" xfId="4" applyFont="1" applyAlignment="1">
      <alignment horizontal="center" wrapText="1"/>
    </xf>
    <xf numFmtId="0" fontId="177" fillId="0" borderId="0" xfId="4" applyFont="1">
      <alignment vertical="center"/>
    </xf>
    <xf numFmtId="0" fontId="168" fillId="0" borderId="0" xfId="4" applyFont="1" applyAlignment="1">
      <alignment horizontal="left"/>
    </xf>
    <xf numFmtId="0" fontId="156" fillId="0" borderId="0" xfId="4" applyFont="1" applyAlignment="1">
      <alignment horizontal="left"/>
    </xf>
    <xf numFmtId="0" fontId="156" fillId="0" borderId="0" xfId="4" applyFont="1" applyAlignment="1">
      <alignment horizontal="center" vertical="center"/>
    </xf>
    <xf numFmtId="0" fontId="180" fillId="0" borderId="0" xfId="4" applyFont="1" applyAlignment="1">
      <alignment horizontal="justify" vertical="center"/>
    </xf>
    <xf numFmtId="0" fontId="156" fillId="0" borderId="0" xfId="4" applyFont="1" applyAlignment="1">
      <alignment horizontal="left" vertical="center"/>
    </xf>
    <xf numFmtId="0" fontId="163" fillId="0" borderId="0" xfId="4" applyFont="1" applyAlignment="1">
      <alignment horizontal="left" vertical="center"/>
    </xf>
    <xf numFmtId="0" fontId="166" fillId="0" borderId="0" xfId="4" applyFont="1" applyAlignment="1">
      <alignment horizontal="left"/>
    </xf>
    <xf numFmtId="1" fontId="151" fillId="0" borderId="0" xfId="5" applyNumberFormat="1" applyFont="1" applyAlignment="1" applyProtection="1">
      <alignment horizontal="center" vertical="center" wrapText="1"/>
    </xf>
    <xf numFmtId="0" fontId="1" fillId="0" borderId="3" xfId="0" applyFont="1" applyBorder="1" applyAlignment="1">
      <alignment horizontal="left" vertical="center" wrapText="1"/>
    </xf>
    <xf numFmtId="0" fontId="4" fillId="0" borderId="4" xfId="0" applyFont="1" applyBorder="1" applyAlignment="1">
      <alignment vertical="center" wrapText="1"/>
    </xf>
    <xf numFmtId="0" fontId="4" fillId="0" borderId="1" xfId="0" applyFont="1" applyBorder="1" applyAlignment="1">
      <alignment vertical="center" wrapText="1"/>
    </xf>
    <xf numFmtId="0" fontId="1" fillId="2" borderId="3" xfId="0" applyFont="1" applyFill="1" applyBorder="1" applyAlignment="1">
      <alignment horizontal="left" vertical="center" wrapText="1"/>
    </xf>
    <xf numFmtId="0" fontId="7" fillId="0" borderId="2" xfId="0" applyFont="1" applyBorder="1" applyAlignment="1">
      <alignment vertical="center"/>
    </xf>
    <xf numFmtId="0" fontId="4" fillId="0" borderId="10" xfId="0" applyFont="1" applyBorder="1" applyAlignment="1">
      <alignment horizontal="center" vertical="center" wrapText="1"/>
    </xf>
    <xf numFmtId="0" fontId="4" fillId="0" borderId="0" xfId="0" applyFont="1" applyAlignment="1">
      <alignment horizontal="left" vertical="center" wrapText="1"/>
    </xf>
    <xf numFmtId="0" fontId="22" fillId="0" borderId="0" xfId="0" applyFont="1" applyAlignment="1">
      <alignment horizontal="center" vertical="top" wrapText="1"/>
    </xf>
    <xf numFmtId="0" fontId="4" fillId="0" borderId="0" xfId="0" applyFont="1" applyAlignment="1" applyProtection="1">
      <alignment vertical="top" wrapText="1"/>
      <protection locked="0"/>
    </xf>
    <xf numFmtId="0" fontId="4" fillId="0" borderId="11" xfId="0" applyFont="1" applyBorder="1" applyAlignment="1" applyProtection="1">
      <alignment horizontal="left" vertical="center" wrapText="1"/>
      <protection locked="0"/>
    </xf>
    <xf numFmtId="0" fontId="4" fillId="0" borderId="1" xfId="0" applyFont="1" applyBorder="1" applyAlignment="1" applyProtection="1">
      <alignment horizontal="left" vertical="center" wrapText="1"/>
      <protection locked="0"/>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horizontal="left" vertical="center" wrapText="1"/>
      <protection locked="0"/>
    </xf>
    <xf numFmtId="0" fontId="99" fillId="0" borderId="0" xfId="0" applyFont="1" applyAlignment="1">
      <alignment horizontal="center" vertical="center" wrapText="1"/>
    </xf>
    <xf numFmtId="0" fontId="0" fillId="0" borderId="12" xfId="0" applyBorder="1" applyAlignment="1">
      <alignment horizontal="left"/>
    </xf>
    <xf numFmtId="0" fontId="4" fillId="0" borderId="0" xfId="0" applyFont="1" applyAlignment="1">
      <alignment horizontal="left" vertical="center"/>
    </xf>
    <xf numFmtId="0" fontId="5" fillId="0" borderId="0" xfId="0" applyFont="1" applyAlignment="1">
      <alignment horizontal="center" vertical="center"/>
    </xf>
    <xf numFmtId="0" fontId="7" fillId="0" borderId="1" xfId="0" applyFont="1" applyBorder="1" applyAlignment="1">
      <alignment vertical="center"/>
    </xf>
    <xf numFmtId="0" fontId="1" fillId="2" borderId="0" xfId="0" applyFont="1" applyFill="1" applyAlignment="1">
      <alignment horizontal="center" vertical="center"/>
    </xf>
    <xf numFmtId="0" fontId="1" fillId="0" borderId="1" xfId="0" applyFont="1" applyBorder="1"/>
    <xf numFmtId="0" fontId="188" fillId="0" borderId="0" xfId="0" applyFont="1"/>
    <xf numFmtId="0" fontId="1" fillId="6" borderId="0" xfId="0" applyFont="1" applyFill="1" applyAlignment="1">
      <alignment vertical="center"/>
    </xf>
    <xf numFmtId="9" fontId="34" fillId="0" borderId="0" xfId="2" applyFont="1" applyBorder="1" applyAlignment="1" applyProtection="1">
      <alignment horizontal="center" vertical="center"/>
    </xf>
    <xf numFmtId="170" fontId="1" fillId="0" borderId="0" xfId="0" applyNumberFormat="1" applyFont="1" applyAlignment="1">
      <alignment horizontal="right" vertical="center"/>
    </xf>
    <xf numFmtId="9" fontId="1" fillId="0" borderId="0" xfId="2" applyFont="1" applyBorder="1" applyAlignment="1" applyProtection="1">
      <alignment horizontal="center" vertical="center"/>
    </xf>
    <xf numFmtId="170" fontId="1" fillId="0" borderId="0" xfId="0" applyNumberFormat="1" applyFont="1" applyAlignment="1">
      <alignment horizontal="left" vertical="center"/>
    </xf>
    <xf numFmtId="170" fontId="4" fillId="0" borderId="0" xfId="0" applyNumberFormat="1" applyFont="1" applyAlignment="1">
      <alignment horizontal="left" vertical="center"/>
    </xf>
    <xf numFmtId="167" fontId="4" fillId="0" borderId="0" xfId="0" applyNumberFormat="1" applyFont="1" applyAlignment="1">
      <alignment vertical="center"/>
    </xf>
    <xf numFmtId="9" fontId="1" fillId="0" borderId="0" xfId="2" applyFont="1" applyBorder="1" applyAlignment="1" applyProtection="1">
      <alignment vertical="center"/>
    </xf>
    <xf numFmtId="9" fontId="34" fillId="0" borderId="0" xfId="2" applyFont="1" applyBorder="1" applyAlignment="1" applyProtection="1">
      <alignment vertical="center"/>
    </xf>
    <xf numFmtId="9" fontId="1" fillId="2" borderId="2" xfId="2" applyFont="1" applyFill="1" applyBorder="1" applyAlignment="1" applyProtection="1">
      <alignment horizontal="center" vertical="center" wrapText="1"/>
    </xf>
    <xf numFmtId="43" fontId="1" fillId="0" borderId="0" xfId="1" applyFont="1" applyBorder="1" applyAlignment="1" applyProtection="1">
      <alignment horizontal="center" vertical="center" wrapText="1"/>
    </xf>
    <xf numFmtId="0" fontId="4" fillId="2" borderId="0" xfId="0" applyFont="1" applyFill="1" applyAlignment="1">
      <alignment horizontal="center" vertical="center"/>
    </xf>
    <xf numFmtId="0" fontId="189" fillId="0" borderId="0" xfId="0" applyFont="1" applyAlignment="1">
      <alignment horizontal="right" vertical="center"/>
    </xf>
    <xf numFmtId="0" fontId="3" fillId="4" borderId="107" xfId="0" applyFont="1" applyFill="1" applyBorder="1" applyAlignment="1">
      <alignment vertical="center"/>
    </xf>
    <xf numFmtId="1" fontId="1" fillId="0" borderId="0" xfId="2" applyNumberFormat="1" applyFont="1" applyBorder="1" applyAlignment="1" applyProtection="1">
      <alignment vertical="center"/>
      <protection locked="0"/>
    </xf>
    <xf numFmtId="43" fontId="1" fillId="0" borderId="0" xfId="1" applyFont="1" applyBorder="1" applyAlignment="1" applyProtection="1">
      <alignment vertical="center" wrapText="1"/>
    </xf>
    <xf numFmtId="43" fontId="1" fillId="0" borderId="14" xfId="1" applyFont="1" applyBorder="1" applyAlignment="1" applyProtection="1">
      <alignment vertical="center" wrapText="1"/>
    </xf>
    <xf numFmtId="165" fontId="190" fillId="0" borderId="0" xfId="0" applyNumberFormat="1" applyFont="1" applyAlignment="1">
      <alignment horizontal="right" vertical="center"/>
    </xf>
    <xf numFmtId="0" fontId="148" fillId="0" borderId="7" xfId="4" applyFont="1" applyBorder="1" applyAlignment="1">
      <alignment horizontal="left" vertical="top" wrapText="1"/>
    </xf>
    <xf numFmtId="0" fontId="108" fillId="0" borderId="0" xfId="0" applyFont="1" applyAlignment="1">
      <alignment horizontal="center" vertical="center"/>
    </xf>
    <xf numFmtId="0" fontId="1" fillId="0" borderId="0" xfId="1" applyNumberFormat="1" applyFont="1" applyBorder="1" applyAlignment="1">
      <alignment horizontal="left" vertical="top" wrapText="1"/>
    </xf>
    <xf numFmtId="0" fontId="3" fillId="0" borderId="2" xfId="0" applyFont="1" applyBorder="1" applyAlignment="1">
      <alignment horizontal="left" vertical="center" wrapText="1"/>
    </xf>
    <xf numFmtId="0" fontId="155" fillId="0" borderId="0" xfId="4" applyFont="1" applyAlignment="1">
      <alignment vertical="top"/>
    </xf>
    <xf numFmtId="168" fontId="1" fillId="0" borderId="11" xfId="1" applyNumberFormat="1" applyFont="1" applyBorder="1" applyAlignment="1">
      <alignment vertical="center" shrinkToFit="1"/>
    </xf>
    <xf numFmtId="43" fontId="1" fillId="0" borderId="1" xfId="1" applyFont="1" applyBorder="1" applyAlignment="1">
      <alignment horizontal="center" vertical="center" wrapText="1"/>
    </xf>
    <xf numFmtId="0" fontId="191" fillId="0" borderId="0" xfId="0" applyFont="1" applyAlignment="1">
      <alignment horizontal="center" vertical="center" shrinkToFit="1"/>
    </xf>
    <xf numFmtId="0" fontId="192" fillId="0" borderId="0" xfId="0" applyFont="1" applyAlignment="1">
      <alignment vertical="center"/>
    </xf>
    <xf numFmtId="0" fontId="74" fillId="0" borderId="0" xfId="0" applyFont="1" applyAlignment="1">
      <alignment vertical="top" wrapText="1"/>
    </xf>
    <xf numFmtId="0" fontId="3" fillId="0" borderId="2" xfId="0" applyFont="1" applyBorder="1" applyAlignment="1">
      <alignment vertical="center" wrapText="1"/>
    </xf>
    <xf numFmtId="0" fontId="194" fillId="0" borderId="2" xfId="0" applyFont="1" applyBorder="1" applyAlignment="1">
      <alignment horizontal="center" vertical="center" wrapText="1"/>
    </xf>
    <xf numFmtId="0" fontId="195" fillId="0" borderId="2" xfId="0" applyFont="1" applyBorder="1" applyAlignment="1">
      <alignment horizontal="center" vertical="center" wrapText="1"/>
    </xf>
    <xf numFmtId="0" fontId="198" fillId="0" borderId="0" xfId="0" applyFont="1" applyAlignment="1">
      <alignment horizontal="right" vertical="center"/>
    </xf>
    <xf numFmtId="0" fontId="187" fillId="0" borderId="0" xfId="0" applyFont="1" applyAlignment="1">
      <alignment horizontal="center" vertical="center" shrinkToFit="1"/>
    </xf>
    <xf numFmtId="0" fontId="73" fillId="0" borderId="0" xfId="0" applyFont="1"/>
    <xf numFmtId="0" fontId="197" fillId="0" borderId="0" xfId="0" applyFont="1" applyAlignment="1">
      <alignment horizontal="center" vertical="center" wrapText="1"/>
    </xf>
    <xf numFmtId="0" fontId="198" fillId="0" borderId="0" xfId="0" applyFont="1" applyAlignment="1">
      <alignment vertical="center" wrapText="1"/>
    </xf>
    <xf numFmtId="0" fontId="198" fillId="0" borderId="0" xfId="0" applyFont="1" applyAlignment="1">
      <alignment horizontal="left" vertical="center"/>
    </xf>
    <xf numFmtId="49" fontId="3" fillId="0" borderId="2" xfId="0" applyNumberFormat="1" applyFont="1" applyBorder="1" applyAlignment="1">
      <alignment vertical="center" wrapText="1"/>
    </xf>
    <xf numFmtId="0" fontId="18" fillId="0" borderId="0" xfId="0" applyFont="1" applyAlignment="1">
      <alignment horizontal="right" vertical="top" wrapText="1"/>
    </xf>
    <xf numFmtId="0" fontId="3" fillId="0" borderId="2" xfId="0" applyFont="1" applyBorder="1" applyAlignment="1">
      <alignment horizontal="center" vertical="top" wrapText="1"/>
    </xf>
    <xf numFmtId="2" fontId="3" fillId="0" borderId="2" xfId="0" applyNumberFormat="1" applyFont="1" applyBorder="1" applyAlignment="1">
      <alignment horizontal="center" vertical="center" wrapText="1"/>
    </xf>
    <xf numFmtId="0" fontId="1" fillId="0" borderId="0" xfId="0" applyFont="1" applyAlignment="1">
      <alignment horizontal="center" vertical="top" wrapText="1"/>
    </xf>
    <xf numFmtId="180" fontId="3" fillId="0" borderId="87" xfId="1" applyNumberFormat="1" applyFont="1" applyBorder="1" applyAlignment="1">
      <alignment horizontal="left" vertical="center" shrinkToFit="1"/>
    </xf>
    <xf numFmtId="180" fontId="3" fillId="4" borderId="20" xfId="1" applyNumberFormat="1" applyFont="1" applyFill="1" applyBorder="1" applyAlignment="1">
      <alignment horizontal="center" vertical="top" shrinkToFit="1"/>
    </xf>
    <xf numFmtId="181" fontId="13" fillId="0" borderId="97" xfId="1" applyNumberFormat="1" applyFont="1" applyBorder="1" applyAlignment="1" applyProtection="1">
      <alignment horizontal="center" vertical="center" wrapText="1"/>
      <protection locked="0"/>
    </xf>
    <xf numFmtId="182" fontId="185" fillId="0" borderId="0" xfId="0" applyNumberFormat="1" applyFont="1" applyAlignment="1">
      <alignment vertical="center"/>
    </xf>
    <xf numFmtId="181" fontId="74" fillId="0" borderId="97" xfId="1" applyNumberFormat="1" applyFont="1" applyBorder="1" applyAlignment="1" applyProtection="1">
      <alignment horizontal="center" vertical="center" wrapText="1"/>
      <protection locked="0"/>
    </xf>
    <xf numFmtId="0" fontId="38" fillId="0" borderId="0" xfId="0" applyFont="1" applyAlignment="1">
      <alignment vertical="center" wrapText="1"/>
    </xf>
    <xf numFmtId="49" fontId="1" fillId="0" borderId="0" xfId="0" applyNumberFormat="1" applyFont="1" applyAlignment="1">
      <alignment vertical="center" wrapText="1"/>
    </xf>
    <xf numFmtId="0" fontId="50" fillId="0" borderId="0" xfId="0" applyFont="1" applyAlignment="1">
      <alignment horizontal="center" vertical="center"/>
    </xf>
    <xf numFmtId="2" fontId="4" fillId="0" borderId="0" xfId="0" applyNumberFormat="1" applyFont="1" applyAlignment="1" applyProtection="1">
      <alignment vertical="center" wrapText="1"/>
      <protection locked="0"/>
    </xf>
    <xf numFmtId="2" fontId="4" fillId="0" borderId="0" xfId="0" applyNumberFormat="1" applyFont="1" applyAlignment="1">
      <alignment vertical="center" wrapText="1"/>
    </xf>
    <xf numFmtId="2" fontId="1" fillId="0" borderId="0" xfId="0" applyNumberFormat="1" applyFont="1" applyAlignment="1">
      <alignment vertical="center"/>
    </xf>
    <xf numFmtId="0" fontId="3" fillId="0" borderId="0" xfId="0" applyFont="1" applyAlignment="1">
      <alignment horizontal="center" vertical="top"/>
    </xf>
    <xf numFmtId="0" fontId="26" fillId="0" borderId="0" xfId="0" applyFont="1" applyAlignment="1">
      <alignment vertical="top"/>
    </xf>
    <xf numFmtId="0" fontId="3" fillId="0" borderId="7" xfId="0" applyFont="1" applyBorder="1"/>
    <xf numFmtId="0" fontId="3" fillId="0" borderId="7" xfId="0" applyFont="1" applyBorder="1" applyAlignment="1">
      <alignment vertical="center" wrapText="1"/>
    </xf>
    <xf numFmtId="14" fontId="3" fillId="0" borderId="7" xfId="0" applyNumberFormat="1" applyFont="1" applyBorder="1" applyAlignment="1">
      <alignment vertical="center" wrapText="1"/>
    </xf>
    <xf numFmtId="0" fontId="3" fillId="0" borderId="0" xfId="0" applyFont="1" applyAlignment="1">
      <alignment horizontal="center" vertical="center"/>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4" xfId="0" applyFont="1" applyFill="1" applyBorder="1" applyAlignment="1">
      <alignment horizontal="center" vertical="center" wrapText="1"/>
    </xf>
    <xf numFmtId="43" fontId="1" fillId="0" borderId="0" xfId="1" applyFont="1" applyBorder="1" applyAlignment="1">
      <alignment horizontal="center" vertical="center" wrapText="1"/>
    </xf>
    <xf numFmtId="43" fontId="135" fillId="0" borderId="3" xfId="1" applyFont="1" applyBorder="1" applyAlignment="1">
      <alignment vertical="center" wrapText="1"/>
    </xf>
    <xf numFmtId="43" fontId="135" fillId="0" borderId="4" xfId="1" applyFont="1" applyBorder="1" applyAlignment="1">
      <alignment vertical="center" wrapText="1"/>
    </xf>
    <xf numFmtId="43" fontId="135" fillId="0" borderId="5" xfId="1" applyFont="1" applyBorder="1" applyAlignment="1">
      <alignment vertical="center" wrapText="1"/>
    </xf>
    <xf numFmtId="165" fontId="135" fillId="0" borderId="3" xfId="1" applyNumberFormat="1" applyFont="1" applyBorder="1" applyAlignment="1">
      <alignment horizontal="right" vertical="center" wrapText="1"/>
    </xf>
    <xf numFmtId="165" fontId="135" fillId="0" borderId="5" xfId="1" applyNumberFormat="1" applyFont="1" applyBorder="1" applyAlignment="1">
      <alignment horizontal="right" vertical="center" wrapText="1"/>
    </xf>
    <xf numFmtId="43" fontId="1" fillId="0" borderId="3" xfId="1" applyFont="1" applyBorder="1" applyAlignment="1">
      <alignment horizontal="right" vertical="center" wrapText="1"/>
    </xf>
    <xf numFmtId="43" fontId="1" fillId="0" borderId="5" xfId="1" applyFont="1" applyBorder="1" applyAlignment="1">
      <alignment horizontal="right" vertical="center" wrapText="1"/>
    </xf>
    <xf numFmtId="167" fontId="1" fillId="0" borderId="3" xfId="1" applyNumberFormat="1" applyFont="1" applyBorder="1" applyAlignment="1">
      <alignment horizontal="center" vertical="center" wrapText="1"/>
    </xf>
    <xf numFmtId="167" fontId="1" fillId="0" borderId="4" xfId="1" applyNumberFormat="1" applyFont="1" applyBorder="1" applyAlignment="1">
      <alignment horizontal="center" vertical="center" wrapText="1"/>
    </xf>
    <xf numFmtId="167" fontId="1" fillId="0" borderId="5" xfId="1" applyNumberFormat="1" applyFont="1" applyBorder="1" applyAlignment="1">
      <alignment horizontal="center" vertical="center" wrapText="1"/>
    </xf>
    <xf numFmtId="9" fontId="1" fillId="2" borderId="0" xfId="2" applyFont="1" applyFill="1" applyBorder="1" applyAlignment="1">
      <alignment horizontal="center" vertical="center" wrapText="1"/>
    </xf>
    <xf numFmtId="0" fontId="148" fillId="0" borderId="8" xfId="4" applyFont="1" applyBorder="1" applyAlignment="1">
      <alignment vertical="top"/>
    </xf>
    <xf numFmtId="0" fontId="148" fillId="0" borderId="14" xfId="4" applyFont="1" applyBorder="1" applyAlignment="1">
      <alignment horizontal="left" vertical="top" wrapText="1"/>
    </xf>
    <xf numFmtId="0" fontId="148" fillId="0" borderId="0" xfId="4" applyFont="1" applyAlignment="1">
      <alignment horizontal="left" vertical="top" wrapText="1"/>
    </xf>
    <xf numFmtId="179" fontId="148" fillId="0" borderId="4" xfId="5" applyNumberFormat="1" applyFont="1" applyBorder="1" applyAlignment="1" applyProtection="1">
      <alignment vertical="top" wrapText="1"/>
    </xf>
    <xf numFmtId="0" fontId="148" fillId="0" borderId="2" xfId="4" applyFont="1" applyBorder="1" applyAlignment="1">
      <alignment horizontal="center" vertical="top" wrapText="1"/>
    </xf>
    <xf numFmtId="168" fontId="195" fillId="0" borderId="2" xfId="0" applyNumberFormat="1" applyFont="1" applyBorder="1" applyAlignment="1">
      <alignment horizontal="center" vertical="center" wrapText="1"/>
    </xf>
    <xf numFmtId="168" fontId="194" fillId="0" borderId="2" xfId="0" applyNumberFormat="1" applyFont="1" applyBorder="1" applyAlignment="1">
      <alignment horizontal="center" vertical="center" wrapText="1"/>
    </xf>
    <xf numFmtId="0" fontId="77" fillId="3" borderId="2" xfId="0" applyFont="1" applyFill="1" applyBorder="1" applyAlignment="1">
      <alignment horizontal="left" vertical="center" wrapText="1"/>
    </xf>
    <xf numFmtId="172" fontId="38" fillId="0" borderId="0" xfId="0" applyNumberFormat="1" applyFont="1"/>
    <xf numFmtId="0" fontId="148" fillId="0" borderId="11" xfId="4" applyFont="1" applyBorder="1">
      <alignment vertical="center"/>
    </xf>
    <xf numFmtId="0" fontId="148" fillId="0" borderId="0" xfId="4" applyFont="1" applyAlignment="1">
      <alignment vertical="top" wrapText="1"/>
    </xf>
    <xf numFmtId="0" fontId="155" fillId="0" borderId="6" xfId="4" applyFont="1" applyBorder="1" applyAlignment="1">
      <alignment horizontal="center" vertical="center" wrapText="1"/>
    </xf>
    <xf numFmtId="0" fontId="148" fillId="0" borderId="7" xfId="4" applyFont="1" applyBorder="1" applyAlignment="1"/>
    <xf numFmtId="0" fontId="140" fillId="0" borderId="7" xfId="4" applyFont="1" applyBorder="1" applyAlignment="1">
      <alignment horizontal="left" vertical="top"/>
    </xf>
    <xf numFmtId="14" fontId="155" fillId="0" borderId="7" xfId="4" applyNumberFormat="1" applyFont="1" applyBorder="1" applyAlignment="1">
      <alignment vertical="center" wrapText="1"/>
    </xf>
    <xf numFmtId="0" fontId="155" fillId="0" borderId="0" xfId="4" applyFont="1">
      <alignment vertical="center"/>
    </xf>
    <xf numFmtId="0" fontId="155" fillId="0" borderId="13" xfId="4" applyFont="1" applyBorder="1" applyAlignment="1">
      <alignment horizontal="center" vertical="center" wrapText="1"/>
    </xf>
    <xf numFmtId="0" fontId="148" fillId="0" borderId="0" xfId="4" applyFont="1" applyAlignment="1">
      <alignment horizontal="justify" vertical="center"/>
    </xf>
    <xf numFmtId="0" fontId="156" fillId="0" borderId="0" xfId="4" applyFont="1" applyAlignment="1">
      <alignment horizontal="left" vertical="top"/>
    </xf>
    <xf numFmtId="178" fontId="156" fillId="0" borderId="0" xfId="5" applyFont="1" applyBorder="1" applyAlignment="1" applyProtection="1">
      <alignment horizontal="center" vertical="center"/>
    </xf>
    <xf numFmtId="165" fontId="179" fillId="0" borderId="0" xfId="4" applyNumberFormat="1" applyFont="1" applyAlignment="1">
      <alignment horizontal="center" vertical="center"/>
    </xf>
    <xf numFmtId="0" fontId="179" fillId="0" borderId="0" xfId="4" applyFont="1" applyAlignment="1">
      <alignment horizontal="center" vertical="center"/>
    </xf>
    <xf numFmtId="165" fontId="156" fillId="0" borderId="0" xfId="4" applyNumberFormat="1" applyFont="1" applyAlignment="1">
      <alignment horizontal="center" vertical="center"/>
    </xf>
    <xf numFmtId="165" fontId="180" fillId="0" borderId="0" xfId="4" applyNumberFormat="1" applyFont="1" applyAlignment="1">
      <alignment horizontal="center" vertical="center"/>
    </xf>
    <xf numFmtId="0" fontId="180" fillId="0" borderId="0" xfId="4" applyFont="1" applyAlignment="1">
      <alignment horizontal="center" vertical="center"/>
    </xf>
    <xf numFmtId="0" fontId="148" fillId="0" borderId="14" xfId="4" applyFont="1" applyBorder="1">
      <alignment vertical="center"/>
    </xf>
    <xf numFmtId="0" fontId="1" fillId="0" borderId="2" xfId="0" applyFont="1" applyBorder="1" applyAlignment="1">
      <alignment vertical="center"/>
    </xf>
    <xf numFmtId="0" fontId="74" fillId="0" borderId="7" xfId="0" applyFont="1" applyBorder="1" applyAlignment="1">
      <alignment vertical="center" shrinkToFit="1"/>
    </xf>
    <xf numFmtId="0" fontId="8" fillId="0" borderId="0" xfId="0" applyFont="1" applyAlignment="1">
      <alignment horizontal="center" vertical="top" wrapText="1"/>
    </xf>
    <xf numFmtId="0" fontId="68" fillId="5" borderId="0" xfId="0" applyFont="1" applyFill="1" applyAlignment="1">
      <alignment vertical="top"/>
    </xf>
    <xf numFmtId="0" fontId="72" fillId="5" borderId="0" xfId="0" applyFont="1" applyFill="1" applyAlignment="1">
      <alignment vertical="center"/>
    </xf>
    <xf numFmtId="0" fontId="0" fillId="5" borderId="0" xfId="0" applyFill="1" applyAlignment="1">
      <alignment vertical="center"/>
    </xf>
    <xf numFmtId="0" fontId="70" fillId="5" borderId="0" xfId="0" applyFont="1" applyFill="1" applyAlignment="1">
      <alignment vertical="center"/>
    </xf>
    <xf numFmtId="0" fontId="0" fillId="0" borderId="7" xfId="0" applyBorder="1"/>
    <xf numFmtId="0" fontId="22" fillId="0" borderId="7" xfId="0" applyFont="1" applyBorder="1" applyAlignment="1">
      <alignment vertical="center"/>
    </xf>
    <xf numFmtId="0" fontId="185" fillId="0" borderId="0" xfId="0" applyFont="1" applyAlignment="1">
      <alignment horizontal="center"/>
    </xf>
    <xf numFmtId="0" fontId="6" fillId="6" borderId="0" xfId="0" applyFont="1" applyFill="1" applyAlignment="1">
      <alignment horizontal="center" vertical="center"/>
    </xf>
    <xf numFmtId="0" fontId="1" fillId="0" borderId="1" xfId="0" applyFont="1" applyBorder="1" applyAlignment="1">
      <alignment horizontal="center" vertical="center"/>
    </xf>
    <xf numFmtId="0" fontId="18" fillId="0" borderId="0" xfId="0" applyFont="1" applyAlignment="1">
      <alignment horizontal="left" vertical="center"/>
    </xf>
    <xf numFmtId="0" fontId="7" fillId="0" borderId="0" xfId="0" applyFont="1" applyAlignment="1">
      <alignment vertical="center"/>
    </xf>
    <xf numFmtId="49" fontId="1" fillId="0" borderId="0" xfId="0" applyNumberFormat="1" applyFont="1" applyAlignment="1">
      <alignment horizontal="right" vertical="center" wrapText="1"/>
    </xf>
    <xf numFmtId="0" fontId="1" fillId="0" borderId="1" xfId="0" applyFont="1" applyBorder="1" applyAlignment="1">
      <alignment horizontal="left" vertical="center"/>
    </xf>
    <xf numFmtId="0" fontId="38" fillId="0" borderId="1" xfId="0" applyFont="1" applyBorder="1" applyAlignment="1">
      <alignment horizontal="left"/>
    </xf>
    <xf numFmtId="0" fontId="38" fillId="0" borderId="1" xfId="0" applyFont="1" applyBorder="1"/>
    <xf numFmtId="0" fontId="1" fillId="0" borderId="7" xfId="0" applyFont="1" applyBorder="1" applyAlignment="1">
      <alignment horizontal="left" vertical="center"/>
    </xf>
    <xf numFmtId="0" fontId="38" fillId="0" borderId="7" xfId="0" applyFont="1" applyBorder="1" applyAlignment="1">
      <alignment horizontal="left"/>
    </xf>
    <xf numFmtId="0" fontId="38" fillId="0" borderId="7" xfId="0" applyFont="1" applyBorder="1"/>
    <xf numFmtId="0" fontId="1" fillId="0" borderId="7" xfId="0" applyFont="1" applyBorder="1" applyAlignment="1">
      <alignment vertical="center"/>
    </xf>
    <xf numFmtId="0" fontId="0" fillId="0" borderId="1" xfId="0" applyBorder="1" applyAlignment="1">
      <alignment horizontal="left"/>
    </xf>
    <xf numFmtId="0" fontId="23" fillId="3" borderId="16" xfId="0" applyFont="1" applyFill="1" applyBorder="1" applyAlignment="1">
      <alignment horizontal="left" vertical="top" wrapText="1"/>
    </xf>
    <xf numFmtId="0" fontId="23" fillId="3" borderId="16" xfId="0" applyFont="1" applyFill="1" applyBorder="1" applyAlignment="1">
      <alignment horizontal="left" vertical="center" wrapText="1"/>
    </xf>
    <xf numFmtId="169" fontId="3" fillId="4" borderId="20" xfId="1" applyNumberFormat="1" applyFont="1" applyFill="1" applyBorder="1" applyAlignment="1">
      <alignment horizontal="center" vertical="top" shrinkToFit="1"/>
    </xf>
    <xf numFmtId="0" fontId="3" fillId="4" borderId="20" xfId="0" applyFont="1" applyFill="1" applyBorder="1"/>
    <xf numFmtId="0" fontId="28" fillId="4" borderId="18" xfId="0" quotePrefix="1" applyFont="1" applyFill="1" applyBorder="1"/>
    <xf numFmtId="0" fontId="28" fillId="4" borderId="68" xfId="0" applyFont="1" applyFill="1" applyBorder="1" applyAlignment="1">
      <alignment horizontal="left" vertical="top"/>
    </xf>
    <xf numFmtId="0" fontId="3" fillId="9" borderId="18" xfId="0" applyFont="1" applyFill="1" applyBorder="1" applyAlignment="1">
      <alignment vertical="center"/>
    </xf>
    <xf numFmtId="0" fontId="3" fillId="4" borderId="17" xfId="0" applyFont="1" applyFill="1" applyBorder="1" applyAlignment="1">
      <alignment horizontal="left" vertical="top"/>
    </xf>
    <xf numFmtId="0" fontId="205" fillId="3" borderId="18" xfId="0" applyFont="1" applyFill="1" applyBorder="1" applyAlignment="1">
      <alignment vertical="top" wrapText="1"/>
    </xf>
    <xf numFmtId="0" fontId="77" fillId="4" borderId="17" xfId="0" applyFont="1" applyFill="1" applyBorder="1" applyAlignment="1">
      <alignment vertical="top"/>
    </xf>
    <xf numFmtId="1" fontId="3" fillId="3" borderId="18" xfId="0" applyNumberFormat="1" applyFont="1" applyFill="1" applyBorder="1" applyAlignment="1">
      <alignment horizontal="left" vertical="top" wrapText="1"/>
    </xf>
    <xf numFmtId="0" fontId="205" fillId="4" borderId="109" xfId="0" applyFont="1" applyFill="1" applyBorder="1" applyAlignment="1">
      <alignment vertical="top"/>
    </xf>
    <xf numFmtId="0" fontId="3" fillId="4" borderId="110" xfId="0" applyFont="1" applyFill="1" applyBorder="1" applyAlignment="1">
      <alignment vertical="center"/>
    </xf>
    <xf numFmtId="0" fontId="3" fillId="3" borderId="111" xfId="0" applyFont="1" applyFill="1" applyBorder="1" applyAlignment="1">
      <alignment vertical="center"/>
    </xf>
    <xf numFmtId="1" fontId="36" fillId="0" borderId="2" xfId="0" applyNumberFormat="1" applyFont="1" applyBorder="1" applyAlignment="1">
      <alignment horizontal="left" vertical="center" wrapText="1"/>
    </xf>
    <xf numFmtId="1" fontId="3" fillId="0" borderId="2" xfId="0" applyNumberFormat="1" applyFont="1" applyBorder="1" applyAlignment="1">
      <alignment horizontal="left" vertical="center" wrapText="1"/>
    </xf>
    <xf numFmtId="0" fontId="9" fillId="0" borderId="13" xfId="0" applyFont="1" applyBorder="1" applyAlignment="1">
      <alignment vertical="center"/>
    </xf>
    <xf numFmtId="0" fontId="0" fillId="0" borderId="15" xfId="0" applyBorder="1"/>
    <xf numFmtId="0" fontId="9" fillId="0" borderId="15" xfId="0" applyFont="1" applyBorder="1" applyAlignment="1">
      <alignment horizontal="center" vertical="center"/>
    </xf>
    <xf numFmtId="0" fontId="9" fillId="0" borderId="15" xfId="0" applyFont="1" applyBorder="1" applyAlignment="1">
      <alignment vertical="center"/>
    </xf>
    <xf numFmtId="0" fontId="97" fillId="0" borderId="7" xfId="4" applyFont="1" applyBorder="1" applyAlignment="1">
      <alignment horizontal="center" vertical="center"/>
    </xf>
    <xf numFmtId="0" fontId="97" fillId="0" borderId="7" xfId="4" applyFont="1" applyBorder="1" applyAlignment="1">
      <alignment horizontal="left" vertical="top"/>
    </xf>
    <xf numFmtId="0" fontId="148" fillId="0" borderId="3" xfId="4" applyFont="1" applyBorder="1" applyAlignment="1">
      <alignment horizontal="left" vertical="top"/>
    </xf>
    <xf numFmtId="0" fontId="148" fillId="5" borderId="0" xfId="4" applyFont="1" applyFill="1" applyAlignment="1">
      <alignment horizontal="center" vertical="center" wrapText="1"/>
    </xf>
    <xf numFmtId="0" fontId="9" fillId="0" borderId="15" xfId="0" applyFont="1" applyBorder="1" applyAlignment="1">
      <alignment vertical="center" wrapText="1"/>
    </xf>
    <xf numFmtId="165" fontId="141" fillId="5" borderId="0" xfId="5" applyNumberFormat="1" applyFont="1" applyFill="1" applyAlignment="1" applyProtection="1">
      <alignment horizontal="left" vertical="center"/>
    </xf>
    <xf numFmtId="0" fontId="148" fillId="5" borderId="0" xfId="4" applyFont="1" applyFill="1" applyAlignment="1">
      <alignment horizontal="left" vertical="top"/>
    </xf>
    <xf numFmtId="0" fontId="148" fillId="5" borderId="0" xfId="4" applyFont="1" applyFill="1" applyAlignment="1">
      <alignment horizontal="center" vertical="center"/>
    </xf>
    <xf numFmtId="0" fontId="148" fillId="5" borderId="0" xfId="4" applyFont="1" applyFill="1" applyAlignment="1">
      <alignment horizontal="left" vertical="top" wrapText="1"/>
    </xf>
    <xf numFmtId="0" fontId="97" fillId="0" borderId="7" xfId="4" applyFont="1" applyBorder="1" applyAlignment="1">
      <alignment horizontal="right" vertical="center"/>
    </xf>
    <xf numFmtId="165" fontId="97" fillId="0" borderId="7" xfId="4" applyNumberFormat="1" applyFont="1" applyBorder="1">
      <alignment vertical="center"/>
    </xf>
    <xf numFmtId="0" fontId="97" fillId="0" borderId="0" xfId="4" applyFont="1" applyAlignment="1">
      <alignment horizontal="left" vertical="top"/>
    </xf>
    <xf numFmtId="0" fontId="97" fillId="0" borderId="0" xfId="4" applyFont="1" applyAlignment="1">
      <alignment horizontal="right" vertical="center"/>
    </xf>
    <xf numFmtId="165" fontId="97" fillId="0" borderId="0" xfId="4" applyNumberFormat="1" applyFont="1">
      <alignment vertical="center"/>
    </xf>
    <xf numFmtId="0" fontId="97" fillId="0" borderId="0" xfId="4" applyFont="1" applyAlignment="1">
      <alignment horizontal="center" vertical="center"/>
    </xf>
    <xf numFmtId="0" fontId="209" fillId="0" borderId="0" xfId="0" applyFont="1" applyAlignment="1">
      <alignment horizontal="right"/>
    </xf>
    <xf numFmtId="0" fontId="128" fillId="0" borderId="0" xfId="0" applyFont="1" applyAlignment="1">
      <alignment horizontal="justify"/>
    </xf>
    <xf numFmtId="0" fontId="128" fillId="0" borderId="0" xfId="0" applyFont="1"/>
    <xf numFmtId="0" fontId="128" fillId="0" borderId="0" xfId="0" applyFont="1" applyAlignment="1">
      <alignment wrapText="1"/>
    </xf>
    <xf numFmtId="0" fontId="128" fillId="0" borderId="0" xfId="0" applyFont="1" applyAlignment="1">
      <alignment horizontal="left" vertical="top"/>
    </xf>
    <xf numFmtId="0" fontId="211" fillId="3" borderId="18" xfId="1" applyNumberFormat="1" applyFont="1" applyFill="1" applyBorder="1" applyAlignment="1" applyProtection="1">
      <alignment horizontal="left" vertical="center"/>
    </xf>
    <xf numFmtId="0" fontId="77" fillId="3" borderId="18" xfId="0" applyFont="1" applyFill="1" applyBorder="1" applyAlignment="1">
      <alignment vertical="center"/>
    </xf>
    <xf numFmtId="49" fontId="77" fillId="3" borderId="18" xfId="0" applyNumberFormat="1" applyFont="1" applyFill="1" applyBorder="1" applyAlignment="1">
      <alignment vertical="center"/>
    </xf>
    <xf numFmtId="0" fontId="77" fillId="0" borderId="0" xfId="0" applyFont="1"/>
    <xf numFmtId="0" fontId="0" fillId="0" borderId="0" xfId="0" applyAlignment="1">
      <alignment horizontal="left" vertical="center"/>
    </xf>
    <xf numFmtId="0" fontId="127" fillId="0" borderId="0" xfId="0" applyFont="1" applyAlignment="1">
      <alignment vertical="center"/>
    </xf>
    <xf numFmtId="0" fontId="128" fillId="0" borderId="0" xfId="0" applyFont="1" applyAlignment="1">
      <alignment vertical="top"/>
    </xf>
    <xf numFmtId="0" fontId="33" fillId="0" borderId="0" xfId="0" applyFont="1" applyAlignment="1">
      <alignment vertical="top"/>
    </xf>
    <xf numFmtId="0" fontId="126" fillId="0" borderId="0" xfId="0" applyFont="1" applyAlignment="1">
      <alignment vertical="top"/>
    </xf>
    <xf numFmtId="0" fontId="212" fillId="0" borderId="0" xfId="0" applyFont="1" applyAlignment="1">
      <alignment vertical="top"/>
    </xf>
    <xf numFmtId="0" fontId="128" fillId="0" borderId="0" xfId="0" applyFont="1" applyAlignment="1">
      <alignment horizontal="justify" vertical="top"/>
    </xf>
    <xf numFmtId="0" fontId="128" fillId="0" borderId="0" xfId="0" applyFont="1" applyAlignment="1">
      <alignment horizontal="left"/>
    </xf>
    <xf numFmtId="0" fontId="73" fillId="0" borderId="0" xfId="0" applyFont="1" applyAlignment="1">
      <alignment horizontal="center" vertical="center"/>
    </xf>
    <xf numFmtId="0" fontId="214" fillId="0" borderId="0" xfId="0" applyFont="1"/>
    <xf numFmtId="0" fontId="34" fillId="0" borderId="0" xfId="0" applyFont="1" applyAlignment="1">
      <alignment horizontal="left"/>
    </xf>
    <xf numFmtId="0" fontId="216" fillId="0" borderId="0" xfId="0" applyFont="1"/>
    <xf numFmtId="0" fontId="218" fillId="0" borderId="0" xfId="0" applyFont="1" applyAlignment="1">
      <alignment vertical="center"/>
    </xf>
    <xf numFmtId="0" fontId="34" fillId="0" borderId="0" xfId="0" applyFont="1" applyAlignment="1">
      <alignment horizontal="right" vertical="top"/>
    </xf>
    <xf numFmtId="0" fontId="73" fillId="0" borderId="0" xfId="0" applyFont="1" applyAlignment="1">
      <alignment vertical="center"/>
    </xf>
    <xf numFmtId="0" fontId="217" fillId="0" borderId="0" xfId="0" applyFont="1" applyAlignment="1">
      <alignment vertical="top" wrapText="1"/>
    </xf>
    <xf numFmtId="0" fontId="91" fillId="0" borderId="0" xfId="0" applyFont="1" applyAlignment="1">
      <alignment vertical="center"/>
    </xf>
    <xf numFmtId="0" fontId="63" fillId="0" borderId="0" xfId="0" applyFont="1" applyAlignment="1">
      <alignment vertical="center"/>
    </xf>
    <xf numFmtId="0" fontId="65" fillId="0" borderId="0" xfId="0" applyFont="1" applyAlignment="1">
      <alignment vertical="center"/>
    </xf>
    <xf numFmtId="0" fontId="215" fillId="0" borderId="0" xfId="0" applyFont="1" applyAlignment="1">
      <alignment vertical="center"/>
    </xf>
    <xf numFmtId="0" fontId="3" fillId="0" borderId="4" xfId="0" applyFont="1" applyBorder="1" applyAlignment="1">
      <alignment horizontal="right" vertical="center" wrapText="1"/>
    </xf>
    <xf numFmtId="0" fontId="105" fillId="0" borderId="0" xfId="0" applyFont="1" applyAlignment="1">
      <alignment horizontal="center" vertical="center"/>
    </xf>
    <xf numFmtId="0" fontId="69" fillId="0" borderId="0" xfId="0" applyFont="1" applyAlignment="1">
      <alignment horizontal="center" vertical="top"/>
    </xf>
    <xf numFmtId="0" fontId="104" fillId="0" borderId="1" xfId="0" applyFont="1" applyBorder="1" applyAlignment="1">
      <alignment horizontal="center" vertical="center"/>
    </xf>
    <xf numFmtId="0" fontId="117" fillId="0" borderId="0" xfId="0" applyFont="1" applyAlignment="1">
      <alignment horizontal="center" shrinkToFit="1"/>
    </xf>
    <xf numFmtId="0" fontId="93" fillId="0" borderId="0" xfId="0" applyFont="1" applyAlignment="1">
      <alignment horizontal="center" vertical="top" shrinkToFit="1"/>
    </xf>
    <xf numFmtId="0" fontId="121" fillId="0" borderId="0" xfId="0" applyFont="1" applyAlignment="1">
      <alignment horizontal="center" shrinkToFit="1"/>
    </xf>
    <xf numFmtId="0" fontId="1" fillId="0" borderId="0" xfId="0" applyFont="1"/>
    <xf numFmtId="0" fontId="1" fillId="3" borderId="0" xfId="0" applyFont="1" applyFill="1"/>
    <xf numFmtId="0" fontId="75" fillId="0" borderId="0" xfId="0" applyFont="1" applyAlignment="1">
      <alignment horizontal="justify" vertical="top" wrapText="1"/>
    </xf>
    <xf numFmtId="0" fontId="1" fillId="0" borderId="0" xfId="0" applyFont="1" applyAlignment="1">
      <alignment horizontal="center" vertical="center"/>
    </xf>
    <xf numFmtId="0" fontId="1" fillId="0" borderId="0" xfId="0" applyFont="1" applyAlignment="1">
      <alignment horizontal="justify" vertical="top" wrapText="1"/>
    </xf>
    <xf numFmtId="0" fontId="1" fillId="0" borderId="0" xfId="0" applyFont="1" applyAlignment="1">
      <alignment horizontal="center"/>
    </xf>
    <xf numFmtId="0" fontId="1" fillId="3" borderId="0" xfId="0" applyFont="1" applyFill="1" applyAlignment="1">
      <alignment horizontal="center" vertical="center"/>
    </xf>
    <xf numFmtId="0" fontId="119" fillId="0" borderId="4" xfId="0" applyFont="1" applyBorder="1" applyAlignment="1">
      <alignment horizontal="center" vertical="center" wrapText="1"/>
    </xf>
    <xf numFmtId="0" fontId="68" fillId="0" borderId="0" xfId="0" applyFont="1" applyAlignment="1">
      <alignment horizontal="center" vertical="center" wrapText="1"/>
    </xf>
    <xf numFmtId="0" fontId="72" fillId="0" borderId="0" xfId="0" applyFont="1" applyAlignment="1">
      <alignment horizontal="center" vertical="center" wrapText="1"/>
    </xf>
    <xf numFmtId="0" fontId="70" fillId="0" borderId="0" xfId="0" applyFont="1" applyAlignment="1">
      <alignment horizontal="center" vertical="center" wrapText="1"/>
    </xf>
    <xf numFmtId="0" fontId="93" fillId="0" borderId="1" xfId="0" applyFont="1" applyBorder="1" applyAlignment="1">
      <alignment horizontal="center" vertical="center" wrapText="1"/>
    </xf>
    <xf numFmtId="0" fontId="120" fillId="0" borderId="4" xfId="0" applyFont="1" applyBorder="1" applyAlignment="1">
      <alignment horizontal="center" vertical="top" wrapText="1"/>
    </xf>
    <xf numFmtId="0" fontId="22" fillId="0" borderId="2" xfId="0" applyFont="1" applyBorder="1" applyAlignment="1">
      <alignment horizontal="center" vertical="center" wrapText="1"/>
    </xf>
    <xf numFmtId="0" fontId="22" fillId="0" borderId="9" xfId="0" applyFont="1" applyBorder="1" applyAlignment="1">
      <alignment horizontal="center" vertical="center" wrapText="1"/>
    </xf>
    <xf numFmtId="0" fontId="79" fillId="0" borderId="0" xfId="0" applyFont="1" applyAlignment="1">
      <alignment horizontal="left" vertical="top"/>
    </xf>
    <xf numFmtId="0" fontId="80" fillId="0" borderId="0" xfId="0" applyFont="1" applyAlignment="1">
      <alignment horizontal="center" vertical="center"/>
    </xf>
    <xf numFmtId="0" fontId="3" fillId="0" borderId="0" xfId="0" applyFont="1" applyAlignment="1">
      <alignment horizontal="left" vertical="center"/>
    </xf>
    <xf numFmtId="0" fontId="204" fillId="3" borderId="0" xfId="0" applyFont="1" applyFill="1" applyAlignment="1">
      <alignment horizontal="center" vertical="center"/>
    </xf>
    <xf numFmtId="0" fontId="7" fillId="0" borderId="0" xfId="0" applyFont="1" applyAlignment="1">
      <alignment horizontal="left" vertical="center"/>
    </xf>
    <xf numFmtId="0" fontId="1" fillId="0" borderId="0" xfId="0" applyFont="1" applyAlignment="1">
      <alignment horizontal="left" vertical="top"/>
    </xf>
    <xf numFmtId="0" fontId="36" fillId="0" borderId="0" xfId="0" applyFont="1" applyAlignment="1">
      <alignment horizontal="center" vertical="center"/>
    </xf>
    <xf numFmtId="0" fontId="1" fillId="0" borderId="0" xfId="0" applyFont="1" applyAlignment="1">
      <alignment horizontal="left" vertical="top" wrapText="1"/>
    </xf>
    <xf numFmtId="0" fontId="104" fillId="5" borderId="0" xfId="0" applyFont="1" applyFill="1" applyAlignment="1">
      <alignment horizontal="center" vertical="center"/>
    </xf>
    <xf numFmtId="0" fontId="3" fillId="0" borderId="7" xfId="0" applyFont="1" applyBorder="1" applyAlignment="1">
      <alignment horizontal="right" vertical="center" wrapText="1"/>
    </xf>
    <xf numFmtId="0" fontId="7" fillId="3" borderId="0" xfId="0" applyFont="1" applyFill="1" applyAlignment="1">
      <alignment horizontal="center" vertical="center"/>
    </xf>
    <xf numFmtId="49" fontId="1" fillId="0" borderId="0" xfId="0" applyNumberFormat="1" applyFont="1" applyAlignment="1">
      <alignment horizontal="left" vertical="top"/>
    </xf>
    <xf numFmtId="0" fontId="18" fillId="0" borderId="0" xfId="0" applyFont="1" applyAlignment="1">
      <alignment horizontal="right" vertical="center"/>
    </xf>
    <xf numFmtId="0" fontId="18" fillId="0" borderId="0" xfId="0" applyFont="1" applyAlignment="1">
      <alignment horizontal="left" vertical="center"/>
    </xf>
    <xf numFmtId="0" fontId="1" fillId="0" borderId="0" xfId="0" applyFont="1" applyAlignment="1">
      <alignment vertical="top" wrapText="1"/>
    </xf>
    <xf numFmtId="0" fontId="74" fillId="0" borderId="3" xfId="0" applyFont="1" applyBorder="1" applyAlignment="1" applyProtection="1">
      <alignment horizontal="center" vertical="center" wrapText="1"/>
      <protection locked="0"/>
    </xf>
    <xf numFmtId="0" fontId="74" fillId="0" borderId="4" xfId="0" applyFont="1" applyBorder="1" applyAlignment="1" applyProtection="1">
      <alignment horizontal="center" vertical="center" wrapText="1"/>
      <protection locked="0"/>
    </xf>
    <xf numFmtId="0" fontId="74" fillId="0" borderId="5" xfId="0" applyFont="1" applyBorder="1" applyAlignment="1" applyProtection="1">
      <alignment horizontal="center" vertical="center" wrapText="1"/>
      <protection locked="0"/>
    </xf>
    <xf numFmtId="165" fontId="3" fillId="4" borderId="22" xfId="0" applyNumberFormat="1" applyFont="1" applyFill="1" applyBorder="1" applyAlignment="1">
      <alignment horizontal="center"/>
    </xf>
    <xf numFmtId="0" fontId="3" fillId="4" borderId="23" xfId="0" applyFont="1" applyFill="1" applyBorder="1" applyAlignment="1">
      <alignment horizontal="center"/>
    </xf>
    <xf numFmtId="165" fontId="3" fillId="4" borderId="16" xfId="1" applyNumberFormat="1" applyFont="1" applyFill="1" applyBorder="1" applyAlignment="1">
      <alignment horizontal="center"/>
    </xf>
    <xf numFmtId="165" fontId="3" fillId="4" borderId="20" xfId="1" applyNumberFormat="1" applyFont="1" applyFill="1" applyBorder="1" applyAlignment="1">
      <alignment horizontal="center"/>
    </xf>
    <xf numFmtId="0" fontId="34" fillId="0" borderId="37" xfId="0" applyFont="1" applyBorder="1" applyAlignment="1">
      <alignment horizontal="center" vertical="center" textRotation="90"/>
    </xf>
    <xf numFmtId="0" fontId="3" fillId="4" borderId="47" xfId="0" applyFont="1" applyFill="1" applyBorder="1" applyAlignment="1">
      <alignment horizontal="center" vertical="top"/>
    </xf>
    <xf numFmtId="0" fontId="3" fillId="4" borderId="39" xfId="0" applyFont="1" applyFill="1" applyBorder="1" applyAlignment="1">
      <alignment horizontal="center" vertical="top"/>
    </xf>
    <xf numFmtId="0" fontId="3" fillId="3" borderId="42" xfId="0" applyFont="1" applyFill="1" applyBorder="1" applyAlignment="1">
      <alignment horizontal="center"/>
    </xf>
    <xf numFmtId="0" fontId="3" fillId="3" borderId="39" xfId="0" applyFont="1" applyFill="1" applyBorder="1" applyAlignment="1">
      <alignment horizontal="center"/>
    </xf>
    <xf numFmtId="0" fontId="122" fillId="17" borderId="42" xfId="0" applyFont="1" applyFill="1" applyBorder="1" applyAlignment="1">
      <alignment horizontal="center" vertical="center" wrapText="1"/>
    </xf>
    <xf numFmtId="0" fontId="122" fillId="17" borderId="43" xfId="0" applyFont="1" applyFill="1" applyBorder="1" applyAlignment="1">
      <alignment horizontal="center" vertical="center" wrapText="1"/>
    </xf>
    <xf numFmtId="0" fontId="122" fillId="17" borderId="39" xfId="0" applyFont="1" applyFill="1" applyBorder="1" applyAlignment="1">
      <alignment horizontal="center" vertical="center" wrapText="1"/>
    </xf>
    <xf numFmtId="0" fontId="36" fillId="3" borderId="24" xfId="0" applyFont="1" applyFill="1" applyBorder="1" applyAlignment="1">
      <alignment horizontal="justify" vertical="top" wrapText="1"/>
    </xf>
    <xf numFmtId="0" fontId="36" fillId="3" borderId="44" xfId="0" applyFont="1" applyFill="1" applyBorder="1" applyAlignment="1">
      <alignment horizontal="justify" vertical="top" wrapText="1"/>
    </xf>
    <xf numFmtId="0" fontId="36" fillId="3" borderId="25" xfId="0" applyFont="1" applyFill="1" applyBorder="1" applyAlignment="1">
      <alignment horizontal="justify" vertical="top" wrapText="1"/>
    </xf>
    <xf numFmtId="0" fontId="36" fillId="3" borderId="51" xfId="0" applyFont="1" applyFill="1" applyBorder="1" applyAlignment="1">
      <alignment horizontal="justify" vertical="top" wrapText="1"/>
    </xf>
    <xf numFmtId="0" fontId="36" fillId="3" borderId="0" xfId="0" applyFont="1" applyFill="1" applyAlignment="1">
      <alignment horizontal="justify" vertical="top" wrapText="1"/>
    </xf>
    <xf numFmtId="0" fontId="36" fillId="3" borderId="37" xfId="0" applyFont="1" applyFill="1" applyBorder="1" applyAlignment="1">
      <alignment horizontal="justify" vertical="top" wrapText="1"/>
    </xf>
    <xf numFmtId="0" fontId="36" fillId="3" borderId="26" xfId="0" applyFont="1" applyFill="1" applyBorder="1" applyAlignment="1">
      <alignment horizontal="justify" vertical="top" wrapText="1"/>
    </xf>
    <xf numFmtId="0" fontId="36" fillId="3" borderId="45" xfId="0" applyFont="1" applyFill="1" applyBorder="1" applyAlignment="1">
      <alignment horizontal="justify" vertical="top" wrapText="1"/>
    </xf>
    <xf numFmtId="0" fontId="36" fillId="3" borderId="27" xfId="0" applyFont="1" applyFill="1" applyBorder="1" applyAlignment="1">
      <alignment horizontal="justify" vertical="top" wrapText="1"/>
    </xf>
    <xf numFmtId="0" fontId="3" fillId="0" borderId="42" xfId="0" applyFont="1" applyBorder="1" applyAlignment="1">
      <alignment horizontal="right" vertical="center"/>
    </xf>
    <xf numFmtId="0" fontId="3" fillId="0" borderId="43" xfId="0" applyFont="1" applyBorder="1" applyAlignment="1">
      <alignment horizontal="right" vertical="center"/>
    </xf>
    <xf numFmtId="0" fontId="3" fillId="0" borderId="48" xfId="0" applyFont="1" applyBorder="1" applyAlignment="1">
      <alignment horizontal="right" vertical="center"/>
    </xf>
    <xf numFmtId="175" fontId="3" fillId="3" borderId="47" xfId="0" applyNumberFormat="1" applyFont="1" applyFill="1" applyBorder="1" applyAlignment="1">
      <alignment horizontal="center"/>
    </xf>
    <xf numFmtId="175" fontId="3" fillId="3" borderId="39" xfId="0" applyNumberFormat="1" applyFont="1" applyFill="1" applyBorder="1" applyAlignment="1">
      <alignment horizontal="center"/>
    </xf>
    <xf numFmtId="0" fontId="76" fillId="17" borderId="42" xfId="0" applyFont="1" applyFill="1" applyBorder="1" applyAlignment="1">
      <alignment horizontal="center" vertical="center" wrapText="1"/>
    </xf>
    <xf numFmtId="0" fontId="76" fillId="17" borderId="43" xfId="0" applyFont="1" applyFill="1" applyBorder="1" applyAlignment="1">
      <alignment horizontal="center" vertical="center" wrapText="1"/>
    </xf>
    <xf numFmtId="0" fontId="76" fillId="17" borderId="39" xfId="0" applyFont="1" applyFill="1" applyBorder="1" applyAlignment="1">
      <alignment horizontal="center" vertical="center" wrapText="1"/>
    </xf>
    <xf numFmtId="0" fontId="83" fillId="6" borderId="26" xfId="3" applyFill="1" applyBorder="1" applyAlignment="1">
      <alignment horizontal="center"/>
    </xf>
    <xf numFmtId="0" fontId="83" fillId="6" borderId="45" xfId="3" applyFill="1" applyBorder="1" applyAlignment="1">
      <alignment horizontal="center"/>
    </xf>
    <xf numFmtId="0" fontId="83" fillId="6" borderId="27" xfId="3" applyFill="1" applyBorder="1" applyAlignment="1">
      <alignment horizontal="center"/>
    </xf>
    <xf numFmtId="0" fontId="108" fillId="15" borderId="24" xfId="0" applyFont="1" applyFill="1" applyBorder="1" applyAlignment="1">
      <alignment horizontal="center"/>
    </xf>
    <xf numFmtId="0" fontId="108" fillId="15" borderId="44" xfId="0" applyFont="1" applyFill="1" applyBorder="1" applyAlignment="1">
      <alignment horizontal="center"/>
    </xf>
    <xf numFmtId="0" fontId="108" fillId="15" borderId="25" xfId="0" applyFont="1" applyFill="1" applyBorder="1" applyAlignment="1">
      <alignment horizontal="center"/>
    </xf>
    <xf numFmtId="0" fontId="113" fillId="6" borderId="51" xfId="0" applyFont="1" applyFill="1" applyBorder="1" applyAlignment="1">
      <alignment horizontal="center"/>
    </xf>
    <xf numFmtId="0" fontId="113" fillId="6" borderId="0" xfId="0" applyFont="1" applyFill="1" applyAlignment="1">
      <alignment horizontal="center"/>
    </xf>
    <xf numFmtId="0" fontId="113" fillId="6" borderId="37" xfId="0" applyFont="1" applyFill="1" applyBorder="1" applyAlignment="1">
      <alignment horizontal="center"/>
    </xf>
    <xf numFmtId="0" fontId="1" fillId="6" borderId="51" xfId="0" applyFont="1" applyFill="1" applyBorder="1" applyAlignment="1">
      <alignment horizontal="center"/>
    </xf>
    <xf numFmtId="0" fontId="1" fillId="6" borderId="0" xfId="0" applyFont="1" applyFill="1" applyAlignment="1">
      <alignment horizontal="center"/>
    </xf>
    <xf numFmtId="0" fontId="1" fillId="6" borderId="37" xfId="0" applyFont="1" applyFill="1" applyBorder="1" applyAlignment="1">
      <alignment horizontal="center"/>
    </xf>
    <xf numFmtId="0" fontId="107" fillId="6" borderId="51" xfId="0" applyFont="1" applyFill="1" applyBorder="1" applyAlignment="1">
      <alignment horizontal="center"/>
    </xf>
    <xf numFmtId="0" fontId="107" fillId="6" borderId="0" xfId="0" applyFont="1" applyFill="1" applyAlignment="1">
      <alignment horizontal="center"/>
    </xf>
    <xf numFmtId="0" fontId="107" fillId="6" borderId="37" xfId="0" applyFont="1" applyFill="1" applyBorder="1" applyAlignment="1">
      <alignment horizontal="center"/>
    </xf>
    <xf numFmtId="0" fontId="1" fillId="19" borderId="0" xfId="0" applyFont="1" applyFill="1" applyAlignment="1">
      <alignment horizontal="center" vertical="top" wrapText="1"/>
    </xf>
    <xf numFmtId="0" fontId="74" fillId="0" borderId="2" xfId="0" applyFont="1" applyBorder="1" applyAlignment="1" applyProtection="1">
      <alignment horizontal="center" vertical="center" wrapText="1"/>
      <protection locked="0"/>
    </xf>
    <xf numFmtId="185" fontId="8" fillId="0" borderId="7" xfId="1" applyNumberFormat="1" applyFont="1" applyBorder="1" applyAlignment="1">
      <alignment horizontal="center" vertical="center" shrinkToFit="1"/>
    </xf>
    <xf numFmtId="185" fontId="8" fillId="0" borderId="8" xfId="1" applyNumberFormat="1" applyFont="1" applyBorder="1" applyAlignment="1">
      <alignment horizontal="center" vertical="center" shrinkToFit="1"/>
    </xf>
    <xf numFmtId="185" fontId="8" fillId="0" borderId="0" xfId="1" applyNumberFormat="1" applyFont="1" applyBorder="1" applyAlignment="1">
      <alignment horizontal="center" vertical="center" shrinkToFit="1"/>
    </xf>
    <xf numFmtId="185" fontId="8" fillId="0" borderId="14" xfId="1" applyNumberFormat="1" applyFont="1" applyBorder="1" applyAlignment="1">
      <alignment horizontal="center" vertical="center" shrinkToFit="1"/>
    </xf>
    <xf numFmtId="168" fontId="1" fillId="0" borderId="6" xfId="1" applyNumberFormat="1" applyFont="1" applyBorder="1" applyAlignment="1">
      <alignment horizontal="center" vertical="center" shrinkToFit="1"/>
    </xf>
    <xf numFmtId="168" fontId="1" fillId="0" borderId="13" xfId="1" applyNumberFormat="1" applyFont="1" applyBorder="1" applyAlignment="1">
      <alignment horizontal="center" vertical="center" shrinkToFit="1"/>
    </xf>
    <xf numFmtId="0" fontId="1" fillId="0" borderId="13" xfId="0" applyFont="1" applyBorder="1" applyAlignment="1">
      <alignment horizontal="center" vertical="top" wrapText="1"/>
    </xf>
    <xf numFmtId="0" fontId="1" fillId="0" borderId="0" xfId="0" applyFont="1" applyAlignment="1">
      <alignment horizontal="center" vertical="top" wrapText="1"/>
    </xf>
    <xf numFmtId="0" fontId="1" fillId="0" borderId="14" xfId="0" applyFont="1" applyBorder="1" applyAlignment="1">
      <alignment horizontal="center" vertical="top" wrapText="1"/>
    </xf>
    <xf numFmtId="43" fontId="3" fillId="0" borderId="6" xfId="1" applyFont="1" applyBorder="1" applyAlignment="1">
      <alignment horizontal="center" vertical="center" wrapText="1"/>
    </xf>
    <xf numFmtId="43" fontId="3" fillId="0" borderId="7" xfId="1" applyFont="1" applyBorder="1" applyAlignment="1">
      <alignment horizontal="center" vertical="center" wrapText="1"/>
    </xf>
    <xf numFmtId="43" fontId="3" fillId="0" borderId="8" xfId="1" applyFont="1" applyBorder="1" applyAlignment="1">
      <alignment horizontal="center" vertical="center" wrapText="1"/>
    </xf>
    <xf numFmtId="43" fontId="3" fillId="0" borderId="13" xfId="1" applyFont="1" applyBorder="1" applyAlignment="1">
      <alignment horizontal="center" vertical="center" wrapText="1"/>
    </xf>
    <xf numFmtId="43" fontId="3" fillId="0" borderId="0" xfId="1" applyFont="1" applyBorder="1" applyAlignment="1">
      <alignment horizontal="center" vertical="center" wrapText="1"/>
    </xf>
    <xf numFmtId="43" fontId="3" fillId="0" borderId="14" xfId="1" applyFont="1" applyBorder="1" applyAlignment="1">
      <alignment horizontal="center" vertical="center" wrapText="1"/>
    </xf>
    <xf numFmtId="1" fontId="18" fillId="0" borderId="6" xfId="1" applyNumberFormat="1" applyFont="1" applyBorder="1" applyAlignment="1">
      <alignment horizontal="center" vertical="top" wrapText="1"/>
    </xf>
    <xf numFmtId="1" fontId="18" fillId="0" borderId="7" xfId="1" applyNumberFormat="1" applyFont="1" applyBorder="1" applyAlignment="1">
      <alignment horizontal="center" vertical="top" wrapText="1"/>
    </xf>
    <xf numFmtId="1" fontId="18" fillId="0" borderId="8" xfId="1" applyNumberFormat="1" applyFont="1" applyBorder="1" applyAlignment="1">
      <alignment horizontal="center" vertical="top" wrapText="1"/>
    </xf>
    <xf numFmtId="1" fontId="18" fillId="0" borderId="13" xfId="1" applyNumberFormat="1" applyFont="1" applyBorder="1" applyAlignment="1">
      <alignment horizontal="center" vertical="top" wrapText="1"/>
    </xf>
    <xf numFmtId="1" fontId="18" fillId="0" borderId="0" xfId="1" applyNumberFormat="1" applyFont="1" applyBorder="1" applyAlignment="1">
      <alignment horizontal="center" vertical="top" wrapText="1"/>
    </xf>
    <xf numFmtId="1" fontId="18" fillId="0" borderId="14" xfId="1" applyNumberFormat="1" applyFont="1" applyBorder="1" applyAlignment="1">
      <alignment horizontal="center" vertical="top" wrapText="1"/>
    </xf>
    <xf numFmtId="1" fontId="3" fillId="0" borderId="6" xfId="1" applyNumberFormat="1" applyFont="1" applyBorder="1" applyAlignment="1">
      <alignment horizontal="center" vertical="top" wrapText="1"/>
    </xf>
    <xf numFmtId="1" fontId="3" fillId="0" borderId="7" xfId="1" applyNumberFormat="1" applyFont="1" applyBorder="1" applyAlignment="1">
      <alignment horizontal="center" vertical="top" wrapText="1"/>
    </xf>
    <xf numFmtId="1" fontId="3" fillId="0" borderId="8" xfId="1" applyNumberFormat="1" applyFont="1" applyBorder="1" applyAlignment="1">
      <alignment horizontal="center" vertical="top" wrapText="1"/>
    </xf>
    <xf numFmtId="1" fontId="3" fillId="0" borderId="13" xfId="1" applyNumberFormat="1" applyFont="1" applyBorder="1" applyAlignment="1">
      <alignment horizontal="center" vertical="top" wrapText="1"/>
    </xf>
    <xf numFmtId="1" fontId="3" fillId="0" borderId="0" xfId="1" applyNumberFormat="1" applyFont="1" applyBorder="1" applyAlignment="1">
      <alignment horizontal="center" vertical="top" wrapText="1"/>
    </xf>
    <xf numFmtId="1" fontId="3" fillId="0" borderId="14" xfId="1" applyNumberFormat="1" applyFont="1" applyBorder="1" applyAlignment="1">
      <alignment horizontal="center" vertical="top" wrapText="1"/>
    </xf>
    <xf numFmtId="0" fontId="1" fillId="0" borderId="0" xfId="0" applyFont="1" applyAlignment="1">
      <alignment horizontal="left" vertical="top" wrapText="1" shrinkToFit="1"/>
    </xf>
    <xf numFmtId="0" fontId="9" fillId="0" borderId="0" xfId="0" applyFont="1" applyAlignment="1">
      <alignmen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5" xfId="0" applyFont="1" applyBorder="1" applyAlignment="1">
      <alignment horizontal="left" vertical="center" wrapText="1"/>
    </xf>
    <xf numFmtId="43" fontId="3" fillId="0" borderId="11" xfId="1" applyFont="1" applyBorder="1" applyAlignment="1">
      <alignment horizontal="center" vertical="center" wrapText="1"/>
    </xf>
    <xf numFmtId="43" fontId="3" fillId="0" borderId="1" xfId="1" applyFont="1" applyBorder="1" applyAlignment="1">
      <alignment horizontal="center" vertical="center" wrapText="1"/>
    </xf>
    <xf numFmtId="43" fontId="3" fillId="0" borderId="12" xfId="1" applyFont="1" applyBorder="1" applyAlignment="1">
      <alignment horizontal="center" vertical="center" wrapText="1"/>
    </xf>
    <xf numFmtId="0" fontId="1" fillId="0" borderId="6" xfId="0" applyFont="1" applyBorder="1" applyAlignment="1">
      <alignment horizontal="center" vertical="top" wrapText="1"/>
    </xf>
    <xf numFmtId="0" fontId="1" fillId="0" borderId="7" xfId="0" applyFont="1" applyBorder="1" applyAlignment="1">
      <alignment horizontal="center" vertical="top" wrapText="1"/>
    </xf>
    <xf numFmtId="0" fontId="1" fillId="0" borderId="8" xfId="0" applyFont="1" applyBorder="1" applyAlignment="1">
      <alignment horizontal="center" vertical="top" wrapText="1"/>
    </xf>
    <xf numFmtId="0" fontId="1" fillId="0" borderId="0" xfId="0" applyFont="1" applyAlignment="1">
      <alignment horizontal="right" vertical="top"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0" xfId="0" applyFont="1" applyAlignment="1">
      <alignment horizontal="center" vertical="center" wrapText="1"/>
    </xf>
    <xf numFmtId="0" fontId="1" fillId="0" borderId="14" xfId="0" applyFont="1" applyBorder="1" applyAlignment="1">
      <alignment horizontal="center" vertical="center" wrapText="1"/>
    </xf>
    <xf numFmtId="0" fontId="1" fillId="0" borderId="1" xfId="0" applyFont="1" applyBorder="1" applyAlignment="1">
      <alignment horizontal="center" vertical="center" wrapText="1"/>
    </xf>
    <xf numFmtId="0" fontId="1" fillId="0" borderId="12" xfId="0" applyFont="1" applyBorder="1" applyAlignment="1">
      <alignment horizontal="center" vertical="center" wrapText="1"/>
    </xf>
    <xf numFmtId="0" fontId="3" fillId="0" borderId="9" xfId="0" applyFont="1" applyBorder="1" applyAlignment="1">
      <alignment horizontal="center" vertical="top" wrapText="1"/>
    </xf>
    <xf numFmtId="0" fontId="1" fillId="0" borderId="3" xfId="0" applyFont="1" applyBorder="1" applyAlignment="1">
      <alignment horizontal="center" vertical="top" wrapText="1"/>
    </xf>
    <xf numFmtId="0" fontId="1" fillId="0" borderId="4" xfId="0" applyFont="1" applyBorder="1" applyAlignment="1">
      <alignment horizontal="center" vertical="top" wrapText="1"/>
    </xf>
    <xf numFmtId="0" fontId="1" fillId="0" borderId="5" xfId="0" applyFont="1" applyBorder="1" applyAlignment="1">
      <alignment horizontal="center" vertical="top" wrapText="1"/>
    </xf>
    <xf numFmtId="1" fontId="1" fillId="0" borderId="11" xfId="1" applyNumberFormat="1" applyFont="1" applyBorder="1" applyAlignment="1">
      <alignment horizontal="center" vertical="center" wrapText="1"/>
    </xf>
    <xf numFmtId="1" fontId="1" fillId="0" borderId="1" xfId="1" applyNumberFormat="1" applyFont="1" applyBorder="1" applyAlignment="1">
      <alignment horizontal="center" vertical="center" wrapText="1"/>
    </xf>
    <xf numFmtId="1" fontId="1" fillId="0" borderId="12" xfId="1" applyNumberFormat="1" applyFont="1" applyBorder="1" applyAlignment="1">
      <alignment horizontal="center" vertical="center" wrapText="1"/>
    </xf>
    <xf numFmtId="185" fontId="8" fillId="0" borderId="4" xfId="1" applyNumberFormat="1" applyFont="1" applyBorder="1" applyAlignment="1">
      <alignment horizontal="center" vertical="center" wrapText="1"/>
    </xf>
    <xf numFmtId="185" fontId="8" fillId="0" borderId="5" xfId="1" applyNumberFormat="1" applyFont="1" applyBorder="1" applyAlignment="1">
      <alignment horizontal="center" vertical="center" wrapText="1"/>
    </xf>
    <xf numFmtId="0" fontId="1" fillId="0" borderId="1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1" xfId="0" applyFont="1" applyBorder="1" applyAlignment="1">
      <alignment horizontal="center" vertical="top" wrapText="1"/>
    </xf>
    <xf numFmtId="0" fontId="1" fillId="0" borderId="1" xfId="0" applyFont="1" applyBorder="1" applyAlignment="1">
      <alignment horizontal="center" vertical="top" wrapText="1"/>
    </xf>
    <xf numFmtId="0" fontId="1" fillId="0" borderId="12" xfId="0" applyFont="1" applyBorder="1" applyAlignment="1">
      <alignment horizontal="center" vertical="top" wrapText="1"/>
    </xf>
    <xf numFmtId="0" fontId="1" fillId="3" borderId="0" xfId="0" applyFont="1" applyFill="1" applyAlignment="1">
      <alignment horizontal="center" vertical="top" wrapText="1"/>
    </xf>
    <xf numFmtId="0" fontId="1" fillId="0" borderId="2" xfId="0" applyFont="1" applyBorder="1" applyAlignment="1">
      <alignment horizontal="left" vertical="center"/>
    </xf>
    <xf numFmtId="0" fontId="3" fillId="0" borderId="2" xfId="0" applyFont="1" applyBorder="1" applyAlignment="1">
      <alignment horizontal="center" vertical="center" wrapText="1" shrinkToFit="1"/>
    </xf>
    <xf numFmtId="0" fontId="1" fillId="0" borderId="2" xfId="0" applyFont="1" applyBorder="1" applyAlignment="1">
      <alignment horizontal="center" vertical="center"/>
    </xf>
    <xf numFmtId="165" fontId="110" fillId="0" borderId="2" xfId="1" applyNumberFormat="1" applyFont="1" applyFill="1" applyBorder="1" applyAlignment="1">
      <alignment vertical="center"/>
    </xf>
    <xf numFmtId="165" fontId="111" fillId="0" borderId="2" xfId="1" applyNumberFormat="1" applyFont="1" applyFill="1" applyBorder="1" applyAlignment="1">
      <alignment vertical="center"/>
    </xf>
    <xf numFmtId="173" fontId="1" fillId="0" borderId="2" xfId="1" applyNumberFormat="1" applyFont="1" applyBorder="1" applyAlignment="1">
      <alignment horizontal="left" vertical="center"/>
    </xf>
    <xf numFmtId="184" fontId="1" fillId="0" borderId="3" xfId="0" applyNumberFormat="1" applyFont="1" applyBorder="1" applyAlignment="1">
      <alignment horizontal="center" vertical="center"/>
    </xf>
    <xf numFmtId="184" fontId="1" fillId="0" borderId="4" xfId="0" applyNumberFormat="1" applyFont="1" applyBorder="1" applyAlignment="1">
      <alignment horizontal="center" vertical="center"/>
    </xf>
    <xf numFmtId="184" fontId="74" fillId="0" borderId="3" xfId="1" applyNumberFormat="1" applyFont="1" applyFill="1" applyBorder="1" applyAlignment="1">
      <alignment vertical="center"/>
    </xf>
    <xf numFmtId="184" fontId="74" fillId="0" borderId="4" xfId="1" applyNumberFormat="1" applyFont="1" applyFill="1" applyBorder="1" applyAlignment="1">
      <alignment vertical="center"/>
    </xf>
    <xf numFmtId="184" fontId="74" fillId="0" borderId="5" xfId="1" applyNumberFormat="1" applyFont="1" applyFill="1" applyBorder="1" applyAlignment="1">
      <alignment vertical="center"/>
    </xf>
    <xf numFmtId="0" fontId="1" fillId="0" borderId="0" xfId="0" applyFont="1" applyAlignment="1">
      <alignment horizontal="right" vertical="top"/>
    </xf>
    <xf numFmtId="0" fontId="1" fillId="0" borderId="0" xfId="0" applyFont="1" applyAlignment="1">
      <alignment horizontal="right" vertical="top" shrinkToFit="1"/>
    </xf>
    <xf numFmtId="0" fontId="1" fillId="0" borderId="0" xfId="0" applyFont="1" applyAlignment="1">
      <alignment horizontal="left" vertical="top" shrinkToFit="1"/>
    </xf>
    <xf numFmtId="49" fontId="1" fillId="0" borderId="0" xfId="0" applyNumberFormat="1" applyFont="1" applyAlignment="1">
      <alignment horizontal="left" vertical="top" wrapText="1"/>
    </xf>
    <xf numFmtId="49" fontId="1" fillId="0" borderId="0" xfId="0" applyNumberFormat="1" applyFont="1" applyAlignment="1">
      <alignment horizontal="left" vertical="top" shrinkToFit="1"/>
    </xf>
    <xf numFmtId="43" fontId="1" fillId="0" borderId="0" xfId="1" applyFont="1" applyBorder="1" applyAlignment="1">
      <alignment horizontal="center" vertical="top" wrapText="1"/>
    </xf>
    <xf numFmtId="43" fontId="1" fillId="0" borderId="14" xfId="1" applyFont="1" applyBorder="1" applyAlignment="1">
      <alignment horizontal="center" vertical="top" wrapText="1"/>
    </xf>
    <xf numFmtId="0" fontId="1" fillId="0" borderId="4" xfId="0" applyFont="1" applyBorder="1" applyAlignment="1">
      <alignment vertical="top"/>
    </xf>
    <xf numFmtId="43" fontId="1" fillId="0" borderId="1" xfId="1" applyFont="1" applyBorder="1" applyAlignment="1">
      <alignment horizontal="center" vertical="center" shrinkToFit="1"/>
    </xf>
    <xf numFmtId="43" fontId="1" fillId="0" borderId="12" xfId="1" applyFont="1" applyBorder="1" applyAlignment="1">
      <alignment horizontal="center" vertical="center" shrinkToFit="1"/>
    </xf>
    <xf numFmtId="0" fontId="1" fillId="0" borderId="2" xfId="0" applyFont="1" applyBorder="1" applyAlignment="1">
      <alignment horizontal="center" vertical="center" wrapText="1"/>
    </xf>
    <xf numFmtId="0" fontId="1" fillId="0" borderId="2" xfId="0" applyFont="1" applyBorder="1" applyAlignment="1">
      <alignment vertical="center"/>
    </xf>
    <xf numFmtId="3" fontId="74" fillId="0" borderId="0" xfId="1" applyNumberFormat="1" applyFont="1" applyFill="1" applyBorder="1" applyAlignment="1">
      <alignment vertical="center"/>
    </xf>
    <xf numFmtId="0" fontId="8" fillId="0" borderId="0" xfId="0" applyFont="1" applyAlignment="1">
      <alignment horizontal="left" vertical="center"/>
    </xf>
    <xf numFmtId="165" fontId="4" fillId="0" borderId="2" xfId="1" applyNumberFormat="1" applyFont="1" applyBorder="1" applyAlignment="1">
      <alignment vertical="center" shrinkToFit="1"/>
    </xf>
    <xf numFmtId="0" fontId="38" fillId="0" borderId="2" xfId="0" applyFont="1" applyBorder="1" applyAlignment="1">
      <alignment horizontal="center"/>
    </xf>
    <xf numFmtId="0" fontId="1" fillId="0" borderId="0" xfId="0" applyFont="1" applyAlignment="1">
      <alignment horizontal="left"/>
    </xf>
    <xf numFmtId="165" fontId="1" fillId="0" borderId="2" xfId="1" applyNumberFormat="1" applyFont="1" applyBorder="1" applyAlignment="1">
      <alignment horizontal="center" vertical="center" shrinkToFit="1"/>
    </xf>
    <xf numFmtId="0" fontId="1" fillId="2" borderId="2" xfId="0" applyFont="1" applyFill="1" applyBorder="1" applyAlignment="1">
      <alignment horizontal="center" vertical="center"/>
    </xf>
    <xf numFmtId="0" fontId="18" fillId="2" borderId="2" xfId="0" applyFont="1" applyFill="1" applyBorder="1" applyAlignment="1">
      <alignment horizontal="left" vertical="center"/>
    </xf>
    <xf numFmtId="0" fontId="74" fillId="0" borderId="0" xfId="0" applyFont="1" applyAlignment="1">
      <alignment horizontal="left" vertical="center"/>
    </xf>
    <xf numFmtId="165" fontId="74" fillId="0" borderId="0" xfId="1" applyNumberFormat="1" applyFont="1" applyFill="1" applyBorder="1" applyAlignment="1">
      <alignment horizontal="center"/>
    </xf>
    <xf numFmtId="0" fontId="1" fillId="0" borderId="2" xfId="0" applyFont="1" applyBorder="1"/>
    <xf numFmtId="0" fontId="4" fillId="0" borderId="2" xfId="0" applyFont="1" applyBorder="1" applyAlignment="1">
      <alignment vertical="center" shrinkToFit="1"/>
    </xf>
    <xf numFmtId="171" fontId="1" fillId="0" borderId="2" xfId="0" applyNumberFormat="1" applyFont="1" applyBorder="1" applyAlignment="1">
      <alignment horizontal="center" vertical="center"/>
    </xf>
    <xf numFmtId="171" fontId="1" fillId="0" borderId="2" xfId="0" applyNumberFormat="1" applyFont="1" applyBorder="1" applyAlignment="1">
      <alignment horizontal="center"/>
    </xf>
    <xf numFmtId="171" fontId="1" fillId="0" borderId="2" xfId="1" applyNumberFormat="1" applyFont="1" applyBorder="1" applyAlignment="1">
      <alignment horizontal="center" vertical="center"/>
    </xf>
    <xf numFmtId="0" fontId="96" fillId="3" borderId="2" xfId="0" applyFont="1" applyFill="1" applyBorder="1" applyAlignment="1">
      <alignment horizontal="left" vertical="justify" wrapText="1"/>
    </xf>
    <xf numFmtId="0" fontId="3" fillId="0" borderId="2" xfId="0" applyFont="1" applyBorder="1" applyAlignment="1">
      <alignment horizontal="left" vertical="top" wrapText="1"/>
    </xf>
    <xf numFmtId="165" fontId="1" fillId="0" borderId="1" xfId="0" applyNumberFormat="1" applyFont="1" applyBorder="1" applyAlignment="1">
      <alignment horizontal="center" vertical="top" wrapText="1"/>
    </xf>
    <xf numFmtId="0" fontId="9" fillId="0" borderId="0" xfId="0" applyFont="1" applyAlignment="1">
      <alignment horizontal="left" vertical="center"/>
    </xf>
    <xf numFmtId="0" fontId="1" fillId="0" borderId="0" xfId="0" applyFont="1" applyAlignment="1">
      <alignment horizontal="left" vertical="center"/>
    </xf>
    <xf numFmtId="0" fontId="3" fillId="0" borderId="2" xfId="0" applyFont="1" applyBorder="1" applyAlignment="1">
      <alignment horizontal="center" vertical="top"/>
    </xf>
    <xf numFmtId="0" fontId="3" fillId="0" borderId="2" xfId="0" applyFont="1" applyBorder="1" applyAlignment="1">
      <alignment horizontal="left" vertical="top"/>
    </xf>
    <xf numFmtId="0" fontId="37" fillId="3" borderId="2" xfId="0" applyFont="1" applyFill="1" applyBorder="1" applyAlignment="1">
      <alignment horizontal="left" vertical="justify"/>
    </xf>
    <xf numFmtId="165" fontId="1" fillId="0" borderId="2" xfId="1" applyNumberFormat="1" applyFont="1" applyBorder="1" applyAlignment="1">
      <alignment shrinkToFit="1"/>
    </xf>
    <xf numFmtId="0" fontId="4" fillId="0" borderId="2" xfId="0" applyFont="1" applyBorder="1" applyAlignment="1">
      <alignment vertical="center"/>
    </xf>
    <xf numFmtId="49" fontId="1" fillId="0" borderId="67" xfId="0" applyNumberFormat="1" applyFont="1" applyBorder="1" applyAlignment="1">
      <alignment horizontal="right" vertical="top" wrapText="1"/>
    </xf>
    <xf numFmtId="0" fontId="1" fillId="0" borderId="67" xfId="0" applyFont="1" applyBorder="1" applyAlignment="1">
      <alignment wrapText="1"/>
    </xf>
    <xf numFmtId="0" fontId="40" fillId="0" borderId="9" xfId="0" applyFont="1" applyBorder="1"/>
    <xf numFmtId="49" fontId="1" fillId="0" borderId="112" xfId="0" applyNumberFormat="1" applyFont="1" applyBorder="1" applyAlignment="1">
      <alignment horizontal="right" vertical="top" wrapText="1"/>
    </xf>
    <xf numFmtId="49" fontId="1" fillId="0" borderId="113" xfId="0" applyNumberFormat="1" applyFont="1" applyBorder="1" applyAlignment="1">
      <alignment horizontal="right" vertical="top" wrapText="1"/>
    </xf>
    <xf numFmtId="0" fontId="8" fillId="0" borderId="2" xfId="0" applyFont="1" applyBorder="1" applyAlignment="1">
      <alignment vertical="center"/>
    </xf>
    <xf numFmtId="0" fontId="1" fillId="0" borderId="0" xfId="0" applyFont="1" applyAlignment="1">
      <alignment horizontal="left" vertical="center" wrapText="1"/>
    </xf>
    <xf numFmtId="0" fontId="1" fillId="0" borderId="67" xfId="0" applyFont="1" applyBorder="1" applyAlignment="1">
      <alignment vertical="center" wrapText="1"/>
    </xf>
    <xf numFmtId="49" fontId="1" fillId="0" borderId="67" xfId="0" applyNumberFormat="1" applyFont="1" applyBorder="1" applyAlignment="1">
      <alignment horizontal="right" vertical="center" wrapText="1"/>
    </xf>
    <xf numFmtId="0" fontId="1" fillId="0" borderId="67" xfId="0" applyFont="1" applyBorder="1" applyAlignment="1">
      <alignment vertical="top" wrapText="1"/>
    </xf>
    <xf numFmtId="0" fontId="4" fillId="0" borderId="2" xfId="0" applyFont="1" applyBorder="1" applyAlignment="1">
      <alignment horizontal="center" vertical="center"/>
    </xf>
    <xf numFmtId="0" fontId="1" fillId="0" borderId="0" xfId="0" applyFont="1" applyAlignment="1">
      <alignment horizontal="right" vertical="center"/>
    </xf>
    <xf numFmtId="0" fontId="4" fillId="0" borderId="0" xfId="0" applyFont="1" applyAlignment="1">
      <alignment horizontal="right" vertical="center"/>
    </xf>
    <xf numFmtId="0" fontId="3" fillId="0" borderId="0" xfId="0" applyFont="1" applyAlignment="1">
      <alignment horizontal="right" vertical="center" wrapText="1"/>
    </xf>
    <xf numFmtId="0" fontId="8" fillId="0" borderId="0" xfId="0" applyFont="1" applyAlignment="1">
      <alignment vertical="top" wrapText="1"/>
    </xf>
    <xf numFmtId="0" fontId="8" fillId="0" borderId="0" xfId="0" applyFont="1" applyAlignment="1">
      <alignment horizontal="left" vertical="top" shrinkToFit="1"/>
    </xf>
    <xf numFmtId="0" fontId="1" fillId="0" borderId="15" xfId="0" applyFont="1" applyBorder="1" applyAlignment="1">
      <alignment horizontal="center" vertical="top" wrapText="1"/>
    </xf>
    <xf numFmtId="0" fontId="1" fillId="0" borderId="9" xfId="0" applyFont="1" applyBorder="1" applyAlignment="1">
      <alignment horizontal="center" vertical="top" wrapText="1"/>
    </xf>
    <xf numFmtId="0" fontId="1" fillId="0" borderId="4" xfId="0" applyFont="1" applyBorder="1" applyAlignment="1">
      <alignment horizontal="center" vertical="top"/>
    </xf>
    <xf numFmtId="0" fontId="8" fillId="0" borderId="0" xfId="0" applyFont="1" applyAlignment="1">
      <alignment horizontal="left" vertical="top" wrapText="1"/>
    </xf>
    <xf numFmtId="49" fontId="1" fillId="0" borderId="0" xfId="0" applyNumberFormat="1" applyFont="1" applyAlignment="1">
      <alignment vertical="top" shrinkToFit="1"/>
    </xf>
    <xf numFmtId="0" fontId="1" fillId="0" borderId="0" xfId="0" applyFont="1" applyAlignment="1">
      <alignment vertical="top" shrinkToFit="1"/>
    </xf>
    <xf numFmtId="0" fontId="9" fillId="0" borderId="0" xfId="0" applyFont="1" applyAlignment="1">
      <alignment horizontal="center" vertical="center"/>
    </xf>
    <xf numFmtId="0" fontId="22" fillId="0" borderId="0" xfId="0" applyFont="1" applyAlignment="1">
      <alignment horizontal="left" vertical="top"/>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165" fontId="1" fillId="0" borderId="2" xfId="1" applyNumberFormat="1" applyFont="1" applyBorder="1" applyAlignment="1">
      <alignment vertical="center" shrinkToFit="1"/>
    </xf>
    <xf numFmtId="0" fontId="1" fillId="2" borderId="2" xfId="0" applyFont="1" applyFill="1" applyBorder="1" applyAlignment="1">
      <alignment vertical="center"/>
    </xf>
    <xf numFmtId="14" fontId="108" fillId="3" borderId="35" xfId="0" applyNumberFormat="1" applyFont="1" applyFill="1" applyBorder="1" applyAlignment="1">
      <alignment horizontal="left" vertical="center"/>
    </xf>
    <xf numFmtId="0" fontId="108" fillId="3" borderId="35" xfId="0" applyFont="1" applyFill="1" applyBorder="1" applyAlignment="1">
      <alignment horizontal="left" vertical="center"/>
    </xf>
    <xf numFmtId="14" fontId="1" fillId="0" borderId="35" xfId="0" applyNumberFormat="1" applyFont="1" applyBorder="1" applyAlignment="1">
      <alignment horizontal="left" vertical="center"/>
    </xf>
    <xf numFmtId="0" fontId="1" fillId="0" borderId="35" xfId="0" applyFont="1" applyBorder="1" applyAlignment="1">
      <alignment horizontal="left" vertical="center"/>
    </xf>
    <xf numFmtId="0" fontId="40" fillId="0" borderId="2" xfId="0" applyFont="1" applyBorder="1" applyAlignment="1">
      <alignment horizontal="left"/>
    </xf>
    <xf numFmtId="0" fontId="40" fillId="0" borderId="9" xfId="0" applyFont="1" applyBorder="1" applyAlignment="1">
      <alignment horizontal="left" vertical="top"/>
    </xf>
    <xf numFmtId="0" fontId="40" fillId="0" borderId="15" xfId="0" applyFont="1" applyBorder="1"/>
    <xf numFmtId="0" fontId="40" fillId="0" borderId="10" xfId="0" applyFont="1" applyBorder="1" applyAlignment="1">
      <alignment horizontal="left"/>
    </xf>
    <xf numFmtId="14" fontId="1" fillId="0" borderId="36" xfId="0" applyNumberFormat="1" applyFont="1" applyBorder="1" applyAlignment="1">
      <alignment horizontal="left"/>
    </xf>
    <xf numFmtId="0" fontId="40" fillId="0" borderId="2" xfId="0" applyFont="1" applyBorder="1"/>
    <xf numFmtId="0" fontId="40" fillId="0" borderId="9" xfId="0" applyFont="1" applyBorder="1" applyAlignment="1">
      <alignment vertical="top"/>
    </xf>
    <xf numFmtId="0" fontId="40" fillId="0" borderId="10" xfId="0" applyFont="1" applyBorder="1"/>
    <xf numFmtId="0" fontId="4" fillId="0" borderId="13" xfId="0" applyFont="1" applyBorder="1" applyAlignment="1">
      <alignment horizontal="center" vertical="center"/>
    </xf>
    <xf numFmtId="0" fontId="4" fillId="0" borderId="0" xfId="0" applyFont="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left"/>
    </xf>
    <xf numFmtId="0" fontId="40" fillId="0" borderId="15" xfId="0" applyFont="1" applyBorder="1" applyAlignment="1">
      <alignment horizontal="left"/>
    </xf>
    <xf numFmtId="0" fontId="40" fillId="0" borderId="15" xfId="0" applyFont="1" applyBorder="1" applyAlignment="1">
      <alignment vertical="center"/>
    </xf>
    <xf numFmtId="0" fontId="4" fillId="0" borderId="15" xfId="0" applyFont="1" applyBorder="1" applyAlignment="1">
      <alignment vertical="center"/>
    </xf>
    <xf numFmtId="0" fontId="4" fillId="0" borderId="15" xfId="0" applyFont="1" applyBorder="1" applyAlignment="1">
      <alignment horizontal="left" vertical="center"/>
    </xf>
    <xf numFmtId="0" fontId="4" fillId="0" borderId="9" xfId="0" applyFont="1" applyBorder="1" applyAlignment="1">
      <alignment horizontal="left" vertical="center"/>
    </xf>
    <xf numFmtId="0" fontId="4" fillId="0" borderId="10" xfId="0" applyFont="1" applyBorder="1" applyAlignment="1">
      <alignment horizontal="right" vertical="center"/>
    </xf>
    <xf numFmtId="0" fontId="40" fillId="0" borderId="9" xfId="0" applyFont="1" applyBorder="1" applyAlignment="1">
      <alignment vertical="center"/>
    </xf>
    <xf numFmtId="0" fontId="40" fillId="0" borderId="10" xfId="0" applyFont="1" applyBorder="1" applyAlignment="1">
      <alignment vertical="center"/>
    </xf>
    <xf numFmtId="0" fontId="40" fillId="0" borderId="9" xfId="0" applyFont="1" applyBorder="1" applyAlignment="1">
      <alignment horizontal="left"/>
    </xf>
    <xf numFmtId="0" fontId="4" fillId="0" borderId="10" xfId="0" applyFont="1" applyBorder="1" applyAlignment="1">
      <alignment horizontal="left" vertical="center"/>
    </xf>
    <xf numFmtId="0" fontId="4" fillId="0" borderId="9" xfId="0" applyFont="1" applyBorder="1" applyAlignment="1">
      <alignment horizontal="left" vertical="top"/>
    </xf>
    <xf numFmtId="0" fontId="4" fillId="0" borderId="10" xfId="0" applyFont="1" applyBorder="1" applyAlignment="1">
      <alignment horizontal="center" vertical="center"/>
    </xf>
    <xf numFmtId="0" fontId="9" fillId="0" borderId="10" xfId="0" applyFont="1" applyBorder="1" applyAlignment="1">
      <alignment horizontal="center" vertical="center"/>
    </xf>
    <xf numFmtId="0" fontId="9" fillId="0" borderId="11" xfId="0" applyFont="1" applyBorder="1" applyAlignment="1">
      <alignment horizontal="center" vertical="center"/>
    </xf>
    <xf numFmtId="0" fontId="4" fillId="0" borderId="9" xfId="0" applyFont="1" applyBorder="1" applyAlignment="1">
      <alignment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19" fillId="0" borderId="2" xfId="0" applyFont="1" applyBorder="1" applyAlignment="1">
      <alignment horizontal="center" vertical="center"/>
    </xf>
    <xf numFmtId="0" fontId="1" fillId="0" borderId="1" xfId="0" applyFont="1" applyBorder="1" applyAlignment="1">
      <alignment horizontal="center"/>
    </xf>
    <xf numFmtId="0" fontId="4" fillId="0" borderId="0" xfId="0" applyFont="1" applyAlignment="1">
      <alignment horizontal="right" vertical="top"/>
    </xf>
    <xf numFmtId="0" fontId="1" fillId="0" borderId="0" xfId="0" applyFont="1" applyAlignment="1">
      <alignment vertical="top"/>
    </xf>
    <xf numFmtId="0" fontId="4" fillId="0" borderId="9" xfId="0" applyFont="1" applyBorder="1" applyAlignment="1">
      <alignment horizontal="center" vertical="center"/>
    </xf>
    <xf numFmtId="0" fontId="1" fillId="0" borderId="6" xfId="0" applyFont="1" applyBorder="1" applyAlignment="1">
      <alignment horizontal="justify" vertical="top" wrapText="1"/>
    </xf>
    <xf numFmtId="0" fontId="1" fillId="0" borderId="7" xfId="0" applyFont="1" applyBorder="1" applyAlignment="1">
      <alignment horizontal="justify" vertical="top" wrapText="1"/>
    </xf>
    <xf numFmtId="0" fontId="1" fillId="0" borderId="8" xfId="0" applyFont="1" applyBorder="1" applyAlignment="1">
      <alignment horizontal="justify" vertical="top" wrapText="1"/>
    </xf>
    <xf numFmtId="0" fontId="1" fillId="0" borderId="13" xfId="0" applyFont="1" applyBorder="1" applyAlignment="1">
      <alignment horizontal="justify" vertical="top" wrapText="1"/>
    </xf>
    <xf numFmtId="0" fontId="1" fillId="0" borderId="14" xfId="0" applyFont="1" applyBorder="1" applyAlignment="1">
      <alignment horizontal="justify" vertical="top" wrapText="1"/>
    </xf>
    <xf numFmtId="0" fontId="1" fillId="0" borderId="11" xfId="0" applyFont="1" applyBorder="1" applyAlignment="1">
      <alignment horizontal="justify" vertical="top" wrapText="1"/>
    </xf>
    <xf numFmtId="0" fontId="1" fillId="0" borderId="1" xfId="0" applyFont="1" applyBorder="1" applyAlignment="1">
      <alignment horizontal="justify" vertical="top" wrapText="1"/>
    </xf>
    <xf numFmtId="0" fontId="1" fillId="0" borderId="12" xfId="0" applyFont="1" applyBorder="1" applyAlignment="1">
      <alignment horizontal="justify" vertical="top" wrapText="1"/>
    </xf>
    <xf numFmtId="0" fontId="4" fillId="0" borderId="0" xfId="0" applyFont="1" applyAlignment="1">
      <alignment vertical="justify" wrapText="1"/>
    </xf>
    <xf numFmtId="0" fontId="8" fillId="0" borderId="0" xfId="0" applyFont="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165" fontId="74" fillId="0" borderId="2" xfId="1" applyNumberFormat="1" applyFont="1" applyFill="1" applyBorder="1" applyAlignment="1">
      <alignment horizontal="center" vertical="center" shrinkToFit="1"/>
    </xf>
    <xf numFmtId="165" fontId="74" fillId="0" borderId="2" xfId="1" applyNumberFormat="1" applyFont="1" applyFill="1" applyBorder="1" applyAlignment="1">
      <alignment horizontal="center" vertical="center"/>
    </xf>
    <xf numFmtId="174" fontId="74" fillId="0" borderId="3" xfId="1" applyNumberFormat="1" applyFont="1" applyFill="1" applyBorder="1" applyAlignment="1">
      <alignment vertical="center"/>
    </xf>
    <xf numFmtId="174" fontId="74" fillId="0" borderId="4" xfId="1" applyNumberFormat="1" applyFont="1" applyFill="1" applyBorder="1" applyAlignment="1">
      <alignment vertical="center"/>
    </xf>
    <xf numFmtId="174" fontId="74" fillId="0" borderId="5" xfId="1" applyNumberFormat="1" applyFont="1" applyFill="1" applyBorder="1" applyAlignment="1">
      <alignment vertical="center"/>
    </xf>
    <xf numFmtId="165" fontId="1" fillId="0" borderId="2" xfId="0" applyNumberFormat="1" applyFont="1" applyBorder="1" applyAlignment="1">
      <alignment horizontal="center" vertical="center"/>
    </xf>
    <xf numFmtId="165" fontId="74" fillId="0" borderId="0" xfId="1" applyNumberFormat="1" applyFont="1" applyFill="1" applyBorder="1" applyAlignment="1">
      <alignment horizontal="center" vertical="center" shrinkToFit="1"/>
    </xf>
    <xf numFmtId="184" fontId="74" fillId="0" borderId="2" xfId="1" applyNumberFormat="1" applyFont="1" applyFill="1" applyBorder="1" applyAlignment="1">
      <alignment vertical="center"/>
    </xf>
    <xf numFmtId="0" fontId="3" fillId="0" borderId="2" xfId="0" applyFont="1" applyBorder="1" applyAlignment="1">
      <alignment horizontal="center" vertical="center" wrapText="1"/>
    </xf>
    <xf numFmtId="0" fontId="123" fillId="0" borderId="24" xfId="0" applyFont="1" applyBorder="1" applyAlignment="1">
      <alignment horizontal="left" vertical="center"/>
    </xf>
    <xf numFmtId="0" fontId="123" fillId="0" borderId="44" xfId="0" applyFont="1" applyBorder="1" applyAlignment="1">
      <alignment horizontal="left" vertical="center"/>
    </xf>
    <xf numFmtId="0" fontId="123" fillId="0" borderId="25" xfId="0" applyFont="1" applyBorder="1" applyAlignment="1">
      <alignment horizontal="left"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96" fillId="3" borderId="2" xfId="0" applyFont="1" applyFill="1" applyBorder="1" applyAlignment="1">
      <alignment horizontal="left" vertical="justify"/>
    </xf>
    <xf numFmtId="0" fontId="9" fillId="0" borderId="4" xfId="0" applyFont="1" applyBorder="1" applyAlignment="1">
      <alignment horizontal="left" vertical="center"/>
    </xf>
    <xf numFmtId="0" fontId="1" fillId="0" borderId="3" xfId="0" applyFont="1" applyBorder="1" applyAlignment="1">
      <alignment horizontal="center" vertical="center" wrapText="1"/>
    </xf>
    <xf numFmtId="1" fontId="1" fillId="3" borderId="3" xfId="0" applyNumberFormat="1" applyFont="1" applyFill="1" applyBorder="1" applyAlignment="1">
      <alignment horizontal="center"/>
    </xf>
    <xf numFmtId="1" fontId="1" fillId="3" borderId="4" xfId="0" applyNumberFormat="1" applyFont="1" applyFill="1" applyBorder="1" applyAlignment="1">
      <alignment horizontal="center"/>
    </xf>
    <xf numFmtId="1" fontId="1" fillId="3" borderId="5" xfId="0" applyNumberFormat="1" applyFont="1" applyFill="1" applyBorder="1" applyAlignment="1">
      <alignment horizontal="center"/>
    </xf>
    <xf numFmtId="0" fontId="74" fillId="0" borderId="0" xfId="0" applyFont="1" applyAlignment="1">
      <alignment horizontal="center" vertical="center" shrinkToFit="1"/>
    </xf>
    <xf numFmtId="0" fontId="4" fillId="3" borderId="0" xfId="0" applyFont="1" applyFill="1" applyAlignment="1">
      <alignment vertical="top"/>
    </xf>
    <xf numFmtId="0" fontId="74" fillId="0" borderId="0" xfId="0" applyFont="1" applyAlignment="1">
      <alignment horizontal="right" vertical="center" wrapText="1"/>
    </xf>
    <xf numFmtId="0" fontId="36" fillId="0" borderId="0" xfId="0" applyFont="1" applyAlignment="1">
      <alignment horizontal="center" vertical="center" wrapText="1"/>
    </xf>
    <xf numFmtId="0" fontId="74" fillId="0" borderId="0" xfId="0" applyFont="1" applyAlignment="1">
      <alignment horizontal="left" vertical="center" wrapText="1"/>
    </xf>
    <xf numFmtId="0" fontId="31" fillId="0" borderId="0" xfId="0" applyFont="1" applyAlignment="1">
      <alignment horizontal="right" vertical="center"/>
    </xf>
    <xf numFmtId="14" fontId="74" fillId="3" borderId="0" xfId="0" applyNumberFormat="1" applyFont="1" applyFill="1" applyAlignment="1">
      <alignment horizontal="center" vertical="top"/>
    </xf>
    <xf numFmtId="165" fontId="74" fillId="0" borderId="2" xfId="1" applyNumberFormat="1" applyFont="1" applyFill="1" applyBorder="1" applyAlignment="1">
      <alignment horizontal="center"/>
    </xf>
    <xf numFmtId="172" fontId="74" fillId="3" borderId="3" xfId="1" applyNumberFormat="1" applyFont="1" applyFill="1" applyBorder="1" applyAlignment="1">
      <alignment horizontal="center" vertical="center"/>
    </xf>
    <xf numFmtId="172" fontId="74" fillId="3" borderId="4" xfId="1" applyNumberFormat="1" applyFont="1" applyFill="1" applyBorder="1" applyAlignment="1">
      <alignment horizontal="center" vertical="center"/>
    </xf>
    <xf numFmtId="172" fontId="74" fillId="3" borderId="5" xfId="1" applyNumberFormat="1" applyFont="1" applyFill="1" applyBorder="1" applyAlignment="1">
      <alignment horizontal="center" vertical="center"/>
    </xf>
    <xf numFmtId="0" fontId="1" fillId="0" borderId="2" xfId="0" applyFont="1" applyBorder="1" applyAlignment="1">
      <alignment horizontal="left" vertical="center" shrinkToFit="1"/>
    </xf>
    <xf numFmtId="0" fontId="74" fillId="0" borderId="2" xfId="0" applyFont="1" applyBorder="1" applyAlignment="1">
      <alignment horizontal="center" wrapText="1"/>
    </xf>
    <xf numFmtId="0" fontId="4" fillId="3" borderId="0" xfId="0" applyFont="1" applyFill="1" applyAlignment="1">
      <alignment vertical="top" wrapText="1"/>
    </xf>
    <xf numFmtId="165" fontId="109" fillId="0" borderId="2" xfId="1" applyNumberFormat="1" applyFont="1" applyFill="1" applyBorder="1" applyAlignment="1">
      <alignment horizontal="center"/>
    </xf>
    <xf numFmtId="0" fontId="74" fillId="0" borderId="2" xfId="0" applyFont="1" applyBorder="1" applyAlignment="1">
      <alignment horizontal="center"/>
    </xf>
    <xf numFmtId="165" fontId="36" fillId="0" borderId="2" xfId="1" applyNumberFormat="1" applyFont="1" applyFill="1" applyBorder="1" applyAlignment="1">
      <alignment horizontal="center"/>
    </xf>
    <xf numFmtId="165" fontId="74" fillId="3" borderId="2" xfId="1" applyNumberFormat="1" applyFont="1" applyFill="1" applyBorder="1" applyAlignment="1">
      <alignment horizontal="center" vertical="center"/>
    </xf>
    <xf numFmtId="165" fontId="1" fillId="0" borderId="0" xfId="0" applyNumberFormat="1" applyFont="1" applyAlignment="1">
      <alignment horizontal="right" vertical="center" shrinkToFit="1"/>
    </xf>
    <xf numFmtId="165" fontId="1" fillId="0" borderId="7" xfId="0" applyNumberFormat="1" applyFont="1" applyBorder="1" applyAlignment="1">
      <alignment horizontal="center" vertical="center" shrinkToFit="1"/>
    </xf>
    <xf numFmtId="0" fontId="1" fillId="0" borderId="7" xfId="0" applyFont="1" applyBorder="1" applyAlignment="1">
      <alignment horizontal="center" vertical="center" shrinkToFit="1"/>
    </xf>
    <xf numFmtId="43" fontId="74" fillId="0" borderId="7" xfId="1" applyFont="1" applyFill="1" applyBorder="1" applyAlignment="1">
      <alignment horizontal="center" vertical="center" shrinkToFit="1"/>
    </xf>
    <xf numFmtId="165" fontId="3" fillId="0" borderId="2" xfId="1" applyNumberFormat="1" applyFont="1" applyBorder="1" applyAlignment="1">
      <alignment horizontal="center" vertical="center"/>
    </xf>
    <xf numFmtId="164" fontId="3" fillId="0" borderId="2" xfId="1" applyNumberFormat="1" applyFont="1" applyBorder="1" applyAlignment="1">
      <alignment horizontal="center" vertical="center"/>
    </xf>
    <xf numFmtId="0" fontId="3" fillId="0" borderId="2" xfId="0" applyFont="1" applyBorder="1" applyAlignment="1">
      <alignment horizontal="left" vertical="center" wrapText="1"/>
    </xf>
    <xf numFmtId="186" fontId="74" fillId="3" borderId="3" xfId="1" applyNumberFormat="1" applyFont="1" applyFill="1" applyBorder="1" applyAlignment="1">
      <alignment horizontal="center" vertical="center"/>
    </xf>
    <xf numFmtId="186" fontId="74" fillId="3" borderId="4" xfId="1" applyNumberFormat="1" applyFont="1" applyFill="1" applyBorder="1" applyAlignment="1">
      <alignment horizontal="center" vertical="center"/>
    </xf>
    <xf numFmtId="186" fontId="74" fillId="3" borderId="5" xfId="1" applyNumberFormat="1" applyFont="1" applyFill="1" applyBorder="1" applyAlignment="1">
      <alignment horizontal="center" vertical="center"/>
    </xf>
    <xf numFmtId="165" fontId="1" fillId="0" borderId="2" xfId="1" applyNumberFormat="1" applyFont="1" applyBorder="1" applyAlignment="1">
      <alignment vertical="center"/>
    </xf>
    <xf numFmtId="0" fontId="1" fillId="0" borderId="1" xfId="0" applyFont="1" applyBorder="1" applyAlignment="1">
      <alignment horizontal="left" vertical="center" wrapText="1"/>
    </xf>
    <xf numFmtId="0" fontId="41" fillId="3" borderId="86" xfId="0" applyFont="1" applyFill="1" applyBorder="1" applyAlignment="1">
      <alignment horizontal="center" vertical="center"/>
    </xf>
    <xf numFmtId="0" fontId="5" fillId="0" borderId="7" xfId="0" applyFont="1" applyBorder="1" applyAlignment="1">
      <alignment horizontal="left" vertical="center"/>
    </xf>
    <xf numFmtId="14" fontId="1" fillId="3" borderId="86" xfId="0" applyNumberFormat="1" applyFont="1" applyFill="1" applyBorder="1" applyAlignment="1">
      <alignment horizontal="center" vertical="center"/>
    </xf>
    <xf numFmtId="0" fontId="1" fillId="3" borderId="86" xfId="0" applyFont="1" applyFill="1" applyBorder="1" applyAlignment="1">
      <alignment horizontal="center" vertical="center"/>
    </xf>
    <xf numFmtId="0" fontId="74" fillId="0" borderId="0" xfId="0" applyFont="1" applyAlignment="1">
      <alignment horizontal="center" vertical="center"/>
    </xf>
    <xf numFmtId="184" fontId="1" fillId="0" borderId="4" xfId="0" applyNumberFormat="1" applyFont="1" applyBorder="1" applyAlignment="1">
      <alignment horizontal="left" vertical="center"/>
    </xf>
    <xf numFmtId="184" fontId="1" fillId="0" borderId="5" xfId="0" applyNumberFormat="1" applyFont="1" applyBorder="1" applyAlignment="1">
      <alignment horizontal="left" vertical="center"/>
    </xf>
    <xf numFmtId="0" fontId="38" fillId="0" borderId="3" xfId="0" applyFont="1" applyBorder="1" applyAlignment="1">
      <alignment horizontal="center"/>
    </xf>
    <xf numFmtId="0" fontId="38" fillId="0" borderId="4" xfId="0" applyFont="1" applyBorder="1" applyAlignment="1">
      <alignment horizontal="center"/>
    </xf>
    <xf numFmtId="0" fontId="38" fillId="0" borderId="5" xfId="0" applyFont="1" applyBorder="1" applyAlignment="1">
      <alignment horizontal="center"/>
    </xf>
    <xf numFmtId="0" fontId="112" fillId="0" borderId="7" xfId="0" applyFont="1" applyBorder="1" applyAlignment="1">
      <alignment horizontal="left" vertical="center"/>
    </xf>
    <xf numFmtId="43" fontId="185" fillId="0" borderId="0" xfId="0" applyNumberFormat="1" applyFont="1" applyAlignment="1">
      <alignment horizontal="center" vertical="center"/>
    </xf>
    <xf numFmtId="43" fontId="188" fillId="0" borderId="0" xfId="0" applyNumberFormat="1" applyFont="1" applyAlignment="1">
      <alignment horizontal="center"/>
    </xf>
    <xf numFmtId="0" fontId="188" fillId="0" borderId="0" xfId="0" applyFont="1" applyAlignment="1">
      <alignment horizontal="center"/>
    </xf>
    <xf numFmtId="0" fontId="97" fillId="0" borderId="0" xfId="0" applyFont="1" applyAlignment="1">
      <alignment horizontal="left" vertical="top" wrapText="1"/>
    </xf>
    <xf numFmtId="0" fontId="4" fillId="0" borderId="0" xfId="0" applyFont="1" applyAlignment="1" applyProtection="1">
      <alignment horizontal="left" vertical="top" wrapText="1"/>
      <protection locked="0"/>
    </xf>
    <xf numFmtId="0" fontId="4" fillId="0" borderId="0" xfId="0" applyFont="1" applyAlignment="1">
      <alignment vertical="center" wrapText="1"/>
    </xf>
    <xf numFmtId="0" fontId="4" fillId="2" borderId="0" xfId="0" applyFont="1" applyFill="1" applyAlignment="1">
      <alignment horizontal="center" vertical="center"/>
    </xf>
    <xf numFmtId="0" fontId="1" fillId="0" borderId="1" xfId="0" applyFont="1" applyBorder="1" applyAlignment="1">
      <alignment horizontal="center" vertical="center"/>
    </xf>
    <xf numFmtId="0" fontId="1" fillId="0" borderId="98" xfId="0" applyFont="1" applyBorder="1" applyAlignment="1">
      <alignment horizontal="center" vertical="center" wrapText="1"/>
    </xf>
    <xf numFmtId="0" fontId="1" fillId="2" borderId="101" xfId="1" applyNumberFormat="1" applyFont="1" applyFill="1" applyBorder="1" applyAlignment="1" applyProtection="1">
      <alignment horizontal="center" vertical="center" wrapText="1"/>
    </xf>
    <xf numFmtId="0" fontId="1" fillId="2" borderId="106" xfId="1" applyNumberFormat="1" applyFont="1" applyFill="1" applyBorder="1" applyAlignment="1" applyProtection="1">
      <alignment horizontal="center" vertical="center" wrapText="1"/>
    </xf>
    <xf numFmtId="0" fontId="1" fillId="2" borderId="102" xfId="1" applyNumberFormat="1" applyFont="1" applyFill="1" applyBorder="1" applyAlignment="1" applyProtection="1">
      <alignment horizontal="center" vertical="center" wrapText="1"/>
    </xf>
    <xf numFmtId="0" fontId="1" fillId="6" borderId="0" xfId="0" applyFont="1" applyFill="1" applyAlignment="1">
      <alignment horizontal="left" vertical="center"/>
    </xf>
    <xf numFmtId="43" fontId="1" fillId="0" borderId="2" xfId="0" applyNumberFormat="1" applyFont="1" applyBorder="1" applyAlignment="1">
      <alignment horizontal="center" vertical="center" wrapText="1"/>
    </xf>
    <xf numFmtId="0" fontId="4" fillId="0" borderId="3" xfId="0" applyFont="1" applyBorder="1" applyAlignment="1" applyProtection="1">
      <alignment horizontal="center" vertical="center" wrapText="1"/>
      <protection locked="0"/>
    </xf>
    <xf numFmtId="0" fontId="4" fillId="0" borderId="5" xfId="0" applyFont="1" applyBorder="1" applyAlignment="1" applyProtection="1">
      <alignment horizontal="center" vertical="center" wrapText="1"/>
      <protection locked="0"/>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0" borderId="2" xfId="0" quotePrefix="1"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43" fontId="8" fillId="0" borderId="2" xfId="0" applyNumberFormat="1" applyFont="1" applyBorder="1" applyAlignment="1">
      <alignment vertical="center" wrapText="1"/>
    </xf>
    <xf numFmtId="43" fontId="1" fillId="0" borderId="2" xfId="0" applyNumberFormat="1" applyFont="1" applyBorder="1" applyAlignment="1">
      <alignment vertical="center" wrapText="1"/>
    </xf>
    <xf numFmtId="0" fontId="4" fillId="0" borderId="2" xfId="0" applyFont="1" applyBorder="1" applyAlignment="1" applyProtection="1">
      <alignment horizontal="center" vertical="center" wrapText="1"/>
      <protection locked="0"/>
    </xf>
    <xf numFmtId="43" fontId="1" fillId="0" borderId="3" xfId="1" applyFont="1" applyBorder="1" applyAlignment="1" applyProtection="1">
      <alignment horizontal="left" vertical="center" wrapText="1"/>
      <protection locked="0"/>
    </xf>
    <xf numFmtId="43" fontId="1" fillId="0" borderId="5" xfId="1" applyFont="1" applyBorder="1" applyAlignment="1" applyProtection="1">
      <alignment horizontal="left" vertical="center" wrapText="1"/>
      <protection locked="0"/>
    </xf>
    <xf numFmtId="0" fontId="74" fillId="0" borderId="99" xfId="0" applyFont="1" applyBorder="1" applyAlignment="1">
      <alignment horizontal="center" vertical="center" wrapText="1"/>
    </xf>
    <xf numFmtId="0" fontId="74" fillId="0" borderId="103" xfId="0" applyFont="1" applyBorder="1" applyAlignment="1">
      <alignment horizontal="center" vertical="center" wrapText="1"/>
    </xf>
    <xf numFmtId="0" fontId="74" fillId="0" borderId="100" xfId="0" applyFont="1" applyBorder="1" applyAlignment="1">
      <alignment horizontal="center" vertical="center" wrapText="1"/>
    </xf>
    <xf numFmtId="0" fontId="74" fillId="0" borderId="104" xfId="1" applyNumberFormat="1" applyFont="1" applyBorder="1" applyAlignment="1" applyProtection="1">
      <alignment horizontal="center" vertical="center" wrapText="1"/>
    </xf>
    <xf numFmtId="0" fontId="74" fillId="0" borderId="4" xfId="1" applyNumberFormat="1" applyFont="1" applyBorder="1" applyAlignment="1" applyProtection="1">
      <alignment horizontal="center" vertical="center" wrapText="1"/>
    </xf>
    <xf numFmtId="0" fontId="74" fillId="0" borderId="105" xfId="1" applyNumberFormat="1" applyFont="1" applyBorder="1" applyAlignment="1" applyProtection="1">
      <alignment horizontal="center" vertical="center" wrapText="1"/>
    </xf>
    <xf numFmtId="0" fontId="74" fillId="0" borderId="99" xfId="1" applyNumberFormat="1" applyFont="1" applyBorder="1" applyAlignment="1" applyProtection="1">
      <alignment horizontal="center" vertical="center" wrapText="1"/>
    </xf>
    <xf numFmtId="0" fontId="74" fillId="0" borderId="100" xfId="1" applyNumberFormat="1" applyFont="1" applyBorder="1" applyAlignment="1" applyProtection="1">
      <alignment horizontal="center" vertical="center" wrapText="1"/>
    </xf>
    <xf numFmtId="43" fontId="1" fillId="0" borderId="2" xfId="1" applyFont="1" applyBorder="1" applyAlignment="1" applyProtection="1">
      <alignment horizontal="left" vertical="center" wrapText="1"/>
      <protection locked="0"/>
    </xf>
    <xf numFmtId="0" fontId="6" fillId="6" borderId="0" xfId="0" applyFont="1" applyFill="1" applyAlignment="1">
      <alignment horizontal="left" vertical="center"/>
    </xf>
    <xf numFmtId="0" fontId="8" fillId="0" borderId="1" xfId="0" applyFont="1" applyBorder="1" applyAlignment="1">
      <alignment horizontal="right" vertical="center"/>
    </xf>
    <xf numFmtId="2" fontId="1" fillId="0" borderId="2" xfId="0" applyNumberFormat="1" applyFont="1" applyBorder="1" applyAlignment="1">
      <alignment horizontal="center" vertical="center" wrapText="1"/>
    </xf>
    <xf numFmtId="2" fontId="185" fillId="0" borderId="0" xfId="0" applyNumberFormat="1" applyFont="1" applyAlignment="1">
      <alignment horizontal="right" vertical="center"/>
    </xf>
    <xf numFmtId="43" fontId="185" fillId="0" borderId="0" xfId="0" applyNumberFormat="1" applyFont="1" applyAlignment="1">
      <alignment horizontal="right" vertical="center"/>
    </xf>
    <xf numFmtId="0" fontId="185" fillId="0" borderId="0" xfId="0" applyFont="1" applyAlignment="1">
      <alignment horizontal="right" vertical="center"/>
    </xf>
    <xf numFmtId="0" fontId="1" fillId="0" borderId="3" xfId="0" applyFont="1" applyBorder="1" applyAlignment="1" applyProtection="1">
      <alignment horizontal="center" vertical="center" wrapText="1"/>
      <protection locked="0"/>
    </xf>
    <xf numFmtId="0" fontId="1" fillId="0" borderId="4" xfId="0" applyFont="1" applyBorder="1" applyAlignment="1" applyProtection="1">
      <alignment horizontal="center" vertical="center" wrapText="1"/>
      <protection locked="0"/>
    </xf>
    <xf numFmtId="0" fontId="1" fillId="0" borderId="5" xfId="0" applyFont="1" applyBorder="1" applyAlignment="1" applyProtection="1">
      <alignment horizontal="center" vertical="center" wrapText="1"/>
      <protection locked="0"/>
    </xf>
    <xf numFmtId="0" fontId="1" fillId="0" borderId="2" xfId="0" applyFont="1" applyBorder="1" applyAlignment="1">
      <alignment horizontal="left" vertical="center" wrapText="1"/>
    </xf>
    <xf numFmtId="0" fontId="1" fillId="0" borderId="2" xfId="0" applyFont="1" applyBorder="1" applyAlignment="1" applyProtection="1">
      <alignment horizontal="center" vertical="center" wrapText="1"/>
      <protection locked="0"/>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1" fillId="5" borderId="5" xfId="0" applyFont="1" applyFill="1" applyBorder="1" applyAlignment="1">
      <alignment horizontal="center" vertical="center" wrapText="1"/>
    </xf>
    <xf numFmtId="9" fontId="1" fillId="0" borderId="0" xfId="0" applyNumberFormat="1" applyFont="1" applyAlignment="1">
      <alignment horizontal="center" vertical="center"/>
    </xf>
    <xf numFmtId="0" fontId="4" fillId="0" borderId="0" xfId="0" applyFont="1" applyAlignment="1">
      <alignment vertical="center"/>
    </xf>
    <xf numFmtId="0" fontId="1" fillId="5" borderId="2" xfId="0" applyFont="1" applyFill="1" applyBorder="1" applyAlignment="1">
      <alignment horizontal="left" vertical="center" wrapText="1"/>
    </xf>
    <xf numFmtId="0" fontId="1" fillId="5" borderId="3" xfId="0" applyFont="1" applyFill="1" applyBorder="1" applyAlignment="1" applyProtection="1">
      <alignment horizontal="center" vertical="center" wrapText="1"/>
      <protection locked="0"/>
    </xf>
    <xf numFmtId="0" fontId="1" fillId="5" borderId="4" xfId="0" applyFont="1" applyFill="1" applyBorder="1" applyAlignment="1" applyProtection="1">
      <alignment horizontal="center" vertical="center" wrapText="1"/>
      <protection locked="0"/>
    </xf>
    <xf numFmtId="0" fontId="1" fillId="5" borderId="5" xfId="0" applyFont="1" applyFill="1" applyBorder="1" applyAlignment="1" applyProtection="1">
      <alignment horizontal="center" vertical="center" wrapText="1"/>
      <protection locked="0"/>
    </xf>
    <xf numFmtId="0" fontId="8" fillId="6" borderId="0" xfId="0" applyFont="1" applyFill="1" applyAlignment="1" applyProtection="1">
      <alignment horizontal="left" vertical="center"/>
      <protection locked="0"/>
    </xf>
    <xf numFmtId="0" fontId="1" fillId="0" borderId="108" xfId="0" applyFont="1" applyBorder="1" applyAlignment="1" applyProtection="1">
      <alignment horizontal="center" vertical="center" wrapText="1"/>
      <protection locked="0"/>
    </xf>
    <xf numFmtId="0" fontId="1" fillId="0" borderId="106" xfId="0" applyFont="1" applyBorder="1" applyAlignment="1" applyProtection="1">
      <alignment horizontal="center" vertical="center" wrapText="1"/>
      <protection locked="0"/>
    </xf>
    <xf numFmtId="0" fontId="1" fillId="0" borderId="102" xfId="0" applyFont="1" applyBorder="1" applyAlignment="1" applyProtection="1">
      <alignment horizontal="center" vertical="center" wrapText="1"/>
      <protection locked="0"/>
    </xf>
    <xf numFmtId="0" fontId="1" fillId="0" borderId="104" xfId="1" applyNumberFormat="1" applyFont="1" applyBorder="1" applyAlignment="1" applyProtection="1">
      <alignment horizontal="center" vertical="center" wrapText="1"/>
    </xf>
    <xf numFmtId="0" fontId="1" fillId="0" borderId="4" xfId="1" applyNumberFormat="1" applyFont="1" applyBorder="1" applyAlignment="1" applyProtection="1">
      <alignment horizontal="center" vertical="center" wrapText="1"/>
    </xf>
    <xf numFmtId="0" fontId="1" fillId="0" borderId="105" xfId="1" applyNumberFormat="1" applyFont="1" applyBorder="1" applyAlignment="1" applyProtection="1">
      <alignment horizontal="center" vertical="center" wrapText="1"/>
    </xf>
    <xf numFmtId="0" fontId="1" fillId="0" borderId="99" xfId="1" applyNumberFormat="1" applyFont="1" applyBorder="1" applyAlignment="1" applyProtection="1">
      <alignment horizontal="center" vertical="center" wrapText="1"/>
    </xf>
    <xf numFmtId="0" fontId="1" fillId="0" borderId="100" xfId="1" applyNumberFormat="1" applyFont="1" applyBorder="1" applyAlignment="1" applyProtection="1">
      <alignment horizontal="center" vertical="center" wrapText="1"/>
    </xf>
    <xf numFmtId="0" fontId="1" fillId="2" borderId="0" xfId="0" applyFont="1" applyFill="1" applyAlignment="1">
      <alignment horizontal="center" vertical="center"/>
    </xf>
    <xf numFmtId="0" fontId="1" fillId="0" borderId="97" xfId="0" applyFont="1" applyBorder="1" applyAlignment="1">
      <alignment horizontal="center" vertical="center" wrapText="1"/>
    </xf>
    <xf numFmtId="49" fontId="4" fillId="0" borderId="7" xfId="0" applyNumberFormat="1" applyFont="1" applyBorder="1" applyAlignment="1">
      <alignment horizontal="center" vertical="center" wrapText="1"/>
    </xf>
    <xf numFmtId="0" fontId="4" fillId="0" borderId="7" xfId="0" applyFont="1" applyBorder="1" applyAlignment="1">
      <alignment horizontal="center" vertical="center" wrapText="1"/>
    </xf>
    <xf numFmtId="0" fontId="4" fillId="3" borderId="6" xfId="0" applyFont="1" applyFill="1" applyBorder="1" applyAlignment="1">
      <alignment horizontal="center" vertical="center" wrapText="1"/>
    </xf>
    <xf numFmtId="0" fontId="4" fillId="3" borderId="8" xfId="0" applyFont="1" applyFill="1" applyBorder="1" applyAlignment="1">
      <alignment horizontal="center"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0" fontId="4" fillId="0" borderId="0" xfId="0" applyFont="1" applyAlignment="1">
      <alignment horizontal="left" vertical="top"/>
    </xf>
    <xf numFmtId="0" fontId="1" fillId="0" borderId="103" xfId="0" applyFont="1" applyBorder="1" applyAlignment="1" applyProtection="1">
      <alignment horizontal="center" vertical="center" wrapText="1"/>
      <protection locked="0"/>
    </xf>
    <xf numFmtId="0" fontId="1" fillId="0" borderId="100" xfId="0" applyFont="1" applyBorder="1" applyAlignment="1" applyProtection="1">
      <alignment horizontal="center" vertical="center" wrapText="1"/>
      <protection locked="0"/>
    </xf>
    <xf numFmtId="0" fontId="4" fillId="0" borderId="0" xfId="0" applyFont="1" applyAlignment="1">
      <alignment horizontal="left" vertical="center"/>
    </xf>
    <xf numFmtId="0" fontId="4" fillId="0" borderId="0" xfId="0" applyFont="1" applyAlignment="1" applyProtection="1">
      <alignment horizontal="left" vertical="center" wrapText="1"/>
      <protection locked="0"/>
    </xf>
    <xf numFmtId="10" fontId="4" fillId="0" borderId="0" xfId="0" applyNumberFormat="1" applyFont="1" applyAlignment="1" applyProtection="1">
      <alignment horizontal="left" vertical="center" wrapText="1"/>
      <protection locked="0"/>
    </xf>
    <xf numFmtId="0" fontId="0" fillId="0" borderId="0" xfId="0" applyAlignment="1">
      <alignment horizontal="left"/>
    </xf>
    <xf numFmtId="49" fontId="184" fillId="0" borderId="0" xfId="0" applyNumberFormat="1" applyFont="1" applyAlignment="1">
      <alignment horizontal="center" vertical="center"/>
    </xf>
    <xf numFmtId="0" fontId="184" fillId="0" borderId="0" xfId="0" applyFont="1" applyAlignment="1">
      <alignment horizontal="center" vertical="center"/>
    </xf>
    <xf numFmtId="0" fontId="131" fillId="0" borderId="0" xfId="0" applyFont="1" applyAlignment="1">
      <alignment horizontal="center" vertical="center"/>
    </xf>
    <xf numFmtId="0" fontId="183" fillId="0" borderId="0" xfId="0" applyFont="1" applyAlignment="1">
      <alignment horizontal="center" vertical="center"/>
    </xf>
    <xf numFmtId="0" fontId="187" fillId="0" borderId="0" xfId="0" applyFont="1" applyAlignment="1">
      <alignment horizontal="center" vertical="center"/>
    </xf>
    <xf numFmtId="49" fontId="4" fillId="0" borderId="0" xfId="0" applyNumberFormat="1" applyFont="1" applyAlignment="1">
      <alignment horizontal="left" vertical="top" wrapText="1"/>
    </xf>
    <xf numFmtId="0" fontId="3" fillId="0" borderId="0" xfId="0" applyFont="1" applyAlignment="1">
      <alignment horizontal="left" vertical="center" wrapText="1"/>
    </xf>
    <xf numFmtId="1" fontId="4" fillId="0" borderId="0" xfId="0" applyNumberFormat="1" applyFont="1" applyAlignment="1" applyProtection="1">
      <alignment horizontal="right" vertical="center" wrapText="1"/>
      <protection locked="0"/>
    </xf>
    <xf numFmtId="1" fontId="4" fillId="0" borderId="0" xfId="0" applyNumberFormat="1" applyFont="1" applyAlignment="1" applyProtection="1">
      <alignment horizontal="left" vertical="center" wrapText="1"/>
      <protection locked="0"/>
    </xf>
    <xf numFmtId="0" fontId="4" fillId="0" borderId="0" xfId="0" applyFont="1" applyAlignment="1">
      <alignment horizontal="left" vertical="center" wrapText="1"/>
    </xf>
    <xf numFmtId="49" fontId="4" fillId="0" borderId="1" xfId="0" applyNumberFormat="1" applyFont="1" applyBorder="1" applyAlignment="1">
      <alignment horizontal="center" vertical="center" wrapText="1"/>
    </xf>
    <xf numFmtId="0" fontId="4" fillId="0" borderId="1" xfId="0" applyFont="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1" xfId="0" applyFont="1" applyBorder="1" applyAlignment="1">
      <alignment horizontal="left" vertical="center" wrapText="1"/>
    </xf>
    <xf numFmtId="0" fontId="4" fillId="0" borderId="0" xfId="0" applyFont="1" applyAlignment="1">
      <alignment horizontal="center" vertical="top" wrapText="1"/>
    </xf>
    <xf numFmtId="0" fontId="187" fillId="0" borderId="0" xfId="0" applyFont="1" applyAlignment="1">
      <alignment horizontal="center" vertical="center" wrapText="1"/>
    </xf>
    <xf numFmtId="0" fontId="3" fillId="0" borderId="0" xfId="0" applyFont="1" applyAlignment="1">
      <alignment horizontal="center" vertical="center"/>
    </xf>
    <xf numFmtId="0" fontId="4" fillId="0" borderId="2" xfId="0" applyFont="1" applyBorder="1" applyAlignment="1">
      <alignment horizontal="center" vertical="center" wrapText="1"/>
    </xf>
    <xf numFmtId="0" fontId="130" fillId="0" borderId="0" xfId="0" applyFont="1" applyAlignment="1">
      <alignment horizontal="center" vertical="center"/>
    </xf>
    <xf numFmtId="0" fontId="0" fillId="0" borderId="0" xfId="0" applyAlignment="1">
      <alignment horizontal="center"/>
    </xf>
    <xf numFmtId="0" fontId="14" fillId="0" borderId="0" xfId="0" applyFont="1" applyAlignment="1">
      <alignment horizontal="center" vertical="center"/>
    </xf>
    <xf numFmtId="0" fontId="186" fillId="0" borderId="0" xfId="0" applyFont="1" applyAlignment="1">
      <alignment horizontal="center" vertical="center"/>
    </xf>
    <xf numFmtId="0" fontId="76" fillId="0" borderId="0" xfId="0" applyFont="1" applyAlignment="1">
      <alignment horizontal="center" vertical="center"/>
    </xf>
    <xf numFmtId="0" fontId="1" fillId="0" borderId="0" xfId="0" applyFont="1" applyAlignment="1">
      <alignment horizontal="center" vertical="center" shrinkToFit="1"/>
    </xf>
    <xf numFmtId="0" fontId="132" fillId="0" borderId="0" xfId="0" applyFont="1" applyAlignment="1">
      <alignment horizontal="center" vertical="center"/>
    </xf>
    <xf numFmtId="0" fontId="133" fillId="0" borderId="0" xfId="0" applyFont="1" applyAlignment="1">
      <alignment horizontal="center" vertical="center"/>
    </xf>
    <xf numFmtId="0" fontId="2" fillId="0" borderId="0" xfId="0" applyFont="1" applyAlignment="1">
      <alignment horizontal="center" vertical="center"/>
    </xf>
    <xf numFmtId="0" fontId="22" fillId="0" borderId="0" xfId="0" applyFont="1" applyAlignment="1">
      <alignment horizontal="center" vertical="top" wrapText="1"/>
    </xf>
    <xf numFmtId="0" fontId="22" fillId="0" borderId="10" xfId="0" applyFont="1" applyBorder="1" applyAlignment="1">
      <alignment horizontal="center" vertical="center" wrapText="1"/>
    </xf>
    <xf numFmtId="0" fontId="4" fillId="0" borderId="11" xfId="0" applyFont="1" applyBorder="1" applyAlignment="1">
      <alignment horizontal="left" vertical="center" wrapText="1"/>
    </xf>
    <xf numFmtId="0" fontId="4" fillId="0" borderId="6" xfId="0" applyFont="1" applyBorder="1" applyAlignment="1">
      <alignment horizontal="justify" vertical="top" wrapText="1"/>
    </xf>
    <xf numFmtId="0" fontId="4" fillId="0" borderId="7" xfId="0" applyFont="1" applyBorder="1" applyAlignment="1">
      <alignment horizontal="justify" vertical="top" wrapText="1"/>
    </xf>
    <xf numFmtId="0" fontId="4" fillId="0" borderId="8" xfId="0" applyFont="1" applyBorder="1" applyAlignment="1">
      <alignment horizontal="justify" vertical="top" wrapText="1"/>
    </xf>
    <xf numFmtId="0" fontId="4" fillId="0" borderId="11" xfId="0" applyFont="1" applyBorder="1" applyAlignment="1">
      <alignment horizontal="justify" vertical="top" wrapText="1"/>
    </xf>
    <xf numFmtId="0" fontId="4" fillId="0" borderId="1" xfId="0" applyFont="1" applyBorder="1" applyAlignment="1">
      <alignment horizontal="justify" vertical="top" wrapText="1"/>
    </xf>
    <xf numFmtId="0" fontId="4" fillId="0" borderId="12" xfId="0" applyFont="1" applyBorder="1" applyAlignment="1">
      <alignment horizontal="justify" vertical="top" wrapText="1"/>
    </xf>
    <xf numFmtId="0" fontId="4" fillId="0" borderId="3" xfId="0" applyFont="1" applyBorder="1" applyAlignment="1">
      <alignment vertical="center" wrapText="1"/>
    </xf>
    <xf numFmtId="0" fontId="4" fillId="0" borderId="4" xfId="0" applyFont="1" applyBorder="1" applyAlignment="1">
      <alignment vertical="center" wrapText="1"/>
    </xf>
    <xf numFmtId="0" fontId="4" fillId="0" borderId="5" xfId="0" applyFont="1" applyBorder="1" applyAlignment="1">
      <alignment vertical="center" wrapText="1"/>
    </xf>
    <xf numFmtId="0" fontId="22" fillId="0" borderId="15" xfId="0" applyFont="1" applyBorder="1" applyAlignment="1">
      <alignment horizontal="center" vertical="center" wrapText="1"/>
    </xf>
    <xf numFmtId="0" fontId="4" fillId="0" borderId="13" xfId="0" applyFont="1" applyBorder="1" applyAlignment="1">
      <alignment horizontal="left" vertical="center" wrapText="1"/>
    </xf>
    <xf numFmtId="0" fontId="4" fillId="0" borderId="9" xfId="0" applyFont="1" applyBorder="1" applyAlignment="1">
      <alignment horizontal="left" vertical="top" wrapText="1"/>
    </xf>
    <xf numFmtId="0" fontId="4" fillId="0" borderId="15" xfId="0" applyFont="1" applyBorder="1" applyAlignment="1">
      <alignment horizontal="left" vertical="top" wrapText="1"/>
    </xf>
    <xf numFmtId="0" fontId="4" fillId="0" borderId="10" xfId="0" applyFont="1" applyBorder="1" applyAlignment="1">
      <alignment horizontal="left" vertical="top" wrapText="1"/>
    </xf>
    <xf numFmtId="0" fontId="4" fillId="0" borderId="0" xfId="0" applyFont="1" applyAlignment="1">
      <alignment horizontal="left" vertical="top" wrapText="1"/>
    </xf>
    <xf numFmtId="0" fontId="97" fillId="0" borderId="0" xfId="0" applyFont="1" applyAlignment="1">
      <alignment vertical="center" wrapText="1"/>
    </xf>
    <xf numFmtId="0" fontId="5" fillId="0" borderId="0" xfId="0" applyFont="1" applyAlignment="1">
      <alignment horizontal="center" vertical="center"/>
    </xf>
    <xf numFmtId="0" fontId="6" fillId="6" borderId="0" xfId="0" applyFont="1" applyFill="1" applyAlignment="1">
      <alignment horizontal="center" vertical="center"/>
    </xf>
    <xf numFmtId="0" fontId="7" fillId="0" borderId="1" xfId="0" applyFont="1" applyBorder="1" applyAlignment="1">
      <alignment horizontal="center" vertical="center"/>
    </xf>
    <xf numFmtId="0" fontId="4" fillId="0" borderId="12" xfId="0" applyFont="1" applyBorder="1" applyAlignment="1">
      <alignment horizontal="left" vertical="center"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0" fontId="4" fillId="0" borderId="11" xfId="0" applyFont="1" applyBorder="1" applyAlignment="1">
      <alignment horizontal="left" vertical="top" wrapText="1"/>
    </xf>
    <xf numFmtId="0" fontId="4" fillId="0" borderId="1" xfId="0" applyFont="1" applyBorder="1" applyAlignment="1">
      <alignment horizontal="left" vertical="top" wrapText="1"/>
    </xf>
    <xf numFmtId="0" fontId="4" fillId="0" borderId="12" xfId="0" applyFont="1" applyBorder="1" applyAlignment="1">
      <alignment horizontal="left" vertical="top" wrapText="1"/>
    </xf>
    <xf numFmtId="43" fontId="1" fillId="0" borderId="98" xfId="1" applyFont="1" applyBorder="1" applyAlignment="1">
      <alignment horizontal="left" vertical="center" wrapText="1"/>
    </xf>
    <xf numFmtId="43" fontId="1" fillId="0" borderId="99" xfId="1" applyFont="1" applyBorder="1" applyAlignment="1">
      <alignment horizontal="center" vertical="center" wrapText="1"/>
    </xf>
    <xf numFmtId="43" fontId="1" fillId="0" borderId="100" xfId="1" applyFont="1" applyBorder="1" applyAlignment="1">
      <alignment horizontal="center" vertical="center" wrapText="1"/>
    </xf>
    <xf numFmtId="0" fontId="1" fillId="0" borderId="3" xfId="0" applyFont="1" applyBorder="1" applyAlignment="1">
      <alignment vertical="center" wrapText="1"/>
    </xf>
    <xf numFmtId="0" fontId="1" fillId="0" borderId="4" xfId="0" applyFont="1" applyBorder="1" applyAlignment="1">
      <alignment vertical="center" wrapText="1"/>
    </xf>
    <xf numFmtId="0" fontId="1" fillId="0" borderId="5" xfId="0" applyFont="1" applyBorder="1" applyAlignment="1">
      <alignment vertical="center" wrapText="1"/>
    </xf>
    <xf numFmtId="43" fontId="1" fillId="0" borderId="3" xfId="1" applyFont="1" applyBorder="1" applyAlignment="1">
      <alignment vertical="center" wrapText="1"/>
    </xf>
    <xf numFmtId="43" fontId="1" fillId="0" borderId="5" xfId="1" applyFont="1" applyBorder="1" applyAlignment="1">
      <alignment vertical="center" wrapText="1"/>
    </xf>
    <xf numFmtId="43" fontId="1" fillId="2" borderId="3" xfId="1" applyFont="1" applyFill="1" applyBorder="1" applyAlignment="1">
      <alignment vertical="center" wrapText="1"/>
    </xf>
    <xf numFmtId="43" fontId="1" fillId="2" borderId="5" xfId="1" applyFont="1" applyFill="1" applyBorder="1" applyAlignment="1">
      <alignment vertical="center" wrapText="1"/>
    </xf>
    <xf numFmtId="0" fontId="6" fillId="6" borderId="1" xfId="0" applyFont="1" applyFill="1" applyBorder="1" applyAlignment="1">
      <alignment horizontal="center" vertical="center"/>
    </xf>
    <xf numFmtId="43" fontId="1" fillId="0" borderId="0" xfId="1" applyFont="1" applyBorder="1" applyAlignment="1">
      <alignment horizontal="center" vertical="center" wrapText="1"/>
    </xf>
    <xf numFmtId="43" fontId="135" fillId="0" borderId="3" xfId="1" applyFont="1" applyBorder="1" applyAlignment="1">
      <alignment vertical="center" wrapText="1"/>
    </xf>
    <xf numFmtId="43" fontId="135" fillId="0" borderId="4" xfId="1" applyFont="1" applyBorder="1" applyAlignment="1">
      <alignment vertical="center" wrapText="1"/>
    </xf>
    <xf numFmtId="43" fontId="135" fillId="0" borderId="5" xfId="1" applyFont="1" applyBorder="1" applyAlignment="1">
      <alignment vertical="center" wrapText="1"/>
    </xf>
    <xf numFmtId="165" fontId="135" fillId="0" borderId="3" xfId="1" applyNumberFormat="1" applyFont="1" applyBorder="1" applyAlignment="1">
      <alignment horizontal="right" vertical="center" wrapText="1"/>
    </xf>
    <xf numFmtId="165" fontId="135" fillId="0" borderId="5" xfId="1" applyNumberFormat="1" applyFont="1" applyBorder="1" applyAlignment="1">
      <alignment horizontal="right" vertical="center" wrapText="1"/>
    </xf>
    <xf numFmtId="43" fontId="1" fillId="0" borderId="3" xfId="1" applyFont="1" applyBorder="1" applyAlignment="1">
      <alignment horizontal="right" vertical="center" wrapText="1"/>
    </xf>
    <xf numFmtId="43" fontId="1" fillId="0" borderId="5" xfId="1" applyFont="1" applyBorder="1" applyAlignment="1">
      <alignment horizontal="right" vertical="center" wrapText="1"/>
    </xf>
    <xf numFmtId="0" fontId="134" fillId="6" borderId="0" xfId="0" applyFont="1" applyFill="1" applyAlignment="1">
      <alignment horizontal="center" vertical="center"/>
    </xf>
    <xf numFmtId="43" fontId="135" fillId="0" borderId="3" xfId="1" applyFont="1" applyBorder="1" applyAlignment="1" applyProtection="1">
      <alignment vertical="center" wrapText="1"/>
    </xf>
    <xf numFmtId="43" fontId="135" fillId="0" borderId="4" xfId="1" applyFont="1" applyBorder="1" applyAlignment="1" applyProtection="1">
      <alignment vertical="center" wrapText="1"/>
    </xf>
    <xf numFmtId="43" fontId="135" fillId="0" borderId="5" xfId="1" applyFont="1" applyBorder="1" applyAlignment="1" applyProtection="1">
      <alignment vertical="center" wrapText="1"/>
    </xf>
    <xf numFmtId="43" fontId="1" fillId="2" borderId="3" xfId="1" applyFont="1" applyFill="1" applyBorder="1" applyAlignment="1">
      <alignment horizontal="center" vertical="center" wrapText="1"/>
    </xf>
    <xf numFmtId="43" fontId="1" fillId="2" borderId="5" xfId="1" applyFont="1" applyFill="1" applyBorder="1" applyAlignment="1">
      <alignment horizontal="center" vertical="center" wrapText="1"/>
    </xf>
    <xf numFmtId="0" fontId="1" fillId="0" borderId="13" xfId="0" applyFont="1" applyBorder="1" applyAlignment="1">
      <alignment horizontal="left" vertical="center" wrapText="1"/>
    </xf>
    <xf numFmtId="0" fontId="1" fillId="0" borderId="14" xfId="0" applyFont="1" applyBorder="1" applyAlignment="1">
      <alignment horizontal="left" vertical="center" wrapText="1"/>
    </xf>
    <xf numFmtId="167" fontId="1" fillId="0" borderId="11" xfId="0" applyNumberFormat="1" applyFont="1" applyBorder="1" applyAlignment="1">
      <alignment horizontal="center" vertical="center" wrapText="1"/>
    </xf>
    <xf numFmtId="167" fontId="1" fillId="0" borderId="1" xfId="0" applyNumberFormat="1" applyFont="1" applyBorder="1" applyAlignment="1">
      <alignment horizontal="center" vertical="center" wrapText="1"/>
    </xf>
    <xf numFmtId="167" fontId="1" fillId="0" borderId="12" xfId="0" applyNumberFormat="1" applyFont="1" applyBorder="1" applyAlignment="1">
      <alignment horizontal="center" vertical="center" wrapText="1"/>
    </xf>
    <xf numFmtId="0" fontId="1" fillId="2" borderId="6" xfId="0" applyFont="1" applyFill="1" applyBorder="1" applyAlignment="1">
      <alignment horizontal="right" vertical="center" wrapText="1"/>
    </xf>
    <xf numFmtId="0" fontId="1" fillId="2" borderId="7" xfId="0" applyFont="1" applyFill="1" applyBorder="1" applyAlignment="1">
      <alignment horizontal="right" vertical="center" wrapText="1"/>
    </xf>
    <xf numFmtId="0" fontId="1" fillId="2" borderId="8" xfId="0" applyFont="1" applyFill="1" applyBorder="1" applyAlignment="1">
      <alignment horizontal="right" vertical="center" wrapText="1"/>
    </xf>
    <xf numFmtId="167" fontId="1" fillId="2" borderId="6" xfId="0" applyNumberFormat="1" applyFont="1" applyFill="1" applyBorder="1" applyAlignment="1">
      <alignment horizontal="center" vertical="center" wrapText="1"/>
    </xf>
    <xf numFmtId="167" fontId="1" fillId="2" borderId="7" xfId="0" applyNumberFormat="1" applyFont="1" applyFill="1" applyBorder="1" applyAlignment="1">
      <alignment horizontal="center" vertical="center" wrapText="1"/>
    </xf>
    <xf numFmtId="167" fontId="1" fillId="2" borderId="8" xfId="0" applyNumberFormat="1" applyFont="1" applyFill="1" applyBorder="1" applyAlignment="1">
      <alignment horizontal="center" vertical="center" wrapText="1"/>
    </xf>
    <xf numFmtId="167" fontId="1" fillId="0" borderId="13" xfId="0" applyNumberFormat="1" applyFont="1" applyBorder="1" applyAlignment="1">
      <alignment horizontal="center" vertical="center" wrapText="1"/>
    </xf>
    <xf numFmtId="167" fontId="1" fillId="0" borderId="0" xfId="0" applyNumberFormat="1" applyFont="1" applyAlignment="1">
      <alignment horizontal="center" vertical="center" wrapText="1"/>
    </xf>
    <xf numFmtId="167" fontId="1" fillId="0" borderId="14" xfId="0" applyNumberFormat="1" applyFont="1" applyBorder="1" applyAlignment="1">
      <alignment horizontal="center" vertical="center" wrapText="1"/>
    </xf>
    <xf numFmtId="0" fontId="137" fillId="0" borderId="0" xfId="0" applyFont="1" applyAlignment="1">
      <alignment horizontal="center" vertical="center"/>
    </xf>
    <xf numFmtId="0" fontId="92" fillId="5" borderId="4" xfId="0" applyFont="1" applyFill="1" applyBorder="1"/>
    <xf numFmtId="0" fontId="1" fillId="2" borderId="2" xfId="0" applyFont="1" applyFill="1" applyBorder="1" applyAlignment="1">
      <alignment horizontal="right" vertical="center" wrapText="1"/>
    </xf>
    <xf numFmtId="0" fontId="1" fillId="2" borderId="3" xfId="0" applyFont="1" applyFill="1" applyBorder="1" applyAlignment="1">
      <alignment horizontal="right" vertical="center" wrapText="1"/>
    </xf>
    <xf numFmtId="167" fontId="1" fillId="2" borderId="3" xfId="0" applyNumberFormat="1" applyFont="1" applyFill="1" applyBorder="1" applyAlignment="1">
      <alignment horizontal="center" vertical="center" wrapText="1"/>
    </xf>
    <xf numFmtId="167" fontId="1" fillId="2" borderId="4" xfId="0" applyNumberFormat="1" applyFont="1" applyFill="1" applyBorder="1" applyAlignment="1">
      <alignment horizontal="center" vertical="center" wrapText="1"/>
    </xf>
    <xf numFmtId="167" fontId="1" fillId="2" borderId="5" xfId="0" applyNumberFormat="1" applyFont="1" applyFill="1" applyBorder="1" applyAlignment="1">
      <alignment horizontal="center" vertical="center" wrapText="1"/>
    </xf>
    <xf numFmtId="0" fontId="8" fillId="2" borderId="0" xfId="0" applyFont="1" applyFill="1" applyAlignment="1">
      <alignment horizontal="center" vertical="center"/>
    </xf>
    <xf numFmtId="0" fontId="9" fillId="6" borderId="0" xfId="0" applyFont="1" applyFill="1" applyAlignment="1">
      <alignment horizontal="center" vertical="center"/>
    </xf>
    <xf numFmtId="0" fontId="1" fillId="0" borderId="11" xfId="0" applyFont="1" applyBorder="1" applyAlignment="1">
      <alignment horizontal="left" vertical="center" wrapText="1"/>
    </xf>
    <xf numFmtId="0" fontId="1" fillId="0" borderId="12" xfId="0" applyFont="1" applyBorder="1" applyAlignment="1">
      <alignment horizontal="left" vertical="center" wrapText="1"/>
    </xf>
    <xf numFmtId="0" fontId="1" fillId="2" borderId="13" xfId="0" applyFont="1" applyFill="1" applyBorder="1" applyAlignment="1">
      <alignment horizontal="right" vertical="center" wrapText="1"/>
    </xf>
    <xf numFmtId="0" fontId="1" fillId="2" borderId="0" xfId="0" applyFont="1" applyFill="1" applyAlignment="1">
      <alignment horizontal="right" vertical="center" wrapText="1"/>
    </xf>
    <xf numFmtId="0" fontId="1" fillId="2" borderId="14" xfId="0" applyFont="1" applyFill="1" applyBorder="1" applyAlignment="1">
      <alignment horizontal="right" vertical="center" wrapText="1"/>
    </xf>
    <xf numFmtId="167" fontId="1" fillId="0" borderId="3" xfId="1" applyNumberFormat="1" applyFont="1" applyBorder="1" applyAlignment="1">
      <alignment horizontal="center" vertical="center" wrapText="1"/>
    </xf>
    <xf numFmtId="167" fontId="1" fillId="0" borderId="4" xfId="1" applyNumberFormat="1" applyFont="1" applyBorder="1" applyAlignment="1">
      <alignment horizontal="center" vertical="center" wrapText="1"/>
    </xf>
    <xf numFmtId="167" fontId="1" fillId="0" borderId="5" xfId="1" applyNumberFormat="1" applyFont="1" applyBorder="1" applyAlignment="1">
      <alignment horizontal="center" vertical="center" wrapText="1"/>
    </xf>
    <xf numFmtId="167" fontId="34" fillId="0" borderId="3" xfId="1" applyNumberFormat="1" applyFont="1" applyBorder="1" applyAlignment="1">
      <alignment horizontal="center" vertical="center" wrapText="1"/>
    </xf>
    <xf numFmtId="167" fontId="34" fillId="0" borderId="4" xfId="1" applyNumberFormat="1" applyFont="1" applyBorder="1" applyAlignment="1">
      <alignment horizontal="center" vertical="center" wrapText="1"/>
    </xf>
    <xf numFmtId="167" fontId="34" fillId="0" borderId="5" xfId="1" applyNumberFormat="1" applyFont="1" applyBorder="1" applyAlignment="1">
      <alignment horizontal="center" vertical="center" wrapText="1"/>
    </xf>
    <xf numFmtId="0" fontId="185" fillId="0" borderId="0" xfId="0" applyFont="1" applyAlignment="1">
      <alignment horizontal="center"/>
    </xf>
    <xf numFmtId="182" fontId="185" fillId="0" borderId="0" xfId="0" applyNumberFormat="1" applyFont="1" applyAlignment="1">
      <alignment horizontal="center" vertical="center"/>
    </xf>
    <xf numFmtId="0" fontId="1" fillId="0" borderId="3" xfId="0" applyFont="1" applyBorder="1" applyAlignment="1">
      <alignment horizontal="left" vertical="center"/>
    </xf>
    <xf numFmtId="0" fontId="1" fillId="0" borderId="4" xfId="0" applyFont="1" applyBorder="1" applyAlignment="1">
      <alignment horizontal="left" vertical="center"/>
    </xf>
    <xf numFmtId="0" fontId="1" fillId="0" borderId="5" xfId="0" applyFont="1" applyBorder="1" applyAlignment="1">
      <alignment horizontal="left" vertical="center"/>
    </xf>
    <xf numFmtId="167" fontId="4" fillId="0" borderId="2" xfId="0" applyNumberFormat="1" applyFont="1" applyBorder="1" applyAlignment="1">
      <alignment horizontal="left" vertical="center"/>
    </xf>
    <xf numFmtId="0" fontId="4" fillId="0" borderId="3" xfId="0" applyFont="1" applyBorder="1" applyAlignment="1">
      <alignment vertical="center"/>
    </xf>
    <xf numFmtId="0" fontId="4" fillId="0" borderId="4" xfId="0" applyFont="1" applyBorder="1" applyAlignment="1">
      <alignment vertical="center"/>
    </xf>
    <xf numFmtId="167" fontId="1" fillId="2" borderId="3" xfId="1" applyNumberFormat="1" applyFont="1" applyFill="1" applyBorder="1" applyAlignment="1">
      <alignment horizontal="center" vertical="center" wrapText="1"/>
    </xf>
    <xf numFmtId="167" fontId="1" fillId="2" borderId="4" xfId="1" applyNumberFormat="1" applyFont="1" applyFill="1" applyBorder="1" applyAlignment="1">
      <alignment horizontal="center" vertical="center" wrapText="1"/>
    </xf>
    <xf numFmtId="167" fontId="1" fillId="2" borderId="5" xfId="1" applyNumberFormat="1" applyFont="1" applyFill="1" applyBorder="1" applyAlignment="1">
      <alignment horizontal="center" vertical="center" wrapText="1"/>
    </xf>
    <xf numFmtId="0" fontId="1" fillId="6" borderId="0" xfId="0" applyFont="1" applyFill="1" applyAlignment="1">
      <alignment horizontal="center" vertical="center"/>
    </xf>
    <xf numFmtId="0" fontId="81" fillId="0" borderId="0" xfId="0" applyFont="1" applyAlignment="1">
      <alignment horizontal="center" vertical="center"/>
    </xf>
    <xf numFmtId="0" fontId="8" fillId="0" borderId="2" xfId="0" applyFont="1" applyBorder="1" applyAlignment="1">
      <alignment horizontal="center" vertical="center" wrapText="1"/>
    </xf>
    <xf numFmtId="0" fontId="31" fillId="0" borderId="0" xfId="0" applyFont="1" applyAlignment="1">
      <alignment vertical="center" wrapText="1"/>
    </xf>
    <xf numFmtId="0" fontId="31" fillId="0" borderId="0" xfId="0" applyFont="1" applyAlignment="1">
      <alignment horizontal="left" vertical="center" wrapText="1"/>
    </xf>
    <xf numFmtId="0" fontId="4" fillId="0" borderId="0" xfId="0" applyFont="1" applyAlignment="1">
      <alignment horizontal="justify" vertical="top" wrapText="1"/>
    </xf>
    <xf numFmtId="0" fontId="3" fillId="0" borderId="15" xfId="0" applyFont="1" applyBorder="1" applyAlignment="1">
      <alignment horizontal="center" vertical="top" wrapText="1"/>
    </xf>
    <xf numFmtId="0" fontId="3" fillId="0" borderId="10" xfId="0" applyFont="1" applyBorder="1" applyAlignment="1">
      <alignment horizontal="center" vertical="top" wrapText="1"/>
    </xf>
    <xf numFmtId="0" fontId="196" fillId="0" borderId="0" xfId="0" applyFont="1" applyAlignment="1">
      <alignment horizontal="center" vertical="center" wrapText="1"/>
    </xf>
    <xf numFmtId="0" fontId="7" fillId="0" borderId="2" xfId="0" applyFont="1" applyBorder="1" applyAlignment="1">
      <alignment vertical="center" wrapText="1"/>
    </xf>
    <xf numFmtId="0" fontId="197" fillId="0" borderId="0" xfId="0" applyFont="1" applyAlignment="1">
      <alignment horizontal="center" vertical="center" wrapText="1"/>
    </xf>
    <xf numFmtId="0" fontId="200" fillId="0" borderId="0" xfId="0" applyFont="1" applyAlignment="1">
      <alignment horizontal="center" vertical="center"/>
    </xf>
    <xf numFmtId="0" fontId="71"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9" xfId="0" applyFont="1" applyBorder="1" applyAlignment="1">
      <alignment horizontal="center" vertical="center" wrapText="1"/>
    </xf>
    <xf numFmtId="0" fontId="3" fillId="0" borderId="9" xfId="0" applyFont="1" applyBorder="1" applyAlignment="1">
      <alignment horizontal="center" vertical="center" wrapText="1"/>
    </xf>
    <xf numFmtId="170" fontId="78" fillId="0" borderId="60" xfId="0" applyNumberFormat="1" applyFont="1" applyBorder="1" applyAlignment="1">
      <alignment horizontal="center" vertical="top" wrapText="1"/>
    </xf>
    <xf numFmtId="0" fontId="78" fillId="0" borderId="60" xfId="0" applyFont="1" applyBorder="1" applyAlignment="1">
      <alignment horizontal="center" vertical="top" wrapText="1"/>
    </xf>
    <xf numFmtId="0" fontId="139" fillId="0" borderId="0" xfId="4" applyFont="1" applyAlignment="1">
      <alignment horizontal="center" vertical="center"/>
    </xf>
    <xf numFmtId="0" fontId="101" fillId="0" borderId="0" xfId="4" applyFont="1" applyAlignment="1">
      <alignment horizontal="center" vertical="center" wrapText="1"/>
    </xf>
    <xf numFmtId="0" fontId="144" fillId="0" borderId="0" xfId="4" applyFont="1" applyAlignment="1">
      <alignment horizontal="center" vertical="center" wrapText="1"/>
    </xf>
    <xf numFmtId="0" fontId="147" fillId="0" borderId="0" xfId="4" applyFont="1" applyAlignment="1">
      <alignment horizontal="center" vertical="center" wrapText="1"/>
    </xf>
    <xf numFmtId="0" fontId="147" fillId="0" borderId="45" xfId="4" applyFont="1" applyBorder="1" applyAlignment="1">
      <alignment horizontal="center" vertical="center" wrapText="1"/>
    </xf>
    <xf numFmtId="0" fontId="140" fillId="0" borderId="0" xfId="4" quotePrefix="1" applyFont="1" applyAlignment="1">
      <alignment horizontal="center" vertical="center" wrapText="1"/>
    </xf>
    <xf numFmtId="0" fontId="140" fillId="0" borderId="45" xfId="4" applyFont="1" applyBorder="1" applyAlignment="1">
      <alignment horizontal="center" vertical="center" shrinkToFit="1"/>
    </xf>
    <xf numFmtId="0" fontId="148" fillId="0" borderId="13" xfId="4" applyFont="1" applyBorder="1" applyAlignment="1">
      <alignment horizontal="left" vertical="top" wrapText="1"/>
    </xf>
    <xf numFmtId="0" fontId="148" fillId="0" borderId="11" xfId="4" applyFont="1" applyBorder="1" applyAlignment="1">
      <alignment horizontal="left" vertical="top" wrapText="1"/>
    </xf>
    <xf numFmtId="0" fontId="148" fillId="0" borderId="0" xfId="4" applyFont="1" applyAlignment="1">
      <alignment horizontal="center" vertical="top" wrapText="1"/>
    </xf>
    <xf numFmtId="0" fontId="148" fillId="0" borderId="1" xfId="4" applyFont="1" applyBorder="1" applyAlignment="1">
      <alignment horizontal="center" vertical="top" wrapText="1"/>
    </xf>
    <xf numFmtId="0" fontId="148" fillId="0" borderId="1" xfId="4" applyFont="1" applyBorder="1" applyAlignment="1">
      <alignment horizontal="center" vertical="center" wrapText="1"/>
    </xf>
    <xf numFmtId="0" fontId="139" fillId="0" borderId="44" xfId="4" applyFont="1" applyBorder="1" applyAlignment="1">
      <alignment horizontal="center" vertical="center"/>
    </xf>
    <xf numFmtId="0" fontId="148" fillId="0" borderId="0" xfId="4" applyFont="1" applyAlignment="1">
      <alignment horizontal="center" vertical="center"/>
    </xf>
    <xf numFmtId="0" fontId="148" fillId="0" borderId="6" xfId="4" applyFont="1" applyBorder="1" applyAlignment="1">
      <alignment horizontal="left" vertical="top" wrapText="1"/>
    </xf>
    <xf numFmtId="0" fontId="150" fillId="0" borderId="13" xfId="4" applyFont="1" applyBorder="1" applyAlignment="1">
      <alignment vertical="top"/>
    </xf>
    <xf numFmtId="0" fontId="150" fillId="0" borderId="11" xfId="4" applyFont="1" applyBorder="1" applyAlignment="1">
      <alignment vertical="top"/>
    </xf>
    <xf numFmtId="0" fontId="148" fillId="0" borderId="6" xfId="4" applyFont="1" applyBorder="1" applyAlignment="1">
      <alignment horizontal="center" vertical="top" wrapText="1"/>
    </xf>
    <xf numFmtId="0" fontId="148" fillId="0" borderId="7" xfId="4" applyFont="1" applyBorder="1" applyAlignment="1">
      <alignment horizontal="center" vertical="top" wrapText="1"/>
    </xf>
    <xf numFmtId="0" fontId="148" fillId="0" borderId="13" xfId="4" applyFont="1" applyBorder="1" applyAlignment="1">
      <alignment horizontal="center" vertical="top" wrapText="1"/>
    </xf>
    <xf numFmtId="0" fontId="148" fillId="0" borderId="7" xfId="4" applyFont="1" applyBorder="1" applyAlignment="1">
      <alignment vertical="top"/>
    </xf>
    <xf numFmtId="0" fontId="148" fillId="0" borderId="0" xfId="4" applyFont="1" applyAlignment="1">
      <alignment vertical="top" wrapText="1"/>
    </xf>
    <xf numFmtId="49" fontId="148" fillId="0" borderId="7" xfId="4" applyNumberFormat="1" applyFont="1" applyBorder="1" applyAlignment="1">
      <alignment horizontal="left" vertical="center"/>
    </xf>
    <xf numFmtId="49" fontId="148" fillId="0" borderId="8" xfId="4" applyNumberFormat="1" applyFont="1" applyBorder="1" applyAlignment="1">
      <alignment horizontal="left" vertical="center"/>
    </xf>
    <xf numFmtId="49" fontId="148" fillId="0" borderId="0" xfId="4" applyNumberFormat="1" applyFont="1" applyAlignment="1">
      <alignment horizontal="left" vertical="center"/>
    </xf>
    <xf numFmtId="49" fontId="148" fillId="0" borderId="14" xfId="4" applyNumberFormat="1" applyFont="1" applyBorder="1" applyAlignment="1">
      <alignment horizontal="left" vertical="center"/>
    </xf>
    <xf numFmtId="0" fontId="148" fillId="0" borderId="0" xfId="4" applyFont="1" applyAlignment="1">
      <alignment horizontal="left" vertical="top" wrapText="1"/>
    </xf>
    <xf numFmtId="0" fontId="148" fillId="0" borderId="14" xfId="4" applyFont="1" applyBorder="1" applyAlignment="1">
      <alignment horizontal="left" vertical="top" wrapText="1"/>
    </xf>
    <xf numFmtId="0" fontId="148" fillId="0" borderId="1" xfId="4" applyFont="1" applyBorder="1" applyAlignment="1">
      <alignment horizontal="left" vertical="top" wrapText="1"/>
    </xf>
    <xf numFmtId="0" fontId="148" fillId="0" borderId="12" xfId="4" applyFont="1" applyBorder="1" applyAlignment="1">
      <alignment horizontal="left" vertical="top" wrapText="1"/>
    </xf>
    <xf numFmtId="0" fontId="148" fillId="0" borderId="3" xfId="4" applyFont="1" applyBorder="1" applyAlignment="1">
      <alignment horizontal="left" vertical="top" wrapText="1"/>
    </xf>
    <xf numFmtId="0" fontId="148" fillId="0" borderId="4" xfId="4" applyFont="1" applyBorder="1" applyAlignment="1">
      <alignment horizontal="left" vertical="top" wrapText="1"/>
    </xf>
    <xf numFmtId="0" fontId="148" fillId="0" borderId="5" xfId="4" applyFont="1" applyBorder="1" applyAlignment="1">
      <alignment horizontal="left" vertical="top" wrapText="1"/>
    </xf>
    <xf numFmtId="0" fontId="151" fillId="18" borderId="9" xfId="4" applyFont="1" applyFill="1" applyBorder="1" applyAlignment="1">
      <alignment horizontal="center" vertical="center" wrapText="1"/>
    </xf>
    <xf numFmtId="0" fontId="151" fillId="18" borderId="3" xfId="4" applyFont="1" applyFill="1" applyBorder="1" applyAlignment="1">
      <alignment horizontal="center" vertical="center" wrapText="1"/>
    </xf>
    <xf numFmtId="0" fontId="151" fillId="18" borderId="4" xfId="4" applyFont="1" applyFill="1" applyBorder="1" applyAlignment="1">
      <alignment horizontal="center" vertical="center" wrapText="1"/>
    </xf>
    <xf numFmtId="0" fontId="151" fillId="18" borderId="5" xfId="4" applyFont="1" applyFill="1" applyBorder="1" applyAlignment="1">
      <alignment horizontal="center" vertical="center" wrapText="1"/>
    </xf>
    <xf numFmtId="0" fontId="151" fillId="18" borderId="6" xfId="4" applyFont="1" applyFill="1" applyBorder="1" applyAlignment="1">
      <alignment horizontal="center" vertical="center" wrapText="1"/>
    </xf>
    <xf numFmtId="0" fontId="151" fillId="18" borderId="7" xfId="4" applyFont="1" applyFill="1" applyBorder="1" applyAlignment="1">
      <alignment horizontal="center" vertical="center" wrapText="1"/>
    </xf>
    <xf numFmtId="0" fontId="151" fillId="18" borderId="8" xfId="4" applyFont="1" applyFill="1" applyBorder="1" applyAlignment="1">
      <alignment horizontal="center" vertical="center" wrapText="1"/>
    </xf>
    <xf numFmtId="0" fontId="151" fillId="3" borderId="2" xfId="4" applyFont="1" applyFill="1" applyBorder="1" applyAlignment="1">
      <alignment horizontal="center" vertical="center" wrapText="1"/>
    </xf>
    <xf numFmtId="178" fontId="151" fillId="3" borderId="2" xfId="5" applyFont="1" applyFill="1" applyBorder="1" applyAlignment="1" applyProtection="1">
      <alignment horizontal="center" vertical="center" wrapText="1"/>
    </xf>
    <xf numFmtId="178" fontId="154" fillId="3" borderId="2" xfId="5" applyFont="1" applyFill="1" applyBorder="1" applyAlignment="1" applyProtection="1">
      <alignment horizontal="center" vertical="center" wrapText="1"/>
    </xf>
    <xf numFmtId="179" fontId="144" fillId="3" borderId="2" xfId="5" applyNumberFormat="1" applyFont="1" applyFill="1" applyBorder="1" applyAlignment="1" applyProtection="1">
      <alignment horizontal="center" vertical="center" wrapText="1"/>
    </xf>
    <xf numFmtId="1" fontId="155" fillId="3" borderId="2" xfId="5" applyNumberFormat="1" applyFont="1" applyFill="1" applyBorder="1" applyAlignment="1" applyProtection="1">
      <alignment horizontal="center" vertical="center" wrapText="1"/>
    </xf>
    <xf numFmtId="179" fontId="148" fillId="0" borderId="4" xfId="5" applyNumberFormat="1" applyFont="1" applyBorder="1" applyAlignment="1" applyProtection="1">
      <alignment horizontal="center" vertical="top" wrapText="1"/>
    </xf>
    <xf numFmtId="0" fontId="148" fillId="20" borderId="1" xfId="4" applyFont="1" applyFill="1" applyBorder="1" applyAlignment="1">
      <alignment horizontal="left" vertical="top" wrapText="1"/>
    </xf>
    <xf numFmtId="0" fontId="148" fillId="20" borderId="12" xfId="4" applyFont="1" applyFill="1" applyBorder="1" applyAlignment="1">
      <alignment horizontal="left" vertical="top" wrapText="1"/>
    </xf>
    <xf numFmtId="0" fontId="148" fillId="20" borderId="11" xfId="4" applyFont="1" applyFill="1" applyBorder="1" applyAlignment="1">
      <alignment horizontal="left" vertical="top" wrapText="1"/>
    </xf>
    <xf numFmtId="178" fontId="155" fillId="20" borderId="1" xfId="5" applyFont="1" applyFill="1" applyBorder="1" applyAlignment="1" applyProtection="1">
      <alignment horizontal="left" vertical="top" wrapText="1"/>
    </xf>
    <xf numFmtId="178" fontId="154" fillId="20" borderId="1" xfId="5" applyFont="1" applyFill="1" applyBorder="1" applyAlignment="1" applyProtection="1">
      <alignment horizontal="left" vertical="top" wrapText="1"/>
    </xf>
    <xf numFmtId="1" fontId="148" fillId="20" borderId="1" xfId="5" applyNumberFormat="1" applyFont="1" applyFill="1" applyBorder="1" applyAlignment="1" applyProtection="1">
      <alignment horizontal="left" vertical="top" wrapText="1"/>
    </xf>
    <xf numFmtId="0" fontId="148" fillId="20" borderId="1" xfId="5" applyNumberFormat="1" applyFont="1" applyFill="1" applyBorder="1" applyAlignment="1" applyProtection="1">
      <alignment horizontal="left" vertical="top" wrapText="1"/>
    </xf>
    <xf numFmtId="0" fontId="148" fillId="0" borderId="3" xfId="4" applyFont="1" applyBorder="1" applyAlignment="1">
      <alignment vertical="center" wrapText="1"/>
    </xf>
    <xf numFmtId="0" fontId="148" fillId="0" borderId="4" xfId="4" applyFont="1" applyBorder="1" applyAlignment="1">
      <alignment vertical="center" wrapText="1"/>
    </xf>
    <xf numFmtId="0" fontId="148" fillId="0" borderId="5" xfId="4" applyFont="1" applyBorder="1" applyAlignment="1">
      <alignment vertical="center" wrapText="1"/>
    </xf>
    <xf numFmtId="0" fontId="148" fillId="0" borderId="3" xfId="4" applyFont="1" applyBorder="1" applyAlignment="1">
      <alignment horizontal="center" vertical="center" wrapText="1"/>
    </xf>
    <xf numFmtId="0" fontId="148" fillId="0" borderId="4" xfId="4" applyFont="1" applyBorder="1" applyAlignment="1">
      <alignment horizontal="center" vertical="center" wrapText="1"/>
    </xf>
    <xf numFmtId="0" fontId="148" fillId="0" borderId="5" xfId="4" applyFont="1" applyBorder="1" applyAlignment="1">
      <alignment horizontal="center" vertical="center" wrapText="1"/>
    </xf>
    <xf numFmtId="0" fontId="148" fillId="0" borderId="3" xfId="4" applyFont="1" applyBorder="1" applyAlignment="1">
      <alignment horizontal="justify" vertical="top" wrapText="1"/>
    </xf>
    <xf numFmtId="0" fontId="148" fillId="0" borderId="4" xfId="4" applyFont="1" applyBorder="1" applyAlignment="1">
      <alignment horizontal="justify" vertical="top" wrapText="1"/>
    </xf>
    <xf numFmtId="0" fontId="206" fillId="20" borderId="3" xfId="4" applyFont="1" applyFill="1" applyBorder="1" applyAlignment="1">
      <alignment horizontal="center" vertical="top" wrapText="1"/>
    </xf>
    <xf numFmtId="0" fontId="206" fillId="20" borderId="4" xfId="4" applyFont="1" applyFill="1" applyBorder="1" applyAlignment="1">
      <alignment horizontal="center" vertical="top" wrapText="1"/>
    </xf>
    <xf numFmtId="0" fontId="206" fillId="20" borderId="5" xfId="4" applyFont="1" applyFill="1" applyBorder="1" applyAlignment="1">
      <alignment horizontal="center" vertical="top" wrapText="1"/>
    </xf>
    <xf numFmtId="0" fontId="155" fillId="3" borderId="6" xfId="4" applyFont="1" applyFill="1" applyBorder="1" applyAlignment="1">
      <alignment horizontal="center" vertical="center" wrapText="1"/>
    </xf>
    <xf numFmtId="0" fontId="155" fillId="3" borderId="7" xfId="4" applyFont="1" applyFill="1" applyBorder="1" applyAlignment="1">
      <alignment horizontal="center" vertical="center" wrapText="1"/>
    </xf>
    <xf numFmtId="0" fontId="155" fillId="3" borderId="8" xfId="4" applyFont="1" applyFill="1" applyBorder="1" applyAlignment="1">
      <alignment horizontal="center" vertical="center" wrapText="1"/>
    </xf>
    <xf numFmtId="0" fontId="155" fillId="3" borderId="11" xfId="4" applyFont="1" applyFill="1" applyBorder="1" applyAlignment="1">
      <alignment horizontal="center" vertical="center" wrapText="1"/>
    </xf>
    <xf numFmtId="0" fontId="155" fillId="3" borderId="1" xfId="4" applyFont="1" applyFill="1" applyBorder="1" applyAlignment="1">
      <alignment horizontal="center" vertical="center" wrapText="1"/>
    </xf>
    <xf numFmtId="0" fontId="155" fillId="3" borderId="12" xfId="4" applyFont="1" applyFill="1" applyBorder="1" applyAlignment="1">
      <alignment horizontal="center" vertical="center" wrapText="1"/>
    </xf>
    <xf numFmtId="0" fontId="148" fillId="0" borderId="7" xfId="4" applyFont="1" applyBorder="1" applyAlignment="1">
      <alignment horizontal="left" vertical="top" wrapText="1"/>
    </xf>
    <xf numFmtId="178" fontId="148" fillId="20" borderId="11" xfId="5" applyFont="1" applyFill="1" applyBorder="1" applyAlignment="1" applyProtection="1">
      <alignment horizontal="right" vertical="center" shrinkToFit="1"/>
    </xf>
    <xf numFmtId="178" fontId="148" fillId="20" borderId="1" xfId="5" applyFont="1" applyFill="1" applyBorder="1" applyAlignment="1" applyProtection="1">
      <alignment horizontal="right" vertical="center" shrinkToFit="1"/>
    </xf>
    <xf numFmtId="0" fontId="148" fillId="0" borderId="6" xfId="4" applyFont="1" applyBorder="1" applyAlignment="1">
      <alignment horizontal="center" vertical="top"/>
    </xf>
    <xf numFmtId="0" fontId="148" fillId="0" borderId="13" xfId="4" applyFont="1" applyBorder="1" applyAlignment="1">
      <alignment horizontal="center" vertical="top"/>
    </xf>
    <xf numFmtId="0" fontId="148" fillId="0" borderId="11" xfId="4" applyFont="1" applyBorder="1" applyAlignment="1">
      <alignment horizontal="center" vertical="top"/>
    </xf>
    <xf numFmtId="0" fontId="148" fillId="20" borderId="6" xfId="4" applyFont="1" applyFill="1" applyBorder="1" applyAlignment="1">
      <alignment horizontal="left" vertical="top"/>
    </xf>
    <xf numFmtId="0" fontId="148" fillId="20" borderId="7" xfId="4" applyFont="1" applyFill="1" applyBorder="1" applyAlignment="1">
      <alignment horizontal="left" vertical="top"/>
    </xf>
    <xf numFmtId="0" fontId="148" fillId="20" borderId="8" xfId="4" applyFont="1" applyFill="1" applyBorder="1" applyAlignment="1">
      <alignment horizontal="left" vertical="top"/>
    </xf>
    <xf numFmtId="0" fontId="148" fillId="20" borderId="13" xfId="4" applyFont="1" applyFill="1" applyBorder="1" applyAlignment="1">
      <alignment horizontal="center" vertical="center" wrapText="1"/>
    </xf>
    <xf numFmtId="0" fontId="148" fillId="20" borderId="0" xfId="4" applyFont="1" applyFill="1" applyAlignment="1">
      <alignment horizontal="center" vertical="center" wrapText="1"/>
    </xf>
    <xf numFmtId="178" fontId="156" fillId="20" borderId="13" xfId="5" applyFont="1" applyFill="1" applyBorder="1" applyAlignment="1" applyProtection="1">
      <alignment horizontal="right" vertical="center"/>
    </xf>
    <xf numFmtId="178" fontId="156" fillId="20" borderId="0" xfId="5" applyFont="1" applyFill="1" applyBorder="1" applyAlignment="1" applyProtection="1">
      <alignment horizontal="right" vertical="center"/>
    </xf>
    <xf numFmtId="178" fontId="155" fillId="20" borderId="0" xfId="5" applyFont="1" applyFill="1" applyBorder="1" applyAlignment="1" applyProtection="1">
      <alignment horizontal="center" vertical="center" wrapText="1"/>
    </xf>
    <xf numFmtId="178" fontId="154" fillId="20" borderId="0" xfId="5" applyFont="1" applyFill="1" applyBorder="1" applyAlignment="1" applyProtection="1">
      <alignment horizontal="center" vertical="center" wrapText="1"/>
    </xf>
    <xf numFmtId="1" fontId="151" fillId="20" borderId="0" xfId="5" applyNumberFormat="1" applyFont="1" applyFill="1" applyBorder="1" applyAlignment="1" applyProtection="1">
      <alignment horizontal="center" vertical="center" wrapText="1"/>
    </xf>
    <xf numFmtId="0" fontId="151" fillId="20" borderId="0" xfId="5" applyNumberFormat="1" applyFont="1" applyFill="1" applyBorder="1" applyAlignment="1" applyProtection="1">
      <alignment horizontal="center" vertical="center" wrapText="1"/>
    </xf>
    <xf numFmtId="178" fontId="148" fillId="20" borderId="13" xfId="5" applyFont="1" applyFill="1" applyBorder="1" applyAlignment="1" applyProtection="1">
      <alignment horizontal="right" vertical="center" shrinkToFit="1"/>
    </xf>
    <xf numFmtId="178" fontId="148" fillId="20" borderId="0" xfId="5" applyFont="1" applyFill="1" applyBorder="1" applyAlignment="1" applyProtection="1">
      <alignment horizontal="right" vertical="center" shrinkToFit="1"/>
    </xf>
    <xf numFmtId="0" fontId="148" fillId="20" borderId="13" xfId="4" applyFont="1" applyFill="1" applyBorder="1" applyAlignment="1">
      <alignment horizontal="left" vertical="top" wrapText="1"/>
    </xf>
    <xf numFmtId="0" fontId="148" fillId="20" borderId="0" xfId="4" applyFont="1" applyFill="1" applyAlignment="1">
      <alignment horizontal="left" vertical="top" wrapText="1"/>
    </xf>
    <xf numFmtId="178" fontId="155" fillId="20" borderId="0" xfId="5" applyFont="1" applyFill="1" applyBorder="1" applyAlignment="1" applyProtection="1">
      <alignment horizontal="left" vertical="top" wrapText="1"/>
    </xf>
    <xf numFmtId="178" fontId="154" fillId="20" borderId="0" xfId="5" applyFont="1" applyFill="1" applyBorder="1" applyAlignment="1" applyProtection="1">
      <alignment horizontal="left" vertical="top" wrapText="1"/>
    </xf>
    <xf numFmtId="1" fontId="148" fillId="20" borderId="0" xfId="5" applyNumberFormat="1" applyFont="1" applyFill="1" applyBorder="1" applyAlignment="1" applyProtection="1">
      <alignment horizontal="left" vertical="top" wrapText="1"/>
    </xf>
    <xf numFmtId="0" fontId="148" fillId="20" borderId="0" xfId="5" applyNumberFormat="1" applyFont="1" applyFill="1" applyBorder="1" applyAlignment="1" applyProtection="1">
      <alignment horizontal="left" vertical="top" wrapText="1"/>
    </xf>
    <xf numFmtId="0" fontId="148" fillId="20" borderId="14" xfId="4" applyFont="1" applyFill="1" applyBorder="1" applyAlignment="1">
      <alignment horizontal="left" vertical="top" wrapText="1"/>
    </xf>
    <xf numFmtId="0" fontId="148" fillId="0" borderId="1" xfId="4" applyFont="1" applyBorder="1">
      <alignment vertical="center"/>
    </xf>
    <xf numFmtId="0" fontId="148" fillId="0" borderId="12" xfId="4" applyFont="1" applyBorder="1">
      <alignment vertical="center"/>
    </xf>
    <xf numFmtId="0" fontId="148" fillId="0" borderId="3" xfId="4" applyFont="1" applyBorder="1" applyAlignment="1">
      <alignment horizontal="left" vertical="top"/>
    </xf>
    <xf numFmtId="0" fontId="148" fillId="0" borderId="6" xfId="4" applyFont="1" applyBorder="1">
      <alignment vertical="center"/>
    </xf>
    <xf numFmtId="0" fontId="148" fillId="0" borderId="7" xfId="4" applyFont="1" applyBorder="1">
      <alignment vertical="center"/>
    </xf>
    <xf numFmtId="0" fontId="148" fillId="0" borderId="8" xfId="4" applyFont="1" applyBorder="1">
      <alignment vertical="center"/>
    </xf>
    <xf numFmtId="0" fontId="148" fillId="3" borderId="6" xfId="4" applyFont="1" applyFill="1" applyBorder="1" applyAlignment="1">
      <alignment horizontal="center" vertical="top"/>
    </xf>
    <xf numFmtId="0" fontId="148" fillId="3" borderId="7" xfId="4" applyFont="1" applyFill="1" applyBorder="1" applyAlignment="1">
      <alignment horizontal="center" vertical="top"/>
    </xf>
    <xf numFmtId="0" fontId="148" fillId="3" borderId="8" xfId="4" applyFont="1" applyFill="1" applyBorder="1" applyAlignment="1">
      <alignment horizontal="center" vertical="top"/>
    </xf>
    <xf numFmtId="0" fontId="148" fillId="3" borderId="11" xfId="4" applyFont="1" applyFill="1" applyBorder="1" applyAlignment="1">
      <alignment horizontal="center" vertical="top"/>
    </xf>
    <xf numFmtId="0" fontId="148" fillId="3" borderId="1" xfId="4" applyFont="1" applyFill="1" applyBorder="1" applyAlignment="1">
      <alignment horizontal="center" vertical="top"/>
    </xf>
    <xf numFmtId="0" fontId="148" fillId="3" borderId="12" xfId="4" applyFont="1" applyFill="1" applyBorder="1" applyAlignment="1">
      <alignment horizontal="center" vertical="top"/>
    </xf>
    <xf numFmtId="0" fontId="148" fillId="0" borderId="11" xfId="4" applyFont="1" applyBorder="1">
      <alignment vertical="center"/>
    </xf>
    <xf numFmtId="0" fontId="148" fillId="0" borderId="2" xfId="4" applyFont="1" applyBorder="1" applyAlignment="1">
      <alignment horizontal="left" vertical="top"/>
    </xf>
    <xf numFmtId="0" fontId="148" fillId="0" borderId="2" xfId="4" applyFont="1" applyBorder="1" applyAlignment="1">
      <alignment horizontal="left" vertical="top" wrapText="1"/>
    </xf>
    <xf numFmtId="0" fontId="148" fillId="0" borderId="7" xfId="4" applyFont="1" applyBorder="1" applyAlignment="1">
      <alignment horizontal="center" vertical="top"/>
    </xf>
    <xf numFmtId="0" fontId="148" fillId="0" borderId="8" xfId="4" applyFont="1" applyBorder="1" applyAlignment="1">
      <alignment horizontal="center" vertical="top"/>
    </xf>
    <xf numFmtId="0" fontId="148" fillId="0" borderId="1" xfId="4" applyFont="1" applyBorder="1" applyAlignment="1">
      <alignment horizontal="center" vertical="top"/>
    </xf>
    <xf numFmtId="0" fontId="148" fillId="0" borderId="12" xfId="4" applyFont="1" applyBorder="1" applyAlignment="1">
      <alignment horizontal="center" vertical="top"/>
    </xf>
    <xf numFmtId="0" fontId="148" fillId="0" borderId="4" xfId="4" applyFont="1" applyBorder="1" applyAlignment="1">
      <alignment horizontal="center" vertical="center"/>
    </xf>
    <xf numFmtId="0" fontId="148" fillId="0" borderId="5" xfId="4" applyFont="1" applyBorder="1" applyAlignment="1">
      <alignment horizontal="center" vertical="center"/>
    </xf>
    <xf numFmtId="0" fontId="148" fillId="3" borderId="3" xfId="4" applyFont="1" applyFill="1" applyBorder="1" applyAlignment="1">
      <alignment horizontal="left" vertical="top" wrapText="1"/>
    </xf>
    <xf numFmtId="0" fontId="148" fillId="3" borderId="4" xfId="4" applyFont="1" applyFill="1" applyBorder="1" applyAlignment="1">
      <alignment horizontal="left" vertical="top" wrapText="1"/>
    </xf>
    <xf numFmtId="0" fontId="148" fillId="3" borderId="5" xfId="4" applyFont="1" applyFill="1" applyBorder="1" applyAlignment="1">
      <alignment horizontal="left" vertical="top" wrapText="1"/>
    </xf>
    <xf numFmtId="0" fontId="148" fillId="3" borderId="13" xfId="4" applyFont="1" applyFill="1" applyBorder="1" applyAlignment="1">
      <alignment horizontal="center" vertical="top"/>
    </xf>
    <xf numFmtId="0" fontId="148" fillId="3" borderId="0" xfId="4" applyFont="1" applyFill="1" applyAlignment="1">
      <alignment horizontal="center" vertical="top"/>
    </xf>
    <xf numFmtId="0" fontId="148" fillId="3" borderId="14" xfId="4" applyFont="1" applyFill="1" applyBorder="1" applyAlignment="1">
      <alignment horizontal="center" vertical="top"/>
    </xf>
    <xf numFmtId="0" fontId="148" fillId="0" borderId="0" xfId="4" applyFont="1">
      <alignment vertical="center"/>
    </xf>
    <xf numFmtId="0" fontId="148" fillId="0" borderId="14" xfId="4" applyFont="1" applyBorder="1">
      <alignment vertical="center"/>
    </xf>
    <xf numFmtId="0" fontId="148" fillId="0" borderId="2" xfId="4" applyFont="1" applyBorder="1" applyAlignment="1">
      <alignment vertical="top" wrapText="1"/>
    </xf>
    <xf numFmtId="0" fontId="148" fillId="0" borderId="2" xfId="4" applyFont="1" applyBorder="1" applyAlignment="1">
      <alignment vertical="top"/>
    </xf>
    <xf numFmtId="0" fontId="148" fillId="3" borderId="3" xfId="4" applyFont="1" applyFill="1" applyBorder="1" applyAlignment="1">
      <alignment horizontal="center" vertical="top" wrapText="1"/>
    </xf>
    <xf numFmtId="0" fontId="148" fillId="3" borderId="4" xfId="4" applyFont="1" applyFill="1" applyBorder="1" applyAlignment="1">
      <alignment horizontal="center" vertical="top" wrapText="1"/>
    </xf>
    <xf numFmtId="0" fontId="148" fillId="3" borderId="5" xfId="4" applyFont="1" applyFill="1" applyBorder="1" applyAlignment="1">
      <alignment horizontal="center" vertical="top" wrapText="1"/>
    </xf>
    <xf numFmtId="0" fontId="148" fillId="0" borderId="9" xfId="4" applyFont="1" applyBorder="1" applyAlignment="1">
      <alignment horizontal="left" vertical="top" wrapText="1"/>
    </xf>
    <xf numFmtId="0" fontId="148" fillId="0" borderId="6" xfId="4" applyFont="1" applyBorder="1" applyAlignment="1">
      <alignment horizontal="left" vertical="top"/>
    </xf>
    <xf numFmtId="0" fontId="148" fillId="0" borderId="13" xfId="4" applyFont="1" applyBorder="1" applyAlignment="1">
      <alignment horizontal="left" vertical="top"/>
    </xf>
    <xf numFmtId="0" fontId="148" fillId="0" borderId="11" xfId="4" applyFont="1" applyBorder="1" applyAlignment="1">
      <alignment horizontal="left" vertical="top"/>
    </xf>
    <xf numFmtId="0" fontId="148" fillId="0" borderId="0" xfId="4" applyFont="1" applyAlignment="1">
      <alignment horizontal="center" vertical="top"/>
    </xf>
    <xf numFmtId="0" fontId="148" fillId="0" borderId="14" xfId="4" applyFont="1" applyBorder="1" applyAlignment="1">
      <alignment horizontal="center" vertical="top"/>
    </xf>
    <xf numFmtId="0" fontId="148" fillId="0" borderId="7" xfId="4" applyFont="1" applyBorder="1" applyAlignment="1">
      <alignment horizontal="center" vertical="center"/>
    </xf>
    <xf numFmtId="0" fontId="148" fillId="0" borderId="8" xfId="4" applyFont="1" applyBorder="1" applyAlignment="1">
      <alignment horizontal="center" vertical="center"/>
    </xf>
    <xf numFmtId="165" fontId="148" fillId="0" borderId="0" xfId="5" applyNumberFormat="1" applyFont="1" applyBorder="1" applyAlignment="1" applyProtection="1">
      <alignment vertical="center"/>
    </xf>
    <xf numFmtId="0" fontId="148" fillId="0" borderId="14" xfId="4" applyFont="1" applyBorder="1" applyAlignment="1">
      <alignment horizontal="center" vertical="center"/>
    </xf>
    <xf numFmtId="165" fontId="148" fillId="0" borderId="1" xfId="5" applyNumberFormat="1" applyFont="1" applyBorder="1" applyAlignment="1" applyProtection="1">
      <alignment vertical="center"/>
    </xf>
    <xf numFmtId="0" fontId="148" fillId="0" borderId="9" xfId="4" applyFont="1" applyBorder="1" applyAlignment="1">
      <alignment horizontal="left" vertical="top"/>
    </xf>
    <xf numFmtId="0" fontId="148" fillId="0" borderId="15" xfId="4" applyFont="1" applyBorder="1" applyAlignment="1">
      <alignment horizontal="left" vertical="top"/>
    </xf>
    <xf numFmtId="0" fontId="148" fillId="0" borderId="10" xfId="4" applyFont="1" applyBorder="1" applyAlignment="1">
      <alignment horizontal="left" vertical="top"/>
    </xf>
    <xf numFmtId="0" fontId="148" fillId="0" borderId="7" xfId="4" applyFont="1" applyBorder="1" applyAlignment="1">
      <alignment horizontal="left" vertical="top"/>
    </xf>
    <xf numFmtId="0" fontId="155" fillId="0" borderId="0" xfId="4" applyFont="1" applyAlignment="1">
      <alignment horizontal="center" vertical="top"/>
    </xf>
    <xf numFmtId="4" fontId="155" fillId="3" borderId="7" xfId="5" applyNumberFormat="1" applyFont="1" applyFill="1" applyBorder="1" applyAlignment="1" applyProtection="1">
      <alignment horizontal="center" vertical="top"/>
    </xf>
    <xf numFmtId="165" fontId="148" fillId="0" borderId="7" xfId="5" applyNumberFormat="1" applyFont="1" applyBorder="1" applyAlignment="1" applyProtection="1">
      <alignment vertical="center"/>
    </xf>
    <xf numFmtId="0" fontId="148" fillId="0" borderId="3" xfId="4" applyFont="1" applyBorder="1" applyAlignment="1">
      <alignment horizontal="right" vertical="center"/>
    </xf>
    <xf numFmtId="0" fontId="148" fillId="0" borderId="4" xfId="4" applyFont="1" applyBorder="1" applyAlignment="1">
      <alignment horizontal="right" vertical="center"/>
    </xf>
    <xf numFmtId="165" fontId="148" fillId="0" borderId="4" xfId="5" applyNumberFormat="1" applyFont="1" applyBorder="1" applyAlignment="1" applyProtection="1">
      <alignment vertical="center"/>
    </xf>
    <xf numFmtId="4" fontId="155" fillId="3" borderId="0" xfId="5" applyNumberFormat="1" applyFont="1" applyFill="1" applyBorder="1" applyAlignment="1" applyProtection="1">
      <alignment horizontal="center" vertical="top"/>
    </xf>
    <xf numFmtId="0" fontId="148" fillId="0" borderId="1" xfId="4" applyFont="1" applyBorder="1" applyAlignment="1">
      <alignment horizontal="center" vertical="center"/>
    </xf>
    <xf numFmtId="0" fontId="148" fillId="0" borderId="12" xfId="4" applyFont="1" applyBorder="1" applyAlignment="1">
      <alignment horizontal="center" vertical="center"/>
    </xf>
    <xf numFmtId="0" fontId="148" fillId="0" borderId="5" xfId="4" applyFont="1" applyBorder="1" applyAlignment="1">
      <alignment horizontal="center" vertical="top"/>
    </xf>
    <xf numFmtId="0" fontId="148" fillId="0" borderId="2" xfId="4" applyFont="1" applyBorder="1" applyAlignment="1">
      <alignment horizontal="center" vertical="top"/>
    </xf>
    <xf numFmtId="0" fontId="148" fillId="0" borderId="3" xfId="4" applyFont="1" applyBorder="1" applyAlignment="1">
      <alignment horizontal="center" vertical="center"/>
    </xf>
    <xf numFmtId="0" fontId="148" fillId="0" borderId="13" xfId="4" applyFont="1" applyBorder="1">
      <alignment vertical="center"/>
    </xf>
    <xf numFmtId="0" fontId="148" fillId="0" borderId="6" xfId="4" applyFont="1" applyBorder="1" applyAlignment="1">
      <alignment vertical="top"/>
    </xf>
    <xf numFmtId="0" fontId="148" fillId="0" borderId="8" xfId="4" applyFont="1" applyBorder="1" applyAlignment="1">
      <alignment vertical="top"/>
    </xf>
    <xf numFmtId="0" fontId="157" fillId="0" borderId="13" xfId="4" applyFont="1" applyBorder="1" applyAlignment="1">
      <alignment horizontal="justify" vertical="center"/>
    </xf>
    <xf numFmtId="0" fontId="157" fillId="0" borderId="0" xfId="4" applyFont="1" applyAlignment="1">
      <alignment horizontal="justify" vertical="center"/>
    </xf>
    <xf numFmtId="0" fontId="157" fillId="0" borderId="14" xfId="4" applyFont="1" applyBorder="1" applyAlignment="1">
      <alignment horizontal="justify" vertical="center"/>
    </xf>
    <xf numFmtId="14" fontId="148" fillId="3" borderId="8" xfId="4" applyNumberFormat="1" applyFont="1" applyFill="1" applyBorder="1" applyAlignment="1">
      <alignment horizontal="left" vertical="top"/>
    </xf>
    <xf numFmtId="0" fontId="148" fillId="3" borderId="9" xfId="4" applyFont="1" applyFill="1" applyBorder="1" applyAlignment="1">
      <alignment horizontal="left" vertical="top"/>
    </xf>
    <xf numFmtId="165" fontId="148" fillId="5" borderId="3" xfId="4" applyNumberFormat="1" applyFont="1" applyFill="1" applyBorder="1" applyAlignment="1">
      <alignment horizontal="center" vertical="center"/>
    </xf>
    <xf numFmtId="0" fontId="148" fillId="5" borderId="4" xfId="4" applyFont="1" applyFill="1" applyBorder="1" applyAlignment="1">
      <alignment horizontal="center" vertical="center"/>
    </xf>
    <xf numFmtId="0" fontId="148" fillId="5" borderId="5" xfId="4" applyFont="1" applyFill="1" applyBorder="1" applyAlignment="1">
      <alignment horizontal="center" vertical="center"/>
    </xf>
    <xf numFmtId="0" fontId="148" fillId="0" borderId="5" xfId="4" applyFont="1" applyBorder="1" applyAlignment="1">
      <alignment horizontal="left" vertical="top"/>
    </xf>
    <xf numFmtId="0" fontId="148" fillId="0" borderId="3" xfId="4" applyFont="1" applyBorder="1" applyAlignment="1">
      <alignment horizontal="center" vertical="top"/>
    </xf>
    <xf numFmtId="0" fontId="148" fillId="0" borderId="4" xfId="4" applyFont="1" applyBorder="1" applyAlignment="1">
      <alignment horizontal="center" vertical="top"/>
    </xf>
    <xf numFmtId="0" fontId="148" fillId="0" borderId="9" xfId="4" applyFont="1" applyBorder="1" applyAlignment="1">
      <alignment horizontal="center" vertical="top"/>
    </xf>
    <xf numFmtId="0" fontId="148" fillId="0" borderId="15" xfId="4" applyFont="1" applyBorder="1" applyAlignment="1">
      <alignment horizontal="center" vertical="top"/>
    </xf>
    <xf numFmtId="0" fontId="148" fillId="0" borderId="10" xfId="4" applyFont="1" applyBorder="1" applyAlignment="1">
      <alignment horizontal="center" vertical="top"/>
    </xf>
    <xf numFmtId="0" fontId="148" fillId="0" borderId="2" xfId="4" applyFont="1" applyBorder="1" applyAlignment="1">
      <alignment horizontal="center" vertical="center"/>
    </xf>
    <xf numFmtId="0" fontId="150" fillId="0" borderId="1" xfId="4" applyFont="1" applyBorder="1" applyAlignment="1">
      <alignment vertical="top"/>
    </xf>
    <xf numFmtId="0" fontId="150" fillId="0" borderId="12" xfId="4" applyFont="1" applyBorder="1" applyAlignment="1">
      <alignment vertical="top"/>
    </xf>
    <xf numFmtId="0" fontId="158" fillId="0" borderId="11" xfId="4" applyFont="1" applyBorder="1" applyAlignment="1">
      <alignment horizontal="center" vertical="center"/>
    </xf>
    <xf numFmtId="0" fontId="158" fillId="0" borderId="1" xfId="4" applyFont="1" applyBorder="1" applyAlignment="1">
      <alignment horizontal="center" vertical="center"/>
    </xf>
    <xf numFmtId="0" fontId="158" fillId="0" borderId="12" xfId="4" applyFont="1" applyBorder="1" applyAlignment="1">
      <alignment horizontal="center" vertical="center"/>
    </xf>
    <xf numFmtId="165" fontId="148" fillId="0" borderId="0" xfId="5" applyNumberFormat="1" applyFont="1" applyBorder="1" applyAlignment="1" applyProtection="1">
      <alignment horizontal="center" vertical="center"/>
    </xf>
    <xf numFmtId="9" fontId="148" fillId="0" borderId="13" xfId="6" applyFont="1" applyBorder="1" applyAlignment="1" applyProtection="1">
      <alignment vertical="center"/>
    </xf>
    <xf numFmtId="9" fontId="148" fillId="0" borderId="0" xfId="6" applyFont="1" applyBorder="1" applyAlignment="1" applyProtection="1">
      <alignment vertical="center"/>
    </xf>
    <xf numFmtId="9" fontId="148" fillId="0" borderId="14" xfId="6" applyFont="1" applyBorder="1" applyAlignment="1" applyProtection="1">
      <alignment vertical="center"/>
    </xf>
    <xf numFmtId="0" fontId="157" fillId="0" borderId="9" xfId="4" applyFont="1" applyBorder="1" applyAlignment="1">
      <alignment horizontal="center" vertical="center"/>
    </xf>
    <xf numFmtId="0" fontId="157" fillId="0" borderId="6" xfId="4" applyFont="1" applyBorder="1" applyAlignment="1">
      <alignment horizontal="center" vertical="center"/>
    </xf>
    <xf numFmtId="0" fontId="157" fillId="0" borderId="7" xfId="4" applyFont="1" applyBorder="1" applyAlignment="1">
      <alignment horizontal="center" vertical="center"/>
    </xf>
    <xf numFmtId="0" fontId="157" fillId="0" borderId="8" xfId="4" applyFont="1" applyBorder="1" applyAlignment="1">
      <alignment horizontal="center" vertical="center"/>
    </xf>
    <xf numFmtId="165" fontId="148" fillId="0" borderId="7" xfId="5" applyNumberFormat="1" applyFont="1" applyBorder="1" applyAlignment="1" applyProtection="1">
      <alignment horizontal="center" vertical="center"/>
    </xf>
    <xf numFmtId="9" fontId="148" fillId="0" borderId="6" xfId="6" applyFont="1" applyBorder="1" applyAlignment="1" applyProtection="1">
      <alignment vertical="center"/>
    </xf>
    <xf numFmtId="9" fontId="148" fillId="0" borderId="7" xfId="6" applyFont="1" applyBorder="1" applyAlignment="1" applyProtection="1">
      <alignment vertical="center"/>
    </xf>
    <xf numFmtId="9" fontId="148" fillId="0" borderId="8" xfId="6" applyFont="1" applyBorder="1" applyAlignment="1" applyProtection="1">
      <alignment vertical="center"/>
    </xf>
    <xf numFmtId="165" fontId="148" fillId="0" borderId="4" xfId="5" applyNumberFormat="1" applyFont="1" applyBorder="1" applyAlignment="1" applyProtection="1">
      <alignment horizontal="center" vertical="center"/>
    </xf>
    <xf numFmtId="165" fontId="148" fillId="0" borderId="3" xfId="5" applyNumberFormat="1" applyFont="1" applyBorder="1" applyAlignment="1" applyProtection="1">
      <alignment vertical="center"/>
    </xf>
    <xf numFmtId="165" fontId="148" fillId="0" borderId="5" xfId="5" applyNumberFormat="1" applyFont="1" applyBorder="1" applyAlignment="1" applyProtection="1">
      <alignment vertical="center"/>
    </xf>
    <xf numFmtId="0" fontId="148" fillId="0" borderId="4" xfId="4" applyFont="1" applyBorder="1">
      <alignment vertical="center"/>
    </xf>
    <xf numFmtId="0" fontId="148" fillId="0" borderId="5" xfId="4" applyFont="1" applyBorder="1">
      <alignment vertical="center"/>
    </xf>
    <xf numFmtId="0" fontId="97" fillId="0" borderId="6" xfId="4" applyFont="1" applyBorder="1" applyAlignment="1">
      <alignment horizontal="left" vertical="top"/>
    </xf>
    <xf numFmtId="0" fontId="97" fillId="0" borderId="7" xfId="4" applyFont="1" applyBorder="1" applyAlignment="1">
      <alignment horizontal="left" vertical="top"/>
    </xf>
    <xf numFmtId="178" fontId="97" fillId="3" borderId="7" xfId="5" applyFont="1" applyFill="1" applyBorder="1" applyAlignment="1" applyProtection="1">
      <alignment horizontal="center" vertical="center"/>
    </xf>
    <xf numFmtId="0" fontId="97" fillId="0" borderId="7" xfId="4" applyFont="1" applyBorder="1">
      <alignment vertical="center"/>
    </xf>
    <xf numFmtId="0" fontId="148" fillId="0" borderId="11" xfId="4" applyFont="1" applyBorder="1" applyAlignment="1">
      <alignment vertical="center" wrapText="1"/>
    </xf>
    <xf numFmtId="0" fontId="148" fillId="0" borderId="3" xfId="4" applyFont="1" applyBorder="1">
      <alignment vertical="center"/>
    </xf>
    <xf numFmtId="0" fontId="148" fillId="0" borderId="3" xfId="4" applyFont="1" applyBorder="1" applyAlignment="1">
      <alignment vertical="top"/>
    </xf>
    <xf numFmtId="0" fontId="148" fillId="0" borderId="4" xfId="4" applyFont="1" applyBorder="1" applyAlignment="1">
      <alignment vertical="top"/>
    </xf>
    <xf numFmtId="0" fontId="148" fillId="0" borderId="5" xfId="4" applyFont="1" applyBorder="1" applyAlignment="1">
      <alignment vertical="top"/>
    </xf>
    <xf numFmtId="0" fontId="97" fillId="0" borderId="6" xfId="4" applyFont="1" applyBorder="1" applyAlignment="1">
      <alignment horizontal="right" vertical="center"/>
    </xf>
    <xf numFmtId="0" fontId="97" fillId="0" borderId="7" xfId="4" applyFont="1" applyBorder="1" applyAlignment="1">
      <alignment horizontal="right" vertical="center"/>
    </xf>
    <xf numFmtId="165" fontId="97" fillId="0" borderId="7" xfId="4" applyNumberFormat="1" applyFont="1" applyBorder="1">
      <alignment vertical="center"/>
    </xf>
    <xf numFmtId="0" fontId="97" fillId="0" borderId="7" xfId="4" applyFont="1" applyBorder="1" applyAlignment="1">
      <alignment horizontal="center" vertical="center"/>
    </xf>
    <xf numFmtId="0" fontId="97" fillId="0" borderId="8" xfId="4" applyFont="1" applyBorder="1" applyAlignment="1">
      <alignment horizontal="center" vertical="center"/>
    </xf>
    <xf numFmtId="0" fontId="148" fillId="0" borderId="8" xfId="4" applyFont="1" applyBorder="1" applyAlignment="1">
      <alignment horizontal="left" vertical="top" wrapText="1"/>
    </xf>
    <xf numFmtId="0" fontId="155" fillId="0" borderId="6" xfId="4" applyFont="1" applyBorder="1" applyAlignment="1">
      <alignment horizontal="left" vertical="top" wrapText="1"/>
    </xf>
    <xf numFmtId="0" fontId="155" fillId="0" borderId="7" xfId="4" applyFont="1" applyBorder="1" applyAlignment="1">
      <alignment horizontal="left" vertical="top" wrapText="1"/>
    </xf>
    <xf numFmtId="0" fontId="155" fillId="0" borderId="8" xfId="4" applyFont="1" applyBorder="1" applyAlignment="1">
      <alignment horizontal="left" vertical="top" wrapText="1"/>
    </xf>
    <xf numFmtId="0" fontId="155" fillId="0" borderId="11" xfId="4" applyFont="1" applyBorder="1" applyAlignment="1">
      <alignment horizontal="left" vertical="top" wrapText="1"/>
    </xf>
    <xf numFmtId="0" fontId="155" fillId="0" borderId="1" xfId="4" applyFont="1" applyBorder="1" applyAlignment="1">
      <alignment horizontal="left" vertical="top" wrapText="1"/>
    </xf>
    <xf numFmtId="0" fontId="155" fillId="0" borderId="12" xfId="4" applyFont="1" applyBorder="1" applyAlignment="1">
      <alignment horizontal="left" vertical="top" wrapText="1"/>
    </xf>
    <xf numFmtId="0" fontId="144" fillId="3" borderId="6" xfId="4" applyFont="1" applyFill="1" applyBorder="1" applyAlignment="1">
      <alignment horizontal="left" vertical="top" wrapText="1"/>
    </xf>
    <xf numFmtId="0" fontId="144" fillId="3" borderId="7" xfId="4" applyFont="1" applyFill="1" applyBorder="1" applyAlignment="1">
      <alignment horizontal="left" vertical="top" wrapText="1"/>
    </xf>
    <xf numFmtId="0" fontId="144" fillId="3" borderId="8" xfId="4" applyFont="1" applyFill="1" applyBorder="1" applyAlignment="1">
      <alignment horizontal="left" vertical="top" wrapText="1"/>
    </xf>
    <xf numFmtId="0" fontId="144" fillId="3" borderId="13" xfId="4" applyFont="1" applyFill="1" applyBorder="1" applyAlignment="1">
      <alignment horizontal="left" vertical="top" wrapText="1"/>
    </xf>
    <xf numFmtId="0" fontId="144" fillId="3" borderId="0" xfId="4" applyFont="1" applyFill="1" applyAlignment="1">
      <alignment horizontal="left" vertical="top" wrapText="1"/>
    </xf>
    <xf numFmtId="0" fontId="144" fillId="3" borderId="14" xfId="4" applyFont="1" applyFill="1" applyBorder="1" applyAlignment="1">
      <alignment horizontal="left" vertical="top" wrapText="1"/>
    </xf>
    <xf numFmtId="0" fontId="144" fillId="3" borderId="11" xfId="4" applyFont="1" applyFill="1" applyBorder="1" applyAlignment="1">
      <alignment horizontal="left" vertical="top" wrapText="1"/>
    </xf>
    <xf numFmtId="0" fontId="144" fillId="3" borderId="1" xfId="4" applyFont="1" applyFill="1" applyBorder="1" applyAlignment="1">
      <alignment horizontal="left" vertical="top" wrapText="1"/>
    </xf>
    <xf numFmtId="0" fontId="144" fillId="3" borderId="12" xfId="4" applyFont="1" applyFill="1" applyBorder="1" applyAlignment="1">
      <alignment horizontal="left" vertical="top" wrapText="1"/>
    </xf>
    <xf numFmtId="0" fontId="148" fillId="0" borderId="0" xfId="4" applyFont="1" applyAlignment="1">
      <alignment horizontal="left" vertical="center"/>
    </xf>
    <xf numFmtId="0" fontId="148" fillId="0" borderId="14" xfId="4" applyFont="1" applyBorder="1" applyAlignment="1">
      <alignment horizontal="left" vertical="center"/>
    </xf>
    <xf numFmtId="0" fontId="97" fillId="0" borderId="9" xfId="4" applyFont="1" applyBorder="1" applyAlignment="1">
      <alignment horizontal="left" vertical="top"/>
    </xf>
    <xf numFmtId="0" fontId="97" fillId="0" borderId="15" xfId="4" applyFont="1" applyBorder="1" applyAlignment="1">
      <alignment horizontal="left" vertical="top"/>
    </xf>
    <xf numFmtId="0" fontId="97" fillId="0" borderId="0" xfId="4" applyFont="1">
      <alignment vertical="center"/>
    </xf>
    <xf numFmtId="165" fontId="97" fillId="0" borderId="0" xfId="5" applyNumberFormat="1" applyFont="1" applyBorder="1" applyAlignment="1" applyProtection="1">
      <alignment vertical="center"/>
    </xf>
    <xf numFmtId="0" fontId="97" fillId="0" borderId="0" xfId="4" applyFont="1" applyAlignment="1">
      <alignment horizontal="center" vertical="center"/>
    </xf>
    <xf numFmtId="0" fontId="97" fillId="0" borderId="14" xfId="4" applyFont="1" applyBorder="1" applyAlignment="1">
      <alignment horizontal="center" vertical="center"/>
    </xf>
    <xf numFmtId="165" fontId="97" fillId="0" borderId="1" xfId="5" applyNumberFormat="1" applyFont="1" applyBorder="1" applyAlignment="1" applyProtection="1">
      <alignment vertical="center"/>
    </xf>
    <xf numFmtId="0" fontId="139" fillId="0" borderId="0" xfId="4" applyFont="1" applyAlignment="1">
      <alignment horizontal="center"/>
    </xf>
    <xf numFmtId="0" fontId="148" fillId="0" borderId="8" xfId="4" applyFont="1" applyBorder="1" applyAlignment="1">
      <alignment horizontal="left" vertical="top"/>
    </xf>
    <xf numFmtId="0" fontId="148" fillId="0" borderId="1" xfId="4" applyFont="1" applyBorder="1" applyAlignment="1">
      <alignment horizontal="left" vertical="top"/>
    </xf>
    <xf numFmtId="0" fontId="148" fillId="0" borderId="12" xfId="4" applyFont="1" applyBorder="1" applyAlignment="1">
      <alignment horizontal="left" vertical="top"/>
    </xf>
    <xf numFmtId="0" fontId="148" fillId="0" borderId="3" xfId="4" applyFont="1" applyBorder="1" applyAlignment="1">
      <alignment vertical="top" wrapText="1"/>
    </xf>
    <xf numFmtId="0" fontId="148" fillId="0" borderId="4" xfId="4" applyFont="1" applyBorder="1" applyAlignment="1">
      <alignment vertical="top" wrapText="1"/>
    </xf>
    <xf numFmtId="0" fontId="148" fillId="0" borderId="5" xfId="4" applyFont="1" applyBorder="1" applyAlignment="1">
      <alignment vertical="top" wrapText="1"/>
    </xf>
    <xf numFmtId="0" fontId="148" fillId="0" borderId="6" xfId="4" applyFont="1" applyBorder="1" applyAlignment="1">
      <alignment horizontal="justify" vertical="top" wrapText="1"/>
    </xf>
    <xf numFmtId="0" fontId="148" fillId="0" borderId="7" xfId="4" applyFont="1" applyBorder="1" applyAlignment="1">
      <alignment horizontal="justify" vertical="top" wrapText="1"/>
    </xf>
    <xf numFmtId="0" fontId="148" fillId="0" borderId="8" xfId="4" applyFont="1" applyBorder="1" applyAlignment="1">
      <alignment horizontal="justify" vertical="top" wrapText="1"/>
    </xf>
    <xf numFmtId="0" fontId="148" fillId="0" borderId="13" xfId="4" applyFont="1" applyBorder="1" applyAlignment="1">
      <alignment horizontal="justify" vertical="top" wrapText="1"/>
    </xf>
    <xf numFmtId="0" fontId="148" fillId="0" borderId="0" xfId="4" applyFont="1" applyAlignment="1">
      <alignment horizontal="justify" vertical="top" wrapText="1"/>
    </xf>
    <xf numFmtId="0" fontId="148" fillId="0" borderId="14" xfId="4" applyFont="1" applyBorder="1" applyAlignment="1">
      <alignment horizontal="justify" vertical="top" wrapText="1"/>
    </xf>
    <xf numFmtId="0" fontId="148" fillId="0" borderId="11" xfId="4" applyFont="1" applyBorder="1" applyAlignment="1">
      <alignment horizontal="justify" vertical="top" wrapText="1"/>
    </xf>
    <xf numFmtId="0" fontId="148" fillId="0" borderId="1" xfId="4" applyFont="1" applyBorder="1" applyAlignment="1">
      <alignment horizontal="justify" vertical="top" wrapText="1"/>
    </xf>
    <xf numFmtId="0" fontId="148" fillId="0" borderId="12" xfId="4" applyFont="1" applyBorder="1" applyAlignment="1">
      <alignment horizontal="justify" vertical="top" wrapText="1"/>
    </xf>
    <xf numFmtId="0" fontId="156" fillId="0" borderId="0" xfId="4" applyFont="1" applyAlignment="1">
      <alignment horizontal="left" vertical="top"/>
    </xf>
    <xf numFmtId="0" fontId="163" fillId="0" borderId="0" xfId="4" applyFont="1" applyAlignment="1">
      <alignment horizontal="justify" vertical="center"/>
    </xf>
    <xf numFmtId="0" fontId="148" fillId="0" borderId="0" xfId="4" applyFont="1" applyAlignment="1">
      <alignment vertical="top"/>
    </xf>
    <xf numFmtId="14" fontId="97" fillId="20" borderId="0" xfId="4" applyNumberFormat="1" applyFont="1" applyFill="1" applyAlignment="1">
      <alignment horizontal="left" vertical="center"/>
    </xf>
    <xf numFmtId="0" fontId="97" fillId="20" borderId="0" xfId="4" applyFont="1" applyFill="1" applyAlignment="1">
      <alignment horizontal="left" vertical="center"/>
    </xf>
    <xf numFmtId="14" fontId="148" fillId="3" borderId="0" xfId="4" applyNumberFormat="1" applyFont="1" applyFill="1" applyAlignment="1">
      <alignment horizontal="left" vertical="center"/>
    </xf>
    <xf numFmtId="176" fontId="148" fillId="3" borderId="0" xfId="4" applyNumberFormat="1" applyFont="1" applyFill="1" applyAlignment="1">
      <alignment horizontal="left" vertical="center"/>
    </xf>
    <xf numFmtId="0" fontId="148" fillId="3" borderId="0" xfId="4" applyFont="1" applyFill="1" applyAlignment="1">
      <alignment horizontal="left" vertical="center"/>
    </xf>
    <xf numFmtId="0" fontId="144" fillId="0" borderId="0" xfId="4" applyFont="1" applyAlignment="1">
      <alignment horizontal="right" vertical="top"/>
    </xf>
    <xf numFmtId="0" fontId="148" fillId="0" borderId="0" xfId="4" applyFont="1" applyAlignment="1">
      <alignment horizontal="left" vertical="top"/>
    </xf>
    <xf numFmtId="0" fontId="144" fillId="0" borderId="6" xfId="4" applyFont="1" applyBorder="1" applyAlignment="1">
      <alignment horizontal="left" vertical="center" shrinkToFit="1"/>
    </xf>
    <xf numFmtId="0" fontId="144" fillId="0" borderId="7" xfId="4" applyFont="1" applyBorder="1" applyAlignment="1">
      <alignment horizontal="left" vertical="center" shrinkToFit="1"/>
    </xf>
    <xf numFmtId="0" fontId="144" fillId="0" borderId="8" xfId="4" applyFont="1" applyBorder="1" applyAlignment="1">
      <alignment horizontal="left" vertical="center" shrinkToFit="1"/>
    </xf>
    <xf numFmtId="0" fontId="148" fillId="0" borderId="6" xfId="4" applyFont="1" applyBorder="1" applyAlignment="1">
      <alignment horizontal="center" vertical="center"/>
    </xf>
    <xf numFmtId="0" fontId="148" fillId="0" borderId="11" xfId="4" applyFont="1" applyBorder="1" applyAlignment="1">
      <alignment horizontal="center" vertical="center"/>
    </xf>
    <xf numFmtId="0" fontId="103" fillId="0" borderId="0" xfId="4" applyFont="1" applyAlignment="1">
      <alignment horizontal="center" vertical="center" wrapText="1"/>
    </xf>
    <xf numFmtId="0" fontId="144" fillId="0" borderId="0" xfId="4" applyFont="1" applyAlignment="1">
      <alignment horizontal="center" wrapText="1"/>
    </xf>
    <xf numFmtId="0" fontId="140" fillId="0" borderId="0" xfId="4" applyFont="1" applyAlignment="1">
      <alignment horizontal="center" vertical="center" wrapText="1"/>
    </xf>
    <xf numFmtId="0" fontId="101" fillId="0" borderId="0" xfId="4" applyFont="1" applyAlignment="1">
      <alignment horizontal="center" vertical="top" wrapText="1"/>
    </xf>
    <xf numFmtId="0" fontId="161" fillId="0" borderId="0" xfId="4" applyFont="1" applyAlignment="1">
      <alignment horizontal="right" vertical="center" shrinkToFit="1"/>
    </xf>
    <xf numFmtId="0" fontId="148" fillId="0" borderId="7" xfId="4" applyFont="1" applyBorder="1" applyAlignment="1">
      <alignment horizontal="right" vertical="center"/>
    </xf>
    <xf numFmtId="14" fontId="148" fillId="0" borderId="7" xfId="4" applyNumberFormat="1" applyFont="1" applyBorder="1" applyAlignment="1">
      <alignment horizontal="center" vertical="center"/>
    </xf>
    <xf numFmtId="0" fontId="155" fillId="0" borderId="7" xfId="4" applyFont="1" applyBorder="1" applyAlignment="1">
      <alignment horizontal="center" vertical="top" wrapText="1"/>
    </xf>
    <xf numFmtId="0" fontId="155" fillId="0" borderId="0" xfId="4" applyFont="1" applyAlignment="1">
      <alignment horizontal="center" vertical="top" wrapText="1"/>
    </xf>
    <xf numFmtId="0" fontId="155" fillId="0" borderId="6" xfId="4" applyFont="1" applyBorder="1" applyAlignment="1">
      <alignment horizontal="center" vertical="center" wrapText="1"/>
    </xf>
    <xf numFmtId="0" fontId="155" fillId="0" borderId="7" xfId="4" applyFont="1" applyBorder="1" applyAlignment="1">
      <alignment horizontal="center" vertical="center" wrapText="1"/>
    </xf>
    <xf numFmtId="0" fontId="155" fillId="0" borderId="8" xfId="4" applyFont="1" applyBorder="1" applyAlignment="1">
      <alignment horizontal="center" vertical="center" wrapText="1"/>
    </xf>
    <xf numFmtId="0" fontId="155" fillId="0" borderId="13" xfId="4" applyFont="1" applyBorder="1" applyAlignment="1">
      <alignment horizontal="center" vertical="center"/>
    </xf>
    <xf numFmtId="0" fontId="155" fillId="0" borderId="0" xfId="4" applyFont="1" applyAlignment="1">
      <alignment horizontal="center" vertical="center"/>
    </xf>
    <xf numFmtId="0" fontId="155" fillId="0" borderId="14" xfId="4" applyFont="1" applyBorder="1" applyAlignment="1">
      <alignment horizontal="center" vertical="center"/>
    </xf>
    <xf numFmtId="0" fontId="151" fillId="0" borderId="11" xfId="4" applyFont="1" applyBorder="1" applyAlignment="1">
      <alignment horizontal="center" vertical="center" wrapText="1"/>
    </xf>
    <xf numFmtId="0" fontId="151" fillId="0" borderId="1" xfId="4" applyFont="1" applyBorder="1" applyAlignment="1">
      <alignment horizontal="center" vertical="center" wrapText="1"/>
    </xf>
    <xf numFmtId="0" fontId="151" fillId="0" borderId="12" xfId="4" applyFont="1" applyBorder="1" applyAlignment="1">
      <alignment horizontal="center" vertical="center" wrapText="1"/>
    </xf>
    <xf numFmtId="0" fontId="155" fillId="0" borderId="11" xfId="4" applyFont="1" applyBorder="1" applyAlignment="1">
      <alignment horizontal="center" vertical="center"/>
    </xf>
    <xf numFmtId="0" fontId="155" fillId="0" borderId="1" xfId="4" applyFont="1" applyBorder="1" applyAlignment="1">
      <alignment horizontal="center" vertical="center"/>
    </xf>
    <xf numFmtId="0" fontId="155" fillId="0" borderId="12" xfId="4" applyFont="1" applyBorder="1" applyAlignment="1">
      <alignment horizontal="center" vertical="center"/>
    </xf>
    <xf numFmtId="0" fontId="155" fillId="0" borderId="11" xfId="4" applyFont="1" applyBorder="1" applyAlignment="1">
      <alignment horizontal="center" vertical="center" wrapText="1"/>
    </xf>
    <xf numFmtId="0" fontId="155" fillId="0" borderId="1" xfId="4" applyFont="1" applyBorder="1" applyAlignment="1">
      <alignment horizontal="center" vertical="center" wrapText="1"/>
    </xf>
    <xf numFmtId="0" fontId="155" fillId="0" borderId="12" xfId="4" applyFont="1" applyBorder="1" applyAlignment="1">
      <alignment horizontal="center" vertical="center" wrapText="1"/>
    </xf>
    <xf numFmtId="0" fontId="155" fillId="0" borderId="6" xfId="4" applyFont="1" applyBorder="1" applyAlignment="1">
      <alignment horizontal="center" vertical="center"/>
    </xf>
    <xf numFmtId="0" fontId="155" fillId="0" borderId="7" xfId="4" applyFont="1" applyBorder="1" applyAlignment="1">
      <alignment horizontal="center" vertical="center"/>
    </xf>
    <xf numFmtId="0" fontId="155" fillId="0" borderId="8" xfId="4" applyFont="1" applyBorder="1" applyAlignment="1">
      <alignment horizontal="center" vertical="center"/>
    </xf>
    <xf numFmtId="0" fontId="155" fillId="0" borderId="2" xfId="4" applyFont="1" applyBorder="1" applyAlignment="1">
      <alignment horizontal="center" vertical="center"/>
    </xf>
    <xf numFmtId="3" fontId="148" fillId="0" borderId="0" xfId="4" applyNumberFormat="1" applyFont="1" applyAlignment="1">
      <alignment horizontal="left" vertical="center"/>
    </xf>
    <xf numFmtId="0" fontId="164" fillId="0" borderId="11" xfId="4" applyFont="1" applyBorder="1" applyAlignment="1">
      <alignment horizontal="center"/>
    </xf>
    <xf numFmtId="0" fontId="164" fillId="0" borderId="1" xfId="4" applyFont="1" applyBorder="1" applyAlignment="1">
      <alignment horizontal="center"/>
    </xf>
    <xf numFmtId="0" fontId="164" fillId="0" borderId="12" xfId="4" applyFont="1" applyBorder="1" applyAlignment="1">
      <alignment horizontal="center"/>
    </xf>
    <xf numFmtId="0" fontId="144" fillId="0" borderId="11" xfId="4" applyFont="1" applyBorder="1" applyAlignment="1">
      <alignment horizontal="left" vertical="center"/>
    </xf>
    <xf numFmtId="0" fontId="144" fillId="0" borderId="1" xfId="4" applyFont="1" applyBorder="1" applyAlignment="1">
      <alignment horizontal="left" vertical="center"/>
    </xf>
    <xf numFmtId="0" fontId="144" fillId="0" borderId="12" xfId="4" applyFont="1" applyBorder="1" applyAlignment="1">
      <alignment horizontal="left" vertical="center"/>
    </xf>
    <xf numFmtId="0" fontId="148" fillId="0" borderId="11" xfId="4" applyFont="1" applyBorder="1" applyAlignment="1">
      <alignment horizontal="center"/>
    </xf>
    <xf numFmtId="0" fontId="148" fillId="0" borderId="1" xfId="4" applyFont="1" applyBorder="1" applyAlignment="1">
      <alignment horizontal="center"/>
    </xf>
    <xf numFmtId="0" fontId="148" fillId="0" borderId="12" xfId="4" applyFont="1" applyBorder="1" applyAlignment="1">
      <alignment horizontal="center"/>
    </xf>
    <xf numFmtId="0" fontId="164" fillId="3" borderId="2" xfId="4" applyFont="1" applyFill="1" applyBorder="1" applyAlignment="1">
      <alignment horizontal="center" vertical="center"/>
    </xf>
    <xf numFmtId="0" fontId="97" fillId="3" borderId="2" xfId="4" applyFont="1" applyFill="1" applyBorder="1" applyAlignment="1">
      <alignment horizontal="center" vertical="center"/>
    </xf>
    <xf numFmtId="0" fontId="165" fillId="3" borderId="2" xfId="4" applyFont="1" applyFill="1" applyBorder="1" applyAlignment="1">
      <alignment horizontal="center" vertical="center" wrapText="1"/>
    </xf>
    <xf numFmtId="1" fontId="165" fillId="3" borderId="2" xfId="4" applyNumberFormat="1" applyFont="1" applyFill="1" applyBorder="1" applyAlignment="1">
      <alignment horizontal="center" vertical="center"/>
    </xf>
    <xf numFmtId="49" fontId="155" fillId="0" borderId="6" xfId="4" applyNumberFormat="1" applyFont="1" applyBorder="1" applyAlignment="1">
      <alignment horizontal="left" vertical="center" wrapText="1"/>
    </xf>
    <xf numFmtId="0" fontId="155" fillId="0" borderId="7" xfId="4" applyFont="1" applyBorder="1" applyAlignment="1">
      <alignment horizontal="left" vertical="center" wrapText="1"/>
    </xf>
    <xf numFmtId="0" fontId="155" fillId="0" borderId="8" xfId="4" applyFont="1" applyBorder="1" applyAlignment="1">
      <alignment horizontal="left" vertical="center" wrapText="1"/>
    </xf>
    <xf numFmtId="0" fontId="155" fillId="0" borderId="6" xfId="4" applyFont="1" applyBorder="1" applyAlignment="1">
      <alignment horizontal="center" vertical="top" wrapText="1"/>
    </xf>
    <xf numFmtId="0" fontId="155" fillId="0" borderId="8" xfId="4" applyFont="1" applyBorder="1" applyAlignment="1">
      <alignment horizontal="center" vertical="top"/>
    </xf>
    <xf numFmtId="0" fontId="155" fillId="0" borderId="11" xfId="4" applyFont="1" applyBorder="1" applyAlignment="1">
      <alignment horizontal="center" vertical="top"/>
    </xf>
    <xf numFmtId="0" fontId="155" fillId="0" borderId="12" xfId="4" applyFont="1" applyBorder="1" applyAlignment="1">
      <alignment horizontal="center" vertical="top"/>
    </xf>
    <xf numFmtId="0" fontId="148" fillId="0" borderId="6" xfId="4" applyFont="1" applyBorder="1" applyAlignment="1">
      <alignment horizontal="center" vertical="center" wrapText="1"/>
    </xf>
    <xf numFmtId="0" fontId="148" fillId="0" borderId="8" xfId="4" applyFont="1" applyBorder="1" applyAlignment="1">
      <alignment horizontal="center" vertical="center" wrapText="1"/>
    </xf>
    <xf numFmtId="0" fontId="148" fillId="0" borderId="11" xfId="4" applyFont="1" applyBorder="1" applyAlignment="1">
      <alignment horizontal="center" vertical="center" wrapText="1"/>
    </xf>
    <xf numFmtId="0" fontId="148" fillId="0" borderId="12" xfId="4" applyFont="1" applyBorder="1" applyAlignment="1">
      <alignment horizontal="center" vertical="center" wrapText="1"/>
    </xf>
    <xf numFmtId="0" fontId="148" fillId="0" borderId="7" xfId="4" applyFont="1" applyBorder="1" applyAlignment="1">
      <alignment horizontal="center" vertical="center" wrapText="1"/>
    </xf>
    <xf numFmtId="0" fontId="148" fillId="0" borderId="2" xfId="4" applyFont="1" applyBorder="1" applyAlignment="1">
      <alignment horizontal="center" vertical="center" wrapText="1"/>
    </xf>
    <xf numFmtId="0" fontId="148" fillId="0" borderId="9" xfId="4" applyFont="1" applyBorder="1" applyAlignment="1">
      <alignment horizontal="center" vertical="center" wrapText="1"/>
    </xf>
    <xf numFmtId="0" fontId="148" fillId="0" borderId="0" xfId="4" applyFont="1" applyAlignment="1">
      <alignment horizontal="center" vertical="center" wrapText="1"/>
    </xf>
    <xf numFmtId="0" fontId="155" fillId="0" borderId="13" xfId="4" applyFont="1" applyBorder="1" applyAlignment="1">
      <alignment horizontal="left" vertical="center" wrapText="1"/>
    </xf>
    <xf numFmtId="0" fontId="155" fillId="0" borderId="0" xfId="4" applyFont="1" applyAlignment="1">
      <alignment horizontal="left" vertical="center" wrapText="1"/>
    </xf>
    <xf numFmtId="0" fontId="155" fillId="0" borderId="14" xfId="4" applyFont="1" applyBorder="1" applyAlignment="1">
      <alignment horizontal="left" vertical="center" wrapText="1"/>
    </xf>
    <xf numFmtId="0" fontId="144" fillId="5" borderId="6" xfId="5" applyNumberFormat="1" applyFont="1" applyFill="1" applyBorder="1" applyAlignment="1" applyProtection="1">
      <alignment horizontal="center" vertical="center" wrapText="1"/>
    </xf>
    <xf numFmtId="0" fontId="144" fillId="5" borderId="8" xfId="5" applyNumberFormat="1" applyFont="1" applyFill="1" applyBorder="1" applyAlignment="1" applyProtection="1">
      <alignment horizontal="center" vertical="center" wrapText="1"/>
    </xf>
    <xf numFmtId="0" fontId="144" fillId="5" borderId="13" xfId="5" applyNumberFormat="1" applyFont="1" applyFill="1" applyBorder="1" applyAlignment="1" applyProtection="1">
      <alignment horizontal="center" vertical="center" wrapText="1"/>
    </xf>
    <xf numFmtId="0" fontId="144" fillId="5" borderId="14" xfId="5" applyNumberFormat="1" applyFont="1" applyFill="1" applyBorder="1" applyAlignment="1" applyProtection="1">
      <alignment horizontal="center" vertical="center" wrapText="1"/>
    </xf>
    <xf numFmtId="0" fontId="144" fillId="5" borderId="7" xfId="5" applyNumberFormat="1" applyFont="1" applyFill="1" applyBorder="1" applyAlignment="1" applyProtection="1">
      <alignment horizontal="center" vertical="center" wrapText="1"/>
    </xf>
    <xf numFmtId="0" fontId="144" fillId="5" borderId="0" xfId="5" applyNumberFormat="1" applyFont="1" applyFill="1" applyBorder="1" applyAlignment="1" applyProtection="1">
      <alignment horizontal="center" vertical="center" wrapText="1"/>
    </xf>
    <xf numFmtId="0" fontId="155" fillId="0" borderId="13" xfId="4" applyFont="1" applyBorder="1" applyAlignment="1">
      <alignment horizontal="left" vertical="top" wrapText="1"/>
    </xf>
    <xf numFmtId="0" fontId="155" fillId="0" borderId="0" xfId="4" applyFont="1" applyAlignment="1">
      <alignment horizontal="left" vertical="top" wrapText="1"/>
    </xf>
    <xf numFmtId="0" fontId="155" fillId="0" borderId="14" xfId="4" applyFont="1" applyBorder="1" applyAlignment="1">
      <alignment horizontal="left" vertical="top" wrapText="1"/>
    </xf>
    <xf numFmtId="0" fontId="31" fillId="3" borderId="6" xfId="4" applyFont="1" applyFill="1" applyBorder="1" applyAlignment="1">
      <alignment horizontal="center" vertical="center" wrapText="1"/>
    </xf>
    <xf numFmtId="0" fontId="31" fillId="3" borderId="8" xfId="4" applyFont="1" applyFill="1" applyBorder="1" applyAlignment="1">
      <alignment horizontal="center" vertical="center" wrapText="1"/>
    </xf>
    <xf numFmtId="0" fontId="31" fillId="3" borderId="13" xfId="4" applyFont="1" applyFill="1" applyBorder="1" applyAlignment="1">
      <alignment horizontal="center" vertical="center" wrapText="1"/>
    </xf>
    <xf numFmtId="0" fontId="31" fillId="3" borderId="14" xfId="4" applyFont="1" applyFill="1" applyBorder="1" applyAlignment="1">
      <alignment horizontal="center" vertical="center" wrapText="1"/>
    </xf>
    <xf numFmtId="0" fontId="148" fillId="3" borderId="6" xfId="4" applyFont="1" applyFill="1" applyBorder="1" applyAlignment="1">
      <alignment horizontal="center" vertical="center" wrapText="1"/>
    </xf>
    <xf numFmtId="0" fontId="148" fillId="3" borderId="7" xfId="4" applyFont="1" applyFill="1" applyBorder="1" applyAlignment="1">
      <alignment horizontal="center" vertical="center" wrapText="1"/>
    </xf>
    <xf numFmtId="0" fontId="148" fillId="3" borderId="8" xfId="4" applyFont="1" applyFill="1" applyBorder="1" applyAlignment="1">
      <alignment horizontal="center" vertical="center" wrapText="1"/>
    </xf>
    <xf numFmtId="0" fontId="148" fillId="3" borderId="13" xfId="4" applyFont="1" applyFill="1" applyBorder="1" applyAlignment="1">
      <alignment horizontal="center" vertical="center" wrapText="1"/>
    </xf>
    <xf numFmtId="0" fontId="148" fillId="3" borderId="0" xfId="4" applyFont="1" applyFill="1" applyAlignment="1">
      <alignment horizontal="center" vertical="center" wrapText="1"/>
    </xf>
    <xf numFmtId="0" fontId="148" fillId="3" borderId="14" xfId="4" applyFont="1" applyFill="1" applyBorder="1" applyAlignment="1">
      <alignment horizontal="center" vertical="center" wrapText="1"/>
    </xf>
    <xf numFmtId="0" fontId="165" fillId="5" borderId="7" xfId="4" applyFont="1" applyFill="1" applyBorder="1" applyAlignment="1">
      <alignment horizontal="center" vertical="center" wrapText="1"/>
    </xf>
    <xf numFmtId="0" fontId="165" fillId="5" borderId="0" xfId="4" applyFont="1" applyFill="1" applyAlignment="1">
      <alignment horizontal="center" vertical="center" wrapText="1"/>
    </xf>
    <xf numFmtId="0" fontId="148" fillId="5" borderId="7" xfId="4" applyFont="1" applyFill="1" applyBorder="1" applyAlignment="1">
      <alignment horizontal="center" vertical="center" wrapText="1"/>
    </xf>
    <xf numFmtId="0" fontId="148" fillId="5" borderId="0" xfId="4" applyFont="1" applyFill="1" applyAlignment="1">
      <alignment horizontal="center" vertical="center" wrapText="1"/>
    </xf>
    <xf numFmtId="0" fontId="167" fillId="0" borderId="0" xfId="4" applyFont="1" applyAlignment="1">
      <alignment horizontal="center"/>
    </xf>
    <xf numFmtId="0" fontId="167" fillId="0" borderId="14" xfId="4" applyFont="1" applyBorder="1" applyAlignment="1">
      <alignment horizontal="center"/>
    </xf>
    <xf numFmtId="0" fontId="148" fillId="3" borderId="0" xfId="4" applyFont="1" applyFill="1" applyAlignment="1"/>
    <xf numFmtId="0" fontId="148" fillId="0" borderId="0" xfId="4" applyFont="1" applyAlignment="1">
      <alignment horizontal="right" vertical="center"/>
    </xf>
    <xf numFmtId="0" fontId="165" fillId="3" borderId="3" xfId="4" applyFont="1" applyFill="1" applyBorder="1" applyAlignment="1">
      <alignment horizontal="left" vertical="center"/>
    </xf>
    <xf numFmtId="0" fontId="165" fillId="3" borderId="4" xfId="4" applyFont="1" applyFill="1" applyBorder="1" applyAlignment="1">
      <alignment horizontal="left" vertical="center"/>
    </xf>
    <xf numFmtId="0" fontId="165" fillId="3" borderId="5" xfId="4" applyFont="1" applyFill="1" applyBorder="1" applyAlignment="1">
      <alignment horizontal="left" vertical="center"/>
    </xf>
    <xf numFmtId="2" fontId="97" fillId="3" borderId="2" xfId="4" applyNumberFormat="1" applyFont="1" applyFill="1" applyBorder="1" applyAlignment="1"/>
    <xf numFmtId="0" fontId="168" fillId="8" borderId="2" xfId="4" applyFont="1" applyFill="1" applyBorder="1" applyAlignment="1">
      <alignment horizontal="left"/>
    </xf>
    <xf numFmtId="2" fontId="165" fillId="3" borderId="2" xfId="4" applyNumberFormat="1" applyFont="1" applyFill="1" applyBorder="1">
      <alignment vertical="center"/>
    </xf>
    <xf numFmtId="178" fontId="148" fillId="0" borderId="2" xfId="5" applyFont="1" applyBorder="1" applyAlignment="1" applyProtection="1">
      <alignment horizontal="center" vertical="center"/>
    </xf>
    <xf numFmtId="2" fontId="165" fillId="3" borderId="2" xfId="4" applyNumberFormat="1" applyFont="1" applyFill="1" applyBorder="1" applyAlignment="1"/>
    <xf numFmtId="2" fontId="165" fillId="0" borderId="2" xfId="4" applyNumberFormat="1" applyFont="1" applyBorder="1">
      <alignment vertical="center"/>
    </xf>
    <xf numFmtId="2" fontId="97" fillId="0" borderId="2" xfId="4" applyNumberFormat="1" applyFont="1" applyBorder="1" applyAlignment="1">
      <alignment horizontal="center" vertical="center"/>
    </xf>
    <xf numFmtId="165" fontId="97" fillId="0" borderId="2" xfId="5" applyNumberFormat="1" applyFont="1" applyBorder="1" applyAlignment="1" applyProtection="1">
      <alignment horizontal="center" vertical="center"/>
    </xf>
    <xf numFmtId="178" fontId="36" fillId="0" borderId="2" xfId="5" applyFont="1" applyBorder="1" applyAlignment="1" applyProtection="1">
      <alignment horizontal="center" vertical="center"/>
    </xf>
    <xf numFmtId="178" fontId="97" fillId="0" borderId="2" xfId="5" applyFont="1" applyBorder="1" applyAlignment="1" applyProtection="1">
      <alignment horizontal="center" vertical="center"/>
    </xf>
    <xf numFmtId="2" fontId="148" fillId="0" borderId="0" xfId="4" applyNumberFormat="1" applyFont="1" applyAlignment="1">
      <alignment horizontal="left"/>
    </xf>
    <xf numFmtId="165" fontId="165" fillId="0" borderId="2" xfId="5" applyNumberFormat="1" applyFont="1" applyBorder="1" applyAlignment="1" applyProtection="1">
      <alignment horizontal="center" vertical="center"/>
    </xf>
    <xf numFmtId="0" fontId="148" fillId="0" borderId="0" xfId="4" applyFont="1" applyAlignment="1">
      <alignment horizontal="left"/>
    </xf>
    <xf numFmtId="0" fontId="169" fillId="0" borderId="0" xfId="4" applyFont="1" applyAlignment="1">
      <alignment horizontal="left" vertical="center"/>
    </xf>
    <xf numFmtId="0" fontId="165" fillId="3" borderId="0" xfId="4" applyFont="1" applyFill="1" applyAlignment="1">
      <alignment horizontal="center"/>
    </xf>
    <xf numFmtId="0" fontId="148" fillId="0" borderId="0" xfId="4" applyFont="1" applyAlignment="1">
      <alignment horizontal="justify" vertical="center"/>
    </xf>
    <xf numFmtId="0" fontId="144" fillId="0" borderId="0" xfId="4" applyFont="1" applyAlignment="1">
      <alignment vertical="top"/>
    </xf>
    <xf numFmtId="0" fontId="165" fillId="3" borderId="2" xfId="5" applyNumberFormat="1" applyFont="1" applyFill="1" applyBorder="1" applyAlignment="1" applyProtection="1">
      <alignment horizontal="center" vertical="center"/>
    </xf>
    <xf numFmtId="0" fontId="165" fillId="0" borderId="0" xfId="4" applyFont="1" applyAlignment="1">
      <alignment horizontal="left"/>
    </xf>
    <xf numFmtId="0" fontId="148" fillId="3" borderId="2" xfId="4" applyFont="1" applyFill="1" applyBorder="1" applyAlignment="1">
      <alignment horizontal="center" vertical="center"/>
    </xf>
    <xf numFmtId="2" fontId="148" fillId="0" borderId="2" xfId="5" applyNumberFormat="1" applyFont="1" applyBorder="1" applyAlignment="1" applyProtection="1">
      <alignment horizontal="center" vertical="center"/>
    </xf>
    <xf numFmtId="14" fontId="170" fillId="3" borderId="2" xfId="4" applyNumberFormat="1" applyFont="1" applyFill="1" applyBorder="1" applyAlignment="1">
      <alignment horizontal="center" vertical="center" shrinkToFit="1"/>
    </xf>
    <xf numFmtId="2" fontId="165" fillId="3" borderId="2" xfId="4" applyNumberFormat="1" applyFont="1" applyFill="1" applyBorder="1" applyAlignment="1">
      <alignment horizontal="center"/>
    </xf>
    <xf numFmtId="2" fontId="165" fillId="3" borderId="2" xfId="4" applyNumberFormat="1" applyFont="1" applyFill="1" applyBorder="1" applyAlignment="1">
      <alignment horizontal="center" vertical="center"/>
    </xf>
    <xf numFmtId="0" fontId="165" fillId="3" borderId="2" xfId="4" applyFont="1" applyFill="1" applyBorder="1" applyAlignment="1">
      <alignment horizontal="center" vertical="center"/>
    </xf>
    <xf numFmtId="2" fontId="148" fillId="3" borderId="2" xfId="4" applyNumberFormat="1" applyFont="1" applyFill="1" applyBorder="1" applyAlignment="1">
      <alignment horizontal="center" vertical="center"/>
    </xf>
    <xf numFmtId="0" fontId="148" fillId="0" borderId="14" xfId="4" applyFont="1" applyBorder="1" applyAlignment="1">
      <alignment horizontal="left" vertical="top"/>
    </xf>
    <xf numFmtId="0" fontId="148" fillId="0" borderId="0" xfId="4" applyFont="1" applyAlignment="1"/>
    <xf numFmtId="0" fontId="148" fillId="0" borderId="15" xfId="4" applyFont="1" applyBorder="1" applyAlignment="1">
      <alignment horizontal="left" vertical="center"/>
    </xf>
    <xf numFmtId="0" fontId="148" fillId="0" borderId="13" xfId="4" applyFont="1" applyBorder="1" applyAlignment="1">
      <alignment horizontal="left" vertical="center"/>
    </xf>
    <xf numFmtId="0" fontId="165" fillId="0" borderId="2" xfId="4" applyFont="1" applyBorder="1" applyAlignment="1">
      <alignment horizontal="center" vertical="center"/>
    </xf>
    <xf numFmtId="2" fontId="165" fillId="0" borderId="2" xfId="4" applyNumberFormat="1" applyFont="1" applyBorder="1" applyAlignment="1">
      <alignment horizontal="center" vertical="center"/>
    </xf>
    <xf numFmtId="0" fontId="151" fillId="0" borderId="0" xfId="4" applyFont="1" applyAlignment="1">
      <alignment horizontal="left" vertical="top"/>
    </xf>
    <xf numFmtId="0" fontId="144" fillId="0" borderId="0" xfId="4" applyFont="1" applyAlignment="1">
      <alignment horizontal="right"/>
    </xf>
    <xf numFmtId="178" fontId="148" fillId="0" borderId="10" xfId="4" applyNumberFormat="1" applyFont="1" applyBorder="1" applyAlignment="1">
      <alignment horizontal="center" vertical="top"/>
    </xf>
    <xf numFmtId="2" fontId="148" fillId="0" borderId="10" xfId="4" applyNumberFormat="1" applyFont="1" applyBorder="1" applyAlignment="1">
      <alignment horizontal="center" vertical="top"/>
    </xf>
    <xf numFmtId="2" fontId="148" fillId="0" borderId="2" xfId="4" applyNumberFormat="1" applyFont="1" applyBorder="1" applyAlignment="1">
      <alignment horizontal="center" vertical="top"/>
    </xf>
    <xf numFmtId="0" fontId="172" fillId="0" borderId="2" xfId="4" applyFont="1" applyBorder="1" applyAlignment="1">
      <alignment horizontal="center" vertical="center"/>
    </xf>
    <xf numFmtId="0" fontId="148" fillId="0" borderId="0" xfId="4" applyFont="1" applyAlignment="1">
      <alignment horizontal="left" vertical="center" wrapText="1"/>
    </xf>
    <xf numFmtId="0" fontId="144" fillId="0" borderId="0" xfId="4" applyFont="1" applyAlignment="1">
      <alignment horizontal="center" vertical="top"/>
    </xf>
    <xf numFmtId="49" fontId="155" fillId="0" borderId="3" xfId="4" applyNumberFormat="1" applyFont="1" applyBorder="1" applyAlignment="1">
      <alignment horizontal="left" vertical="top"/>
    </xf>
    <xf numFmtId="0" fontId="155" fillId="0" borderId="4" xfId="4" applyFont="1" applyBorder="1" applyAlignment="1">
      <alignment horizontal="left" vertical="top"/>
    </xf>
    <xf numFmtId="0" fontId="155" fillId="0" borderId="5" xfId="4" applyFont="1" applyBorder="1" applyAlignment="1">
      <alignment horizontal="left" vertical="top"/>
    </xf>
    <xf numFmtId="0" fontId="156" fillId="0" borderId="14" xfId="4" applyFont="1" applyBorder="1" applyAlignment="1">
      <alignment horizontal="left" vertical="top"/>
    </xf>
    <xf numFmtId="0" fontId="155" fillId="0" borderId="0" xfId="4" applyFont="1">
      <alignment vertical="center"/>
    </xf>
    <xf numFmtId="0" fontId="156" fillId="0" borderId="2" xfId="4" applyFont="1" applyBorder="1" applyAlignment="1">
      <alignment horizontal="right" vertical="center"/>
    </xf>
    <xf numFmtId="0" fontId="156" fillId="0" borderId="2" xfId="4" applyFont="1" applyBorder="1" applyAlignment="1">
      <alignment horizontal="center" vertical="center"/>
    </xf>
    <xf numFmtId="0" fontId="174" fillId="3" borderId="2" xfId="4" applyFont="1" applyFill="1" applyBorder="1" applyAlignment="1">
      <alignment horizontal="center" vertical="center"/>
    </xf>
    <xf numFmtId="0" fontId="148" fillId="0" borderId="0" xfId="4" applyFont="1" applyAlignment="1">
      <alignment horizontal="left" vertical="justify" wrapText="1"/>
    </xf>
    <xf numFmtId="2" fontId="148" fillId="0" borderId="2" xfId="4" applyNumberFormat="1" applyFont="1" applyBorder="1" applyAlignment="1">
      <alignment horizontal="right" vertical="center"/>
    </xf>
    <xf numFmtId="0" fontId="148" fillId="0" borderId="2" xfId="4" applyFont="1" applyBorder="1" applyAlignment="1">
      <alignment horizontal="right" vertical="center"/>
    </xf>
    <xf numFmtId="2" fontId="156" fillId="0" borderId="2" xfId="4" applyNumberFormat="1" applyFont="1" applyBorder="1" applyAlignment="1">
      <alignment horizontal="right" vertical="center"/>
    </xf>
    <xf numFmtId="0" fontId="156" fillId="3" borderId="3" xfId="4" applyFont="1" applyFill="1" applyBorder="1" applyAlignment="1">
      <alignment horizontal="center" vertical="center"/>
    </xf>
    <xf numFmtId="0" fontId="156" fillId="3" borderId="4" xfId="4" applyFont="1" applyFill="1" applyBorder="1" applyAlignment="1">
      <alignment horizontal="center" vertical="center"/>
    </xf>
    <xf numFmtId="0" fontId="156" fillId="3" borderId="5" xfId="4" applyFont="1" applyFill="1" applyBorder="1" applyAlignment="1">
      <alignment horizontal="center" vertical="center"/>
    </xf>
    <xf numFmtId="0" fontId="144" fillId="0" borderId="2" xfId="4" applyFont="1" applyBorder="1" applyAlignment="1">
      <alignment horizontal="center" vertical="center" wrapText="1"/>
    </xf>
    <xf numFmtId="178" fontId="156" fillId="0" borderId="2" xfId="5" applyFont="1" applyBorder="1" applyAlignment="1" applyProtection="1">
      <alignment horizontal="right" vertical="center"/>
    </xf>
    <xf numFmtId="178" fontId="156" fillId="0" borderId="2" xfId="5" applyFont="1" applyBorder="1" applyAlignment="1" applyProtection="1">
      <alignment horizontal="center" vertical="center"/>
    </xf>
    <xf numFmtId="0" fontId="156" fillId="3" borderId="2" xfId="4" applyFont="1" applyFill="1" applyBorder="1" applyAlignment="1">
      <alignment horizontal="center" vertical="center"/>
    </xf>
    <xf numFmtId="0" fontId="150" fillId="0" borderId="2" xfId="4" applyFont="1" applyBorder="1" applyAlignment="1">
      <alignment horizontal="center" vertical="center"/>
    </xf>
    <xf numFmtId="0" fontId="148" fillId="0" borderId="2" xfId="4" quotePrefix="1" applyFont="1" applyBorder="1" applyAlignment="1">
      <alignment horizontal="center" vertical="center"/>
    </xf>
    <xf numFmtId="0" fontId="148" fillId="0" borderId="2" xfId="4" applyFont="1" applyBorder="1" applyAlignment="1">
      <alignment horizontal="left" vertical="center"/>
    </xf>
    <xf numFmtId="0" fontId="148" fillId="0" borderId="2" xfId="4" applyFont="1" applyBorder="1" applyAlignment="1"/>
    <xf numFmtId="0" fontId="156" fillId="0" borderId="0" xfId="4" applyFont="1" applyAlignment="1">
      <alignment vertical="top"/>
    </xf>
    <xf numFmtId="0" fontId="175" fillId="3" borderId="0" xfId="4" applyFont="1" applyFill="1" applyAlignment="1">
      <alignment horizontal="left" vertical="top" wrapText="1"/>
    </xf>
    <xf numFmtId="0" fontId="165" fillId="3" borderId="0" xfId="4" applyFont="1" applyFill="1" applyAlignment="1">
      <alignment horizontal="left" vertical="top" wrapText="1"/>
    </xf>
    <xf numFmtId="0" fontId="156" fillId="0" borderId="0" xfId="4" applyFont="1" applyAlignment="1">
      <alignment horizontal="justify" vertical="center"/>
    </xf>
    <xf numFmtId="1" fontId="36" fillId="20" borderId="0" xfId="4" applyNumberFormat="1" applyFont="1" applyFill="1" applyAlignment="1">
      <alignment horizontal="justify" vertical="center"/>
    </xf>
    <xf numFmtId="0" fontId="148" fillId="3" borderId="0" xfId="4" applyFont="1" applyFill="1" applyAlignment="1">
      <alignment horizontal="justify" vertical="center"/>
    </xf>
    <xf numFmtId="0" fontId="165" fillId="3" borderId="0" xfId="4" applyFont="1" applyFill="1" applyAlignment="1">
      <alignment horizontal="justify" vertical="center"/>
    </xf>
    <xf numFmtId="0" fontId="178" fillId="0" borderId="2" xfId="4" applyFont="1" applyBorder="1" applyAlignment="1">
      <alignment horizontal="center"/>
    </xf>
    <xf numFmtId="0" fontId="155" fillId="0" borderId="2" xfId="4" applyFont="1" applyBorder="1" applyAlignment="1">
      <alignment horizontal="center"/>
    </xf>
    <xf numFmtId="0" fontId="144" fillId="0" borderId="3" xfId="4" applyFont="1" applyBorder="1" applyAlignment="1">
      <alignment horizontal="left" vertical="center" wrapText="1"/>
    </xf>
    <xf numFmtId="0" fontId="144" fillId="0" borderId="4" xfId="4" applyFont="1" applyBorder="1" applyAlignment="1">
      <alignment horizontal="left" vertical="center" wrapText="1"/>
    </xf>
    <xf numFmtId="0" fontId="144" fillId="0" borderId="5" xfId="4" applyFont="1" applyBorder="1" applyAlignment="1">
      <alignment horizontal="left" vertical="center" wrapText="1"/>
    </xf>
    <xf numFmtId="187" fontId="179" fillId="0" borderId="2" xfId="5" applyNumberFormat="1" applyFont="1" applyBorder="1" applyAlignment="1" applyProtection="1">
      <alignment horizontal="left" vertical="center"/>
    </xf>
    <xf numFmtId="188" fontId="144" fillId="0" borderId="3" xfId="5" applyNumberFormat="1" applyFont="1" applyBorder="1" applyAlignment="1" applyProtection="1">
      <alignment horizontal="center" vertical="center" wrapText="1"/>
    </xf>
    <xf numFmtId="188" fontId="144" fillId="0" borderId="4" xfId="5" applyNumberFormat="1" applyFont="1" applyBorder="1" applyAlignment="1" applyProtection="1">
      <alignment horizontal="center" vertical="center" wrapText="1"/>
    </xf>
    <xf numFmtId="188" fontId="144" fillId="0" borderId="5" xfId="5" applyNumberFormat="1" applyFont="1" applyBorder="1" applyAlignment="1" applyProtection="1">
      <alignment horizontal="center" vertical="center" wrapText="1"/>
    </xf>
    <xf numFmtId="43" fontId="144" fillId="0" borderId="2" xfId="5" applyNumberFormat="1" applyFont="1" applyBorder="1" applyAlignment="1" applyProtection="1">
      <alignment vertical="center" shrinkToFit="1"/>
    </xf>
    <xf numFmtId="178" fontId="155" fillId="0" borderId="2" xfId="5" applyFont="1" applyBorder="1" applyAlignment="1" applyProtection="1">
      <alignment horizontal="center" vertical="center"/>
    </xf>
    <xf numFmtId="43" fontId="155" fillId="0" borderId="2" xfId="5" applyNumberFormat="1" applyFont="1" applyBorder="1" applyAlignment="1" applyProtection="1">
      <alignment horizontal="left" vertical="center"/>
    </xf>
    <xf numFmtId="43" fontId="208" fillId="0" borderId="6" xfId="5" applyNumberFormat="1" applyFont="1" applyBorder="1" applyAlignment="1" applyProtection="1">
      <alignment horizontal="center" vertical="center"/>
    </xf>
    <xf numFmtId="43" fontId="208" fillId="0" borderId="7" xfId="5" applyNumberFormat="1" applyFont="1" applyBorder="1" applyAlignment="1" applyProtection="1">
      <alignment horizontal="center" vertical="center"/>
    </xf>
    <xf numFmtId="43" fontId="208" fillId="0" borderId="8" xfId="5" applyNumberFormat="1" applyFont="1" applyBorder="1" applyAlignment="1" applyProtection="1">
      <alignment horizontal="center" vertical="center"/>
    </xf>
    <xf numFmtId="43" fontId="208" fillId="0" borderId="13" xfId="5" applyNumberFormat="1" applyFont="1" applyBorder="1" applyAlignment="1" applyProtection="1">
      <alignment horizontal="center" vertical="center"/>
    </xf>
    <xf numFmtId="43" fontId="208" fillId="0" borderId="0" xfId="5" applyNumberFormat="1" applyFont="1" applyBorder="1" applyAlignment="1" applyProtection="1">
      <alignment horizontal="center" vertical="center"/>
    </xf>
    <xf numFmtId="43" fontId="208" fillId="0" borderId="14" xfId="5" applyNumberFormat="1" applyFont="1" applyBorder="1" applyAlignment="1" applyProtection="1">
      <alignment horizontal="center" vertical="center"/>
    </xf>
    <xf numFmtId="9" fontId="155" fillId="0" borderId="6" xfId="4" applyNumberFormat="1" applyFont="1" applyBorder="1" applyAlignment="1">
      <alignment horizontal="center" vertical="center"/>
    </xf>
    <xf numFmtId="9" fontId="155" fillId="0" borderId="8" xfId="4" applyNumberFormat="1" applyFont="1" applyBorder="1" applyAlignment="1">
      <alignment horizontal="center" vertical="center"/>
    </xf>
    <xf numFmtId="9" fontId="155" fillId="0" borderId="13" xfId="4" applyNumberFormat="1" applyFont="1" applyBorder="1" applyAlignment="1">
      <alignment horizontal="center" vertical="center"/>
    </xf>
    <xf numFmtId="9" fontId="155" fillId="0" borderId="14" xfId="4" applyNumberFormat="1" applyFont="1" applyBorder="1" applyAlignment="1">
      <alignment horizontal="center" vertical="center"/>
    </xf>
    <xf numFmtId="165" fontId="155" fillId="0" borderId="3" xfId="5" applyNumberFormat="1" applyFont="1" applyBorder="1" applyAlignment="1" applyProtection="1">
      <alignment horizontal="left" vertical="center"/>
    </xf>
    <xf numFmtId="165" fontId="155" fillId="0" borderId="4" xfId="5" applyNumberFormat="1" applyFont="1" applyBorder="1" applyAlignment="1" applyProtection="1">
      <alignment horizontal="left" vertical="center"/>
    </xf>
    <xf numFmtId="165" fontId="155" fillId="0" borderId="5" xfId="5" applyNumberFormat="1" applyFont="1" applyBorder="1" applyAlignment="1" applyProtection="1">
      <alignment horizontal="left" vertical="center"/>
    </xf>
    <xf numFmtId="178" fontId="155" fillId="0" borderId="3" xfId="5" applyFont="1" applyBorder="1" applyAlignment="1" applyProtection="1">
      <alignment horizontal="center" vertical="center"/>
    </xf>
    <xf numFmtId="178" fontId="155" fillId="0" borderId="5" xfId="5" applyFont="1" applyBorder="1" applyAlignment="1" applyProtection="1">
      <alignment horizontal="center" vertical="center"/>
    </xf>
    <xf numFmtId="165" fontId="144" fillId="0" borderId="3" xfId="5" applyNumberFormat="1" applyFont="1" applyBorder="1" applyAlignment="1" applyProtection="1">
      <alignment vertical="center" shrinkToFit="1"/>
    </xf>
    <xf numFmtId="165" fontId="144" fillId="0" borderId="4" xfId="5" applyNumberFormat="1" applyFont="1" applyBorder="1" applyAlignment="1" applyProtection="1">
      <alignment vertical="center" shrinkToFit="1"/>
    </xf>
    <xf numFmtId="165" fontId="144" fillId="0" borderId="5" xfId="5" applyNumberFormat="1" applyFont="1" applyBorder="1" applyAlignment="1" applyProtection="1">
      <alignment vertical="center" shrinkToFit="1"/>
    </xf>
    <xf numFmtId="165" fontId="144" fillId="0" borderId="3" xfId="5" applyNumberFormat="1" applyFont="1" applyBorder="1" applyAlignment="1" applyProtection="1">
      <alignment horizontal="center" vertical="center" wrapText="1"/>
    </xf>
    <xf numFmtId="165" fontId="144" fillId="0" borderId="4" xfId="5" applyNumberFormat="1" applyFont="1" applyBorder="1" applyAlignment="1" applyProtection="1">
      <alignment horizontal="center" vertical="center" wrapText="1"/>
    </xf>
    <xf numFmtId="165" fontId="144" fillId="0" borderId="5" xfId="5" applyNumberFormat="1" applyFont="1" applyBorder="1" applyAlignment="1" applyProtection="1">
      <alignment horizontal="center" vertical="center" wrapText="1"/>
    </xf>
    <xf numFmtId="178" fontId="155" fillId="0" borderId="3" xfId="5" applyFont="1" applyBorder="1" applyAlignment="1" applyProtection="1">
      <alignment horizontal="left" vertical="center"/>
    </xf>
    <xf numFmtId="178" fontId="155" fillId="0" borderId="4" xfId="5" applyFont="1" applyBorder="1" applyAlignment="1" applyProtection="1">
      <alignment horizontal="left" vertical="center"/>
    </xf>
    <xf numFmtId="178" fontId="155" fillId="0" borderId="5" xfId="5" applyFont="1" applyBorder="1" applyAlignment="1" applyProtection="1">
      <alignment horizontal="left" vertical="center"/>
    </xf>
    <xf numFmtId="0" fontId="156" fillId="0" borderId="0" xfId="4" applyFont="1">
      <alignment vertical="center"/>
    </xf>
    <xf numFmtId="187" fontId="179" fillId="0" borderId="2" xfId="5" applyNumberFormat="1" applyFont="1" applyBorder="1" applyAlignment="1" applyProtection="1">
      <alignment horizontal="center" vertical="center"/>
    </xf>
    <xf numFmtId="2" fontId="148" fillId="0" borderId="3" xfId="4" applyNumberFormat="1" applyFont="1" applyBorder="1" applyAlignment="1">
      <alignment horizontal="center" vertical="center"/>
    </xf>
    <xf numFmtId="2" fontId="148" fillId="0" borderId="4" xfId="4" applyNumberFormat="1" applyFont="1" applyBorder="1" applyAlignment="1">
      <alignment horizontal="center" vertical="center"/>
    </xf>
    <xf numFmtId="2" fontId="148" fillId="0" borderId="5" xfId="4" applyNumberFormat="1" applyFont="1" applyBorder="1" applyAlignment="1">
      <alignment horizontal="center" vertical="center"/>
    </xf>
    <xf numFmtId="43" fontId="144" fillId="0" borderId="2" xfId="4" applyNumberFormat="1" applyFont="1" applyBorder="1" applyAlignment="1">
      <alignment horizontal="center" vertical="center" shrinkToFit="1"/>
    </xf>
    <xf numFmtId="43" fontId="148" fillId="0" borderId="2" xfId="4" applyNumberFormat="1" applyFont="1" applyBorder="1" applyAlignment="1">
      <alignment horizontal="center" vertical="center"/>
    </xf>
    <xf numFmtId="0" fontId="156" fillId="0" borderId="10" xfId="4" applyFont="1" applyBorder="1" applyAlignment="1">
      <alignment horizontal="center" vertical="center"/>
    </xf>
    <xf numFmtId="43" fontId="208" fillId="0" borderId="2" xfId="4" applyNumberFormat="1" applyFont="1" applyBorder="1" applyAlignment="1">
      <alignment horizontal="center" vertical="center"/>
    </xf>
    <xf numFmtId="177" fontId="148" fillId="20" borderId="2" xfId="4" applyNumberFormat="1" applyFont="1" applyFill="1" applyBorder="1" applyAlignment="1">
      <alignment horizontal="center" vertical="center"/>
    </xf>
    <xf numFmtId="165" fontId="148" fillId="0" borderId="2" xfId="5" applyNumberFormat="1" applyFont="1" applyBorder="1" applyAlignment="1" applyProtection="1">
      <alignment horizontal="center" vertical="center"/>
    </xf>
    <xf numFmtId="165" fontId="148" fillId="0" borderId="0" xfId="4" applyNumberFormat="1" applyFont="1" applyAlignment="1">
      <alignment horizontal="center" vertical="center"/>
    </xf>
    <xf numFmtId="0" fontId="148" fillId="3" borderId="0" xfId="4" applyFont="1" applyFill="1" applyAlignment="1">
      <alignment horizontal="left"/>
    </xf>
    <xf numFmtId="177" fontId="31" fillId="3" borderId="2" xfId="4" applyNumberFormat="1" applyFont="1" applyFill="1" applyBorder="1" applyAlignment="1">
      <alignment horizontal="center" vertical="center"/>
    </xf>
    <xf numFmtId="2" fontId="148" fillId="0" borderId="2" xfId="4" applyNumberFormat="1" applyFont="1" applyBorder="1" applyAlignment="1">
      <alignment horizontal="center" vertical="center"/>
    </xf>
    <xf numFmtId="177" fontId="148" fillId="3" borderId="2" xfId="4" applyNumberFormat="1" applyFont="1" applyFill="1" applyBorder="1" applyAlignment="1">
      <alignment horizontal="center" vertical="center"/>
    </xf>
    <xf numFmtId="9" fontId="148" fillId="0" borderId="2" xfId="4" applyNumberFormat="1" applyFont="1" applyBorder="1" applyAlignment="1">
      <alignment horizontal="center" vertical="center"/>
    </xf>
    <xf numFmtId="0" fontId="160" fillId="0" borderId="0" xfId="4" applyFont="1" applyAlignment="1">
      <alignment horizontal="center" vertical="center"/>
    </xf>
    <xf numFmtId="0" fontId="148" fillId="0" borderId="7" xfId="4" applyFont="1" applyBorder="1" applyAlignment="1">
      <alignment horizontal="center"/>
    </xf>
    <xf numFmtId="0" fontId="148" fillId="0" borderId="0" xfId="4" applyFont="1" applyAlignment="1">
      <alignment horizontal="justify" vertical="top"/>
    </xf>
    <xf numFmtId="0" fontId="156" fillId="0" borderId="0" xfId="4" applyFont="1" applyAlignment="1">
      <alignment horizontal="justify" vertical="top"/>
    </xf>
    <xf numFmtId="0" fontId="155" fillId="0" borderId="0" xfId="4" applyFont="1" applyAlignment="1">
      <alignment horizontal="justify" vertical="top"/>
    </xf>
    <xf numFmtId="0" fontId="182" fillId="0" borderId="0" xfId="4" applyFont="1" applyAlignment="1">
      <alignment horizontal="justify" vertical="top"/>
    </xf>
    <xf numFmtId="0" fontId="148" fillId="0" borderId="3" xfId="4" applyFont="1" applyBorder="1" applyAlignment="1">
      <alignment horizontal="left" vertical="center"/>
    </xf>
    <xf numFmtId="0" fontId="148" fillId="0" borderId="4" xfId="4" applyFont="1" applyBorder="1" applyAlignment="1">
      <alignment horizontal="left" vertical="center"/>
    </xf>
    <xf numFmtId="0" fontId="148" fillId="0" borderId="5" xfId="4" applyFont="1" applyBorder="1" applyAlignment="1">
      <alignment horizontal="left" vertical="center"/>
    </xf>
    <xf numFmtId="177" fontId="148" fillId="0" borderId="2" xfId="4" applyNumberFormat="1" applyFont="1" applyBorder="1" applyAlignment="1">
      <alignment horizontal="center" vertical="center"/>
    </xf>
    <xf numFmtId="165" fontId="148" fillId="0" borderId="2" xfId="5" applyNumberFormat="1" applyFont="1" applyBorder="1" applyAlignment="1" applyProtection="1">
      <alignment horizontal="center"/>
    </xf>
    <xf numFmtId="0" fontId="156" fillId="0" borderId="3" xfId="4" applyFont="1" applyBorder="1" applyAlignment="1">
      <alignment horizontal="left" vertical="center"/>
    </xf>
    <xf numFmtId="0" fontId="156" fillId="0" borderId="4" xfId="4" applyFont="1" applyBorder="1" applyAlignment="1">
      <alignment horizontal="left" vertical="center"/>
    </xf>
    <xf numFmtId="0" fontId="156" fillId="0" borderId="5" xfId="4" applyFont="1" applyBorder="1" applyAlignment="1">
      <alignment horizontal="left" vertical="center"/>
    </xf>
    <xf numFmtId="9" fontId="156" fillId="0" borderId="2" xfId="4" applyNumberFormat="1" applyFont="1" applyBorder="1" applyAlignment="1">
      <alignment horizontal="center" vertical="center"/>
    </xf>
    <xf numFmtId="165" fontId="156" fillId="0" borderId="2" xfId="5" applyNumberFormat="1" applyFont="1" applyBorder="1" applyAlignment="1" applyProtection="1">
      <alignment horizontal="center" vertical="center"/>
    </xf>
    <xf numFmtId="0" fontId="148" fillId="0" borderId="0" xfId="4" applyFont="1" applyAlignment="1">
      <alignment horizontal="center" wrapText="1"/>
    </xf>
    <xf numFmtId="0" fontId="155" fillId="0" borderId="0" xfId="4" applyFont="1" applyAlignment="1">
      <alignment horizontal="left" vertical="center"/>
    </xf>
    <xf numFmtId="178" fontId="155" fillId="0" borderId="2" xfId="5" applyFont="1" applyBorder="1" applyAlignment="1" applyProtection="1">
      <alignment horizontal="left" vertical="center"/>
    </xf>
    <xf numFmtId="165" fontId="144" fillId="0" borderId="2" xfId="5" applyNumberFormat="1" applyFont="1" applyBorder="1" applyAlignment="1" applyProtection="1">
      <alignment vertical="center" shrinkToFit="1"/>
    </xf>
    <xf numFmtId="165" fontId="155" fillId="0" borderId="2" xfId="5" applyNumberFormat="1" applyFont="1" applyBorder="1" applyAlignment="1" applyProtection="1">
      <alignment horizontal="left" vertical="center"/>
    </xf>
    <xf numFmtId="0" fontId="31" fillId="3" borderId="0" xfId="4" applyFont="1" applyFill="1" applyAlignment="1">
      <alignment horizontal="justify" vertical="center"/>
    </xf>
    <xf numFmtId="0" fontId="155" fillId="0" borderId="2" xfId="4" applyFont="1" applyBorder="1" applyAlignment="1">
      <alignment horizontal="center" vertical="center" wrapText="1"/>
    </xf>
    <xf numFmtId="0" fontId="24" fillId="0" borderId="0" xfId="0" applyFont="1" applyAlignment="1">
      <alignment horizontal="center" vertical="top"/>
    </xf>
    <xf numFmtId="0" fontId="3" fillId="0" borderId="0" xfId="0" applyFont="1" applyAlignment="1">
      <alignment vertical="top"/>
    </xf>
    <xf numFmtId="0" fontId="13" fillId="0" borderId="0" xfId="0" applyFont="1" applyAlignment="1">
      <alignment horizontal="center" vertical="center"/>
    </xf>
    <xf numFmtId="0" fontId="60" fillId="0" borderId="0" xfId="0" applyFont="1" applyAlignment="1">
      <alignment horizontal="center" vertical="center"/>
    </xf>
    <xf numFmtId="0" fontId="34" fillId="0" borderId="0" xfId="0" applyFont="1" applyAlignment="1">
      <alignment horizontal="justify" vertical="top" wrapText="1"/>
    </xf>
    <xf numFmtId="0" fontId="1" fillId="0" borderId="0" xfId="0" applyFont="1" applyAlignment="1">
      <alignment horizontal="center" vertical="top"/>
    </xf>
    <xf numFmtId="0" fontId="68" fillId="0" borderId="0" xfId="0" applyFont="1" applyAlignment="1">
      <alignment horizontal="center" vertical="top" wrapText="1"/>
    </xf>
    <xf numFmtId="0" fontId="1" fillId="0" borderId="3" xfId="0" applyFont="1" applyBorder="1" applyAlignment="1">
      <alignment vertical="center"/>
    </xf>
    <xf numFmtId="0" fontId="1" fillId="0" borderId="4" xfId="0" applyFont="1" applyBorder="1" applyAlignment="1">
      <alignment vertical="center"/>
    </xf>
    <xf numFmtId="14" fontId="1" fillId="0" borderId="4" xfId="0" applyNumberFormat="1" applyFont="1" applyBorder="1" applyAlignment="1">
      <alignment horizontal="center" vertical="center" wrapText="1"/>
    </xf>
    <xf numFmtId="0" fontId="22" fillId="0" borderId="0" xfId="0" applyFont="1" applyAlignment="1">
      <alignment horizontal="center" vertical="center"/>
    </xf>
    <xf numFmtId="0" fontId="50" fillId="0" borderId="0" xfId="0" applyFont="1" applyAlignment="1">
      <alignment horizontal="center" vertical="center"/>
    </xf>
    <xf numFmtId="0" fontId="194" fillId="0" borderId="2" xfId="0" applyFont="1" applyBorder="1" applyAlignment="1">
      <alignment horizontal="center" vertical="center" wrapText="1"/>
    </xf>
    <xf numFmtId="0" fontId="199" fillId="0" borderId="0" xfId="0" applyFont="1" applyAlignment="1">
      <alignment horizontal="center" vertical="center"/>
    </xf>
    <xf numFmtId="0" fontId="201" fillId="0" borderId="0" xfId="0" applyFont="1" applyAlignment="1">
      <alignment horizontal="center" vertical="center" wrapText="1" shrinkToFit="1"/>
    </xf>
    <xf numFmtId="0" fontId="193" fillId="0" borderId="0" xfId="0" applyFont="1" applyAlignment="1">
      <alignment horizontal="center" vertical="center" shrinkToFit="1"/>
    </xf>
    <xf numFmtId="0" fontId="194" fillId="0" borderId="3" xfId="0" applyFont="1" applyBorder="1" applyAlignment="1">
      <alignment horizontal="center" vertical="center" wrapText="1"/>
    </xf>
    <xf numFmtId="0" fontId="194" fillId="0" borderId="4" xfId="0" applyFont="1" applyBorder="1" applyAlignment="1">
      <alignment horizontal="center" vertical="center" wrapText="1"/>
    </xf>
    <xf numFmtId="0" fontId="194" fillId="0" borderId="5" xfId="0" applyFont="1" applyBorder="1" applyAlignment="1">
      <alignment horizontal="center" vertical="center" wrapText="1"/>
    </xf>
    <xf numFmtId="0" fontId="194" fillId="0" borderId="2" xfId="0" applyFont="1" applyBorder="1" applyAlignment="1">
      <alignment horizontal="right" vertical="center" wrapText="1"/>
    </xf>
    <xf numFmtId="0" fontId="5" fillId="0" borderId="0" xfId="0" applyFont="1" applyAlignment="1" applyProtection="1">
      <alignment horizontal="center" vertical="center" wrapText="1"/>
      <protection locked="0"/>
    </xf>
    <xf numFmtId="0" fontId="202" fillId="0" borderId="0" xfId="0" applyFont="1" applyAlignment="1">
      <alignment horizontal="left" vertical="top" wrapText="1"/>
    </xf>
    <xf numFmtId="0" fontId="195" fillId="0" borderId="3" xfId="0" applyFont="1" applyBorder="1" applyAlignment="1">
      <alignment horizontal="center" vertical="center" wrapText="1"/>
    </xf>
    <xf numFmtId="0" fontId="195" fillId="0" borderId="5" xfId="0" applyFont="1" applyBorder="1" applyAlignment="1">
      <alignment horizontal="center" vertical="center" wrapText="1"/>
    </xf>
    <xf numFmtId="0" fontId="74" fillId="0" borderId="0" xfId="0" applyFont="1" applyAlignment="1">
      <alignment horizontal="left" vertical="top" wrapText="1"/>
    </xf>
    <xf numFmtId="0" fontId="18" fillId="0" borderId="0" xfId="0" applyFont="1" applyAlignment="1">
      <alignment horizontal="center" vertical="top"/>
    </xf>
    <xf numFmtId="0" fontId="71" fillId="0" borderId="0" xfId="0" applyFont="1" applyAlignment="1">
      <alignment horizontal="center" vertical="center" wrapText="1"/>
    </xf>
    <xf numFmtId="0" fontId="1" fillId="0" borderId="0" xfId="0" applyFont="1" applyAlignment="1">
      <alignment vertical="center"/>
    </xf>
    <xf numFmtId="14" fontId="1" fillId="0" borderId="0" xfId="0" applyNumberFormat="1" applyFont="1" applyAlignment="1">
      <alignment horizontal="center" vertical="center" wrapText="1"/>
    </xf>
    <xf numFmtId="0" fontId="45" fillId="0" borderId="0" xfId="0" applyFont="1" applyAlignment="1">
      <alignment horizontal="center" vertical="center"/>
    </xf>
    <xf numFmtId="0" fontId="1" fillId="0" borderId="26" xfId="0" applyFont="1" applyBorder="1" applyAlignment="1">
      <alignment horizontal="center" vertical="center"/>
    </xf>
    <xf numFmtId="0" fontId="1" fillId="0" borderId="45" xfId="0" applyFont="1" applyBorder="1" applyAlignment="1">
      <alignment horizontal="center" vertical="center"/>
    </xf>
    <xf numFmtId="0" fontId="1" fillId="0" borderId="27" xfId="0" applyFont="1" applyBorder="1" applyAlignment="1">
      <alignment horizontal="center" vertical="center"/>
    </xf>
    <xf numFmtId="0" fontId="9" fillId="0" borderId="6" xfId="0" applyFont="1" applyBorder="1" applyAlignment="1">
      <alignment horizontal="center" vertical="center" wrapText="1"/>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2" xfId="0" applyFont="1" applyBorder="1" applyAlignment="1">
      <alignment horizontal="center" vertical="center" wrapText="1"/>
    </xf>
    <xf numFmtId="0" fontId="58" fillId="0" borderId="0" xfId="0" applyFont="1" applyAlignment="1">
      <alignment horizontal="center" vertical="center"/>
    </xf>
    <xf numFmtId="0" fontId="34" fillId="0" borderId="0" xfId="0" applyFont="1" applyAlignment="1">
      <alignment horizontal="center" vertical="center"/>
    </xf>
    <xf numFmtId="0" fontId="50" fillId="0" borderId="24" xfId="0" applyFont="1" applyBorder="1" applyAlignment="1">
      <alignment horizontal="center" vertical="center"/>
    </xf>
    <xf numFmtId="0" fontId="50" fillId="0" borderId="44" xfId="0" applyFont="1" applyBorder="1" applyAlignment="1">
      <alignment horizontal="center" vertical="center"/>
    </xf>
    <xf numFmtId="0" fontId="50" fillId="0" borderId="25" xfId="0" applyFont="1" applyBorder="1" applyAlignment="1">
      <alignment horizontal="center" vertical="center"/>
    </xf>
    <xf numFmtId="165" fontId="36" fillId="0" borderId="0" xfId="1" applyNumberFormat="1" applyFont="1" applyBorder="1" applyAlignment="1">
      <alignment horizontal="right" vertical="top"/>
    </xf>
    <xf numFmtId="165" fontId="3" fillId="0" borderId="0" xfId="1" applyNumberFormat="1" applyFont="1" applyBorder="1" applyAlignment="1">
      <alignment horizontal="left" vertical="top"/>
    </xf>
    <xf numFmtId="165" fontId="26" fillId="0" borderId="0" xfId="1" applyNumberFormat="1" applyFont="1" applyBorder="1" applyAlignment="1">
      <alignment horizontal="right" vertical="top"/>
    </xf>
    <xf numFmtId="43" fontId="36" fillId="0" borderId="0" xfId="1" applyFont="1" applyBorder="1" applyAlignment="1">
      <alignment horizontal="right" vertical="top"/>
    </xf>
    <xf numFmtId="0" fontId="18" fillId="0" borderId="0" xfId="0" applyFont="1" applyAlignment="1">
      <alignment horizontal="center" wrapText="1"/>
    </xf>
    <xf numFmtId="0" fontId="100" fillId="0" borderId="0" xfId="0" applyFont="1" applyAlignment="1">
      <alignment horizontal="center" vertical="center" wrapText="1"/>
    </xf>
    <xf numFmtId="0" fontId="100" fillId="0" borderId="0" xfId="0" quotePrefix="1" applyFont="1" applyAlignment="1">
      <alignment horizontal="center" vertical="center" wrapText="1"/>
    </xf>
    <xf numFmtId="0" fontId="38" fillId="0" borderId="0" xfId="0" applyFont="1" applyAlignment="1">
      <alignment horizontal="center" vertical="center" shrinkToFit="1"/>
    </xf>
    <xf numFmtId="0" fontId="3" fillId="0" borderId="0" xfId="0" applyFont="1" applyAlignment="1">
      <alignment horizontal="left" vertical="top"/>
    </xf>
    <xf numFmtId="0" fontId="3" fillId="0" borderId="3" xfId="0" applyFont="1" applyBorder="1" applyAlignment="1">
      <alignment vertical="center"/>
    </xf>
    <xf numFmtId="0" fontId="3" fillId="0" borderId="4" xfId="0" applyFont="1" applyBorder="1" applyAlignment="1">
      <alignment vertical="center"/>
    </xf>
    <xf numFmtId="0" fontId="3" fillId="0" borderId="4" xfId="0" applyFont="1" applyBorder="1" applyAlignment="1">
      <alignment horizontal="left" vertical="center"/>
    </xf>
    <xf numFmtId="0" fontId="96" fillId="3" borderId="0" xfId="0" applyFont="1" applyFill="1" applyAlignment="1">
      <alignment horizontal="justify" vertical="top" wrapText="1"/>
    </xf>
    <xf numFmtId="0" fontId="57" fillId="0" borderId="4" xfId="0" applyFont="1" applyBorder="1" applyAlignment="1">
      <alignment horizontal="right" vertical="center"/>
    </xf>
    <xf numFmtId="0" fontId="57" fillId="0" borderId="5" xfId="0" applyFont="1" applyBorder="1" applyAlignment="1">
      <alignment horizontal="right" vertical="center"/>
    </xf>
    <xf numFmtId="0" fontId="3" fillId="0" borderId="0" xfId="0" applyFont="1" applyAlignment="1">
      <alignment horizontal="justify" vertical="top" wrapText="1"/>
    </xf>
    <xf numFmtId="0" fontId="101" fillId="0" borderId="0" xfId="0" applyFont="1" applyAlignment="1">
      <alignment horizontal="center" vertical="center" wrapText="1"/>
    </xf>
    <xf numFmtId="0" fontId="101" fillId="0" borderId="1" xfId="0" applyFont="1" applyBorder="1" applyAlignment="1">
      <alignment horizontal="center" vertical="center" wrapText="1"/>
    </xf>
    <xf numFmtId="0" fontId="106" fillId="0" borderId="0" xfId="0" applyFont="1" applyAlignment="1">
      <alignment horizontal="center" vertical="center" wrapText="1"/>
    </xf>
    <xf numFmtId="0" fontId="26" fillId="0" borderId="0" xfId="0" applyFont="1" applyAlignment="1">
      <alignment horizontal="center" vertical="top"/>
    </xf>
    <xf numFmtId="0" fontId="3" fillId="0" borderId="29" xfId="0" applyFont="1" applyBorder="1" applyAlignment="1">
      <alignment horizontal="center" vertical="top"/>
    </xf>
    <xf numFmtId="2" fontId="36" fillId="0" borderId="32" xfId="0" applyNumberFormat="1" applyFont="1" applyBorder="1" applyAlignment="1">
      <alignment horizontal="center" vertical="center" wrapText="1"/>
    </xf>
    <xf numFmtId="0" fontId="36" fillId="0" borderId="32" xfId="0" applyFont="1" applyBorder="1" applyAlignment="1">
      <alignment horizontal="center" vertical="center" wrapText="1"/>
    </xf>
    <xf numFmtId="0" fontId="36" fillId="0" borderId="31" xfId="0" applyFont="1" applyBorder="1" applyAlignment="1">
      <alignment horizontal="center" vertical="center" wrapText="1"/>
    </xf>
    <xf numFmtId="0" fontId="96" fillId="3" borderId="0" xfId="0" applyFont="1" applyFill="1" applyAlignment="1">
      <alignment horizontal="left" vertical="top"/>
    </xf>
    <xf numFmtId="0" fontId="26" fillId="3" borderId="0" xfId="0" applyFont="1" applyFill="1" applyAlignment="1">
      <alignment horizontal="justify" vertical="top"/>
    </xf>
    <xf numFmtId="0" fontId="3" fillId="0" borderId="28" xfId="0" applyFont="1" applyBorder="1" applyAlignment="1">
      <alignment horizontal="center" vertical="top"/>
    </xf>
    <xf numFmtId="43" fontId="36" fillId="0" borderId="32" xfId="1" applyFont="1" applyBorder="1" applyAlignment="1">
      <alignment horizontal="center" vertical="top"/>
    </xf>
    <xf numFmtId="0" fontId="3" fillId="0" borderId="0" xfId="0" applyFont="1" applyAlignment="1">
      <alignment horizontal="center" vertical="top" wrapText="1"/>
    </xf>
    <xf numFmtId="0" fontId="3" fillId="0" borderId="30" xfId="0" applyFont="1" applyBorder="1" applyAlignment="1">
      <alignment horizontal="center" vertical="top"/>
    </xf>
    <xf numFmtId="0" fontId="75" fillId="0" borderId="0" xfId="0" applyFont="1" applyAlignment="1">
      <alignment horizontal="center" vertical="center"/>
    </xf>
    <xf numFmtId="0" fontId="51" fillId="0" borderId="1" xfId="0" applyFont="1" applyBorder="1" applyAlignment="1">
      <alignment horizontal="center" vertical="center"/>
    </xf>
    <xf numFmtId="0" fontId="51" fillId="0" borderId="1" xfId="0" applyFont="1" applyBorder="1" applyAlignment="1">
      <alignment horizontal="center" vertical="top"/>
    </xf>
    <xf numFmtId="0" fontId="18" fillId="0" borderId="0" xfId="0" applyFont="1" applyAlignment="1">
      <alignment horizontal="left" vertical="top"/>
    </xf>
    <xf numFmtId="0" fontId="7" fillId="0" borderId="2" xfId="0" applyFont="1" applyBorder="1" applyAlignment="1">
      <alignment horizontal="center" vertical="center"/>
    </xf>
    <xf numFmtId="0" fontId="96" fillId="0" borderId="32" xfId="0" applyFont="1" applyBorder="1" applyAlignment="1">
      <alignment horizontal="center" vertical="center" wrapText="1"/>
    </xf>
    <xf numFmtId="43" fontId="95" fillId="0" borderId="52" xfId="1" applyFont="1" applyBorder="1" applyAlignment="1">
      <alignment horizontal="center" vertical="top"/>
    </xf>
    <xf numFmtId="43" fontId="95" fillId="0" borderId="53" xfId="1" applyFont="1" applyBorder="1" applyAlignment="1">
      <alignment horizontal="center" vertical="top"/>
    </xf>
    <xf numFmtId="43" fontId="95" fillId="0" borderId="54" xfId="1" applyFont="1" applyBorder="1" applyAlignment="1">
      <alignment horizontal="center" vertical="top"/>
    </xf>
    <xf numFmtId="0" fontId="3" fillId="0" borderId="0" xfId="0" applyFont="1" applyAlignment="1">
      <alignment horizontal="justify" vertical="center" wrapText="1"/>
    </xf>
    <xf numFmtId="0" fontId="18" fillId="0" borderId="2" xfId="0" applyFont="1" applyBorder="1" applyAlignment="1">
      <alignment horizontal="left" vertical="top"/>
    </xf>
    <xf numFmtId="0" fontId="96" fillId="0" borderId="0" xfId="0" applyFont="1" applyAlignment="1">
      <alignment horizontal="center" vertical="top"/>
    </xf>
    <xf numFmtId="43" fontId="95" fillId="0" borderId="32" xfId="1" applyFont="1" applyBorder="1" applyAlignment="1">
      <alignment horizontal="center" vertical="top"/>
    </xf>
    <xf numFmtId="43" fontId="95" fillId="0" borderId="33" xfId="1" applyFont="1" applyBorder="1" applyAlignment="1">
      <alignment horizontal="center" vertical="top"/>
    </xf>
    <xf numFmtId="43" fontId="95" fillId="0" borderId="40" xfId="1" applyFont="1" applyBorder="1" applyAlignment="1">
      <alignment horizontal="center" vertical="top"/>
    </xf>
    <xf numFmtId="43" fontId="95" fillId="0" borderId="41" xfId="1" applyFont="1" applyBorder="1" applyAlignment="1">
      <alignment horizontal="center" vertical="top"/>
    </xf>
    <xf numFmtId="43" fontId="95" fillId="0" borderId="55" xfId="1" applyFont="1" applyBorder="1" applyAlignment="1">
      <alignment horizontal="center" vertical="top"/>
    </xf>
    <xf numFmtId="14" fontId="96" fillId="0" borderId="0" xfId="0" applyNumberFormat="1" applyFont="1" applyAlignment="1">
      <alignment horizontal="left" vertical="top"/>
    </xf>
    <xf numFmtId="2" fontId="96" fillId="0" borderId="34" xfId="0" applyNumberFormat="1" applyFont="1" applyBorder="1" applyAlignment="1">
      <alignment horizontal="center" vertical="center" wrapText="1"/>
    </xf>
    <xf numFmtId="0" fontId="96" fillId="0" borderId="34" xfId="0" applyFont="1" applyBorder="1" applyAlignment="1">
      <alignment horizontal="center" vertical="center" wrapText="1"/>
    </xf>
    <xf numFmtId="2" fontId="18" fillId="0" borderId="3" xfId="0" applyNumberFormat="1" applyFont="1" applyBorder="1" applyAlignment="1">
      <alignment horizontal="center" vertical="top"/>
    </xf>
    <xf numFmtId="0" fontId="18" fillId="0" borderId="5" xfId="0" applyFont="1" applyBorder="1" applyAlignment="1">
      <alignment horizontal="center" vertical="top"/>
    </xf>
    <xf numFmtId="0" fontId="3" fillId="0" borderId="0" xfId="0" applyFont="1" applyAlignment="1">
      <alignment horizontal="right" vertical="top"/>
    </xf>
    <xf numFmtId="9" fontId="3" fillId="0" borderId="0" xfId="0" applyNumberFormat="1" applyFont="1" applyAlignment="1">
      <alignment horizontal="center" vertical="top"/>
    </xf>
    <xf numFmtId="0" fontId="3" fillId="0" borderId="0" xfId="0" applyFont="1" applyAlignment="1">
      <alignment horizontal="center" vertical="top"/>
    </xf>
    <xf numFmtId="14" fontId="36" fillId="0" borderId="0" xfId="0" applyNumberFormat="1" applyFont="1" applyAlignment="1">
      <alignment horizontal="center" vertical="top"/>
    </xf>
    <xf numFmtId="0" fontId="36" fillId="0" borderId="0" xfId="0" applyFont="1" applyAlignment="1">
      <alignment horizontal="center" vertical="top"/>
    </xf>
    <xf numFmtId="9" fontId="3" fillId="0" borderId="0" xfId="2" applyFont="1" applyBorder="1" applyAlignment="1">
      <alignment horizontal="right" vertical="top"/>
    </xf>
    <xf numFmtId="0" fontId="26" fillId="0" borderId="2" xfId="0" applyFont="1" applyBorder="1" applyAlignment="1">
      <alignment horizontal="center" vertical="center" wrapText="1"/>
    </xf>
    <xf numFmtId="0" fontId="26" fillId="0" borderId="2" xfId="0" applyFont="1" applyBorder="1" applyAlignment="1">
      <alignment horizontal="center" vertical="center"/>
    </xf>
    <xf numFmtId="183" fontId="26" fillId="0" borderId="2" xfId="0" applyNumberFormat="1" applyFont="1" applyBorder="1" applyAlignment="1">
      <alignment horizontal="center" vertical="center"/>
    </xf>
    <xf numFmtId="0" fontId="26" fillId="0" borderId="0" xfId="0" applyFont="1" applyAlignment="1">
      <alignment vertical="top" wrapText="1"/>
    </xf>
    <xf numFmtId="0" fontId="3" fillId="0" borderId="7" xfId="0" applyFont="1" applyBorder="1" applyAlignment="1">
      <alignment horizontal="left" vertical="center"/>
    </xf>
    <xf numFmtId="14" fontId="37" fillId="3" borderId="7" xfId="0" applyNumberFormat="1" applyFont="1" applyFill="1" applyBorder="1" applyAlignment="1">
      <alignment horizontal="center" vertical="center" wrapText="1"/>
    </xf>
    <xf numFmtId="0" fontId="102" fillId="3" borderId="3" xfId="0" applyFont="1" applyFill="1" applyBorder="1" applyAlignment="1">
      <alignment horizontal="center"/>
    </xf>
    <xf numFmtId="0" fontId="102" fillId="3" borderId="5" xfId="0" applyFont="1" applyFill="1" applyBorder="1" applyAlignment="1">
      <alignment horizontal="center"/>
    </xf>
    <xf numFmtId="0" fontId="3" fillId="0" borderId="0" xfId="0" applyFont="1" applyAlignment="1">
      <alignment horizontal="center"/>
    </xf>
    <xf numFmtId="0" fontId="3" fillId="0" borderId="0" xfId="0" applyFont="1" applyAlignment="1">
      <alignment horizontal="right" vertical="center"/>
    </xf>
    <xf numFmtId="49" fontId="3" fillId="0" borderId="0" xfId="0" applyNumberFormat="1" applyFont="1" applyAlignment="1">
      <alignment horizontal="left" vertical="top"/>
    </xf>
    <xf numFmtId="0" fontId="68" fillId="3" borderId="0" xfId="0" applyFont="1" applyFill="1" applyAlignment="1">
      <alignment horizontal="center" vertical="top" wrapText="1"/>
    </xf>
    <xf numFmtId="0" fontId="69" fillId="3" borderId="0" xfId="0" applyFont="1" applyFill="1" applyAlignment="1">
      <alignment horizontal="center" vertical="center" wrapText="1"/>
    </xf>
    <xf numFmtId="0" fontId="26" fillId="0" borderId="0" xfId="0" applyFont="1" applyAlignment="1">
      <alignment vertical="center"/>
    </xf>
    <xf numFmtId="0" fontId="26" fillId="3" borderId="0" xfId="0" applyFont="1" applyFill="1" applyAlignment="1">
      <alignment vertical="center"/>
    </xf>
    <xf numFmtId="0" fontId="3"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left" vertical="center"/>
    </xf>
    <xf numFmtId="0" fontId="26" fillId="0" borderId="0" xfId="0" applyFont="1" applyAlignment="1">
      <alignment vertical="center" wrapText="1"/>
    </xf>
    <xf numFmtId="0" fontId="114" fillId="0" borderId="2" xfId="0" applyFont="1" applyBorder="1" applyAlignment="1">
      <alignment horizontal="center" vertical="top"/>
    </xf>
    <xf numFmtId="1" fontId="96" fillId="0" borderId="2" xfId="0" applyNumberFormat="1" applyFont="1" applyBorder="1" applyAlignment="1">
      <alignment horizontal="center" vertical="top"/>
    </xf>
    <xf numFmtId="0" fontId="27" fillId="0" borderId="0" xfId="0" applyFont="1" applyAlignment="1">
      <alignment vertical="center" wrapText="1"/>
    </xf>
    <xf numFmtId="1" fontId="3" fillId="0" borderId="0" xfId="0" applyNumberFormat="1" applyFont="1" applyAlignment="1">
      <alignment horizontal="right" vertical="top"/>
    </xf>
    <xf numFmtId="1" fontId="3" fillId="0" borderId="0" xfId="0" applyNumberFormat="1" applyFont="1" applyAlignment="1">
      <alignment horizontal="left" vertical="top"/>
    </xf>
    <xf numFmtId="0" fontId="26" fillId="0" borderId="0" xfId="0" applyFont="1" applyAlignment="1">
      <alignment vertical="top"/>
    </xf>
    <xf numFmtId="0" fontId="26" fillId="0" borderId="0" xfId="0" applyFont="1" applyAlignment="1">
      <alignment horizontal="justify" vertical="top" wrapText="1"/>
    </xf>
    <xf numFmtId="0" fontId="26" fillId="0" borderId="0" xfId="0" applyFont="1" applyAlignment="1">
      <alignment horizontal="left" vertical="top" wrapText="1"/>
    </xf>
    <xf numFmtId="9" fontId="55" fillId="0" borderId="0" xfId="0" applyNumberFormat="1" applyFont="1" applyAlignment="1">
      <alignment horizontal="justify" vertical="top" wrapText="1"/>
    </xf>
    <xf numFmtId="0" fontId="55" fillId="0" borderId="0" xfId="0" applyFont="1" applyAlignment="1">
      <alignment horizontal="justify" vertical="top"/>
    </xf>
    <xf numFmtId="0" fontId="55" fillId="0" borderId="0" xfId="0" applyFont="1" applyAlignment="1">
      <alignment horizontal="justify" vertical="top" wrapText="1"/>
    </xf>
    <xf numFmtId="0" fontId="26" fillId="0" borderId="0" xfId="0" applyFont="1" applyAlignment="1">
      <alignment horizontal="left" vertical="top"/>
    </xf>
    <xf numFmtId="0" fontId="26" fillId="0" borderId="0" xfId="0" applyFont="1" applyAlignment="1">
      <alignment horizontal="left" vertical="center" wrapText="1"/>
    </xf>
    <xf numFmtId="0" fontId="55" fillId="0" borderId="7" xfId="0" applyFont="1" applyBorder="1" applyAlignment="1">
      <alignment horizontal="center" vertical="center"/>
    </xf>
    <xf numFmtId="0" fontId="85" fillId="0" borderId="0" xfId="0" applyFont="1" applyAlignment="1">
      <alignment horizontal="center" vertical="center" wrapText="1"/>
    </xf>
    <xf numFmtId="0" fontId="90" fillId="0" borderId="0" xfId="0" applyFont="1" applyAlignment="1">
      <alignment horizontal="center" vertical="center"/>
    </xf>
    <xf numFmtId="0" fontId="0" fillId="0" borderId="0" xfId="0"/>
    <xf numFmtId="0" fontId="69" fillId="0" borderId="0" xfId="0" applyFont="1" applyAlignment="1">
      <alignment horizontal="center" vertical="center" wrapText="1"/>
    </xf>
    <xf numFmtId="0" fontId="89" fillId="0" borderId="0" xfId="0" applyFont="1" applyAlignment="1">
      <alignment horizontal="center" vertical="center" shrinkToFit="1"/>
    </xf>
    <xf numFmtId="0" fontId="88" fillId="0" borderId="0" xfId="0" applyFont="1" applyAlignment="1">
      <alignment horizontal="center" vertical="center" shrinkToFit="1"/>
    </xf>
    <xf numFmtId="0" fontId="88" fillId="0" borderId="0" xfId="0" applyFont="1" applyAlignment="1">
      <alignment horizontal="center" vertical="center"/>
    </xf>
    <xf numFmtId="0" fontId="105" fillId="3" borderId="0" xfId="0" applyFont="1" applyFill="1" applyAlignment="1">
      <alignment horizontal="center" vertical="center"/>
    </xf>
    <xf numFmtId="49" fontId="4" fillId="0" borderId="0" xfId="0" applyNumberFormat="1" applyFont="1" applyAlignment="1">
      <alignment horizontal="left" vertical="top"/>
    </xf>
    <xf numFmtId="0" fontId="23" fillId="0" borderId="0" xfId="0" applyFont="1" applyAlignment="1">
      <alignment horizontal="right" vertical="center"/>
    </xf>
    <xf numFmtId="0" fontId="4" fillId="3" borderId="0" xfId="0" applyFont="1" applyFill="1" applyAlignment="1">
      <alignment horizontal="center" vertical="top"/>
    </xf>
    <xf numFmtId="0" fontId="203" fillId="0" borderId="4" xfId="0" applyFont="1" applyBorder="1" applyAlignment="1">
      <alignment horizontal="center" vertical="center" wrapText="1"/>
    </xf>
    <xf numFmtId="0" fontId="120" fillId="0" borderId="4" xfId="0" applyFont="1" applyBorder="1" applyAlignment="1">
      <alignment horizontal="center" vertical="center" wrapText="1"/>
    </xf>
    <xf numFmtId="0" fontId="34" fillId="0" borderId="0" xfId="0" applyFont="1" applyAlignment="1">
      <alignment horizontal="justify" vertical="center" wrapText="1"/>
    </xf>
    <xf numFmtId="0" fontId="13" fillId="0" borderId="7" xfId="0" applyFont="1" applyBorder="1" applyAlignment="1">
      <alignment horizontal="center" vertical="center"/>
    </xf>
    <xf numFmtId="0" fontId="65" fillId="0" borderId="0" xfId="0" applyFont="1" applyAlignment="1">
      <alignment horizontal="center" vertical="center"/>
    </xf>
    <xf numFmtId="0" fontId="63" fillId="0" borderId="0" xfId="0" applyFont="1" applyAlignment="1">
      <alignment horizontal="center" vertical="center"/>
    </xf>
    <xf numFmtId="49" fontId="65" fillId="0" borderId="0" xfId="0" applyNumberFormat="1" applyFont="1" applyAlignment="1">
      <alignment horizontal="center" vertical="center"/>
    </xf>
    <xf numFmtId="0" fontId="66" fillId="0" borderId="0" xfId="0" applyFont="1" applyAlignment="1">
      <alignment horizontal="center" vertical="center"/>
    </xf>
    <xf numFmtId="0" fontId="4" fillId="0" borderId="2" xfId="0" applyFont="1" applyBorder="1" applyAlignment="1">
      <alignment vertical="center" wrapText="1"/>
    </xf>
    <xf numFmtId="43" fontId="4" fillId="0" borderId="2" xfId="0" applyNumberFormat="1" applyFont="1" applyBorder="1" applyAlignment="1">
      <alignment vertical="center" wrapText="1"/>
    </xf>
    <xf numFmtId="0" fontId="4" fillId="3" borderId="2" xfId="0" applyFont="1" applyFill="1" applyBorder="1" applyAlignment="1">
      <alignment vertical="center" wrapText="1"/>
    </xf>
    <xf numFmtId="0" fontId="4" fillId="3" borderId="2" xfId="0" applyFont="1" applyFill="1" applyBorder="1" applyAlignment="1">
      <alignment horizontal="center" vertical="center" wrapText="1"/>
    </xf>
    <xf numFmtId="0" fontId="4" fillId="0" borderId="2" xfId="0" applyFont="1" applyBorder="1" applyAlignment="1">
      <alignment horizontal="center"/>
    </xf>
    <xf numFmtId="0" fontId="4" fillId="0" borderId="3" xfId="0" applyFont="1" applyBorder="1"/>
    <xf numFmtId="0" fontId="4" fillId="0" borderId="5" xfId="0" applyFont="1" applyBorder="1"/>
    <xf numFmtId="43" fontId="4" fillId="0" borderId="3" xfId="0" applyNumberFormat="1" applyFont="1" applyBorder="1" applyAlignment="1">
      <alignment vertical="center" wrapText="1"/>
    </xf>
    <xf numFmtId="43" fontId="4" fillId="0" borderId="5" xfId="0" applyNumberFormat="1" applyFont="1" applyBorder="1" applyAlignment="1">
      <alignment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4" fillId="0" borderId="5" xfId="0" applyFont="1" applyBorder="1" applyAlignment="1">
      <alignment horizontal="center" vertical="center" wrapText="1"/>
    </xf>
    <xf numFmtId="165" fontId="3" fillId="0" borderId="25" xfId="1" applyNumberFormat="1" applyFont="1" applyBorder="1" applyAlignment="1">
      <alignment horizontal="center" vertical="center" wrapText="1"/>
    </xf>
    <xf numFmtId="165" fontId="3" fillId="0" borderId="27" xfId="1" applyNumberFormat="1" applyFont="1" applyBorder="1" applyAlignment="1">
      <alignment horizontal="center" vertical="center" wrapText="1"/>
    </xf>
    <xf numFmtId="0" fontId="1" fillId="0" borderId="7" xfId="0" applyFont="1" applyBorder="1" applyAlignment="1">
      <alignment horizontal="center" vertical="center"/>
    </xf>
    <xf numFmtId="0" fontId="3" fillId="0" borderId="0" xfId="0" applyFont="1"/>
    <xf numFmtId="0" fontId="91" fillId="0" borderId="0" xfId="0" applyFont="1" applyAlignment="1">
      <alignment horizontal="center" vertical="center"/>
    </xf>
    <xf numFmtId="14" fontId="3" fillId="0" borderId="0" xfId="0" applyNumberFormat="1" applyFont="1" applyAlignment="1">
      <alignment horizontal="center" vertical="center" wrapText="1"/>
    </xf>
    <xf numFmtId="165" fontId="3" fillId="0" borderId="43" xfId="1" applyNumberFormat="1" applyFont="1" applyBorder="1" applyAlignment="1">
      <alignment horizontal="right" vertical="center" wrapText="1"/>
    </xf>
    <xf numFmtId="165" fontId="3" fillId="0" borderId="39" xfId="1" applyNumberFormat="1" applyFont="1" applyBorder="1" applyAlignment="1">
      <alignment horizontal="right" vertical="center" wrapText="1"/>
    </xf>
    <xf numFmtId="165" fontId="36" fillId="0" borderId="43" xfId="1" applyNumberFormat="1" applyFont="1" applyBorder="1" applyAlignment="1">
      <alignment horizontal="center" vertical="center" wrapText="1"/>
    </xf>
    <xf numFmtId="165" fontId="36" fillId="0" borderId="39" xfId="1" applyNumberFormat="1" applyFont="1" applyBorder="1" applyAlignment="1">
      <alignment horizontal="center" vertical="center" wrapText="1"/>
    </xf>
    <xf numFmtId="0" fontId="61" fillId="0" borderId="0" xfId="0" applyFont="1" applyAlignment="1">
      <alignment horizontal="center" vertical="center"/>
    </xf>
    <xf numFmtId="0" fontId="1" fillId="0" borderId="0" xfId="0" applyFont="1" applyAlignment="1">
      <alignment horizontal="justify" vertical="top"/>
    </xf>
    <xf numFmtId="0" fontId="34" fillId="0" borderId="0" xfId="0" applyFont="1" applyAlignment="1">
      <alignment vertical="top"/>
    </xf>
    <xf numFmtId="0" fontId="82" fillId="0" borderId="0" xfId="0" applyFont="1" applyAlignment="1">
      <alignment horizontal="center" vertical="center"/>
    </xf>
    <xf numFmtId="0" fontId="35" fillId="0" borderId="0" xfId="0" applyFont="1" applyAlignment="1">
      <alignment horizontal="center" vertical="top"/>
    </xf>
    <xf numFmtId="0" fontId="62" fillId="0" borderId="0" xfId="0" applyFont="1" applyAlignment="1">
      <alignment horizontal="center" vertical="center"/>
    </xf>
    <xf numFmtId="0" fontId="1" fillId="0" borderId="0" xfId="0" applyFont="1" applyAlignment="1">
      <alignment horizontal="justify" vertical="center" wrapText="1"/>
    </xf>
    <xf numFmtId="0" fontId="34" fillId="0" borderId="0" xfId="0" applyFont="1" applyAlignment="1">
      <alignment horizontal="center" vertical="top"/>
    </xf>
    <xf numFmtId="0" fontId="3" fillId="0" borderId="4" xfId="0" applyFont="1" applyBorder="1" applyAlignment="1">
      <alignment horizontal="left" vertical="center" wrapText="1"/>
    </xf>
    <xf numFmtId="14" fontId="3" fillId="0" borderId="4" xfId="0" applyNumberFormat="1" applyFont="1" applyBorder="1" applyAlignment="1">
      <alignment horizontal="center" vertical="center" wrapText="1"/>
    </xf>
    <xf numFmtId="0" fontId="128" fillId="0" borderId="0" xfId="0" applyFont="1" applyAlignment="1">
      <alignment vertical="center" wrapText="1"/>
    </xf>
    <xf numFmtId="0" fontId="128" fillId="0" borderId="0" xfId="0" applyFont="1" applyAlignment="1">
      <alignment horizontal="left" vertical="center" wrapText="1"/>
    </xf>
    <xf numFmtId="0" fontId="128" fillId="0" borderId="0" xfId="0" applyFont="1" applyAlignment="1">
      <alignment horizontal="left" vertical="center"/>
    </xf>
    <xf numFmtId="0" fontId="1" fillId="0" borderId="0" xfId="0" applyFont="1" applyAlignment="1">
      <alignment horizontal="right" wrapText="1"/>
    </xf>
    <xf numFmtId="0" fontId="210" fillId="0" borderId="0" xfId="0" applyFont="1" applyAlignment="1">
      <alignment horizontal="center" vertical="center"/>
    </xf>
    <xf numFmtId="0" fontId="18" fillId="0" borderId="0" xfId="0" applyFont="1" applyAlignment="1">
      <alignment vertical="center" wrapText="1"/>
    </xf>
    <xf numFmtId="0" fontId="18" fillId="0" borderId="0" xfId="0" applyFont="1" applyAlignment="1">
      <alignment horizontal="right" vertical="center" wrapText="1"/>
    </xf>
    <xf numFmtId="0" fontId="128" fillId="0" borderId="0" xfId="0" applyFont="1" applyAlignment="1">
      <alignment horizontal="left" wrapText="1"/>
    </xf>
    <xf numFmtId="0" fontId="116" fillId="0" borderId="0" xfId="0" applyFont="1" applyAlignment="1">
      <alignment horizontal="justify" vertical="center"/>
    </xf>
    <xf numFmtId="0" fontId="77" fillId="0" borderId="0" xfId="0" applyFont="1" applyAlignment="1">
      <alignment horizontal="right" vertical="center"/>
    </xf>
    <xf numFmtId="0" fontId="220" fillId="0" borderId="0" xfId="0" applyFont="1" applyAlignment="1">
      <alignment horizontal="center" vertical="center"/>
    </xf>
    <xf numFmtId="0" fontId="128" fillId="0" borderId="0" xfId="0" applyFont="1" applyAlignment="1">
      <alignment horizontal="justify" vertical="center"/>
    </xf>
    <xf numFmtId="0" fontId="128" fillId="0" borderId="0" xfId="0" applyFont="1" applyAlignment="1">
      <alignment horizontal="right" vertical="center"/>
    </xf>
    <xf numFmtId="0" fontId="33" fillId="0" borderId="0" xfId="0" applyFont="1" applyAlignment="1">
      <alignment vertical="center"/>
    </xf>
    <xf numFmtId="0" fontId="128" fillId="0" borderId="0" xfId="0" applyFont="1" applyAlignment="1">
      <alignment horizontal="center" vertical="center"/>
    </xf>
    <xf numFmtId="0" fontId="129" fillId="0" borderId="0" xfId="0" applyFont="1" applyAlignment="1">
      <alignment vertical="center"/>
    </xf>
    <xf numFmtId="0" fontId="128" fillId="0" borderId="0" xfId="0" applyFont="1" applyAlignment="1">
      <alignment horizontal="left" vertical="center" indent="5"/>
    </xf>
    <xf numFmtId="0" fontId="77" fillId="0" borderId="0" xfId="0" applyFont="1" applyAlignment="1">
      <alignment vertical="top" wrapText="1"/>
    </xf>
    <xf numFmtId="0" fontId="128" fillId="0" borderId="0" xfId="0" applyFont="1" applyAlignment="1">
      <alignment horizontal="justify" vertical="top"/>
    </xf>
    <xf numFmtId="49" fontId="128" fillId="0" borderId="0" xfId="0" applyNumberFormat="1" applyFont="1" applyAlignment="1">
      <alignment horizontal="center" vertical="top"/>
    </xf>
    <xf numFmtId="0" fontId="76" fillId="0" borderId="0" xfId="0" applyFont="1" applyAlignment="1">
      <alignment vertical="center" wrapText="1"/>
    </xf>
    <xf numFmtId="0" fontId="34" fillId="0" borderId="0" xfId="0" applyFont="1" applyAlignment="1">
      <alignment horizontal="left" vertical="top" wrapText="1"/>
    </xf>
    <xf numFmtId="0" fontId="34" fillId="0" borderId="0" xfId="0" applyFont="1" applyAlignment="1">
      <alignment horizontal="justify" vertical="top"/>
    </xf>
    <xf numFmtId="43" fontId="3" fillId="0" borderId="47" xfId="1" applyFont="1" applyFill="1" applyBorder="1" applyAlignment="1">
      <alignment horizontal="center" vertical="center" wrapText="1"/>
    </xf>
    <xf numFmtId="43" fontId="3" fillId="0" borderId="48" xfId="1" applyFont="1" applyFill="1" applyBorder="1" applyAlignment="1">
      <alignment horizontal="center" vertical="center" wrapText="1"/>
    </xf>
    <xf numFmtId="43" fontId="3" fillId="0" borderId="47" xfId="1" applyFont="1" applyFill="1" applyBorder="1" applyAlignment="1">
      <alignment horizontal="left" vertical="center" wrapText="1"/>
    </xf>
    <xf numFmtId="43" fontId="3" fillId="0" borderId="39" xfId="1" applyFont="1" applyFill="1" applyBorder="1" applyAlignment="1">
      <alignment horizontal="left" vertical="center" wrapText="1"/>
    </xf>
    <xf numFmtId="0" fontId="3" fillId="0" borderId="17"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22" xfId="0" applyFont="1" applyBorder="1" applyAlignment="1">
      <alignment horizontal="center" vertical="center" wrapText="1"/>
    </xf>
    <xf numFmtId="0" fontId="3" fillId="0" borderId="24" xfId="0" applyFont="1" applyBorder="1" applyAlignment="1">
      <alignment horizontal="right" vertical="center" wrapText="1"/>
    </xf>
    <xf numFmtId="0" fontId="3" fillId="0" borderId="44" xfId="0" applyFont="1" applyBorder="1" applyAlignment="1">
      <alignment horizontal="right" vertical="center" wrapText="1"/>
    </xf>
    <xf numFmtId="0" fontId="3" fillId="0" borderId="46" xfId="0" applyFont="1" applyBorder="1" applyAlignment="1">
      <alignment horizontal="right" vertical="center" wrapText="1"/>
    </xf>
    <xf numFmtId="0" fontId="3" fillId="2" borderId="16" xfId="0" applyFont="1" applyFill="1" applyBorder="1" applyAlignment="1">
      <alignment horizontal="center" vertical="center" wrapText="1"/>
    </xf>
    <xf numFmtId="0" fontId="49" fillId="0" borderId="0" xfId="0" applyFont="1" applyAlignment="1">
      <alignment horizontal="left" vertical="center"/>
    </xf>
    <xf numFmtId="0" fontId="42" fillId="0" borderId="0" xfId="0" applyFont="1" applyAlignment="1">
      <alignment horizontal="center" vertical="center"/>
    </xf>
    <xf numFmtId="0" fontId="48" fillId="0" borderId="0" xfId="0" applyFont="1" applyAlignment="1">
      <alignment horizontal="center" vertical="center"/>
    </xf>
    <xf numFmtId="0" fontId="3" fillId="2" borderId="20" xfId="0" applyFont="1" applyFill="1" applyBorder="1" applyAlignment="1">
      <alignment horizontal="center" vertical="center" wrapText="1"/>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49" fillId="0" borderId="0" xfId="0" applyFont="1" applyAlignment="1">
      <alignment horizontal="left" vertical="justify" wrapText="1"/>
    </xf>
    <xf numFmtId="0" fontId="3" fillId="2" borderId="19" xfId="0" applyFont="1" applyFill="1" applyBorder="1" applyAlignment="1">
      <alignment horizontal="center" vertical="center" wrapText="1"/>
    </xf>
    <xf numFmtId="14" fontId="3" fillId="0" borderId="0" xfId="0" applyNumberFormat="1" applyFont="1" applyAlignment="1">
      <alignment horizontal="center" vertical="center"/>
    </xf>
    <xf numFmtId="0" fontId="3" fillId="0" borderId="0" xfId="0" applyFont="1" applyAlignment="1"/>
    <xf numFmtId="14" fontId="34" fillId="0" borderId="0" xfId="0" applyNumberFormat="1" applyFont="1" applyAlignment="1">
      <alignment horizontal="center" vertical="center"/>
    </xf>
    <xf numFmtId="14" fontId="34" fillId="0" borderId="0" xfId="0" applyNumberFormat="1" applyFont="1" applyAlignment="1">
      <alignment vertical="center"/>
    </xf>
    <xf numFmtId="0" fontId="34" fillId="0" borderId="0" xfId="0" applyFont="1" applyAlignment="1"/>
    <xf numFmtId="14" fontId="1" fillId="0" borderId="0" xfId="0" applyNumberFormat="1" applyFont="1" applyAlignment="1">
      <alignment horizontal="center" vertical="center"/>
    </xf>
    <xf numFmtId="14" fontId="1" fillId="0" borderId="0" xfId="0" applyNumberFormat="1" applyFont="1" applyAlignment="1">
      <alignment vertical="center"/>
    </xf>
    <xf numFmtId="0" fontId="1" fillId="0" borderId="0" xfId="0" applyFont="1" applyAlignment="1"/>
    <xf numFmtId="0" fontId="76" fillId="0" borderId="0" xfId="0" applyFont="1" applyAlignment="1">
      <alignment horizontal="left" vertical="top" wrapText="1"/>
    </xf>
    <xf numFmtId="0" fontId="34" fillId="0" borderId="0" xfId="0" applyFont="1" applyAlignment="1">
      <alignment vertical="center" wrapText="1"/>
    </xf>
    <xf numFmtId="0" fontId="76" fillId="0" borderId="0" xfId="0" applyFont="1" applyAlignment="1">
      <alignment horizontal="left" vertical="top"/>
    </xf>
  </cellXfs>
  <cellStyles count="7">
    <cellStyle name="Comma" xfId="1" builtinId="3"/>
    <cellStyle name="Comma 2" xfId="5" xr:uid="{00000000-0005-0000-0000-000001000000}"/>
    <cellStyle name="Hyperlink" xfId="3" builtinId="8"/>
    <cellStyle name="Normal" xfId="0" builtinId="0"/>
    <cellStyle name="Normal 2" xfId="4" xr:uid="{00000000-0005-0000-0000-000004000000}"/>
    <cellStyle name="Percent" xfId="2" builtinId="5"/>
    <cellStyle name="Percent 2" xfId="6" xr:uid="{00000000-0005-0000-0000-000006000000}"/>
  </cellStyles>
  <dxfs count="25">
    <dxf>
      <font>
        <i val="0"/>
        <condense val="0"/>
        <extend val="0"/>
        <color rgb="FFFFFFFF"/>
      </font>
      <fill>
        <patternFill>
          <fgColor indexed="64"/>
          <bgColor rgb="FFFFFFFF"/>
        </patternFill>
      </fill>
    </dxf>
    <dxf>
      <numFmt numFmtId="189" formatCode=";;;"/>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font>
        <color theme="0"/>
      </font>
      <fill>
        <patternFill>
          <bgColor theme="0"/>
        </patternFill>
      </fill>
      <border>
        <left/>
        <right/>
        <bottom/>
        <vertical/>
        <horizontal/>
      </border>
    </dxf>
    <dxf>
      <font>
        <color theme="0"/>
      </font>
      <fill>
        <patternFill>
          <bgColor theme="0"/>
        </patternFill>
      </fill>
    </dxf>
    <dxf>
      <font>
        <color theme="1"/>
      </font>
      <fill>
        <patternFill>
          <bgColor theme="0"/>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font>
        <color theme="0"/>
      </font>
      <fill>
        <patternFill>
          <bgColor theme="0"/>
        </patternFill>
      </fill>
      <border>
        <left/>
        <right/>
        <bottom/>
        <vertical/>
        <horizontal/>
      </border>
    </dxf>
    <dxf>
      <font>
        <color theme="0"/>
      </font>
      <fill>
        <patternFill patternType="solid">
          <bgColor theme="0"/>
        </patternFill>
      </fill>
    </dxf>
    <dxf>
      <font>
        <color rgb="FFC00000"/>
      </font>
      <fill>
        <patternFill>
          <bgColor rgb="FFFF8F8F"/>
        </patternFill>
      </fill>
    </dxf>
    <dxf>
      <font>
        <color theme="0"/>
      </font>
      <fill>
        <patternFill>
          <bgColor theme="0"/>
        </patternFill>
      </fill>
    </dxf>
    <dxf>
      <font>
        <color theme="0"/>
      </font>
      <fill>
        <patternFill>
          <bgColor theme="0"/>
        </patternFill>
      </fill>
    </dxf>
    <dxf>
      <font>
        <color theme="0" tint="-0.14996795556505021"/>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ont>
        <color rgb="FFC00000"/>
      </font>
      <fill>
        <patternFill>
          <bgColor rgb="FFFF8F8F"/>
        </patternFill>
      </fill>
    </dxf>
    <dxf>
      <font>
        <color theme="0"/>
      </font>
      <fill>
        <patternFill>
          <bgColor theme="0"/>
        </patternFill>
      </fill>
    </dxf>
    <dxf>
      <font>
        <color theme="0" tint="-0.14996795556505021"/>
      </font>
      <fill>
        <patternFill>
          <bgColor theme="0"/>
        </patternFill>
      </fill>
    </dxf>
    <dxf>
      <font>
        <color theme="0"/>
      </font>
      <fill>
        <patternFill>
          <bgColor theme="0"/>
        </patternFill>
      </fill>
    </dxf>
    <dxf>
      <font>
        <color theme="0" tint="-0.14996795556505021"/>
      </font>
      <fill>
        <patternFill>
          <bgColor theme="0"/>
        </patternFill>
      </fill>
    </dxf>
    <dxf>
      <font>
        <color theme="0"/>
      </font>
      <fill>
        <patternFill>
          <bgColor theme="0"/>
        </patternFill>
      </fill>
    </dxf>
  </dxfs>
  <tableStyles count="0" defaultTableStyle="TableStyleMedium2" defaultPivotStyle="PivotStyleMedium9"/>
  <colors>
    <mruColors>
      <color rgb="FF006600"/>
      <color rgb="FF0000FF"/>
      <color rgb="FFAFFFAF"/>
      <color rgb="FF0000AC"/>
      <color rgb="FF5BFF5B"/>
      <color rgb="FF817E00"/>
      <color rgb="FFFFFF9B"/>
      <color rgb="FFCDFFCD"/>
      <color rgb="FF8F8FFF"/>
      <color rgb="FFFF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247650</xdr:colOff>
      <xdr:row>0</xdr:row>
      <xdr:rowOff>57150</xdr:rowOff>
    </xdr:from>
    <xdr:to>
      <xdr:col>5</xdr:col>
      <xdr:colOff>209550</xdr:colOff>
      <xdr:row>3</xdr:row>
      <xdr:rowOff>19050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3925" y="57150"/>
          <a:ext cx="5905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371475</xdr:colOff>
      <xdr:row>0</xdr:row>
      <xdr:rowOff>190500</xdr:rowOff>
    </xdr:from>
    <xdr:to>
      <xdr:col>1</xdr:col>
      <xdr:colOff>1095375</xdr:colOff>
      <xdr:row>3</xdr:row>
      <xdr:rowOff>47625</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838200" y="190500"/>
          <a:ext cx="723900" cy="7048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5</xdr:col>
          <xdr:colOff>323850</xdr:colOff>
          <xdr:row>0</xdr:row>
          <xdr:rowOff>171450</xdr:rowOff>
        </xdr:from>
        <xdr:to>
          <xdr:col>6</xdr:col>
          <xdr:colOff>552450</xdr:colOff>
          <xdr:row>3</xdr:row>
          <xdr:rowOff>171450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0100-000001E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9525</xdr:colOff>
      <xdr:row>0</xdr:row>
      <xdr:rowOff>66675</xdr:rowOff>
    </xdr:from>
    <xdr:to>
      <xdr:col>2</xdr:col>
      <xdr:colOff>714375</xdr:colOff>
      <xdr:row>3</xdr:row>
      <xdr:rowOff>95250</xdr:rowOff>
    </xdr:to>
    <xdr:pic>
      <xdr:nvPicPr>
        <xdr:cNvPr id="3" name="Picture 2">
          <a:extLst>
            <a:ext uri="{FF2B5EF4-FFF2-40B4-BE49-F238E27FC236}">
              <a16:creationId xmlns:a16="http://schemas.microsoft.com/office/drawing/2014/main" id="{00000000-0008-0000-02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5800" y="66675"/>
          <a:ext cx="7048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13415</xdr:colOff>
      <xdr:row>58</xdr:row>
      <xdr:rowOff>14553</xdr:rowOff>
    </xdr:from>
    <xdr:to>
      <xdr:col>9</xdr:col>
      <xdr:colOff>296632</xdr:colOff>
      <xdr:row>59</xdr:row>
      <xdr:rowOff>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74384" y="6420116"/>
          <a:ext cx="283217" cy="207698"/>
        </a:xfrm>
        <a:prstGeom prst="rect">
          <a:avLst/>
        </a:prstGeom>
      </xdr:spPr>
    </xdr:pic>
    <xdr:clientData/>
  </xdr:twoCellAnchor>
  <xdr:twoCellAnchor editAs="oneCell">
    <xdr:from>
      <xdr:col>9</xdr:col>
      <xdr:colOff>53977</xdr:colOff>
      <xdr:row>59</xdr:row>
      <xdr:rowOff>47096</xdr:rowOff>
    </xdr:from>
    <xdr:to>
      <xdr:col>9</xdr:col>
      <xdr:colOff>223311</xdr:colOff>
      <xdr:row>59</xdr:row>
      <xdr:rowOff>216430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922377" y="4390496"/>
          <a:ext cx="169334" cy="16933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39</xdr:col>
      <xdr:colOff>238125</xdr:colOff>
      <xdr:row>31</xdr:row>
      <xdr:rowOff>38100</xdr:rowOff>
    </xdr:from>
    <xdr:to>
      <xdr:col>41</xdr:col>
      <xdr:colOff>295275</xdr:colOff>
      <xdr:row>33</xdr:row>
      <xdr:rowOff>38100</xdr:rowOff>
    </xdr:to>
    <xdr:sp macro="" textlink="">
      <xdr:nvSpPr>
        <xdr:cNvPr id="2" name="Notched Right Arrow 1">
          <a:extLst>
            <a:ext uri="{FF2B5EF4-FFF2-40B4-BE49-F238E27FC236}">
              <a16:creationId xmlns:a16="http://schemas.microsoft.com/office/drawing/2014/main" id="{00000000-0008-0000-0500-000002000000}"/>
            </a:ext>
          </a:extLst>
        </xdr:cNvPr>
        <xdr:cNvSpPr/>
      </xdr:nvSpPr>
      <xdr:spPr>
        <a:xfrm flipH="1">
          <a:off x="8743950" y="11096625"/>
          <a:ext cx="1323975" cy="43815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Input date</a:t>
          </a:r>
        </a:p>
      </xdr:txBody>
    </xdr:sp>
    <xdr:clientData/>
  </xdr:twoCellAnchor>
  <xdr:twoCellAnchor>
    <xdr:from>
      <xdr:col>39</xdr:col>
      <xdr:colOff>238125</xdr:colOff>
      <xdr:row>87</xdr:row>
      <xdr:rowOff>47625</xdr:rowOff>
    </xdr:from>
    <xdr:to>
      <xdr:col>40</xdr:col>
      <xdr:colOff>466724</xdr:colOff>
      <xdr:row>95</xdr:row>
      <xdr:rowOff>209550</xdr:rowOff>
    </xdr:to>
    <xdr:sp macro="" textlink="">
      <xdr:nvSpPr>
        <xdr:cNvPr id="6" name="Right Brace 5">
          <a:extLst>
            <a:ext uri="{FF2B5EF4-FFF2-40B4-BE49-F238E27FC236}">
              <a16:creationId xmlns:a16="http://schemas.microsoft.com/office/drawing/2014/main" id="{00000000-0008-0000-0500-000006000000}"/>
            </a:ext>
          </a:extLst>
        </xdr:cNvPr>
        <xdr:cNvSpPr/>
      </xdr:nvSpPr>
      <xdr:spPr>
        <a:xfrm>
          <a:off x="8743950" y="32851725"/>
          <a:ext cx="838199" cy="2219325"/>
        </a:xfrm>
        <a:prstGeom prst="rightBrace">
          <a:avLst/>
        </a:prstGeom>
      </xdr:spPr>
      <xdr:style>
        <a:lnRef idx="3">
          <a:schemeClr val="accent1"/>
        </a:lnRef>
        <a:fillRef idx="0">
          <a:schemeClr val="accent1"/>
        </a:fillRef>
        <a:effectRef idx="2">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40</xdr:col>
      <xdr:colOff>542925</xdr:colOff>
      <xdr:row>90</xdr:row>
      <xdr:rowOff>171450</xdr:rowOff>
    </xdr:from>
    <xdr:to>
      <xdr:col>42</xdr:col>
      <xdr:colOff>600075</xdr:colOff>
      <xdr:row>92</xdr:row>
      <xdr:rowOff>95250</xdr:rowOff>
    </xdr:to>
    <xdr:sp macro="" textlink="">
      <xdr:nvSpPr>
        <xdr:cNvPr id="10" name="Notched Right Arrow 9">
          <a:extLst>
            <a:ext uri="{FF2B5EF4-FFF2-40B4-BE49-F238E27FC236}">
              <a16:creationId xmlns:a16="http://schemas.microsoft.com/office/drawing/2014/main" id="{00000000-0008-0000-0500-00000A000000}"/>
            </a:ext>
          </a:extLst>
        </xdr:cNvPr>
        <xdr:cNvSpPr/>
      </xdr:nvSpPr>
      <xdr:spPr>
        <a:xfrm flipH="1">
          <a:off x="9658350" y="33747075"/>
          <a:ext cx="1323975" cy="43815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Input data</a:t>
          </a:r>
        </a:p>
      </xdr:txBody>
    </xdr:sp>
    <xdr:clientData/>
  </xdr:twoCellAnchor>
  <xdr:twoCellAnchor>
    <xdr:from>
      <xdr:col>39</xdr:col>
      <xdr:colOff>247650</xdr:colOff>
      <xdr:row>181</xdr:row>
      <xdr:rowOff>0</xdr:rowOff>
    </xdr:from>
    <xdr:to>
      <xdr:col>41</xdr:col>
      <xdr:colOff>304800</xdr:colOff>
      <xdr:row>181</xdr:row>
      <xdr:rowOff>438150</xdr:rowOff>
    </xdr:to>
    <xdr:sp macro="" textlink="">
      <xdr:nvSpPr>
        <xdr:cNvPr id="11" name="Notched Right Arrow 10">
          <a:extLst>
            <a:ext uri="{FF2B5EF4-FFF2-40B4-BE49-F238E27FC236}">
              <a16:creationId xmlns:a16="http://schemas.microsoft.com/office/drawing/2014/main" id="{00000000-0008-0000-0500-00000B000000}"/>
            </a:ext>
          </a:extLst>
        </xdr:cNvPr>
        <xdr:cNvSpPr/>
      </xdr:nvSpPr>
      <xdr:spPr>
        <a:xfrm flipH="1">
          <a:off x="8753475" y="65046225"/>
          <a:ext cx="1323975" cy="43815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Input Date</a:t>
          </a:r>
        </a:p>
      </xdr:txBody>
    </xdr:sp>
    <xdr:clientData/>
  </xdr:twoCellAnchor>
  <xdr:twoCellAnchor>
    <xdr:from>
      <xdr:col>39</xdr:col>
      <xdr:colOff>333375</xdr:colOff>
      <xdr:row>183</xdr:row>
      <xdr:rowOff>409575</xdr:rowOff>
    </xdr:from>
    <xdr:to>
      <xdr:col>41</xdr:col>
      <xdr:colOff>390525</xdr:colOff>
      <xdr:row>184</xdr:row>
      <xdr:rowOff>400050</xdr:rowOff>
    </xdr:to>
    <xdr:sp macro="" textlink="">
      <xdr:nvSpPr>
        <xdr:cNvPr id="12" name="Notched Right Arrow 11">
          <a:extLst>
            <a:ext uri="{FF2B5EF4-FFF2-40B4-BE49-F238E27FC236}">
              <a16:creationId xmlns:a16="http://schemas.microsoft.com/office/drawing/2014/main" id="{00000000-0008-0000-0500-00000C000000}"/>
            </a:ext>
          </a:extLst>
        </xdr:cNvPr>
        <xdr:cNvSpPr/>
      </xdr:nvSpPr>
      <xdr:spPr>
        <a:xfrm flipH="1">
          <a:off x="8839200" y="66351150"/>
          <a:ext cx="1323975" cy="438150"/>
        </a:xfrm>
        <a:prstGeom prst="notched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Input Date</a:t>
          </a:r>
        </a:p>
      </xdr:txBody>
    </xdr:sp>
    <xdr:clientData/>
  </xdr:twoCellAnchor>
  <xdr:oneCellAnchor>
    <xdr:from>
      <xdr:col>5</xdr:col>
      <xdr:colOff>187156</xdr:colOff>
      <xdr:row>171</xdr:row>
      <xdr:rowOff>395329</xdr:rowOff>
    </xdr:from>
    <xdr:ext cx="6006220" cy="651192"/>
    <xdr:sp macro="" textlink="">
      <xdr:nvSpPr>
        <xdr:cNvPr id="3" name="TextBox 2">
          <a:extLst>
            <a:ext uri="{FF2B5EF4-FFF2-40B4-BE49-F238E27FC236}">
              <a16:creationId xmlns:a16="http://schemas.microsoft.com/office/drawing/2014/main" id="{00000000-0008-0000-0400-000003000000}"/>
            </a:ext>
          </a:extLst>
        </xdr:cNvPr>
        <xdr:cNvSpPr txBox="1"/>
      </xdr:nvSpPr>
      <xdr:spPr>
        <a:xfrm rot="19288389">
          <a:off x="1492081" y="53516254"/>
          <a:ext cx="6006220" cy="6511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4400">
              <a:latin typeface="SutonnyMJ" pitchFamily="2" charset="0"/>
            </a:rPr>
            <a:t>‡cÖvcvBj</a:t>
          </a:r>
          <a:r>
            <a:rPr lang="en-US" sz="4400" baseline="0">
              <a:latin typeface="SutonnyMJ" pitchFamily="2" charset="0"/>
            </a:rPr>
            <a:t> †gvZv‡eK</a:t>
          </a:r>
          <a:endParaRPr lang="en-US" sz="1100">
            <a:latin typeface="SutonnyMJ" pitchFamily="2" charset="0"/>
          </a:endParaRPr>
        </a:p>
      </xdr:txBody>
    </xdr:sp>
    <xdr:clientData/>
  </xdr:oneCellAnchor>
  <mc:AlternateContent xmlns:mc="http://schemas.openxmlformats.org/markup-compatibility/2006">
    <mc:Choice xmlns:a14="http://schemas.microsoft.com/office/drawing/2010/main" Requires="a14">
      <xdr:twoCellAnchor>
        <xdr:from>
          <xdr:col>41</xdr:col>
          <xdr:colOff>66675</xdr:colOff>
          <xdr:row>1</xdr:row>
          <xdr:rowOff>0</xdr:rowOff>
        </xdr:from>
        <xdr:to>
          <xdr:col>42</xdr:col>
          <xdr:colOff>0</xdr:colOff>
          <xdr:row>2</xdr:row>
          <xdr:rowOff>0</xdr:rowOff>
        </xdr:to>
        <xdr:sp macro="" textlink="">
          <xdr:nvSpPr>
            <xdr:cNvPr id="323585" name="Button 1" hidden="1">
              <a:extLst>
                <a:ext uri="{63B3BB69-23CF-44E3-9099-C40C66FF867C}">
                  <a14:compatExt spid="_x0000_s323585"/>
                </a:ext>
                <a:ext uri="{FF2B5EF4-FFF2-40B4-BE49-F238E27FC236}">
                  <a16:creationId xmlns:a16="http://schemas.microsoft.com/office/drawing/2014/main" id="{00000000-0008-0000-0400-000001F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to</a:t>
              </a:r>
            </a:p>
            <a:p>
              <a:pPr algn="ctr" rtl="0">
                <a:defRPr sz="1000"/>
              </a:pPr>
              <a:r>
                <a:rPr lang="en-AS" sz="1100" b="0" i="0" u="none" strike="noStrike" baseline="0">
                  <a:solidFill>
                    <a:srgbClr val="000000"/>
                  </a:solidFill>
                  <a:latin typeface="Calibri"/>
                  <a:cs typeface="Calibri"/>
                </a:rPr>
                <a:t>Data Input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31750</xdr:rowOff>
    </xdr:from>
    <xdr:to>
      <xdr:col>14</xdr:col>
      <xdr:colOff>0</xdr:colOff>
      <xdr:row>31</xdr:row>
      <xdr:rowOff>95250</xdr:rowOff>
    </xdr:to>
    <xdr:sp macro="" textlink="">
      <xdr:nvSpPr>
        <xdr:cNvPr id="2" name="Frame 1">
          <a:extLst>
            <a:ext uri="{FF2B5EF4-FFF2-40B4-BE49-F238E27FC236}">
              <a16:creationId xmlns:a16="http://schemas.microsoft.com/office/drawing/2014/main" id="{00000000-0008-0000-0400-000006000000}"/>
            </a:ext>
          </a:extLst>
        </xdr:cNvPr>
        <xdr:cNvSpPr/>
      </xdr:nvSpPr>
      <xdr:spPr>
        <a:xfrm>
          <a:off x="0" y="31750"/>
          <a:ext cx="7366000" cy="12223750"/>
        </a:xfrm>
        <a:prstGeom prst="frame">
          <a:avLst>
            <a:gd name="adj1" fmla="val 3227"/>
          </a:avLst>
        </a:prstGeom>
        <a:solidFill>
          <a:schemeClr val="tx2">
            <a:lumMod val="20000"/>
            <a:lumOff val="80000"/>
          </a:schemeClr>
        </a:solidFill>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GB"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1943100</xdr:colOff>
      <xdr:row>1</xdr:row>
      <xdr:rowOff>95250</xdr:rowOff>
    </xdr:from>
    <xdr:to>
      <xdr:col>4</xdr:col>
      <xdr:colOff>2990850</xdr:colOff>
      <xdr:row>5</xdr:row>
      <xdr:rowOff>19050</xdr:rowOff>
    </xdr:to>
    <xdr:sp macro="" textlink="">
      <xdr:nvSpPr>
        <xdr:cNvPr id="401409" name="Text Box 2">
          <a:extLst>
            <a:ext uri="{FF2B5EF4-FFF2-40B4-BE49-F238E27FC236}">
              <a16:creationId xmlns:a16="http://schemas.microsoft.com/office/drawing/2014/main" id="{00000000-0008-0000-0600-000001200600}"/>
            </a:ext>
          </a:extLst>
        </xdr:cNvPr>
        <xdr:cNvSpPr txBox="1">
          <a:spLocks noChangeArrowheads="1"/>
        </xdr:cNvSpPr>
      </xdr:nvSpPr>
      <xdr:spPr bwMode="auto">
        <a:xfrm>
          <a:off x="5524500" y="466725"/>
          <a:ext cx="1047750" cy="86677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ctr" rtl="0">
            <a:defRPr sz="1000"/>
          </a:pPr>
          <a:r>
            <a:rPr lang="en-US" sz="1600" b="0" i="0" u="none" strike="noStrike" baseline="0">
              <a:solidFill>
                <a:srgbClr val="000000"/>
              </a:solidFill>
              <a:latin typeface="SutonnyMJ"/>
            </a:rPr>
            <a:t>Qwe</a:t>
          </a:r>
        </a:p>
        <a:p>
          <a:pPr algn="l" rtl="0">
            <a:defRPr sz="1000"/>
          </a:pPr>
          <a:endParaRPr lang="en-US" sz="1100" b="0" i="0" u="none" strike="noStrike" baseline="0">
            <a:solidFill>
              <a:srgbClr val="000000"/>
            </a:solidFill>
            <a:latin typeface="SutonnyMJ"/>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923925</xdr:colOff>
      <xdr:row>0</xdr:row>
      <xdr:rowOff>142875</xdr:rowOff>
    </xdr:from>
    <xdr:to>
      <xdr:col>1</xdr:col>
      <xdr:colOff>1657350</xdr:colOff>
      <xdr:row>3</xdr:row>
      <xdr:rowOff>0</xdr:rowOff>
    </xdr:to>
    <xdr:pic>
      <xdr:nvPicPr>
        <xdr:cNvPr id="2" name="Picture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1428750" y="142875"/>
          <a:ext cx="733425" cy="7048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4</xdr:col>
          <xdr:colOff>76200</xdr:colOff>
          <xdr:row>3</xdr:row>
          <xdr:rowOff>123825</xdr:rowOff>
        </xdr:from>
        <xdr:to>
          <xdr:col>5</xdr:col>
          <xdr:colOff>95250</xdr:colOff>
          <xdr:row>6</xdr:row>
          <xdr:rowOff>9525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28575</xdr:colOff>
      <xdr:row>0</xdr:row>
      <xdr:rowOff>95250</xdr:rowOff>
    </xdr:from>
    <xdr:to>
      <xdr:col>3</xdr:col>
      <xdr:colOff>47625</xdr:colOff>
      <xdr:row>3</xdr:row>
      <xdr:rowOff>152400</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50" y="95250"/>
          <a:ext cx="5905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504825</xdr:colOff>
          <xdr:row>4</xdr:row>
          <xdr:rowOff>333375</xdr:rowOff>
        </xdr:from>
        <xdr:to>
          <xdr:col>12</xdr:col>
          <xdr:colOff>523875</xdr:colOff>
          <xdr:row>6</xdr:row>
          <xdr:rowOff>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0B00-0000019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57150</xdr:colOff>
      <xdr:row>4</xdr:row>
      <xdr:rowOff>0</xdr:rowOff>
    </xdr:from>
    <xdr:to>
      <xdr:col>14</xdr:col>
      <xdr:colOff>0</xdr:colOff>
      <xdr:row>4</xdr:row>
      <xdr:rowOff>0</xdr:rowOff>
    </xdr:to>
    <xdr:sp macro="" textlink="">
      <xdr:nvSpPr>
        <xdr:cNvPr id="13326" name="Straight Connector 2">
          <a:extLst>
            <a:ext uri="{FF2B5EF4-FFF2-40B4-BE49-F238E27FC236}">
              <a16:creationId xmlns:a16="http://schemas.microsoft.com/office/drawing/2014/main" id="{00000000-0008-0000-2400-00000E340000}"/>
            </a:ext>
          </a:extLst>
        </xdr:cNvPr>
        <xdr:cNvSpPr>
          <a:spLocks noChangeShapeType="1"/>
        </xdr:cNvSpPr>
      </xdr:nvSpPr>
      <xdr:spPr bwMode="auto">
        <a:xfrm>
          <a:off x="57150" y="1343025"/>
          <a:ext cx="6629400" cy="0"/>
        </a:xfrm>
        <a:prstGeom prst="line">
          <a:avLst/>
        </a:prstGeom>
        <a:noFill/>
        <a:ln w="19050">
          <a:solidFill>
            <a:srgbClr val="4579B8"/>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66675</xdr:colOff>
      <xdr:row>7</xdr:row>
      <xdr:rowOff>38100</xdr:rowOff>
    </xdr:from>
    <xdr:to>
      <xdr:col>12</xdr:col>
      <xdr:colOff>66675</xdr:colOff>
      <xdr:row>23</xdr:row>
      <xdr:rowOff>123825</xdr:rowOff>
    </xdr:to>
    <xdr:sp macro="" textlink="">
      <xdr:nvSpPr>
        <xdr:cNvPr id="13324" name="Straight Connector 11">
          <a:extLst>
            <a:ext uri="{FF2B5EF4-FFF2-40B4-BE49-F238E27FC236}">
              <a16:creationId xmlns:a16="http://schemas.microsoft.com/office/drawing/2014/main" id="{00000000-0008-0000-2400-00000C340000}"/>
            </a:ext>
          </a:extLst>
        </xdr:cNvPr>
        <xdr:cNvSpPr>
          <a:spLocks noChangeShapeType="1"/>
        </xdr:cNvSpPr>
      </xdr:nvSpPr>
      <xdr:spPr bwMode="auto">
        <a:xfrm>
          <a:off x="3724275" y="2047875"/>
          <a:ext cx="0" cy="3848100"/>
        </a:xfrm>
        <a:prstGeom prst="line">
          <a:avLst/>
        </a:prstGeom>
        <a:noFill/>
        <a:ln w="15875">
          <a:solidFill>
            <a:srgbClr val="4579B8"/>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359834</xdr:colOff>
      <xdr:row>7</xdr:row>
      <xdr:rowOff>28575</xdr:rowOff>
    </xdr:from>
    <xdr:to>
      <xdr:col>13</xdr:col>
      <xdr:colOff>361950</xdr:colOff>
      <xdr:row>24</xdr:row>
      <xdr:rowOff>254000</xdr:rowOff>
    </xdr:to>
    <xdr:sp macro="" textlink="">
      <xdr:nvSpPr>
        <xdr:cNvPr id="13322" name="Straight Connector 12">
          <a:extLst>
            <a:ext uri="{FF2B5EF4-FFF2-40B4-BE49-F238E27FC236}">
              <a16:creationId xmlns:a16="http://schemas.microsoft.com/office/drawing/2014/main" id="{00000000-0008-0000-2400-00000A340000}"/>
            </a:ext>
          </a:extLst>
        </xdr:cNvPr>
        <xdr:cNvSpPr>
          <a:spLocks noChangeShapeType="1"/>
        </xdr:cNvSpPr>
      </xdr:nvSpPr>
      <xdr:spPr bwMode="auto">
        <a:xfrm flipH="1">
          <a:off x="4656667" y="2039408"/>
          <a:ext cx="2116" cy="4162425"/>
        </a:xfrm>
        <a:prstGeom prst="line">
          <a:avLst/>
        </a:prstGeom>
        <a:noFill/>
        <a:ln w="15875">
          <a:solidFill>
            <a:srgbClr val="4579B8"/>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66675</xdr:colOff>
      <xdr:row>26</xdr:row>
      <xdr:rowOff>116417</xdr:rowOff>
    </xdr:from>
    <xdr:to>
      <xdr:col>12</xdr:col>
      <xdr:colOff>105833</xdr:colOff>
      <xdr:row>41</xdr:row>
      <xdr:rowOff>38100</xdr:rowOff>
    </xdr:to>
    <xdr:sp macro="" textlink="">
      <xdr:nvSpPr>
        <xdr:cNvPr id="13317" name="Straight Connector 14">
          <a:extLst>
            <a:ext uri="{FF2B5EF4-FFF2-40B4-BE49-F238E27FC236}">
              <a16:creationId xmlns:a16="http://schemas.microsoft.com/office/drawing/2014/main" id="{00000000-0008-0000-2400-000005340000}"/>
            </a:ext>
          </a:extLst>
        </xdr:cNvPr>
        <xdr:cNvSpPr>
          <a:spLocks noChangeShapeType="1"/>
        </xdr:cNvSpPr>
      </xdr:nvSpPr>
      <xdr:spPr bwMode="auto">
        <a:xfrm flipH="1">
          <a:off x="3749675" y="6656917"/>
          <a:ext cx="39158" cy="2948516"/>
        </a:xfrm>
        <a:prstGeom prst="line">
          <a:avLst/>
        </a:prstGeom>
        <a:noFill/>
        <a:ln w="15875">
          <a:solidFill>
            <a:srgbClr val="4579B8"/>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26</xdr:row>
      <xdr:rowOff>51858</xdr:rowOff>
    </xdr:from>
    <xdr:to>
      <xdr:col>12</xdr:col>
      <xdr:colOff>161925</xdr:colOff>
      <xdr:row>26</xdr:row>
      <xdr:rowOff>51858</xdr:rowOff>
    </xdr:to>
    <xdr:sp macro="" textlink="">
      <xdr:nvSpPr>
        <xdr:cNvPr id="13316" name="Straight Connector 15">
          <a:extLst>
            <a:ext uri="{FF2B5EF4-FFF2-40B4-BE49-F238E27FC236}">
              <a16:creationId xmlns:a16="http://schemas.microsoft.com/office/drawing/2014/main" id="{00000000-0008-0000-2400-000004340000}"/>
            </a:ext>
          </a:extLst>
        </xdr:cNvPr>
        <xdr:cNvSpPr>
          <a:spLocks noChangeShapeType="1"/>
        </xdr:cNvSpPr>
      </xdr:nvSpPr>
      <xdr:spPr bwMode="auto">
        <a:xfrm flipH="1">
          <a:off x="0" y="6592358"/>
          <a:ext cx="3844925" cy="0"/>
        </a:xfrm>
        <a:prstGeom prst="line">
          <a:avLst/>
        </a:prstGeom>
        <a:noFill/>
        <a:ln w="15875">
          <a:solidFill>
            <a:srgbClr val="4579B8"/>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23</xdr:row>
      <xdr:rowOff>137583</xdr:rowOff>
    </xdr:from>
    <xdr:to>
      <xdr:col>12</xdr:col>
      <xdr:colOff>161925</xdr:colOff>
      <xdr:row>23</xdr:row>
      <xdr:rowOff>137583</xdr:rowOff>
    </xdr:to>
    <xdr:sp macro="" textlink="">
      <xdr:nvSpPr>
        <xdr:cNvPr id="13313" name="Straight Connector 16">
          <a:extLst>
            <a:ext uri="{FF2B5EF4-FFF2-40B4-BE49-F238E27FC236}">
              <a16:creationId xmlns:a16="http://schemas.microsoft.com/office/drawing/2014/main" id="{00000000-0008-0000-2400-000001340000}"/>
            </a:ext>
          </a:extLst>
        </xdr:cNvPr>
        <xdr:cNvSpPr>
          <a:spLocks noChangeShapeType="1"/>
        </xdr:cNvSpPr>
      </xdr:nvSpPr>
      <xdr:spPr bwMode="auto">
        <a:xfrm flipH="1">
          <a:off x="0" y="5852583"/>
          <a:ext cx="3844925" cy="0"/>
        </a:xfrm>
        <a:prstGeom prst="line">
          <a:avLst/>
        </a:prstGeom>
        <a:noFill/>
        <a:ln w="15875">
          <a:solidFill>
            <a:srgbClr val="4579B8"/>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361950</xdr:colOff>
      <xdr:row>24</xdr:row>
      <xdr:rowOff>210608</xdr:rowOff>
    </xdr:from>
    <xdr:to>
      <xdr:col>13</xdr:col>
      <xdr:colOff>361950</xdr:colOff>
      <xdr:row>40</xdr:row>
      <xdr:rowOff>58208</xdr:rowOff>
    </xdr:to>
    <xdr:sp macro="" textlink="">
      <xdr:nvSpPr>
        <xdr:cNvPr id="13319" name="Straight Connector 19">
          <a:extLst>
            <a:ext uri="{FF2B5EF4-FFF2-40B4-BE49-F238E27FC236}">
              <a16:creationId xmlns:a16="http://schemas.microsoft.com/office/drawing/2014/main" id="{00000000-0008-0000-2400-000007340000}"/>
            </a:ext>
          </a:extLst>
        </xdr:cNvPr>
        <xdr:cNvSpPr>
          <a:spLocks noChangeShapeType="1"/>
        </xdr:cNvSpPr>
      </xdr:nvSpPr>
      <xdr:spPr bwMode="auto">
        <a:xfrm>
          <a:off x="4658783" y="6200775"/>
          <a:ext cx="0" cy="3234266"/>
        </a:xfrm>
        <a:prstGeom prst="line">
          <a:avLst/>
        </a:prstGeom>
        <a:noFill/>
        <a:ln w="15875">
          <a:solidFill>
            <a:srgbClr val="4579B8"/>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133352</xdr:colOff>
      <xdr:row>6</xdr:row>
      <xdr:rowOff>133350</xdr:rowOff>
    </xdr:from>
    <xdr:to>
      <xdr:col>13</xdr:col>
      <xdr:colOff>296338</xdr:colOff>
      <xdr:row>10</xdr:row>
      <xdr:rowOff>190500</xdr:rowOff>
    </xdr:to>
    <xdr:sp macro="" textlink="">
      <xdr:nvSpPr>
        <xdr:cNvPr id="13325" name="Right Arrow 22">
          <a:extLst>
            <a:ext uri="{FF2B5EF4-FFF2-40B4-BE49-F238E27FC236}">
              <a16:creationId xmlns:a16="http://schemas.microsoft.com/office/drawing/2014/main" id="{00000000-0008-0000-2400-00000D340000}"/>
            </a:ext>
          </a:extLst>
        </xdr:cNvPr>
        <xdr:cNvSpPr>
          <a:spLocks noChangeArrowheads="1"/>
        </xdr:cNvSpPr>
      </xdr:nvSpPr>
      <xdr:spPr bwMode="auto">
        <a:xfrm rot="-5400000">
          <a:off x="3699937" y="2070098"/>
          <a:ext cx="1009650" cy="776819"/>
        </a:xfrm>
        <a:prstGeom prst="rightArrow">
          <a:avLst>
            <a:gd name="adj1" fmla="val 50000"/>
            <a:gd name="adj2" fmla="val 45680"/>
          </a:avLst>
        </a:prstGeom>
        <a:solidFill>
          <a:srgbClr val="FFFFFF"/>
        </a:solidFill>
        <a:ln w="25400">
          <a:solidFill>
            <a:srgbClr val="F79646"/>
          </a:solidFill>
          <a:miter lim="800000"/>
          <a:headEnd/>
          <a:tailEnd/>
        </a:ln>
      </xdr:spPr>
      <xdr:txBody>
        <a:bodyPr vertOverflow="clip" vert="vert270" wrap="square" lIns="91440" tIns="45720" rIns="91440" bIns="45720" anchor="t" upright="1"/>
        <a:lstStyle/>
        <a:p>
          <a:pPr algn="ctr" rtl="0">
            <a:defRPr sz="1000"/>
          </a:pPr>
          <a:r>
            <a:rPr lang="en-GB" sz="1600" b="1" i="0" u="none" strike="noStrike" baseline="0">
              <a:solidFill>
                <a:srgbClr val="000000"/>
              </a:solidFill>
              <a:latin typeface="SutonnyMJ"/>
              <a:cs typeface="SutonnyMJ"/>
            </a:rPr>
            <a:t>mvBb‡evW©</a:t>
          </a:r>
          <a:endParaRPr lang="en-GB" sz="1600" b="1" i="0" u="none" strike="noStrike" baseline="0">
            <a:solidFill>
              <a:srgbClr val="000000"/>
            </a:solidFill>
            <a:latin typeface="Calibri"/>
            <a:cs typeface="Calibri"/>
          </a:endParaRPr>
        </a:p>
        <a:p>
          <a:pPr algn="l" rtl="0">
            <a:defRPr sz="1000"/>
          </a:pPr>
          <a:r>
            <a:rPr lang="en-GB" sz="1400" b="0" i="0" u="none" strike="noStrike" baseline="0">
              <a:solidFill>
                <a:srgbClr val="000000"/>
              </a:solidFill>
              <a:latin typeface="SutonnyMJ"/>
              <a:cs typeface="SutonnyMJ"/>
            </a:rPr>
            <a:t> </a:t>
          </a:r>
        </a:p>
      </xdr:txBody>
    </xdr:sp>
    <xdr:clientData/>
  </xdr:twoCellAnchor>
  <xdr:twoCellAnchor>
    <xdr:from>
      <xdr:col>7</xdr:col>
      <xdr:colOff>71436</xdr:colOff>
      <xdr:row>14</xdr:row>
      <xdr:rowOff>2385</xdr:rowOff>
    </xdr:from>
    <xdr:to>
      <xdr:col>7</xdr:col>
      <xdr:colOff>488155</xdr:colOff>
      <xdr:row>19</xdr:row>
      <xdr:rowOff>85728</xdr:rowOff>
    </xdr:to>
    <xdr:sp macro="" textlink="">
      <xdr:nvSpPr>
        <xdr:cNvPr id="13320" name="Right Arrow 23">
          <a:extLst>
            <a:ext uri="{FF2B5EF4-FFF2-40B4-BE49-F238E27FC236}">
              <a16:creationId xmlns:a16="http://schemas.microsoft.com/office/drawing/2014/main" id="{00000000-0008-0000-2400-000008340000}"/>
            </a:ext>
          </a:extLst>
        </xdr:cNvPr>
        <xdr:cNvSpPr>
          <a:spLocks noChangeArrowheads="1"/>
        </xdr:cNvSpPr>
      </xdr:nvSpPr>
      <xdr:spPr bwMode="auto">
        <a:xfrm rot="5400000">
          <a:off x="2786062" y="4264822"/>
          <a:ext cx="1440655" cy="416719"/>
        </a:xfrm>
        <a:prstGeom prst="roundRect">
          <a:avLst/>
        </a:prstGeom>
        <a:solidFill>
          <a:srgbClr val="FFFFFF"/>
        </a:solidFill>
        <a:ln w="25400">
          <a:solidFill>
            <a:srgbClr val="F79646"/>
          </a:solidFill>
          <a:miter lim="800000"/>
          <a:headEnd/>
          <a:tailEnd/>
        </a:ln>
      </xdr:spPr>
      <xdr:txBody>
        <a:bodyPr vertOverflow="clip" vert="vert270" wrap="square" lIns="91440" tIns="45720" rIns="91440" bIns="45720" anchor="ctr" upright="1"/>
        <a:lstStyle/>
        <a:p>
          <a:pPr algn="ctr" rtl="0">
            <a:defRPr sz="1000"/>
          </a:pPr>
          <a:r>
            <a:rPr lang="en-GB" sz="1400" b="1" i="0" u="none" strike="noStrike" baseline="0">
              <a:solidFill>
                <a:srgbClr val="000000"/>
              </a:solidFill>
              <a:latin typeface="SutonnyMJ"/>
              <a:cs typeface="SutonnyMJ"/>
            </a:rPr>
            <a:t>wnivwSj Lvj</a:t>
          </a:r>
          <a:endParaRPr lang="en-GB" sz="1100" b="1" i="0" u="none" strike="noStrike" baseline="0">
            <a:solidFill>
              <a:srgbClr val="000000"/>
            </a:solidFill>
            <a:latin typeface="SutonnyMJ"/>
            <a:cs typeface="SutonnyMJ"/>
          </a:endParaRPr>
        </a:p>
      </xdr:txBody>
    </xdr:sp>
    <xdr:clientData/>
  </xdr:twoCellAnchor>
  <xdr:twoCellAnchor>
    <xdr:from>
      <xdr:col>3</xdr:col>
      <xdr:colOff>443441</xdr:colOff>
      <xdr:row>23</xdr:row>
      <xdr:rowOff>269875</xdr:rowOff>
    </xdr:from>
    <xdr:to>
      <xdr:col>10</xdr:col>
      <xdr:colOff>386291</xdr:colOff>
      <xdr:row>25</xdr:row>
      <xdr:rowOff>212725</xdr:rowOff>
    </xdr:to>
    <xdr:sp macro="" textlink="">
      <xdr:nvSpPr>
        <xdr:cNvPr id="13314" name="Left Arrow 25">
          <a:extLst>
            <a:ext uri="{FF2B5EF4-FFF2-40B4-BE49-F238E27FC236}">
              <a16:creationId xmlns:a16="http://schemas.microsoft.com/office/drawing/2014/main" id="{00000000-0008-0000-2400-000002340000}"/>
            </a:ext>
          </a:extLst>
        </xdr:cNvPr>
        <xdr:cNvSpPr>
          <a:spLocks noChangeArrowheads="1"/>
        </xdr:cNvSpPr>
      </xdr:nvSpPr>
      <xdr:spPr bwMode="auto">
        <a:xfrm>
          <a:off x="1671108" y="5984875"/>
          <a:ext cx="1170516" cy="493183"/>
        </a:xfrm>
        <a:prstGeom prst="leftArrow">
          <a:avLst>
            <a:gd name="adj1" fmla="val 50000"/>
            <a:gd name="adj2" fmla="val 49997"/>
          </a:avLst>
        </a:prstGeom>
        <a:solidFill>
          <a:srgbClr val="FFFFFF"/>
        </a:solidFill>
        <a:ln w="25400">
          <a:solidFill>
            <a:srgbClr val="F79646"/>
          </a:solidFill>
          <a:miter lim="800000"/>
          <a:headEnd/>
          <a:tailEnd/>
        </a:ln>
      </xdr:spPr>
      <xdr:txBody>
        <a:bodyPr vertOverflow="clip" wrap="square" lIns="91440" tIns="45720" rIns="91440" bIns="45720" anchor="t" upright="1"/>
        <a:lstStyle/>
        <a:p>
          <a:pPr algn="l" rtl="0">
            <a:defRPr sz="1000"/>
          </a:pPr>
          <a:r>
            <a:rPr lang="en-GB" sz="1400" b="1" i="0" u="none" strike="noStrike" baseline="0">
              <a:solidFill>
                <a:srgbClr val="000000"/>
              </a:solidFill>
              <a:latin typeface="SutonnyMJ"/>
              <a:cs typeface="SutonnyMJ"/>
            </a:rPr>
            <a:t>Av`gRx †ivW</a:t>
          </a:r>
        </a:p>
      </xdr:txBody>
    </xdr:sp>
    <xdr:clientData/>
  </xdr:twoCellAnchor>
  <xdr:twoCellAnchor>
    <xdr:from>
      <xdr:col>12</xdr:col>
      <xdr:colOff>200025</xdr:colOff>
      <xdr:row>31</xdr:row>
      <xdr:rowOff>38100</xdr:rowOff>
    </xdr:from>
    <xdr:to>
      <xdr:col>13</xdr:col>
      <xdr:colOff>264584</xdr:colOff>
      <xdr:row>36</xdr:row>
      <xdr:rowOff>123825</xdr:rowOff>
    </xdr:to>
    <xdr:sp macro="" textlink="">
      <xdr:nvSpPr>
        <xdr:cNvPr id="13318" name="Right Arrow 1">
          <a:extLst>
            <a:ext uri="{FF2B5EF4-FFF2-40B4-BE49-F238E27FC236}">
              <a16:creationId xmlns:a16="http://schemas.microsoft.com/office/drawing/2014/main" id="{00000000-0008-0000-2400-000006340000}"/>
            </a:ext>
          </a:extLst>
        </xdr:cNvPr>
        <xdr:cNvSpPr>
          <a:spLocks noChangeArrowheads="1"/>
        </xdr:cNvSpPr>
      </xdr:nvSpPr>
      <xdr:spPr bwMode="auto">
        <a:xfrm rot="5400000">
          <a:off x="3692525" y="7912100"/>
          <a:ext cx="1059392" cy="678392"/>
        </a:xfrm>
        <a:prstGeom prst="rightArrow">
          <a:avLst>
            <a:gd name="adj1" fmla="val 50000"/>
            <a:gd name="adj2" fmla="val 49882"/>
          </a:avLst>
        </a:prstGeom>
        <a:solidFill>
          <a:srgbClr val="FFFFFF"/>
        </a:solidFill>
        <a:ln w="25400">
          <a:solidFill>
            <a:srgbClr val="F79646"/>
          </a:solidFill>
          <a:miter lim="800000"/>
          <a:headEnd/>
          <a:tailEnd/>
        </a:ln>
      </xdr:spPr>
      <xdr:txBody>
        <a:bodyPr vertOverflow="clip" vert="vert270" wrap="square" lIns="91440" tIns="45720" rIns="91440" bIns="45720" anchor="t" upright="1"/>
        <a:lstStyle/>
        <a:p>
          <a:pPr algn="l" rtl="0">
            <a:defRPr sz="1000"/>
          </a:pPr>
          <a:r>
            <a:rPr lang="en-GB" sz="1400" b="1" i="0" u="none" strike="noStrike" baseline="0">
              <a:solidFill>
                <a:srgbClr val="000000"/>
              </a:solidFill>
              <a:latin typeface="SutonnyMJ"/>
              <a:cs typeface="SutonnyMJ"/>
            </a:rPr>
            <a:t>KvuvPcyi eªxR</a:t>
          </a:r>
          <a:endParaRPr lang="en-GB" sz="1100" b="1" i="0" u="none" strike="noStrike" baseline="0">
            <a:solidFill>
              <a:srgbClr val="000000"/>
            </a:solidFill>
            <a:latin typeface="SutonnyMJ"/>
            <a:cs typeface="SutonnyMJ"/>
          </a:endParaRPr>
        </a:p>
      </xdr:txBody>
    </xdr:sp>
    <xdr:clientData/>
  </xdr:twoCellAnchor>
  <xdr:twoCellAnchor>
    <xdr:from>
      <xdr:col>11</xdr:col>
      <xdr:colOff>602530</xdr:colOff>
      <xdr:row>19</xdr:row>
      <xdr:rowOff>109912</xdr:rowOff>
    </xdr:from>
    <xdr:to>
      <xdr:col>12</xdr:col>
      <xdr:colOff>444797</xdr:colOff>
      <xdr:row>20</xdr:row>
      <xdr:rowOff>171839</xdr:rowOff>
    </xdr:to>
    <xdr:sp macro="" textlink="">
      <xdr:nvSpPr>
        <xdr:cNvPr id="14" name="Left Arrow 25">
          <a:extLst>
            <a:ext uri="{FF2B5EF4-FFF2-40B4-BE49-F238E27FC236}">
              <a16:creationId xmlns:a16="http://schemas.microsoft.com/office/drawing/2014/main" id="{00000000-0008-0000-2400-00000E000000}"/>
            </a:ext>
          </a:extLst>
        </xdr:cNvPr>
        <xdr:cNvSpPr>
          <a:spLocks noChangeArrowheads="1"/>
        </xdr:cNvSpPr>
      </xdr:nvSpPr>
      <xdr:spPr bwMode="auto">
        <a:xfrm rot="10800000" flipH="1">
          <a:off x="5519811" y="5217693"/>
          <a:ext cx="449486" cy="335771"/>
        </a:xfrm>
        <a:prstGeom prst="leftArrow">
          <a:avLst>
            <a:gd name="adj1" fmla="val 50000"/>
            <a:gd name="adj2" fmla="val 49997"/>
          </a:avLst>
        </a:prstGeom>
        <a:solidFill>
          <a:srgbClr val="FFFFFF"/>
        </a:solidFill>
        <a:ln w="25400">
          <a:solidFill>
            <a:srgbClr val="F79646"/>
          </a:solidFill>
          <a:miter lim="800000"/>
          <a:headEnd/>
          <a:tailEnd/>
        </a:ln>
      </xdr:spPr>
      <xdr:txBody>
        <a:bodyPr vertOverflow="clip" wrap="square" lIns="91440" tIns="45720" rIns="91440" bIns="45720" anchor="t" upright="1"/>
        <a:lstStyle/>
        <a:p>
          <a:pPr algn="l" rtl="0">
            <a:defRPr sz="1000"/>
          </a:pPr>
          <a:endParaRPr lang="en-GB" sz="1400" b="1" i="0" u="none" strike="noStrike" baseline="0">
            <a:solidFill>
              <a:srgbClr val="000000"/>
            </a:solidFill>
            <a:latin typeface="SutonnyMJ"/>
            <a:cs typeface="SutonnyMJ"/>
          </a:endParaRPr>
        </a:p>
      </xdr:txBody>
    </xdr:sp>
    <xdr:clientData/>
  </xdr:twoCellAnchor>
  <xdr:twoCellAnchor>
    <xdr:from>
      <xdr:col>12</xdr:col>
      <xdr:colOff>142876</xdr:colOff>
      <xdr:row>23</xdr:row>
      <xdr:rowOff>214316</xdr:rowOff>
    </xdr:from>
    <xdr:to>
      <xdr:col>13</xdr:col>
      <xdr:colOff>345282</xdr:colOff>
      <xdr:row>26</xdr:row>
      <xdr:rowOff>47629</xdr:rowOff>
    </xdr:to>
    <xdr:sp macro="" textlink="">
      <xdr:nvSpPr>
        <xdr:cNvPr id="15" name="Right Arrow 23">
          <a:extLst>
            <a:ext uri="{FF2B5EF4-FFF2-40B4-BE49-F238E27FC236}">
              <a16:creationId xmlns:a16="http://schemas.microsoft.com/office/drawing/2014/main" id="{00000000-0008-0000-2400-00000F000000}"/>
            </a:ext>
          </a:extLst>
        </xdr:cNvPr>
        <xdr:cNvSpPr>
          <a:spLocks noChangeArrowheads="1"/>
        </xdr:cNvSpPr>
      </xdr:nvSpPr>
      <xdr:spPr bwMode="auto">
        <a:xfrm rot="5400000">
          <a:off x="5744767" y="6423425"/>
          <a:ext cx="654844" cy="809625"/>
        </a:xfrm>
        <a:prstGeom prst="roundRect">
          <a:avLst/>
        </a:prstGeom>
        <a:solidFill>
          <a:srgbClr val="FFFFFF"/>
        </a:solidFill>
        <a:ln w="25400">
          <a:solidFill>
            <a:srgbClr val="F79646"/>
          </a:solidFill>
          <a:miter lim="800000"/>
          <a:headEnd/>
          <a:tailEnd/>
        </a:ln>
      </xdr:spPr>
      <xdr:txBody>
        <a:bodyPr vertOverflow="clip" vert="vert270" wrap="square" lIns="91440" tIns="45720" rIns="91440" bIns="45720" anchor="ctr" upright="1"/>
        <a:lstStyle/>
        <a:p>
          <a:pPr algn="ctr" rtl="0">
            <a:defRPr sz="1000"/>
          </a:pPr>
          <a:endParaRPr lang="en-GB" sz="1100" b="1" i="0" u="none" strike="noStrike" baseline="0">
            <a:solidFill>
              <a:srgbClr val="000000"/>
            </a:solidFill>
            <a:latin typeface="SutonnyMJ"/>
            <a:cs typeface="SutonnyMJ"/>
          </a:endParaRPr>
        </a:p>
      </xdr:txBody>
    </xdr:sp>
    <xdr:clientData/>
  </xdr:twoCellAnchor>
  <xdr:twoCellAnchor>
    <xdr:from>
      <xdr:col>1</xdr:col>
      <xdr:colOff>566813</xdr:colOff>
      <xdr:row>10</xdr:row>
      <xdr:rowOff>62286</xdr:rowOff>
    </xdr:from>
    <xdr:to>
      <xdr:col>3</xdr:col>
      <xdr:colOff>218579</xdr:colOff>
      <xdr:row>11</xdr:row>
      <xdr:rowOff>124213</xdr:rowOff>
    </xdr:to>
    <xdr:sp macro="" textlink="">
      <xdr:nvSpPr>
        <xdr:cNvPr id="16" name="Left Arrow 25">
          <a:extLst>
            <a:ext uri="{FF2B5EF4-FFF2-40B4-BE49-F238E27FC236}">
              <a16:creationId xmlns:a16="http://schemas.microsoft.com/office/drawing/2014/main" id="{00000000-0008-0000-2400-00000E000000}"/>
            </a:ext>
          </a:extLst>
        </xdr:cNvPr>
        <xdr:cNvSpPr>
          <a:spLocks noChangeArrowheads="1"/>
        </xdr:cNvSpPr>
      </xdr:nvSpPr>
      <xdr:spPr bwMode="auto">
        <a:xfrm rot="10800000" flipH="1">
          <a:off x="1031157" y="2800724"/>
          <a:ext cx="449485" cy="335770"/>
        </a:xfrm>
        <a:prstGeom prst="leftArrow">
          <a:avLst>
            <a:gd name="adj1" fmla="val 50000"/>
            <a:gd name="adj2" fmla="val 49997"/>
          </a:avLst>
        </a:prstGeom>
        <a:solidFill>
          <a:srgbClr val="FFFFFF"/>
        </a:solidFill>
        <a:ln w="25400">
          <a:solidFill>
            <a:srgbClr val="F79646"/>
          </a:solidFill>
          <a:miter lim="800000"/>
          <a:headEnd/>
          <a:tailEnd/>
        </a:ln>
      </xdr:spPr>
      <xdr:txBody>
        <a:bodyPr vertOverflow="clip" wrap="square" lIns="91440" tIns="45720" rIns="91440" bIns="45720" anchor="t" upright="1"/>
        <a:lstStyle/>
        <a:p>
          <a:pPr algn="l" rtl="0">
            <a:defRPr sz="1000"/>
          </a:pPr>
          <a:endParaRPr lang="en-GB" sz="1400" b="1" i="0" u="none" strike="noStrike" baseline="0">
            <a:solidFill>
              <a:srgbClr val="000000"/>
            </a:solidFill>
            <a:latin typeface="SutonnyMJ"/>
            <a:cs typeface="SutonnyMJ"/>
          </a:endParaRPr>
        </a:p>
      </xdr:txBody>
    </xdr:sp>
    <xdr:clientData/>
  </xdr:twoCellAnchor>
  <xdr:twoCellAnchor>
    <xdr:from>
      <xdr:col>5</xdr:col>
      <xdr:colOff>0</xdr:colOff>
      <xdr:row>15</xdr:row>
      <xdr:rowOff>95250</xdr:rowOff>
    </xdr:from>
    <xdr:to>
      <xdr:col>5</xdr:col>
      <xdr:colOff>439960</xdr:colOff>
      <xdr:row>15</xdr:row>
      <xdr:rowOff>431020</xdr:rowOff>
    </xdr:to>
    <xdr:sp macro="" textlink="">
      <xdr:nvSpPr>
        <xdr:cNvPr id="17" name="Left Arrow 25">
          <a:extLst>
            <a:ext uri="{FF2B5EF4-FFF2-40B4-BE49-F238E27FC236}">
              <a16:creationId xmlns:a16="http://schemas.microsoft.com/office/drawing/2014/main" id="{00000000-0008-0000-2400-00000E000000}"/>
            </a:ext>
          </a:extLst>
        </xdr:cNvPr>
        <xdr:cNvSpPr>
          <a:spLocks noChangeArrowheads="1"/>
        </xdr:cNvSpPr>
      </xdr:nvSpPr>
      <xdr:spPr bwMode="auto">
        <a:xfrm rot="10800000" flipH="1">
          <a:off x="2297906" y="4131469"/>
          <a:ext cx="439960" cy="335770"/>
        </a:xfrm>
        <a:prstGeom prst="leftArrow">
          <a:avLst>
            <a:gd name="adj1" fmla="val 50000"/>
            <a:gd name="adj2" fmla="val 49997"/>
          </a:avLst>
        </a:prstGeom>
        <a:solidFill>
          <a:srgbClr val="FFFFFF"/>
        </a:solidFill>
        <a:ln w="25400">
          <a:solidFill>
            <a:srgbClr val="F79646"/>
          </a:solidFill>
          <a:miter lim="800000"/>
          <a:headEnd/>
          <a:tailEnd/>
        </a:ln>
      </xdr:spPr>
      <xdr:txBody>
        <a:bodyPr vertOverflow="clip" wrap="square" lIns="91440" tIns="45720" rIns="91440" bIns="45720" anchor="t" upright="1"/>
        <a:lstStyle/>
        <a:p>
          <a:pPr algn="l" rtl="0">
            <a:defRPr sz="1000"/>
          </a:pPr>
          <a:endParaRPr lang="en-GB" sz="1400" b="1" i="0" u="none" strike="noStrike" baseline="0">
            <a:solidFill>
              <a:srgbClr val="000000"/>
            </a:solidFill>
            <a:latin typeface="SutonnyMJ"/>
            <a:cs typeface="SutonnyMJ"/>
          </a:endParaRPr>
        </a:p>
      </xdr:txBody>
    </xdr:sp>
    <xdr:clientData/>
  </xdr:twoCellAnchor>
  <xdr:twoCellAnchor>
    <xdr:from>
      <xdr:col>3</xdr:col>
      <xdr:colOff>56860</xdr:colOff>
      <xdr:row>14</xdr:row>
      <xdr:rowOff>74112</xdr:rowOff>
    </xdr:from>
    <xdr:to>
      <xdr:col>3</xdr:col>
      <xdr:colOff>392630</xdr:colOff>
      <xdr:row>15</xdr:row>
      <xdr:rowOff>237847</xdr:rowOff>
    </xdr:to>
    <xdr:sp macro="" textlink="">
      <xdr:nvSpPr>
        <xdr:cNvPr id="18" name="Left Arrow 25">
          <a:extLst>
            <a:ext uri="{FF2B5EF4-FFF2-40B4-BE49-F238E27FC236}">
              <a16:creationId xmlns:a16="http://schemas.microsoft.com/office/drawing/2014/main" id="{00000000-0008-0000-2400-00000E000000}"/>
            </a:ext>
          </a:extLst>
        </xdr:cNvPr>
        <xdr:cNvSpPr>
          <a:spLocks noChangeArrowheads="1"/>
        </xdr:cNvSpPr>
      </xdr:nvSpPr>
      <xdr:spPr bwMode="auto">
        <a:xfrm rot="16200000" flipH="1">
          <a:off x="1262065" y="3881439"/>
          <a:ext cx="449485" cy="335770"/>
        </a:xfrm>
        <a:prstGeom prst="leftArrow">
          <a:avLst>
            <a:gd name="adj1" fmla="val 50000"/>
            <a:gd name="adj2" fmla="val 49997"/>
          </a:avLst>
        </a:prstGeom>
        <a:solidFill>
          <a:srgbClr val="FFFFFF"/>
        </a:solidFill>
        <a:ln w="25400">
          <a:solidFill>
            <a:srgbClr val="F79646"/>
          </a:solidFill>
          <a:miter lim="800000"/>
          <a:headEnd/>
          <a:tailEnd/>
        </a:ln>
      </xdr:spPr>
      <xdr:txBody>
        <a:bodyPr vertOverflow="clip" wrap="square" lIns="91440" tIns="45720" rIns="91440" bIns="45720" anchor="t" upright="1"/>
        <a:lstStyle/>
        <a:p>
          <a:pPr algn="l" rtl="0">
            <a:defRPr sz="1000"/>
          </a:pPr>
          <a:endParaRPr lang="en-GB" sz="1400" b="1" i="0" u="none" strike="noStrike" baseline="0">
            <a:solidFill>
              <a:srgbClr val="000000"/>
            </a:solidFill>
            <a:latin typeface="SutonnyMJ"/>
            <a:cs typeface="SutonnyMJ"/>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66676</xdr:colOff>
      <xdr:row>0</xdr:row>
      <xdr:rowOff>95251</xdr:rowOff>
    </xdr:from>
    <xdr:to>
      <xdr:col>12</xdr:col>
      <xdr:colOff>47626</xdr:colOff>
      <xdr:row>3</xdr:row>
      <xdr:rowOff>123825</xdr:rowOff>
    </xdr:to>
    <xdr:pic>
      <xdr:nvPicPr>
        <xdr:cNvPr id="4" name="Picture 3">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1400176" y="95251"/>
          <a:ext cx="552450" cy="552449"/>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40</xdr:col>
          <xdr:colOff>142875</xdr:colOff>
          <xdr:row>2</xdr:row>
          <xdr:rowOff>9525</xdr:rowOff>
        </xdr:from>
        <xdr:to>
          <xdr:col>43</xdr:col>
          <xdr:colOff>419100</xdr:colOff>
          <xdr:row>5</xdr:row>
          <xdr:rowOff>38100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40</xdr:col>
      <xdr:colOff>209550</xdr:colOff>
      <xdr:row>7</xdr:row>
      <xdr:rowOff>104775</xdr:rowOff>
    </xdr:from>
    <xdr:to>
      <xdr:col>47</xdr:col>
      <xdr:colOff>219075</xdr:colOff>
      <xdr:row>11</xdr:row>
      <xdr:rowOff>85725</xdr:rowOff>
    </xdr:to>
    <xdr:sp macro="" textlink="">
      <xdr:nvSpPr>
        <xdr:cNvPr id="2" name="Star: 7 Points 1">
          <a:extLst>
            <a:ext uri="{FF2B5EF4-FFF2-40B4-BE49-F238E27FC236}">
              <a16:creationId xmlns:a16="http://schemas.microsoft.com/office/drawing/2014/main" id="{00000000-0008-0000-0F00-000002000000}"/>
            </a:ext>
          </a:extLst>
        </xdr:cNvPr>
        <xdr:cNvSpPr/>
      </xdr:nvSpPr>
      <xdr:spPr>
        <a:xfrm>
          <a:off x="6429375" y="1352550"/>
          <a:ext cx="2266950" cy="609600"/>
        </a:xfrm>
        <a:prstGeom prst="star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Input</a:t>
          </a:r>
          <a:r>
            <a:rPr lang="en-IN" sz="1200" baseline="0"/>
            <a:t> Here</a:t>
          </a:r>
          <a:endParaRPr lang="en-IN" sz="1200"/>
        </a:p>
      </xdr:txBody>
    </xdr:sp>
    <xdr:clientData/>
  </xdr:twoCellAnchor>
  <xdr:twoCellAnchor>
    <xdr:from>
      <xdr:col>43</xdr:col>
      <xdr:colOff>276225</xdr:colOff>
      <xdr:row>4</xdr:row>
      <xdr:rowOff>171450</xdr:rowOff>
    </xdr:from>
    <xdr:to>
      <xdr:col>45</xdr:col>
      <xdr:colOff>66675</xdr:colOff>
      <xdr:row>7</xdr:row>
      <xdr:rowOff>104775</xdr:rowOff>
    </xdr:to>
    <xdr:cxnSp macro="">
      <xdr:nvCxnSpPr>
        <xdr:cNvPr id="3" name="Straight Arrow Connector 2">
          <a:extLst>
            <a:ext uri="{FF2B5EF4-FFF2-40B4-BE49-F238E27FC236}">
              <a16:creationId xmlns:a16="http://schemas.microsoft.com/office/drawing/2014/main" id="{00000000-0008-0000-0F00-000003000000}"/>
            </a:ext>
          </a:extLst>
        </xdr:cNvPr>
        <xdr:cNvCxnSpPr>
          <a:stCxn id="2" idx="6"/>
        </xdr:cNvCxnSpPr>
      </xdr:nvCxnSpPr>
      <xdr:spPr>
        <a:xfrm flipV="1">
          <a:off x="7562850" y="971550"/>
          <a:ext cx="523875" cy="38100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40</xdr:col>
      <xdr:colOff>57150</xdr:colOff>
      <xdr:row>4</xdr:row>
      <xdr:rowOff>171450</xdr:rowOff>
    </xdr:from>
    <xdr:to>
      <xdr:col>43</xdr:col>
      <xdr:colOff>276225</xdr:colOff>
      <xdr:row>7</xdr:row>
      <xdr:rowOff>104775</xdr:rowOff>
    </xdr:to>
    <xdr:cxnSp macro="">
      <xdr:nvCxnSpPr>
        <xdr:cNvPr id="4" name="Straight Arrow Connector 3">
          <a:extLst>
            <a:ext uri="{FF2B5EF4-FFF2-40B4-BE49-F238E27FC236}">
              <a16:creationId xmlns:a16="http://schemas.microsoft.com/office/drawing/2014/main" id="{00000000-0008-0000-0F00-000004000000}"/>
            </a:ext>
          </a:extLst>
        </xdr:cNvPr>
        <xdr:cNvCxnSpPr>
          <a:stCxn id="2" idx="6"/>
        </xdr:cNvCxnSpPr>
      </xdr:nvCxnSpPr>
      <xdr:spPr>
        <a:xfrm flipH="1" flipV="1">
          <a:off x="6276975" y="971550"/>
          <a:ext cx="1285875" cy="38100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40</xdr:col>
      <xdr:colOff>19050</xdr:colOff>
      <xdr:row>16</xdr:row>
      <xdr:rowOff>133350</xdr:rowOff>
    </xdr:from>
    <xdr:to>
      <xdr:col>41</xdr:col>
      <xdr:colOff>9525</xdr:colOff>
      <xdr:row>16</xdr:row>
      <xdr:rowOff>133350</xdr:rowOff>
    </xdr:to>
    <xdr:cxnSp macro="">
      <xdr:nvCxnSpPr>
        <xdr:cNvPr id="5" name="Straight Arrow Connector 4">
          <a:extLst>
            <a:ext uri="{FF2B5EF4-FFF2-40B4-BE49-F238E27FC236}">
              <a16:creationId xmlns:a16="http://schemas.microsoft.com/office/drawing/2014/main" id="{00000000-0008-0000-0F00-000005000000}"/>
            </a:ext>
          </a:extLst>
        </xdr:cNvPr>
        <xdr:cNvCxnSpPr/>
      </xdr:nvCxnSpPr>
      <xdr:spPr>
        <a:xfrm flipH="1">
          <a:off x="6238875" y="2943225"/>
          <a:ext cx="485775" cy="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xdr:col>
      <xdr:colOff>9525</xdr:colOff>
      <xdr:row>0</xdr:row>
      <xdr:rowOff>76200</xdr:rowOff>
    </xdr:from>
    <xdr:to>
      <xdr:col>7</xdr:col>
      <xdr:colOff>123825</xdr:colOff>
      <xdr:row>3</xdr:row>
      <xdr:rowOff>38100</xdr:rowOff>
    </xdr:to>
    <xdr:pic>
      <xdr:nvPicPr>
        <xdr:cNvPr id="9" name="Picture 8">
          <a:extLst>
            <a:ext uri="{FF2B5EF4-FFF2-40B4-BE49-F238E27FC236}">
              <a16:creationId xmlns:a16="http://schemas.microsoft.com/office/drawing/2014/main" id="{00000000-0008-0000-0F00-000009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5" y="76200"/>
          <a:ext cx="6572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40</xdr:col>
          <xdr:colOff>219075</xdr:colOff>
          <xdr:row>0</xdr:row>
          <xdr:rowOff>9525</xdr:rowOff>
        </xdr:from>
        <xdr:to>
          <xdr:col>43</xdr:col>
          <xdr:colOff>66675</xdr:colOff>
          <xdr:row>3</xdr:row>
          <xdr:rowOff>85725</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0F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914400</xdr:colOff>
      <xdr:row>0</xdr:row>
      <xdr:rowOff>152400</xdr:rowOff>
    </xdr:from>
    <xdr:to>
      <xdr:col>1</xdr:col>
      <xdr:colOff>1638300</xdr:colOff>
      <xdr:row>3</xdr:row>
      <xdr:rowOff>9525</xdr:rowOff>
    </xdr:to>
    <xdr:pic>
      <xdr:nvPicPr>
        <xdr:cNvPr id="4" name="Picture 3">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1381125" y="152400"/>
          <a:ext cx="723900" cy="704850"/>
        </a:xfrm>
        <a:prstGeom prst="rect">
          <a:avLst/>
        </a:prstGeom>
        <a:noFill/>
        <a:ln>
          <a:noFill/>
        </a:ln>
      </xdr:spPr>
    </xdr:pic>
    <xdr:clientData/>
  </xdr:twoCellAnchor>
  <xdr:twoCellAnchor>
    <xdr:from>
      <xdr:col>1</xdr:col>
      <xdr:colOff>781050</xdr:colOff>
      <xdr:row>0</xdr:row>
      <xdr:rowOff>190500</xdr:rowOff>
    </xdr:from>
    <xdr:to>
      <xdr:col>2</xdr:col>
      <xdr:colOff>657225</xdr:colOff>
      <xdr:row>2</xdr:row>
      <xdr:rowOff>142875</xdr:rowOff>
    </xdr:to>
    <xdr:pic>
      <xdr:nvPicPr>
        <xdr:cNvPr id="5" name="Picture 4">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1590675" y="190500"/>
          <a:ext cx="685800" cy="628650"/>
        </a:xfrm>
        <a:prstGeom prst="rect">
          <a:avLst/>
        </a:prstGeom>
        <a:noFill/>
        <a:ln>
          <a:noFill/>
        </a:ln>
      </xdr:spPr>
    </xdr:pic>
    <xdr:clientData/>
  </xdr:twoCellAnchor>
  <xdr:twoCellAnchor>
    <xdr:from>
      <xdr:col>1</xdr:col>
      <xdr:colOff>914400</xdr:colOff>
      <xdr:row>15</xdr:row>
      <xdr:rowOff>152400</xdr:rowOff>
    </xdr:from>
    <xdr:to>
      <xdr:col>1</xdr:col>
      <xdr:colOff>1638300</xdr:colOff>
      <xdr:row>18</xdr:row>
      <xdr:rowOff>9525</xdr:rowOff>
    </xdr:to>
    <xdr:pic>
      <xdr:nvPicPr>
        <xdr:cNvPr id="7" name="Picture 6">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1152525" y="152400"/>
          <a:ext cx="0" cy="704850"/>
        </a:xfrm>
        <a:prstGeom prst="rect">
          <a:avLst/>
        </a:prstGeom>
        <a:noFill/>
        <a:ln>
          <a:noFill/>
        </a:ln>
      </xdr:spPr>
    </xdr:pic>
    <xdr:clientData/>
  </xdr:twoCellAnchor>
  <xdr:twoCellAnchor>
    <xdr:from>
      <xdr:col>2</xdr:col>
      <xdr:colOff>0</xdr:colOff>
      <xdr:row>15</xdr:row>
      <xdr:rowOff>190500</xdr:rowOff>
    </xdr:from>
    <xdr:to>
      <xdr:col>2</xdr:col>
      <xdr:colOff>552450</xdr:colOff>
      <xdr:row>17</xdr:row>
      <xdr:rowOff>19050</xdr:rowOff>
    </xdr:to>
    <xdr:pic>
      <xdr:nvPicPr>
        <xdr:cNvPr id="8" name="Picture 7">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742950" y="4914900"/>
          <a:ext cx="552450" cy="50482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12</xdr:col>
          <xdr:colOff>171450</xdr:colOff>
          <xdr:row>0</xdr:row>
          <xdr:rowOff>400050</xdr:rowOff>
        </xdr:from>
        <xdr:to>
          <xdr:col>13</xdr:col>
          <xdr:colOff>571500</xdr:colOff>
          <xdr:row>4</xdr:row>
          <xdr:rowOff>133350</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1000-000002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3</xdr:col>
      <xdr:colOff>66675</xdr:colOff>
      <xdr:row>0</xdr:row>
      <xdr:rowOff>55035</xdr:rowOff>
    </xdr:from>
    <xdr:to>
      <xdr:col>5</xdr:col>
      <xdr:colOff>161925</xdr:colOff>
      <xdr:row>2</xdr:row>
      <xdr:rowOff>238125</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1714500" y="55035"/>
          <a:ext cx="609600" cy="564090"/>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371475</xdr:colOff>
      <xdr:row>0</xdr:row>
      <xdr:rowOff>190500</xdr:rowOff>
    </xdr:from>
    <xdr:to>
      <xdr:col>1</xdr:col>
      <xdr:colOff>1095375</xdr:colOff>
      <xdr:row>3</xdr:row>
      <xdr:rowOff>47625</xdr:rowOff>
    </xdr:to>
    <xdr:pic>
      <xdr:nvPicPr>
        <xdr:cNvPr id="2" name="Picture 1">
          <a:extLst>
            <a:ext uri="{FF2B5EF4-FFF2-40B4-BE49-F238E27FC236}">
              <a16:creationId xmlns:a16="http://schemas.microsoft.com/office/drawing/2014/main" id="{00000000-0008-0000-1200-000002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838200" y="190500"/>
          <a:ext cx="723900" cy="7048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6</xdr:col>
          <xdr:colOff>323850</xdr:colOff>
          <xdr:row>0</xdr:row>
          <xdr:rowOff>171450</xdr:rowOff>
        </xdr:from>
        <xdr:to>
          <xdr:col>7</xdr:col>
          <xdr:colOff>552450</xdr:colOff>
          <xdr:row>3</xdr:row>
          <xdr:rowOff>171450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1200-0000019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371475</xdr:colOff>
      <xdr:row>0</xdr:row>
      <xdr:rowOff>190500</xdr:rowOff>
    </xdr:from>
    <xdr:to>
      <xdr:col>1</xdr:col>
      <xdr:colOff>1095375</xdr:colOff>
      <xdr:row>3</xdr:row>
      <xdr:rowOff>47625</xdr:rowOff>
    </xdr:to>
    <xdr:pic>
      <xdr:nvPicPr>
        <xdr:cNvPr id="2" name="Picture 1">
          <a:extLst>
            <a:ext uri="{FF2B5EF4-FFF2-40B4-BE49-F238E27FC236}">
              <a16:creationId xmlns:a16="http://schemas.microsoft.com/office/drawing/2014/main" id="{00000000-0008-0000-1300-000002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838200" y="190500"/>
          <a:ext cx="723900" cy="7048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6</xdr:col>
          <xdr:colOff>323850</xdr:colOff>
          <xdr:row>0</xdr:row>
          <xdr:rowOff>171450</xdr:rowOff>
        </xdr:from>
        <xdr:to>
          <xdr:col>7</xdr:col>
          <xdr:colOff>552450</xdr:colOff>
          <xdr:row>3</xdr:row>
          <xdr:rowOff>171450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300-0000017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S" sz="1100" b="0" i="0" u="none" strike="noStrike" baseline="0">
                  <a:solidFill>
                    <a:srgbClr val="000000"/>
                  </a:solidFill>
                  <a:latin typeface="Calibri"/>
                  <a:cs typeface="Calibri"/>
                </a:rPr>
                <a:t>Go </a:t>
              </a:r>
            </a:p>
            <a:p>
              <a:pPr algn="ctr" rtl="0">
                <a:defRPr sz="1000"/>
              </a:pPr>
              <a:r>
                <a:rPr lang="en-AS" sz="1100" b="0" i="0" u="none" strike="noStrike" baseline="0">
                  <a:solidFill>
                    <a:srgbClr val="000000"/>
                  </a:solidFill>
                  <a:latin typeface="Calibri"/>
                  <a:cs typeface="Calibri"/>
                </a:rPr>
                <a:t>Home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32</xdr:col>
      <xdr:colOff>85725</xdr:colOff>
      <xdr:row>0</xdr:row>
      <xdr:rowOff>133351</xdr:rowOff>
    </xdr:from>
    <xdr:to>
      <xdr:col>36</xdr:col>
      <xdr:colOff>133350</xdr:colOff>
      <xdr:row>3</xdr:row>
      <xdr:rowOff>19050</xdr:rowOff>
    </xdr:to>
    <xdr:pic>
      <xdr:nvPicPr>
        <xdr:cNvPr id="2" name="Picture 1">
          <a:extLst>
            <a:ext uri="{FF2B5EF4-FFF2-40B4-BE49-F238E27FC236}">
              <a16:creationId xmlns:a16="http://schemas.microsoft.com/office/drawing/2014/main" id="{00000000-0008-0000-1400-000002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4972050" y="133351"/>
          <a:ext cx="695325" cy="695324"/>
        </a:xfrm>
        <a:prstGeom prst="rect">
          <a:avLst/>
        </a:prstGeom>
        <a:noFill/>
        <a:ln>
          <a:noFill/>
        </a:ln>
      </xdr:spPr>
    </xdr:pic>
    <xdr:clientData/>
  </xdr:twoCellAnchor>
  <xdr:twoCellAnchor>
    <xdr:from>
      <xdr:col>5</xdr:col>
      <xdr:colOff>9525</xdr:colOff>
      <xdr:row>0</xdr:row>
      <xdr:rowOff>180976</xdr:rowOff>
    </xdr:from>
    <xdr:to>
      <xdr:col>9</xdr:col>
      <xdr:colOff>95250</xdr:colOff>
      <xdr:row>2</xdr:row>
      <xdr:rowOff>133351</xdr:rowOff>
    </xdr:to>
    <xdr:pic>
      <xdr:nvPicPr>
        <xdr:cNvPr id="3" name="Picture 1">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85850" y="180976"/>
          <a:ext cx="628650" cy="59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36</xdr:col>
      <xdr:colOff>19050</xdr:colOff>
      <xdr:row>0</xdr:row>
      <xdr:rowOff>95251</xdr:rowOff>
    </xdr:from>
    <xdr:to>
      <xdr:col>41</xdr:col>
      <xdr:colOff>114300</xdr:colOff>
      <xdr:row>3</xdr:row>
      <xdr:rowOff>142876</xdr:rowOff>
    </xdr:to>
    <xdr:pic>
      <xdr:nvPicPr>
        <xdr:cNvPr id="2" name="Picture 1">
          <a:extLst>
            <a:ext uri="{FF2B5EF4-FFF2-40B4-BE49-F238E27FC236}">
              <a16:creationId xmlns:a16="http://schemas.microsoft.com/office/drawing/2014/main" id="{00000000-0008-0000-1500-000002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5476875" y="95251"/>
          <a:ext cx="857250" cy="857250"/>
        </a:xfrm>
        <a:prstGeom prst="rect">
          <a:avLst/>
        </a:prstGeom>
        <a:noFill/>
        <a:ln>
          <a:noFill/>
        </a:ln>
      </xdr:spPr>
    </xdr:pic>
    <xdr:clientData/>
  </xdr:twoCellAnchor>
  <xdr:twoCellAnchor>
    <xdr:from>
      <xdr:col>1</xdr:col>
      <xdr:colOff>219074</xdr:colOff>
      <xdr:row>0</xdr:row>
      <xdr:rowOff>114300</xdr:rowOff>
    </xdr:from>
    <xdr:to>
      <xdr:col>7</xdr:col>
      <xdr:colOff>9524</xdr:colOff>
      <xdr:row>3</xdr:row>
      <xdr:rowOff>123825</xdr:rowOff>
    </xdr:to>
    <xdr:pic>
      <xdr:nvPicPr>
        <xdr:cNvPr id="3" name="Picture 1">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6724" y="114300"/>
          <a:ext cx="8477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8</xdr:col>
      <xdr:colOff>19050</xdr:colOff>
      <xdr:row>0</xdr:row>
      <xdr:rowOff>123826</xdr:rowOff>
    </xdr:from>
    <xdr:to>
      <xdr:col>13</xdr:col>
      <xdr:colOff>0</xdr:colOff>
      <xdr:row>3</xdr:row>
      <xdr:rowOff>28575</xdr:rowOff>
    </xdr:to>
    <xdr:pic>
      <xdr:nvPicPr>
        <xdr:cNvPr id="3" name="Picture 2">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1476375" y="123826"/>
          <a:ext cx="733425" cy="714374"/>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36</xdr:col>
      <xdr:colOff>19050</xdr:colOff>
      <xdr:row>0</xdr:row>
      <xdr:rowOff>95251</xdr:rowOff>
    </xdr:from>
    <xdr:to>
      <xdr:col>41</xdr:col>
      <xdr:colOff>114300</xdr:colOff>
      <xdr:row>3</xdr:row>
      <xdr:rowOff>142876</xdr:rowOff>
    </xdr:to>
    <xdr:pic>
      <xdr:nvPicPr>
        <xdr:cNvPr id="3" name="Picture 2">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a14:imgEffect>
                    <a14:sharpenSoften amount="30000"/>
                  </a14:imgEffect>
                  <a14:imgEffect>
                    <a14:colorTemperature colorTemp="11500"/>
                  </a14:imgEffect>
                  <a14:imgEffect>
                    <a14:saturation sat="400000"/>
                  </a14:imgEffect>
                  <a14:imgEffect>
                    <a14:brightnessContrast bright="87000" contrast="100000"/>
                  </a14:imgEffect>
                </a14:imgLayer>
              </a14:imgProps>
            </a:ext>
            <a:ext uri="{28A0092B-C50C-407E-A947-70E740481C1C}">
              <a14:useLocalDpi xmlns:a14="http://schemas.microsoft.com/office/drawing/2010/main" val="0"/>
            </a:ext>
          </a:extLst>
        </a:blip>
        <a:srcRect/>
        <a:stretch>
          <a:fillRect/>
        </a:stretch>
      </xdr:blipFill>
      <xdr:spPr bwMode="auto">
        <a:xfrm>
          <a:off x="5476875" y="95251"/>
          <a:ext cx="857250" cy="857250"/>
        </a:xfrm>
        <a:prstGeom prst="rect">
          <a:avLst/>
        </a:prstGeom>
        <a:noFill/>
        <a:ln>
          <a:noFill/>
        </a:ln>
      </xdr:spPr>
    </xdr:pic>
    <xdr:clientData/>
  </xdr:twoCellAnchor>
  <xdr:twoCellAnchor>
    <xdr:from>
      <xdr:col>1</xdr:col>
      <xdr:colOff>219075</xdr:colOff>
      <xdr:row>0</xdr:row>
      <xdr:rowOff>114300</xdr:rowOff>
    </xdr:from>
    <xdr:to>
      <xdr:col>6</xdr:col>
      <xdr:colOff>95250</xdr:colOff>
      <xdr:row>3</xdr:row>
      <xdr:rowOff>123825</xdr:rowOff>
    </xdr:to>
    <xdr:pic>
      <xdr:nvPicPr>
        <xdr:cNvPr id="4" name="Picture 1">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6725" y="114300"/>
          <a:ext cx="7810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leya%20Store%202024-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C%20Fatullah%20Br%202024-2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wording"/>
      <sheetName val="Note Sheet-RM"/>
      <sheetName val="Index"/>
      <sheetName val="Note Sheet-BR"/>
      <sheetName val="Data Input"/>
      <sheetName val="LF-5"/>
      <sheetName val="Profile"/>
      <sheetName val="SME App"/>
      <sheetName val="Check List MGR"/>
      <sheetName val="Valuation"/>
      <sheetName val="Information Sheet"/>
      <sheetName val="Gosonapattra"/>
      <sheetName val="Search Report"/>
      <sheetName val="25 Years Succession"/>
      <sheetName val="Nobayon Form-LF-58"/>
      <sheetName val="CRG"/>
      <sheetName val="Nirdoy"/>
      <sheetName val="NoC"/>
      <sheetName val="Sanction Order Br"/>
      <sheetName val="Tofsil-Jomi"/>
      <sheetName val="Cover Seal"/>
      <sheetName val="Index-MGR-New"/>
      <sheetName val="Index-MGR-ReNew"/>
      <sheetName val="Risk Free"/>
      <sheetName val="Audit Free"/>
      <sheetName val="Main Documents"/>
      <sheetName val="Sanction Order CRM"/>
      <sheetName val="Dolilayon"/>
      <sheetName val="Rin Case todonto"/>
      <sheetName val="Topsil"/>
      <sheetName val="Note Sheet- Other Br"/>
      <sheetName val="Asset Liabilities"/>
      <sheetName val="Sarok Lipi"/>
      <sheetName val="Investment Sourch Lonee"/>
      <sheetName val="Gher"/>
      <sheetName val="Income Tax"/>
      <sheetName val="Mamla Free Officer"/>
      <sheetName val="Audit Free MGR"/>
      <sheetName val="Road Map"/>
      <sheetName val="Letter of Continuty"/>
      <sheetName val="Letter of Revival"/>
      <sheetName val="Acceptance"/>
      <sheetName val="Holopnama (2)"/>
      <sheetName val="Economic"/>
      <sheetName val="Holopnama"/>
    </sheetNames>
    <sheetDataSet>
      <sheetData sheetId="0"/>
      <sheetData sheetId="1"/>
      <sheetData sheetId="2"/>
      <sheetData sheetId="3"/>
      <sheetData sheetId="4">
        <row r="2">
          <cell r="D2" t="str">
            <v>wmw×iMÄ kvLv, bvivqYMÄ</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wording"/>
      <sheetName val="Note Sheet-RM"/>
      <sheetName val="Index"/>
      <sheetName val="Note Sheet-BR"/>
      <sheetName val="Data Input"/>
      <sheetName val="LF-5"/>
      <sheetName val="Economics"/>
      <sheetName val="Check List MGR"/>
      <sheetName val="Search Report"/>
      <sheetName val="Valuation"/>
      <sheetName val="Nobayon Form-LF-58"/>
      <sheetName val="Information Sheet"/>
      <sheetName val="CRG"/>
      <sheetName val="25 Years Succession"/>
      <sheetName val="Nirdoy"/>
      <sheetName val="Sanction Order Br"/>
      <sheetName val="Tofsil-Jomi"/>
      <sheetName val="Cover Seal"/>
      <sheetName val="Index-MGR-New"/>
      <sheetName val="Index-MGR-ReNew"/>
      <sheetName val="Risk Free"/>
      <sheetName val="Audit Free"/>
      <sheetName val="Main Documents"/>
      <sheetName val="Sanction Order CRM"/>
      <sheetName val="Dolilayon"/>
      <sheetName val="Rin Case todonto"/>
      <sheetName val="Topsil"/>
      <sheetName val="Note Sheet- Other Br"/>
      <sheetName val="Asset Liabilities"/>
      <sheetName val="NoC"/>
      <sheetName val="Sarok Lipi"/>
      <sheetName val="Investment Sourch Lonee"/>
      <sheetName val="Gher"/>
      <sheetName val="Income Tax"/>
      <sheetName val="Mamla Free Officer"/>
      <sheetName val="Audit Free MGR"/>
      <sheetName val="Road Map"/>
      <sheetName val="Letter of Continuty"/>
      <sheetName val="Letter of Revival"/>
      <sheetName val="Acceptance"/>
      <sheetName val="Holopnama (2)"/>
      <sheetName val="Holopnama"/>
    </sheetNames>
    <sheetDataSet>
      <sheetData sheetId="0" refreshError="1"/>
      <sheetData sheetId="1" refreshError="1"/>
      <sheetData sheetId="2" refreshError="1"/>
      <sheetData sheetId="3" refreshError="1"/>
      <sheetData sheetId="4" refreshError="1">
        <row r="2">
          <cell r="D2" t="str">
            <v>dZzjøv kvLv, bvivqYMÄ</v>
          </cell>
        </row>
        <row r="9">
          <cell r="D9">
            <v>600000</v>
          </cell>
        </row>
      </sheetData>
      <sheetData sheetId="5" refreshError="1">
        <row r="20">
          <cell r="B20" t="str">
            <v>dZzjøv</v>
          </cell>
        </row>
        <row r="21">
          <cell r="E21" t="str">
            <v/>
          </cell>
          <cell r="I21" t="str">
            <v/>
          </cell>
          <cell r="N21" t="str">
            <v/>
          </cell>
        </row>
        <row r="22">
          <cell r="E22" t="str">
            <v/>
          </cell>
          <cell r="I22" t="str">
            <v/>
          </cell>
          <cell r="N22" t="str">
            <v/>
          </cell>
        </row>
        <row r="29">
          <cell r="I29" t="str">
            <v/>
          </cell>
          <cell r="N29" t="str">
            <v/>
          </cell>
          <cell r="Q29" t="str">
            <v/>
          </cell>
          <cell r="T29" t="str">
            <v/>
          </cell>
        </row>
        <row r="30">
          <cell r="I30" t="str">
            <v/>
          </cell>
          <cell r="N30" t="str">
            <v/>
          </cell>
          <cell r="Q30" t="str">
            <v/>
          </cell>
          <cell r="T30" t="str">
            <v/>
          </cell>
        </row>
        <row r="31">
          <cell r="I31" t="str">
            <v/>
          </cell>
          <cell r="N31" t="str">
            <v/>
          </cell>
          <cell r="Q31" t="str">
            <v/>
          </cell>
          <cell r="T31" t="str">
            <v/>
          </cell>
        </row>
        <row r="32">
          <cell r="I32" t="str">
            <v/>
          </cell>
          <cell r="N32" t="str">
            <v/>
          </cell>
          <cell r="Q32" t="str">
            <v/>
          </cell>
          <cell r="T32" t="str">
            <v/>
          </cell>
        </row>
        <row r="33">
          <cell r="I33" t="str">
            <v/>
          </cell>
          <cell r="N33" t="str">
            <v/>
          </cell>
          <cell r="Q33" t="str">
            <v/>
          </cell>
          <cell r="T33" t="str">
            <v/>
          </cell>
        </row>
        <row r="34">
          <cell r="I34" t="str">
            <v/>
          </cell>
          <cell r="N34" t="str">
            <v/>
          </cell>
          <cell r="Q34" t="str">
            <v/>
          </cell>
          <cell r="T34" t="str">
            <v/>
          </cell>
        </row>
        <row r="39">
          <cell r="I39" t="str">
            <v/>
          </cell>
          <cell r="N39" t="str">
            <v/>
          </cell>
          <cell r="Q39" t="str">
            <v/>
          </cell>
          <cell r="T39" t="str">
            <v/>
          </cell>
        </row>
        <row r="41">
          <cell r="I41" t="str">
            <v/>
          </cell>
          <cell r="N41" t="str">
            <v/>
          </cell>
          <cell r="Q41" t="str">
            <v/>
          </cell>
          <cell r="T41" t="str">
            <v/>
          </cell>
        </row>
        <row r="42">
          <cell r="I42" t="str">
            <v/>
          </cell>
          <cell r="N42" t="str">
            <v/>
          </cell>
          <cell r="Q42" t="str">
            <v/>
          </cell>
          <cell r="T42" t="str">
            <v/>
          </cell>
        </row>
        <row r="43">
          <cell r="I43" t="str">
            <v/>
          </cell>
          <cell r="N43" t="str">
            <v/>
          </cell>
          <cell r="Q43" t="str">
            <v/>
          </cell>
          <cell r="T43" t="str">
            <v/>
          </cell>
        </row>
        <row r="44">
          <cell r="I44" t="str">
            <v/>
          </cell>
          <cell r="N44" t="str">
            <v/>
          </cell>
          <cell r="Q44" t="str">
            <v/>
          </cell>
          <cell r="T44" t="str">
            <v/>
          </cell>
        </row>
        <row r="45">
          <cell r="I45" t="str">
            <v/>
          </cell>
          <cell r="N45" t="str">
            <v/>
          </cell>
          <cell r="Q45" t="str">
            <v/>
          </cell>
          <cell r="T45" t="str">
            <v/>
          </cell>
        </row>
        <row r="46">
          <cell r="I46" t="str">
            <v/>
          </cell>
          <cell r="N46" t="str">
            <v/>
          </cell>
          <cell r="Q46" t="str">
            <v/>
          </cell>
          <cell r="T46" t="str">
            <v/>
          </cell>
        </row>
        <row r="47">
          <cell r="I47" t="str">
            <v/>
          </cell>
          <cell r="N47" t="str">
            <v/>
          </cell>
          <cell r="Q47" t="str">
            <v/>
          </cell>
          <cell r="T47" t="str">
            <v/>
          </cell>
        </row>
        <row r="79">
          <cell r="G79" t="str">
            <v/>
          </cell>
        </row>
        <row r="80">
          <cell r="G80" t="str">
            <v/>
          </cell>
        </row>
      </sheetData>
      <sheetData sheetId="6" refreshError="1">
        <row r="48">
          <cell r="I48">
            <v>-2924400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fb.com/tariq756"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7.xml"/><Relationship Id="rId1" Type="http://schemas.openxmlformats.org/officeDocument/2006/relationships/printerSettings" Target="../printerSettings/printerSettings20.bin"/><Relationship Id="rId4" Type="http://schemas.openxmlformats.org/officeDocument/2006/relationships/ctrlProp" Target="../ctrlProps/ctrlProp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tabColor rgb="FFFF0000"/>
    <pageSetUpPr fitToPage="1"/>
  </sheetPr>
  <dimension ref="B1:AY31"/>
  <sheetViews>
    <sheetView showGridLines="0" view="pageBreakPreview" zoomScaleSheetLayoutView="100" workbookViewId="0">
      <selection activeCell="G17" sqref="G17"/>
    </sheetView>
  </sheetViews>
  <sheetFormatPr defaultRowHeight="18" customHeight="1"/>
  <cols>
    <col min="2" max="2" width="1" customWidth="1"/>
    <col min="3" max="3" width="4.28515625" customWidth="1"/>
    <col min="4" max="5" width="2.5703125" customWidth="1"/>
    <col min="6" max="6" width="5.7109375" customWidth="1"/>
    <col min="7" max="7" width="5.85546875" customWidth="1"/>
    <col min="8" max="8" width="8.5703125" customWidth="1"/>
    <col min="9" max="10" width="2.5703125" customWidth="1"/>
    <col min="11" max="11" width="4.5703125" customWidth="1"/>
    <col min="12" max="12" width="6.5703125" customWidth="1"/>
    <col min="13" max="13" width="2.5703125" customWidth="1"/>
    <col min="14" max="14" width="4.7109375" customWidth="1"/>
    <col min="15" max="16" width="2.5703125" customWidth="1"/>
    <col min="17" max="17" width="2.85546875" customWidth="1"/>
    <col min="18" max="18" width="2.5703125" customWidth="1"/>
    <col min="19" max="19" width="2" customWidth="1"/>
    <col min="20" max="20" width="2.5703125" customWidth="1"/>
    <col min="21" max="21" width="1.28515625" customWidth="1"/>
    <col min="22" max="22" width="2.42578125" customWidth="1"/>
    <col min="23" max="23" width="4" customWidth="1"/>
    <col min="24" max="24" width="14.28515625" customWidth="1"/>
    <col min="25" max="25" width="3.28515625" customWidth="1"/>
    <col min="26" max="26" width="10.85546875" customWidth="1"/>
    <col min="27" max="27" width="8.85546875" customWidth="1"/>
    <col min="28" max="28" width="2" bestFit="1" customWidth="1"/>
    <col min="29" max="29" width="5.85546875" customWidth="1"/>
    <col min="30" max="30" width="9.42578125" customWidth="1"/>
  </cols>
  <sheetData>
    <row r="1" spans="2:51" ht="15" customHeight="1">
      <c r="C1" s="224"/>
      <c r="D1" s="224"/>
      <c r="E1" s="224"/>
      <c r="G1" s="224"/>
      <c r="H1" s="795" t="s">
        <v>0</v>
      </c>
      <c r="I1" s="795"/>
      <c r="J1" s="795"/>
      <c r="K1" s="795"/>
      <c r="L1" s="795"/>
      <c r="M1" s="795"/>
      <c r="N1" s="795"/>
      <c r="O1" s="795"/>
      <c r="P1" s="795"/>
      <c r="Q1" s="795"/>
      <c r="R1" s="795"/>
      <c r="S1" s="795"/>
      <c r="T1" s="260"/>
      <c r="V1" s="798" t="s">
        <v>667</v>
      </c>
      <c r="W1" s="798"/>
      <c r="X1" s="798"/>
      <c r="Y1" s="798"/>
      <c r="AR1" s="162"/>
      <c r="AS1" s="162"/>
      <c r="AT1" s="162"/>
      <c r="AY1" s="157"/>
    </row>
    <row r="2" spans="2:51" ht="15" customHeight="1">
      <c r="C2" s="225"/>
      <c r="D2" s="225"/>
      <c r="E2" s="225"/>
      <c r="G2" s="225"/>
      <c r="H2" s="795"/>
      <c r="I2" s="795"/>
      <c r="J2" s="795"/>
      <c r="K2" s="795"/>
      <c r="L2" s="795"/>
      <c r="M2" s="795"/>
      <c r="N2" s="795"/>
      <c r="O2" s="795"/>
      <c r="P2" s="795"/>
      <c r="Q2" s="795"/>
      <c r="R2" s="795"/>
      <c r="S2" s="795"/>
      <c r="T2" s="261"/>
      <c r="V2" s="800" t="s">
        <v>575</v>
      </c>
      <c r="W2" s="800"/>
      <c r="X2" s="800"/>
      <c r="Y2" s="800"/>
      <c r="AR2" s="163"/>
      <c r="AS2" s="163"/>
      <c r="AT2" s="163"/>
      <c r="AY2" s="158"/>
    </row>
    <row r="3" spans="2:51" ht="24" customHeight="1">
      <c r="D3" s="226"/>
      <c r="E3" s="226"/>
      <c r="F3" s="226"/>
      <c r="G3" s="226"/>
      <c r="H3" s="796" t="str">
        <f>+'Data Input'!D2</f>
        <v>wmw×iMÄ kvLv, bvivqYMÄ</v>
      </c>
      <c r="I3" s="796"/>
      <c r="J3" s="796"/>
      <c r="K3" s="796"/>
      <c r="L3" s="796"/>
      <c r="M3" s="796"/>
      <c r="N3" s="796"/>
      <c r="O3" s="796"/>
      <c r="P3" s="796"/>
      <c r="Q3" s="796"/>
      <c r="R3" s="796"/>
      <c r="S3" s="796"/>
      <c r="T3" s="262"/>
      <c r="V3" s="799" t="str">
        <f>+'Data Input'!D3</f>
        <v>Mobile: 01730-708739</v>
      </c>
      <c r="W3" s="799"/>
      <c r="X3" s="799"/>
      <c r="Y3" s="799"/>
      <c r="AR3" s="159"/>
      <c r="AS3" s="159"/>
      <c r="AT3" s="159"/>
      <c r="AY3" s="159"/>
    </row>
    <row r="4" spans="2:51" ht="13.5" customHeight="1">
      <c r="C4" s="797" t="str">
        <f>"Mail: "&amp;+'Data Input'!D4&amp;",  Web: www.krishibank.org.bd"</f>
        <v>Mail: mgrsiddhirgonj@krishibank.org.bd,  Web: www.krishibank.org.bd</v>
      </c>
      <c r="D4" s="797"/>
      <c r="E4" s="797"/>
      <c r="F4" s="797"/>
      <c r="G4" s="797"/>
      <c r="H4" s="797"/>
      <c r="I4" s="797"/>
      <c r="J4" s="797"/>
      <c r="K4" s="797"/>
      <c r="L4" s="797"/>
      <c r="M4" s="797"/>
      <c r="N4" s="797"/>
      <c r="O4" s="797"/>
      <c r="P4" s="797"/>
      <c r="Q4" s="797"/>
      <c r="R4" s="797"/>
      <c r="S4" s="797"/>
      <c r="T4" s="797"/>
      <c r="U4" s="797"/>
      <c r="V4" s="797"/>
      <c r="W4" s="797"/>
      <c r="X4" s="797"/>
      <c r="Y4" s="797"/>
      <c r="AR4" s="160"/>
      <c r="AS4" s="160"/>
      <c r="AT4" s="160"/>
      <c r="AY4" s="160"/>
    </row>
    <row r="5" spans="2:51" ht="18" customHeight="1">
      <c r="B5" s="56"/>
      <c r="C5" s="57" t="str">
        <f>'Data Input'!B5&amp;" "&amp;'Data Input'!D5&amp;"/"&amp;AA5</f>
        <v>FY †KBm bs 64(wmGgGmGgB)/2024-25 /756</v>
      </c>
      <c r="D5" s="49"/>
      <c r="E5" s="49"/>
      <c r="F5" s="49"/>
      <c r="G5" s="49"/>
      <c r="H5" s="49"/>
      <c r="I5" s="49"/>
      <c r="J5" s="49"/>
      <c r="K5" s="49"/>
      <c r="L5" s="49"/>
      <c r="M5" s="49"/>
      <c r="N5" s="49"/>
      <c r="O5" s="49"/>
      <c r="P5" s="49"/>
      <c r="Q5" s="49"/>
      <c r="R5" s="49"/>
      <c r="S5" s="57"/>
      <c r="T5" s="49"/>
      <c r="U5" s="49"/>
      <c r="V5" s="794" t="s">
        <v>209</v>
      </c>
      <c r="W5" s="794"/>
      <c r="X5" s="244">
        <v>45685</v>
      </c>
      <c r="Y5" s="45" t="s">
        <v>1096</v>
      </c>
      <c r="Z5" t="s">
        <v>669</v>
      </c>
      <c r="AA5" s="22">
        <v>756</v>
      </c>
    </row>
    <row r="6" spans="2:51" ht="3.75" customHeight="1">
      <c r="C6" s="13"/>
      <c r="S6" s="13"/>
    </row>
    <row r="7" spans="2:51" s="65" customFormat="1" ht="21" customHeight="1"/>
    <row r="8" spans="2:51" s="65" customFormat="1" ht="18" customHeight="1">
      <c r="C8" s="801" t="s">
        <v>166</v>
      </c>
      <c r="D8" s="801"/>
      <c r="E8" s="801"/>
      <c r="F8" s="801"/>
      <c r="G8" s="801"/>
      <c r="H8" s="801"/>
      <c r="I8" s="801"/>
      <c r="J8" s="801"/>
      <c r="K8" s="801"/>
      <c r="L8" s="801"/>
    </row>
    <row r="9" spans="2:51" s="65" customFormat="1" ht="18" customHeight="1">
      <c r="C9" s="801" t="s">
        <v>165</v>
      </c>
      <c r="D9" s="801"/>
      <c r="E9" s="801"/>
      <c r="F9" s="801"/>
      <c r="G9" s="801"/>
      <c r="H9" s="801"/>
      <c r="I9" s="801"/>
      <c r="J9" s="801"/>
      <c r="K9" s="801"/>
      <c r="L9" s="801"/>
    </row>
    <row r="10" spans="2:51" s="65" customFormat="1" ht="18" customHeight="1">
      <c r="C10" s="802" t="s">
        <v>1052</v>
      </c>
      <c r="D10" s="802"/>
      <c r="E10" s="802"/>
      <c r="F10" s="802"/>
      <c r="G10" s="802"/>
      <c r="H10" s="802"/>
      <c r="I10" s="802"/>
      <c r="J10" s="802"/>
      <c r="K10" s="802"/>
      <c r="L10" s="802"/>
    </row>
    <row r="11" spans="2:51" s="65" customFormat="1" ht="21.75" customHeight="1">
      <c r="C11" s="68"/>
    </row>
    <row r="12" spans="2:51" s="68" customFormat="1" ht="42" customHeight="1">
      <c r="D12" s="803" t="str">
        <f>"welq t "&amp;'Data Input'!D8&amp;", ‡cÖvcvBUi t "&amp;'Data Input'!D12&amp;" Gi bM` cyuwR FY cÖ¯Íve †cÖiY cÖms‡M |"</f>
        <v>welq t ‡gmvm© mvbd¬vIqvi †UBjvm© GÛ †dweªK&amp;ª, ‡cÖvcvBUi t ‡gvt Rwb Gi bM` cyuwR FY cÖ¯Íve †cÖiY cÖms‡M |</v>
      </c>
      <c r="E12" s="803"/>
      <c r="F12" s="803"/>
      <c r="G12" s="803"/>
      <c r="H12" s="803"/>
      <c r="I12" s="803"/>
      <c r="J12" s="803"/>
      <c r="K12" s="803"/>
      <c r="L12" s="803"/>
      <c r="M12" s="803"/>
      <c r="N12" s="803"/>
      <c r="O12" s="803"/>
      <c r="P12" s="803"/>
      <c r="Q12" s="803"/>
      <c r="R12" s="803"/>
      <c r="S12" s="803"/>
      <c r="T12" s="803"/>
      <c r="U12" s="803"/>
      <c r="V12" s="803"/>
      <c r="W12" s="803"/>
      <c r="X12" s="803"/>
      <c r="Y12" s="803"/>
      <c r="Z12" s="65"/>
      <c r="AA12" s="65"/>
      <c r="AB12" s="65"/>
      <c r="AC12" s="65"/>
      <c r="AD12" s="65"/>
      <c r="AE12" s="65"/>
      <c r="AF12" s="65"/>
      <c r="AG12" s="65"/>
      <c r="AH12" s="65"/>
      <c r="AI12" s="65"/>
      <c r="AJ12" s="65"/>
      <c r="AK12" s="65"/>
      <c r="AL12" s="65"/>
      <c r="AM12" s="65"/>
      <c r="AN12" s="65"/>
      <c r="AO12" s="65"/>
      <c r="AP12" s="65"/>
      <c r="AQ12" s="65"/>
    </row>
    <row r="13" spans="2:51" s="68" customFormat="1" ht="4.5" customHeight="1">
      <c r="Z13" s="65"/>
      <c r="AA13" s="65"/>
      <c r="AB13" s="65"/>
      <c r="AC13" s="65"/>
      <c r="AD13" s="65"/>
      <c r="AE13" s="65"/>
      <c r="AF13" s="65"/>
      <c r="AG13" s="65"/>
      <c r="AH13" s="65"/>
      <c r="AI13" s="65"/>
      <c r="AJ13" s="65"/>
      <c r="AK13" s="65"/>
      <c r="AL13" s="65"/>
      <c r="AM13" s="65"/>
      <c r="AN13" s="65"/>
      <c r="AO13" s="65"/>
      <c r="AP13" s="65"/>
      <c r="AQ13" s="65"/>
    </row>
    <row r="14" spans="2:51" s="68" customFormat="1" ht="23.25" customHeight="1">
      <c r="C14" s="68" t="s">
        <v>164</v>
      </c>
      <c r="Z14" s="65"/>
      <c r="AA14" s="65"/>
      <c r="AB14" s="65"/>
      <c r="AC14" s="65"/>
      <c r="AD14" s="65"/>
      <c r="AE14" s="65"/>
      <c r="AF14" s="65"/>
      <c r="AG14" s="65"/>
      <c r="AH14" s="65"/>
      <c r="AI14" s="65"/>
      <c r="AJ14" s="65"/>
      <c r="AK14" s="65"/>
      <c r="AL14" s="65"/>
      <c r="AM14" s="65"/>
      <c r="AN14" s="65"/>
      <c r="AO14" s="65"/>
      <c r="AP14" s="65"/>
      <c r="AQ14" s="65"/>
    </row>
    <row r="15" spans="2:51" s="68" customFormat="1" ht="7.5" customHeight="1">
      <c r="Z15" s="65"/>
      <c r="AA15" s="65"/>
      <c r="AB15" s="65"/>
      <c r="AC15" s="65"/>
      <c r="AD15" s="65"/>
      <c r="AE15" s="65"/>
      <c r="AF15" s="65"/>
      <c r="AG15" s="65"/>
      <c r="AH15" s="65"/>
      <c r="AI15" s="65"/>
      <c r="AJ15" s="65"/>
      <c r="AK15" s="65"/>
      <c r="AL15" s="65"/>
      <c r="AM15" s="65"/>
      <c r="AN15" s="65"/>
      <c r="AO15" s="65"/>
      <c r="AP15" s="65"/>
      <c r="AQ15" s="65"/>
    </row>
    <row r="16" spans="2:51" s="68" customFormat="1" ht="108" customHeight="1">
      <c r="C16" s="805" t="str">
        <f>"Dchy©³ wel‡q Ó"&amp;'Data Input'!D8&amp;"Ó bvgxq "&amp;'Data Input'!D5&amp;"Gi Av‡e`b`bKvix "&amp;'Data Input'!D12&amp;", wcZv/¯^vgxt "&amp;'Data Input'!D13&amp;", wVKvbvt "&amp;+'Data Input'!D17&amp;", Gi "&amp;'Data Input'!D11&amp;"/-(wek jÿ) gvÎ UvKvi bM` cyuwR FY gÄyixi cÖ¯Íve AÎ kvLvi mycvwikmn Avcbvi m`q AeMwZ I cÖ‡qvRbxq e¨e¯’v MÖn‡Yi Rb¨ 02 (`yB) cÖ‡¯’ GZ`m‡½ †cÖiY Kiv n‡jv |"</f>
        <v>Dchy©³ wel‡q Ó‡gmvm© mvbd¬vIqvi †UBjvm© GÛ †dweªK&amp;ªÓ bvgxq 64(wmGgGmGgB)/2024-25 Gi Av‡e`b`bKvix ‡gvt Rwb, wcZv/¯^vgxt g„Z †gvt Bw`ªm Avjx, wVKvbvt `vcv B`ªvKcyi, dZzjøv, bvivqYMÄ, Gi 500000/-(wek jÿ) gvÎ UvKvi bM` cyuwR FY gÄyixi cÖ¯Íve AÎ kvLvi mycvwikmn Avcbvi m`q AeMwZ I cÖ‡qvRbxq e¨e¯’v MÖn‡Yi Rb¨ 02 (`yB) cÖ‡¯’ GZ`m‡½ †cÖiY Kiv n‡jv |</v>
      </c>
      <c r="D16" s="805"/>
      <c r="E16" s="805"/>
      <c r="F16" s="805"/>
      <c r="G16" s="805"/>
      <c r="H16" s="805"/>
      <c r="I16" s="805"/>
      <c r="J16" s="805"/>
      <c r="K16" s="805"/>
      <c r="L16" s="805"/>
      <c r="M16" s="805"/>
      <c r="N16" s="805"/>
      <c r="O16" s="805"/>
      <c r="P16" s="805"/>
      <c r="Q16" s="805"/>
      <c r="R16" s="805"/>
      <c r="S16" s="805"/>
      <c r="T16" s="805"/>
      <c r="U16" s="805"/>
      <c r="V16" s="805"/>
      <c r="W16" s="805"/>
      <c r="X16" s="805"/>
      <c r="Y16" s="805"/>
      <c r="Z16" s="65"/>
      <c r="AA16" s="65"/>
      <c r="AB16" s="65"/>
      <c r="AC16" s="65"/>
      <c r="AD16" s="65"/>
      <c r="AE16" s="65"/>
      <c r="AF16" s="65"/>
      <c r="AG16" s="65"/>
      <c r="AH16" s="65"/>
      <c r="AI16" s="65"/>
      <c r="AJ16" s="65"/>
      <c r="AK16" s="65"/>
      <c r="AL16" s="65"/>
      <c r="AM16" s="65"/>
      <c r="AN16" s="65"/>
      <c r="AO16" s="65"/>
      <c r="AP16" s="65"/>
      <c r="AQ16" s="65"/>
    </row>
    <row r="17" spans="3:43" s="68" customFormat="1" ht="41.25" customHeight="1">
      <c r="Z17" s="65"/>
      <c r="AA17" s="65"/>
      <c r="AB17" s="65"/>
      <c r="AC17" s="65"/>
      <c r="AD17" s="65"/>
      <c r="AE17" s="65"/>
      <c r="AF17" s="65"/>
      <c r="AG17" s="65"/>
      <c r="AH17" s="65"/>
      <c r="AI17" s="65"/>
      <c r="AJ17" s="65"/>
      <c r="AK17" s="65"/>
      <c r="AL17" s="65"/>
      <c r="AM17" s="65"/>
      <c r="AN17" s="65"/>
      <c r="AO17" s="65"/>
      <c r="AP17" s="65"/>
      <c r="AQ17" s="65"/>
    </row>
    <row r="18" spans="3:43" s="68" customFormat="1" ht="20.25" customHeight="1">
      <c r="R18" s="806" t="s">
        <v>168</v>
      </c>
      <c r="S18" s="806"/>
      <c r="T18" s="806"/>
      <c r="U18" s="806"/>
      <c r="V18" s="806"/>
      <c r="W18" s="806"/>
      <c r="X18" s="806"/>
      <c r="Y18" s="806"/>
      <c r="Z18" s="65"/>
      <c r="AA18" s="65"/>
      <c r="AB18" s="65"/>
      <c r="AC18" s="65"/>
      <c r="AD18" s="65"/>
      <c r="AE18" s="65"/>
      <c r="AF18" s="65"/>
      <c r="AG18" s="65"/>
      <c r="AH18" s="65"/>
      <c r="AI18" s="65"/>
      <c r="AJ18" s="65"/>
      <c r="AK18" s="65"/>
      <c r="AL18" s="65"/>
      <c r="AM18" s="65"/>
      <c r="AN18" s="65"/>
      <c r="AO18" s="65"/>
      <c r="AP18" s="65"/>
      <c r="AQ18" s="65"/>
    </row>
    <row r="19" spans="3:43" s="68" customFormat="1" ht="70.5" customHeight="1">
      <c r="R19" s="806"/>
      <c r="S19" s="806"/>
      <c r="T19" s="806"/>
      <c r="U19" s="806"/>
      <c r="V19" s="806"/>
      <c r="W19" s="806"/>
      <c r="X19" s="806"/>
      <c r="Y19" s="806"/>
      <c r="Z19" s="65"/>
      <c r="AA19" s="65"/>
      <c r="AB19" s="65"/>
      <c r="AC19" s="65"/>
      <c r="AD19" s="65"/>
      <c r="AE19" s="65"/>
      <c r="AF19" s="65"/>
      <c r="AG19" s="65"/>
      <c r="AH19" s="65"/>
      <c r="AI19" s="65"/>
      <c r="AJ19" s="65"/>
      <c r="AK19" s="65"/>
      <c r="AL19" s="65"/>
      <c r="AM19" s="65"/>
      <c r="AN19" s="65"/>
      <c r="AO19" s="65"/>
      <c r="AP19" s="65"/>
      <c r="AQ19" s="65"/>
    </row>
    <row r="20" spans="3:43" s="68" customFormat="1" ht="18" customHeight="1">
      <c r="C20" s="68" t="s">
        <v>1095</v>
      </c>
      <c r="R20" s="807"/>
      <c r="S20" s="807"/>
      <c r="T20" s="807"/>
      <c r="U20" s="807"/>
      <c r="V20" s="807"/>
      <c r="W20" s="807"/>
      <c r="X20" s="807"/>
      <c r="Y20" s="807"/>
      <c r="Z20" s="65"/>
      <c r="AA20" s="65"/>
      <c r="AB20" s="65"/>
      <c r="AC20" s="65"/>
      <c r="AD20" s="65"/>
      <c r="AE20" s="65"/>
      <c r="AF20" s="65"/>
      <c r="AG20" s="65"/>
      <c r="AH20" s="65"/>
      <c r="AI20" s="65"/>
      <c r="AJ20" s="65"/>
      <c r="AK20" s="65"/>
      <c r="AL20" s="65"/>
      <c r="AM20" s="65"/>
      <c r="AN20" s="65"/>
      <c r="AO20" s="65"/>
      <c r="AP20" s="65"/>
      <c r="AQ20" s="65"/>
    </row>
    <row r="21" spans="3:43" s="68" customFormat="1" ht="18" customHeight="1">
      <c r="R21" s="807" t="s">
        <v>162</v>
      </c>
      <c r="S21" s="807"/>
      <c r="T21" s="807"/>
      <c r="U21" s="807"/>
      <c r="V21" s="807"/>
      <c r="W21" s="807"/>
      <c r="X21" s="807"/>
      <c r="Y21" s="807"/>
      <c r="Z21" s="65"/>
      <c r="AA21" s="65"/>
      <c r="AB21" s="65"/>
      <c r="AC21" s="65"/>
      <c r="AD21" s="65"/>
      <c r="AE21" s="65"/>
      <c r="AF21" s="65"/>
      <c r="AG21" s="65"/>
      <c r="AH21" s="65"/>
      <c r="AI21" s="65"/>
      <c r="AJ21" s="65"/>
      <c r="AK21" s="65"/>
      <c r="AL21" s="65"/>
      <c r="AM21" s="65"/>
      <c r="AN21" s="65"/>
      <c r="AO21" s="65"/>
      <c r="AP21" s="65"/>
      <c r="AQ21" s="65"/>
    </row>
    <row r="22" spans="3:43" s="68" customFormat="1" ht="18.75" customHeight="1">
      <c r="R22" s="804" t="str">
        <f>+H1</f>
        <v>evsjv‡`k K…wl e¨vsK</v>
      </c>
      <c r="S22" s="804"/>
      <c r="T22" s="804"/>
      <c r="U22" s="804"/>
      <c r="V22" s="804"/>
      <c r="W22" s="804"/>
      <c r="X22" s="804"/>
      <c r="Y22" s="804"/>
      <c r="Z22" s="65"/>
      <c r="AA22" s="65"/>
      <c r="AB22" s="65"/>
      <c r="AC22" s="65"/>
      <c r="AD22" s="65"/>
      <c r="AE22" s="65"/>
      <c r="AF22" s="65"/>
      <c r="AG22" s="65"/>
      <c r="AH22" s="65"/>
      <c r="AI22" s="65"/>
      <c r="AJ22" s="65"/>
      <c r="AK22" s="65"/>
      <c r="AL22" s="65"/>
      <c r="AM22" s="65"/>
      <c r="AN22" s="65"/>
      <c r="AO22" s="65"/>
      <c r="AP22" s="65"/>
      <c r="AQ22" s="65"/>
    </row>
    <row r="23" spans="3:43" s="68" customFormat="1" ht="18.75" customHeight="1">
      <c r="R23" s="804" t="str">
        <f>+'Data Input'!D2</f>
        <v>wmw×iMÄ kvLv, bvivqYMÄ</v>
      </c>
      <c r="S23" s="804"/>
      <c r="T23" s="804"/>
      <c r="U23" s="804"/>
      <c r="V23" s="804"/>
      <c r="W23" s="804"/>
      <c r="X23" s="804"/>
      <c r="Y23" s="804"/>
      <c r="Z23" s="65"/>
      <c r="AA23" s="65"/>
      <c r="AB23" s="65"/>
      <c r="AC23" s="65"/>
      <c r="AD23" s="65"/>
      <c r="AE23" s="65"/>
      <c r="AF23" s="65"/>
      <c r="AG23" s="65"/>
      <c r="AH23" s="65"/>
      <c r="AI23" s="65"/>
      <c r="AJ23" s="65"/>
      <c r="AK23" s="65"/>
      <c r="AL23" s="65"/>
      <c r="AM23" s="65"/>
      <c r="AN23" s="65"/>
      <c r="AO23" s="65"/>
      <c r="AP23" s="65"/>
      <c r="AQ23" s="65"/>
    </row>
    <row r="24" spans="3:43" s="68" customFormat="1" ht="18.75" customHeight="1">
      <c r="Z24" s="65"/>
      <c r="AA24" s="65"/>
      <c r="AB24" s="65"/>
      <c r="AC24" s="65"/>
      <c r="AD24" s="65"/>
      <c r="AE24" s="65"/>
      <c r="AF24" s="65"/>
      <c r="AG24" s="65"/>
      <c r="AH24" s="65"/>
      <c r="AI24" s="65"/>
      <c r="AJ24" s="65"/>
      <c r="AK24" s="65"/>
      <c r="AL24" s="65"/>
      <c r="AM24" s="65"/>
      <c r="AN24" s="65"/>
      <c r="AO24" s="65"/>
      <c r="AP24" s="65"/>
      <c r="AQ24" s="65"/>
    </row>
    <row r="25" spans="3:43" s="68" customFormat="1" ht="18.75" customHeight="1">
      <c r="Z25" s="65"/>
      <c r="AA25" s="65"/>
      <c r="AB25" s="65"/>
      <c r="AC25" s="65"/>
      <c r="AD25" s="65"/>
      <c r="AE25" s="65"/>
      <c r="AF25" s="65"/>
      <c r="AG25" s="65"/>
      <c r="AH25" s="65"/>
      <c r="AI25" s="65"/>
      <c r="AJ25" s="65"/>
      <c r="AK25" s="65"/>
      <c r="AL25" s="65"/>
      <c r="AM25" s="65"/>
      <c r="AN25" s="65"/>
      <c r="AO25" s="65"/>
      <c r="AP25" s="65"/>
      <c r="AQ25" s="65"/>
    </row>
    <row r="26" spans="3:43" s="68" customFormat="1" ht="18.75" customHeight="1">
      <c r="Z26" s="65"/>
      <c r="AA26" s="65"/>
      <c r="AB26" s="65"/>
      <c r="AC26" s="65"/>
      <c r="AD26" s="65"/>
      <c r="AE26" s="65"/>
      <c r="AF26" s="65"/>
      <c r="AG26" s="65"/>
      <c r="AH26" s="65"/>
      <c r="AI26" s="65"/>
      <c r="AJ26" s="65"/>
      <c r="AK26" s="65"/>
      <c r="AL26" s="65"/>
      <c r="AM26" s="65"/>
      <c r="AN26" s="65"/>
      <c r="AO26" s="65"/>
      <c r="AP26" s="65"/>
      <c r="AQ26" s="65"/>
    </row>
    <row r="27" spans="3:43" s="68" customFormat="1" ht="18.75" customHeight="1">
      <c r="Z27" s="65"/>
      <c r="AA27" s="65"/>
      <c r="AB27" s="65"/>
      <c r="AC27" s="65"/>
      <c r="AD27" s="65"/>
      <c r="AE27" s="65"/>
      <c r="AF27" s="65"/>
      <c r="AG27" s="65"/>
      <c r="AH27" s="65"/>
      <c r="AI27" s="65"/>
      <c r="AJ27" s="65"/>
      <c r="AK27" s="65"/>
      <c r="AL27" s="65"/>
      <c r="AM27" s="65"/>
      <c r="AN27" s="65"/>
      <c r="AO27" s="65"/>
      <c r="AP27" s="65"/>
      <c r="AQ27" s="65"/>
    </row>
    <row r="28" spans="3:43" s="65" customFormat="1" ht="18" customHeight="1"/>
    <row r="29" spans="3:43" s="65" customFormat="1" ht="18" customHeight="1"/>
    <row r="30" spans="3:43" s="65" customFormat="1" ht="18" customHeight="1"/>
    <row r="31" spans="3:43" s="65" customFormat="1" ht="18" customHeight="1"/>
  </sheetData>
  <protectedRanges>
    <protectedRange sqref="X5 AA5 C10:L10 R20:Y20" name="Range1" securityDescriptor="O:WDG:WDD:(A;;CC;;;WD)"/>
  </protectedRanges>
  <mergeCells count="18">
    <mergeCell ref="C8:L8"/>
    <mergeCell ref="C9:L9"/>
    <mergeCell ref="C10:L10"/>
    <mergeCell ref="D12:Y12"/>
    <mergeCell ref="R23:Y23"/>
    <mergeCell ref="C16:Y16"/>
    <mergeCell ref="R18:Y18"/>
    <mergeCell ref="R19:Y19"/>
    <mergeCell ref="R20:Y20"/>
    <mergeCell ref="R21:Y21"/>
    <mergeCell ref="R22:Y22"/>
    <mergeCell ref="V5:W5"/>
    <mergeCell ref="H1:S2"/>
    <mergeCell ref="H3:S3"/>
    <mergeCell ref="C4:Y4"/>
    <mergeCell ref="V1:Y1"/>
    <mergeCell ref="V3:Y3"/>
    <mergeCell ref="V2:Y2"/>
  </mergeCells>
  <pageMargins left="0.70866141732283472" right="0.70866141732283472" top="0.59055118110236227" bottom="0.59055118110236227" header="0.31496062992125984" footer="0.31496062992125984"/>
  <pageSetup paperSize="9" scale="84" fitToHeight="0" orientation="portrait" blackAndWhite="1" r:id="rId1"/>
  <headerFooter>
    <oddFooter>&amp;L&amp;Z&amp;F&amp;R&amp;"SutonnyMJ,Regular"evsjv‡`k K…wl e¨vsK, c„ôv &amp;P &amp;"-,Regular"of&amp;"SutonnyMJ,Regular"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tabColor rgb="FFFF0000"/>
    <pageSetUpPr fitToPage="1"/>
  </sheetPr>
  <dimension ref="A1:D33"/>
  <sheetViews>
    <sheetView view="pageBreakPreview" topLeftCell="A7" zoomScaleSheetLayoutView="100" workbookViewId="0">
      <selection activeCell="D9" sqref="D9"/>
    </sheetView>
  </sheetViews>
  <sheetFormatPr defaultRowHeight="15.75"/>
  <cols>
    <col min="1" max="1" width="7" customWidth="1"/>
    <col min="2" max="2" width="50.7109375" style="324" customWidth="1"/>
    <col min="3" max="3" width="10.7109375" customWidth="1"/>
    <col min="4" max="4" width="11.85546875" customWidth="1"/>
  </cols>
  <sheetData>
    <row r="1" spans="1:4" ht="33.75" customHeight="1">
      <c r="A1" s="809" t="s">
        <v>0</v>
      </c>
      <c r="B1" s="809"/>
      <c r="C1" s="809"/>
      <c r="D1" s="809"/>
    </row>
    <row r="2" spans="1:4" ht="19.5" customHeight="1">
      <c r="A2" s="810" t="str">
        <f>+'Data Input'!D2</f>
        <v>wmw×iMÄ kvLv, bvivqYMÄ</v>
      </c>
      <c r="B2" s="810"/>
      <c r="C2" s="810"/>
      <c r="D2" s="810"/>
    </row>
    <row r="3" spans="1:4" ht="13.5" customHeight="1">
      <c r="A3" s="811" t="str">
        <f>+'Data Input'!D3</f>
        <v>Mobile: 01730-708739</v>
      </c>
      <c r="B3" s="811"/>
      <c r="C3" s="811"/>
      <c r="D3" s="811"/>
    </row>
    <row r="4" spans="1:4" ht="15.75" customHeight="1">
      <c r="A4" s="812" t="str">
        <f>"Email: "&amp;+'Data Input'!D4</f>
        <v>Email: mgrsiddhirgonj@krishibank.org.bd</v>
      </c>
      <c r="B4" s="812"/>
      <c r="C4" s="812"/>
      <c r="D4" s="812"/>
    </row>
    <row r="5" spans="1:4" ht="18" customHeight="1">
      <c r="A5" s="813" t="s">
        <v>671</v>
      </c>
      <c r="B5" s="813"/>
      <c r="C5" s="813"/>
      <c r="D5" s="813"/>
    </row>
    <row r="6" spans="1:4" ht="40.5" customHeight="1">
      <c r="A6" s="808" t="str">
        <f>'Data Input'!D5&amp;", "&amp;'Data Input'!D8&amp;",  ‡cÖvcvBUit "&amp;'Data Input'!D12</f>
        <v>64(wmGgGmGgB)/2024-25 , ‡gmvm© mvbd¬vIqvi †UBjvm© GÛ †dweªK&amp;ª,  ‡cÖvcvBUit ‡gvt Rwb</v>
      </c>
      <c r="B6" s="808"/>
      <c r="C6" s="808"/>
      <c r="D6" s="808"/>
    </row>
    <row r="7" spans="1:4" ht="20.25" customHeight="1">
      <c r="A7" s="814" t="s">
        <v>3</v>
      </c>
      <c r="B7" s="814" t="s">
        <v>535</v>
      </c>
      <c r="C7" s="814" t="s">
        <v>536</v>
      </c>
      <c r="D7" s="814"/>
    </row>
    <row r="8" spans="1:4" ht="23.25" customHeight="1">
      <c r="A8" s="815"/>
      <c r="B8" s="815"/>
      <c r="C8" s="391" t="s">
        <v>537</v>
      </c>
      <c r="D8" s="391" t="s">
        <v>538</v>
      </c>
    </row>
    <row r="9" spans="1:4" ht="21" customHeight="1">
      <c r="A9" s="380">
        <f>IF(B9="","",_xlfn.AGGREGATE(3,5,$B$9:B9))</f>
        <v>1</v>
      </c>
      <c r="B9" s="381" t="s">
        <v>656</v>
      </c>
      <c r="C9" s="382"/>
      <c r="D9" s="383"/>
    </row>
    <row r="10" spans="1:4" ht="21" customHeight="1">
      <c r="A10" s="384">
        <f>IF(B10="","",_xlfn.AGGREGATE(3,5,$B$9:B10))</f>
        <v>2</v>
      </c>
      <c r="B10" s="385" t="s">
        <v>645</v>
      </c>
      <c r="C10" s="386"/>
      <c r="D10" s="387"/>
    </row>
    <row r="11" spans="1:4" ht="21" customHeight="1">
      <c r="A11" s="384">
        <f>IF(B11="","",_xlfn.AGGREGATE(3,5,$B$9:B11))</f>
        <v>3</v>
      </c>
      <c r="B11" s="385" t="s">
        <v>657</v>
      </c>
      <c r="C11" s="386"/>
      <c r="D11" s="387"/>
    </row>
    <row r="12" spans="1:4" ht="21" customHeight="1">
      <c r="A12" s="384">
        <f>IF(B12="","",_xlfn.AGGREGATE(3,5,$B$9:B12))</f>
        <v>4</v>
      </c>
      <c r="B12" s="385" t="s">
        <v>708</v>
      </c>
      <c r="C12" s="386"/>
      <c r="D12" s="387"/>
    </row>
    <row r="13" spans="1:4" ht="21" customHeight="1">
      <c r="A13" s="384">
        <f>IF(B13="","",_xlfn.AGGREGATE(3,5,$B$9:B13))</f>
        <v>5</v>
      </c>
      <c r="B13" s="385" t="s">
        <v>670</v>
      </c>
      <c r="C13" s="386"/>
      <c r="D13" s="387"/>
    </row>
    <row r="14" spans="1:4" ht="21" customHeight="1">
      <c r="A14" s="384">
        <f>IF(B14="","",_xlfn.AGGREGATE(3,5,$B$9:B14))</f>
        <v>6</v>
      </c>
      <c r="B14" s="385" t="s">
        <v>646</v>
      </c>
      <c r="C14" s="386"/>
      <c r="D14" s="387"/>
    </row>
    <row r="15" spans="1:4" ht="21" customHeight="1">
      <c r="A15" s="384">
        <f>IF(B15="","",_xlfn.AGGREGATE(3,5,$B$9:B15))</f>
        <v>7</v>
      </c>
      <c r="B15" s="385" t="s">
        <v>647</v>
      </c>
      <c r="C15" s="386"/>
      <c r="D15" s="387"/>
    </row>
    <row r="16" spans="1:4" ht="21" customHeight="1">
      <c r="A16" s="384">
        <f>IF(B16="","",_xlfn.AGGREGATE(3,5,$B$9:B16))</f>
        <v>8</v>
      </c>
      <c r="B16" s="385" t="s">
        <v>709</v>
      </c>
      <c r="C16" s="386"/>
      <c r="D16" s="387"/>
    </row>
    <row r="17" spans="1:4" ht="21" customHeight="1">
      <c r="A17" s="384">
        <f>IF(B17="","",_xlfn.AGGREGATE(3,5,$B$9:B17))</f>
        <v>9</v>
      </c>
      <c r="B17" s="385" t="s">
        <v>167</v>
      </c>
      <c r="C17" s="386"/>
      <c r="D17" s="388"/>
    </row>
    <row r="18" spans="1:4" ht="21" customHeight="1">
      <c r="A18" s="384">
        <f>IF(B18="","",_xlfn.AGGREGATE(3,5,$B$9:B18))</f>
        <v>10</v>
      </c>
      <c r="B18" s="385" t="s">
        <v>694</v>
      </c>
      <c r="C18" s="386"/>
      <c r="D18" s="388"/>
    </row>
    <row r="19" spans="1:4" ht="21" customHeight="1">
      <c r="A19" s="384">
        <f>IF(B19="","",_xlfn.AGGREGATE(3,5,$B$9:B19))</f>
        <v>11</v>
      </c>
      <c r="B19" s="385" t="s">
        <v>710</v>
      </c>
      <c r="C19" s="386"/>
      <c r="D19" s="387"/>
    </row>
    <row r="20" spans="1:4" ht="21" customHeight="1">
      <c r="A20" s="384">
        <f>IF(B20="","",_xlfn.AGGREGATE(3,5,$B$9:B20))</f>
        <v>12</v>
      </c>
      <c r="B20" s="385" t="s">
        <v>692</v>
      </c>
      <c r="C20" s="386"/>
      <c r="D20" s="388"/>
    </row>
    <row r="21" spans="1:4" ht="21" customHeight="1">
      <c r="A21" s="384">
        <f>IF(B21="","",_xlfn.AGGREGATE(3,5,$B$9:B21))</f>
        <v>13</v>
      </c>
      <c r="B21" s="385" t="s">
        <v>649</v>
      </c>
      <c r="C21" s="386"/>
      <c r="D21" s="388"/>
    </row>
    <row r="22" spans="1:4" ht="21" customHeight="1">
      <c r="A22" s="384">
        <f>IF(B22="","",_xlfn.AGGREGATE(3,5,$B$9:B22))</f>
        <v>14</v>
      </c>
      <c r="B22" s="385" t="s">
        <v>658</v>
      </c>
      <c r="C22" s="386"/>
      <c r="D22" s="388"/>
    </row>
    <row r="23" spans="1:4" ht="21" customHeight="1">
      <c r="A23" s="384">
        <f>IF(B23="","",_xlfn.AGGREGATE(3,5,$B$9:B23))</f>
        <v>15</v>
      </c>
      <c r="B23" s="385" t="s">
        <v>695</v>
      </c>
      <c r="C23" s="386"/>
      <c r="D23" s="388"/>
    </row>
    <row r="24" spans="1:4" ht="21" customHeight="1">
      <c r="A24" s="384">
        <f>IF(B24="","",_xlfn.AGGREGATE(3,5,$B$9:B24))</f>
        <v>16</v>
      </c>
      <c r="B24" s="385" t="s">
        <v>659</v>
      </c>
      <c r="C24" s="386"/>
      <c r="D24" s="388"/>
    </row>
    <row r="25" spans="1:4" ht="21" customHeight="1">
      <c r="A25" s="384">
        <f>IF(B25="","",_xlfn.AGGREGATE(3,5,$B$9:B25))</f>
        <v>17</v>
      </c>
      <c r="B25" s="385" t="s">
        <v>661</v>
      </c>
      <c r="C25" s="386"/>
      <c r="D25" s="388"/>
    </row>
    <row r="26" spans="1:4" ht="21" customHeight="1">
      <c r="A26" s="384">
        <f>IF(B26="","",_xlfn.AGGREGATE(3,5,$B$9:B26))</f>
        <v>18</v>
      </c>
      <c r="B26" s="385" t="s">
        <v>660</v>
      </c>
      <c r="C26" s="386"/>
      <c r="D26" s="388"/>
    </row>
    <row r="27" spans="1:4" ht="21" customHeight="1">
      <c r="A27" s="384" t="str">
        <f>IF(B27="","",_xlfn.AGGREGATE(3,5,$B$9:B27))</f>
        <v/>
      </c>
      <c r="B27" s="389"/>
      <c r="C27" s="390"/>
      <c r="D27" s="388"/>
    </row>
    <row r="28" spans="1:4" ht="21" customHeight="1">
      <c r="A28" s="384" t="str">
        <f>IF(B28="","",_xlfn.AGGREGATE(3,5,$B$9:B28))</f>
        <v/>
      </c>
      <c r="B28" s="385"/>
      <c r="C28" s="386"/>
      <c r="D28" s="388"/>
    </row>
    <row r="29" spans="1:4" ht="21" customHeight="1">
      <c r="A29" s="384" t="str">
        <f>IF(B29="","",_xlfn.AGGREGATE(3,5,$B$9:B29))</f>
        <v/>
      </c>
      <c r="B29" s="389"/>
      <c r="C29" s="390"/>
      <c r="D29" s="388"/>
    </row>
    <row r="30" spans="1:4" ht="21" customHeight="1">
      <c r="A30" s="384" t="str">
        <f>IF(B30="","",_xlfn.AGGREGATE(3,5,$B$9:B30))</f>
        <v/>
      </c>
      <c r="B30" s="385"/>
      <c r="C30" s="386"/>
      <c r="D30" s="388"/>
    </row>
    <row r="31" spans="1:4" ht="21" customHeight="1">
      <c r="A31" s="384" t="str">
        <f>IF(B31="","",_xlfn.AGGREGATE(3,5,$B$9:B31))</f>
        <v/>
      </c>
      <c r="B31" s="389"/>
      <c r="C31" s="390"/>
      <c r="D31" s="388"/>
    </row>
    <row r="32" spans="1:4" ht="57" customHeight="1">
      <c r="A32" s="272"/>
      <c r="B32" s="43"/>
    </row>
    <row r="33" spans="1:4" ht="20.25" customHeight="1">
      <c r="A33" s="816" t="s">
        <v>722</v>
      </c>
      <c r="B33" s="816"/>
      <c r="C33" s="817" t="s">
        <v>162</v>
      </c>
      <c r="D33" s="817"/>
    </row>
  </sheetData>
  <protectedRanges>
    <protectedRange sqref="B9:D31" name="Range1" securityDescriptor="O:WDG:WDD:(A;;CC;;;WD)"/>
  </protectedRanges>
  <mergeCells count="11">
    <mergeCell ref="A7:A8"/>
    <mergeCell ref="B7:B8"/>
    <mergeCell ref="C7:D7"/>
    <mergeCell ref="A33:B33"/>
    <mergeCell ref="C33:D33"/>
    <mergeCell ref="A6:D6"/>
    <mergeCell ref="A1:D1"/>
    <mergeCell ref="A2:D2"/>
    <mergeCell ref="A3:D3"/>
    <mergeCell ref="A4:D4"/>
    <mergeCell ref="A5:D5"/>
  </mergeCells>
  <pageMargins left="0.7" right="0.7" top="0.75" bottom="0.75" header="0.3" footer="0.3"/>
  <pageSetup paperSize="9" fitToHeight="0" orientation="portrait" r:id="rId1"/>
  <headerFooter>
    <oddFooter>&amp;L&amp;Z&amp;F&amp;R&amp;N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Button4_Click">
                <anchor moveWithCells="1" sizeWithCells="1">
                  <from>
                    <xdr:col>5</xdr:col>
                    <xdr:colOff>323850</xdr:colOff>
                    <xdr:row>0</xdr:row>
                    <xdr:rowOff>171450</xdr:rowOff>
                  </from>
                  <to>
                    <xdr:col>6</xdr:col>
                    <xdr:colOff>552450</xdr:colOff>
                    <xdr:row>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tabColor rgb="FFFF0000"/>
    <pageSetUpPr fitToPage="1"/>
  </sheetPr>
  <dimension ref="A1:AY61"/>
  <sheetViews>
    <sheetView showGridLines="0" view="pageBreakPreview" zoomScaleSheetLayoutView="100" workbookViewId="0">
      <selection activeCell="C22" sqref="C22:Y24"/>
    </sheetView>
  </sheetViews>
  <sheetFormatPr defaultRowHeight="18" customHeight="1"/>
  <cols>
    <col min="2" max="2" width="1" customWidth="1"/>
    <col min="3" max="3" width="14.5703125" customWidth="1"/>
    <col min="4" max="4" width="2.5703125" customWidth="1"/>
    <col min="5" max="5" width="5.140625" customWidth="1"/>
    <col min="6" max="7" width="2.5703125" customWidth="1"/>
    <col min="8" max="8" width="4" customWidth="1"/>
    <col min="9" max="9" width="4.28515625" customWidth="1"/>
    <col min="10" max="10" width="2.5703125" customWidth="1"/>
    <col min="11" max="11" width="3.85546875" customWidth="1"/>
    <col min="12" max="12" width="2.5703125" customWidth="1"/>
    <col min="13" max="13" width="4.7109375" customWidth="1"/>
    <col min="14" max="16" width="2.5703125" customWidth="1"/>
    <col min="17" max="17" width="6" customWidth="1"/>
    <col min="18" max="20" width="2.5703125" customWidth="1"/>
    <col min="21" max="21" width="3.85546875" customWidth="1"/>
    <col min="22" max="22" width="3.140625" customWidth="1"/>
    <col min="23" max="23" width="5.140625" customWidth="1"/>
    <col min="24" max="24" width="9.5703125" customWidth="1"/>
    <col min="25" max="25" width="5.140625" customWidth="1"/>
    <col min="27" max="27" width="2" bestFit="1" customWidth="1"/>
    <col min="28" max="28" width="23.28515625" customWidth="1"/>
    <col min="29" max="29" width="5.85546875" customWidth="1"/>
    <col min="30" max="30" width="9.42578125" customWidth="1"/>
  </cols>
  <sheetData>
    <row r="1" spans="1:51" ht="15" customHeight="1">
      <c r="C1" s="710"/>
      <c r="D1" s="710"/>
      <c r="E1" s="819" t="s">
        <v>0</v>
      </c>
      <c r="F1" s="819"/>
      <c r="G1" s="819"/>
      <c r="H1" s="819"/>
      <c r="I1" s="819"/>
      <c r="J1" s="819"/>
      <c r="K1" s="819"/>
      <c r="L1" s="819"/>
      <c r="M1" s="819"/>
      <c r="N1" s="819"/>
      <c r="O1" s="819"/>
      <c r="P1" s="819"/>
      <c r="S1" s="820" t="str">
        <f>'Data Input'!B5&amp;" "&amp;'Data Input'!D5</f>
        <v xml:space="preserve">FY †KBm bs 64(wmGgGmGgB)/2024-25 </v>
      </c>
      <c r="T1" s="820"/>
      <c r="U1" s="820"/>
      <c r="V1" s="820"/>
      <c r="W1" s="820"/>
      <c r="X1" s="820"/>
      <c r="Y1" s="820"/>
      <c r="AR1" s="162"/>
      <c r="AS1" s="162"/>
      <c r="AT1" s="162"/>
      <c r="AY1" s="157"/>
    </row>
    <row r="2" spans="1:51" ht="15" customHeight="1">
      <c r="C2" s="711"/>
      <c r="D2" s="711"/>
      <c r="E2" s="819"/>
      <c r="F2" s="819"/>
      <c r="G2" s="819"/>
      <c r="H2" s="819"/>
      <c r="I2" s="819"/>
      <c r="J2" s="819"/>
      <c r="K2" s="819"/>
      <c r="L2" s="819"/>
      <c r="M2" s="819"/>
      <c r="N2" s="819"/>
      <c r="O2" s="819"/>
      <c r="P2" s="819"/>
      <c r="T2" s="261"/>
      <c r="U2" s="820" t="s">
        <v>485</v>
      </c>
      <c r="V2" s="820"/>
      <c r="W2" s="820" t="str">
        <f>+'Data Input'!D11&amp;" UvKv"</f>
        <v>500000 UvKv</v>
      </c>
      <c r="X2" s="820"/>
      <c r="Y2" s="820"/>
      <c r="AR2" s="163"/>
      <c r="AS2" s="163"/>
      <c r="AT2" s="163"/>
      <c r="AY2" s="158"/>
    </row>
    <row r="3" spans="1:51" s="17" customFormat="1" ht="21" customHeight="1">
      <c r="C3" s="712"/>
      <c r="D3" s="713"/>
      <c r="E3" s="822" t="str">
        <f>+'[1]Data Input'!D2</f>
        <v>wmw×iMÄ kvLv, bvivqYMÄ</v>
      </c>
      <c r="F3" s="822"/>
      <c r="G3" s="822"/>
      <c r="H3" s="822"/>
      <c r="I3" s="822"/>
      <c r="J3" s="822"/>
      <c r="K3" s="822"/>
      <c r="L3" s="822"/>
      <c r="M3" s="822"/>
      <c r="N3" s="822"/>
      <c r="O3" s="822"/>
      <c r="P3" s="822"/>
      <c r="T3" s="262"/>
      <c r="V3" s="799"/>
      <c r="W3" s="799"/>
      <c r="X3" s="799"/>
      <c r="Y3" s="799"/>
      <c r="AR3" s="159"/>
      <c r="AS3" s="159"/>
      <c r="AT3" s="159"/>
      <c r="AY3" s="159"/>
    </row>
    <row r="4" spans="1:51" ht="17.25" customHeight="1">
      <c r="C4" s="824"/>
      <c r="D4" s="824"/>
      <c r="E4" s="824"/>
      <c r="F4" s="824"/>
      <c r="G4" s="824"/>
      <c r="H4" s="824"/>
      <c r="I4" s="824"/>
      <c r="J4" s="824"/>
      <c r="K4" s="824"/>
      <c r="L4" s="824"/>
      <c r="M4" s="824"/>
      <c r="N4" s="824"/>
      <c r="O4" s="824"/>
      <c r="P4" s="824"/>
      <c r="Q4" s="824"/>
      <c r="R4" s="824"/>
      <c r="S4" s="824"/>
      <c r="T4" s="824"/>
      <c r="U4" s="824"/>
      <c r="V4" s="824"/>
      <c r="W4" s="824"/>
      <c r="X4" s="824"/>
      <c r="Y4" s="824"/>
      <c r="AR4" s="160"/>
      <c r="AS4" s="160"/>
      <c r="AT4" s="160"/>
      <c r="AY4" s="160"/>
    </row>
    <row r="5" spans="1:51" ht="18" customHeight="1">
      <c r="A5" s="714"/>
      <c r="B5" s="714"/>
      <c r="C5" s="715"/>
      <c r="D5" s="714"/>
      <c r="E5" s="714"/>
      <c r="F5" s="714"/>
      <c r="G5" s="714"/>
      <c r="H5" s="714"/>
      <c r="I5" s="714"/>
      <c r="J5" s="714"/>
      <c r="K5" s="714"/>
      <c r="L5" s="714"/>
      <c r="M5" s="714"/>
      <c r="N5" s="714"/>
      <c r="O5" s="714"/>
      <c r="P5" s="714"/>
      <c r="Q5" s="714"/>
      <c r="R5" s="714"/>
      <c r="S5" s="715"/>
      <c r="T5" s="714"/>
      <c r="U5" s="714"/>
      <c r="V5" s="825"/>
      <c r="W5" s="825"/>
      <c r="X5" s="664"/>
      <c r="Y5" s="664"/>
    </row>
    <row r="6" spans="1:51" ht="3.75" customHeight="1">
      <c r="C6" s="13"/>
      <c r="S6" s="13"/>
    </row>
    <row r="7" spans="1:51" s="271" customFormat="1" ht="21" hidden="1" customHeight="1">
      <c r="C7" s="826" t="s">
        <v>728</v>
      </c>
      <c r="D7" s="826"/>
      <c r="E7" s="826"/>
      <c r="F7" s="826"/>
      <c r="G7" s="826"/>
      <c r="H7" s="826"/>
      <c r="I7" s="826"/>
      <c r="J7" s="826"/>
      <c r="K7" s="826"/>
      <c r="L7" s="826"/>
      <c r="M7" s="826"/>
      <c r="N7" s="826"/>
      <c r="O7" s="826"/>
      <c r="P7" s="826"/>
      <c r="Q7" s="826"/>
      <c r="R7" s="826"/>
      <c r="S7" s="826"/>
      <c r="T7" s="826"/>
      <c r="U7" s="826"/>
      <c r="V7" s="826"/>
      <c r="W7" s="826"/>
      <c r="X7" s="826"/>
      <c r="Y7" s="826"/>
      <c r="AA7"/>
      <c r="AB7"/>
      <c r="AC7"/>
      <c r="AD7"/>
      <c r="AE7"/>
      <c r="AF7"/>
      <c r="AG7"/>
      <c r="AH7"/>
      <c r="AI7"/>
      <c r="AJ7"/>
      <c r="AK7"/>
      <c r="AL7"/>
      <c r="AM7"/>
      <c r="AN7"/>
      <c r="AO7"/>
    </row>
    <row r="8" spans="1:51" s="85" customFormat="1" ht="18" customHeight="1">
      <c r="B8" s="37"/>
      <c r="C8" s="37" t="str">
        <f>+'Data Input'!B8</f>
        <v>cÖK‡íi bvg</v>
      </c>
      <c r="D8" s="37" t="s">
        <v>1</v>
      </c>
      <c r="E8" s="821" t="str">
        <f>+'Data Input'!D8</f>
        <v>‡gmvm© mvbd¬vIqvi †UBjvm© GÛ †dweªK&amp;ª</v>
      </c>
      <c r="F8" s="821"/>
      <c r="G8" s="821"/>
      <c r="H8" s="821"/>
      <c r="I8" s="821"/>
      <c r="J8" s="821"/>
      <c r="K8" s="821"/>
      <c r="L8" s="821"/>
      <c r="M8" s="821"/>
      <c r="N8" s="821"/>
      <c r="O8" s="821"/>
      <c r="P8" s="821"/>
      <c r="Q8" s="821"/>
      <c r="R8" s="821"/>
      <c r="S8" s="821"/>
      <c r="T8" s="821"/>
      <c r="U8" s="821"/>
      <c r="V8" s="821"/>
      <c r="W8" s="821"/>
      <c r="X8" s="821"/>
      <c r="Y8" s="821"/>
      <c r="AA8" s="65"/>
      <c r="AB8" s="65"/>
      <c r="AC8" s="65"/>
      <c r="AD8" s="65"/>
      <c r="AE8" s="65"/>
      <c r="AF8" s="65"/>
      <c r="AG8" s="65"/>
      <c r="AH8" s="65"/>
      <c r="AI8" s="65"/>
      <c r="AJ8" s="65"/>
      <c r="AK8" s="65"/>
      <c r="AL8" s="65"/>
      <c r="AM8" s="65"/>
      <c r="AN8" s="65"/>
      <c r="AO8" s="65"/>
    </row>
    <row r="9" spans="1:51" s="85" customFormat="1" ht="18" customHeight="1">
      <c r="C9" s="37" t="str">
        <f>+'Data Input'!B12</f>
        <v>‡cÖvcvBUi</v>
      </c>
      <c r="D9" s="37" t="s">
        <v>1</v>
      </c>
      <c r="E9" s="827" t="str">
        <f>+'Data Input'!D12</f>
        <v>‡gvt Rwb</v>
      </c>
      <c r="F9" s="821"/>
      <c r="G9" s="821"/>
      <c r="H9" s="821"/>
      <c r="I9" s="821"/>
      <c r="J9" s="821"/>
      <c r="K9" s="821"/>
      <c r="L9" s="821"/>
      <c r="M9" s="821"/>
      <c r="N9" s="821"/>
      <c r="O9" s="821"/>
      <c r="P9" s="821"/>
      <c r="Q9" s="821"/>
      <c r="R9" s="821"/>
      <c r="S9" s="821"/>
      <c r="T9" s="821"/>
      <c r="U9" s="821"/>
      <c r="V9" s="821"/>
      <c r="W9" s="821"/>
      <c r="X9" s="821"/>
      <c r="Y9" s="821"/>
      <c r="AA9" s="65"/>
      <c r="AB9" s="65"/>
      <c r="AC9" s="65"/>
      <c r="AD9" s="65"/>
      <c r="AE9" s="65"/>
      <c r="AF9" s="65"/>
      <c r="AG9" s="65"/>
      <c r="AH9" s="65"/>
      <c r="AI9" s="65"/>
      <c r="AJ9" s="65"/>
      <c r="AK9" s="65"/>
      <c r="AL9" s="65"/>
      <c r="AM9" s="65"/>
      <c r="AN9" s="65"/>
      <c r="AO9" s="65"/>
    </row>
    <row r="10" spans="1:51" s="85" customFormat="1" ht="18" customHeight="1">
      <c r="C10" s="37" t="str">
        <f>+'Data Input'!B13</f>
        <v>wcZv/¯^vgxi bvg</v>
      </c>
      <c r="D10" s="37" t="s">
        <v>1</v>
      </c>
      <c r="E10" s="827" t="str">
        <f>+'Data Input'!D13</f>
        <v>g„Z †gvt Bw`ªm Avjx</v>
      </c>
      <c r="F10" s="821"/>
      <c r="G10" s="821"/>
      <c r="H10" s="821"/>
      <c r="I10" s="821"/>
      <c r="J10" s="821"/>
      <c r="K10" s="821"/>
      <c r="L10" s="821"/>
      <c r="M10" s="821"/>
      <c r="N10" s="821"/>
      <c r="O10" s="821"/>
      <c r="P10" s="821"/>
      <c r="Q10" s="821"/>
      <c r="R10" s="821"/>
      <c r="S10" s="821"/>
      <c r="T10" s="821"/>
      <c r="U10" s="821"/>
      <c r="V10" s="821"/>
      <c r="W10" s="821"/>
      <c r="X10" s="821"/>
      <c r="Y10" s="821"/>
      <c r="AA10" s="65"/>
      <c r="AB10" s="65"/>
      <c r="AC10" s="65"/>
      <c r="AD10" s="65"/>
      <c r="AE10" s="65"/>
      <c r="AF10" s="65"/>
      <c r="AG10" s="65"/>
      <c r="AH10" s="65"/>
      <c r="AI10" s="65"/>
      <c r="AJ10" s="65"/>
      <c r="AK10" s="65"/>
      <c r="AL10" s="65"/>
      <c r="AM10" s="65"/>
      <c r="AN10" s="65"/>
      <c r="AO10" s="65"/>
    </row>
    <row r="11" spans="1:51" s="85" customFormat="1" ht="18" customHeight="1">
      <c r="C11" s="37" t="s">
        <v>58</v>
      </c>
      <c r="D11" s="37" t="s">
        <v>1</v>
      </c>
      <c r="E11" s="823" t="str">
        <f>+'Data Input'!D17&amp;", Dc‡Rjvt "&amp;'Data Input'!D22&amp;", ‡Rjvt "&amp;'Data Input'!D23</f>
        <v>`vcv B`ªvKcyi, dZzjøv, bvivqYMÄ, Dc‡Rjvt bvivqYMÄ m`i, ‡Rjvt bvivqYMÄ</v>
      </c>
      <c r="F11" s="823"/>
      <c r="G11" s="823"/>
      <c r="H11" s="823"/>
      <c r="I11" s="823"/>
      <c r="J11" s="823"/>
      <c r="K11" s="823"/>
      <c r="L11" s="823"/>
      <c r="M11" s="823"/>
      <c r="N11" s="823"/>
      <c r="O11" s="823"/>
      <c r="P11" s="823"/>
      <c r="Q11" s="823"/>
      <c r="R11" s="823"/>
      <c r="S11" s="823"/>
      <c r="T11" s="823"/>
      <c r="U11" s="823"/>
      <c r="V11" s="823"/>
      <c r="W11" s="823"/>
      <c r="X11" s="823"/>
      <c r="Y11" s="823"/>
      <c r="AA11" s="65"/>
      <c r="AB11" s="65"/>
      <c r="AC11" s="65"/>
      <c r="AD11" s="65"/>
      <c r="AE11" s="65"/>
      <c r="AF11" s="65"/>
      <c r="AG11" s="65"/>
      <c r="AH11" s="65"/>
      <c r="AI11" s="65"/>
      <c r="AJ11" s="65"/>
      <c r="AK11" s="65"/>
      <c r="AL11" s="65"/>
      <c r="AM11" s="65"/>
      <c r="AN11" s="65"/>
      <c r="AO11" s="65"/>
    </row>
    <row r="12" spans="1:51" s="85" customFormat="1" ht="18" customHeight="1">
      <c r="B12" s="37"/>
      <c r="C12" s="37" t="s">
        <v>653</v>
      </c>
      <c r="D12" s="37" t="s">
        <v>1</v>
      </c>
      <c r="E12" s="433" t="str">
        <f>+'Data Input'!D16</f>
        <v>01923-401539</v>
      </c>
      <c r="AA12" s="65"/>
      <c r="AB12" s="65"/>
      <c r="AC12" s="65"/>
      <c r="AD12" s="65"/>
      <c r="AE12" s="65"/>
      <c r="AF12" s="65"/>
      <c r="AG12" s="65"/>
      <c r="AH12" s="65"/>
      <c r="AI12" s="65"/>
      <c r="AJ12" s="65"/>
      <c r="AK12" s="65"/>
      <c r="AL12" s="65"/>
      <c r="AM12" s="65"/>
      <c r="AN12" s="65"/>
      <c r="AO12" s="65"/>
    </row>
    <row r="13" spans="1:51" s="33" customFormat="1" ht="15" customHeight="1">
      <c r="B13" s="269"/>
      <c r="C13" s="37"/>
      <c r="D13" s="37"/>
      <c r="E13" s="37"/>
      <c r="AA13"/>
      <c r="AB13"/>
      <c r="AC13"/>
      <c r="AD13"/>
      <c r="AE13"/>
      <c r="AF13"/>
      <c r="AG13"/>
      <c r="AH13"/>
      <c r="AI13"/>
      <c r="AJ13"/>
      <c r="AK13"/>
      <c r="AL13"/>
      <c r="AM13"/>
      <c r="AN13"/>
      <c r="AO13"/>
    </row>
    <row r="14" spans="1:51" s="65" customFormat="1" ht="22.5" customHeight="1">
      <c r="C14" s="805" t="str">
        <f>+'Data Input'!B49</f>
        <v>‡gmvm© mvbd¬vIqvi †UBjvm© GÛ †dweªK&amp;ª bvgK e¨emv cÖwZôvbwU Av‡e`bKvixi wcZv `xN©w`b a‡i cwiPvjbv KiwQ‡jb| Av‡e`bKvixi wcZvi g„Z¨yi ci GKgvÎ Iqvwik wn‡m‡e wZwb D³ e¨emv cÖwZôvbwU cwiPvjbv Ki‡Qb|  Kvc‡oi e¨emvwU jvfRbK e¨emv| eZ©gvb evRvig~j¨ e„w× cvIqvq wZwb Zvi e¨emvwU cÖmvwiZ I mwVKfv‡e cwiPvjbv Ki‡Z cvi‡Qb bv | ZvB wZwb e¨vs‡K wmGgGmGgB Lv‡Z bM` cyuwR F‡Yi Av‡e`b K‡i‡Qb|  D³ cÖwZôv‡bi AbyKz‡j e¨vsK wewb‡qvM Ki‡j e¨vsK I D‡`¨v³v Df‡qB Avw_©Kfv‡e jvfevb n‡e| D‡`¨v³v Avw_©K w`K w`‡q ¯^”Qj Ges FY cwi‡kv‡a mvg_©¨evb| D‡`¨v³vi Av‡e`b, e¨emvwqK AwfÁZv, cÖwZôv‡bi µgweKvk BZ¨vw` we‡ePbv K‡i ‡gmvm© mvbd¬vIqvi †UBjvm© GÛ †dweªK&amp;ª Gi AbyKz‡j Kvc‡oi e¨emv cwiPvjbvi Rb¨ wmGgGmGgB Lv‡Z  1 (GK) erm‡ii ‡gqv‡` gs  70.00 (mËi) jÿ UvKv gvÎ bM` cyuwR FY gÄyixi  mycvwik Kiv n‡jv|</v>
      </c>
      <c r="D14" s="805"/>
      <c r="E14" s="805"/>
      <c r="F14" s="805"/>
      <c r="G14" s="805"/>
      <c r="H14" s="805"/>
      <c r="I14" s="805"/>
      <c r="J14" s="805"/>
      <c r="K14" s="805"/>
      <c r="L14" s="805"/>
      <c r="M14" s="805"/>
      <c r="N14" s="805"/>
      <c r="O14" s="805"/>
      <c r="P14" s="805"/>
      <c r="Q14" s="805"/>
      <c r="R14" s="805"/>
      <c r="S14" s="805"/>
      <c r="T14" s="805"/>
      <c r="U14" s="805"/>
      <c r="V14" s="805"/>
      <c r="W14" s="805"/>
      <c r="X14" s="805"/>
      <c r="Y14" s="805"/>
      <c r="AA14"/>
      <c r="AB14"/>
      <c r="AC14"/>
      <c r="AD14"/>
      <c r="AE14"/>
      <c r="AF14"/>
      <c r="AG14"/>
      <c r="AH14"/>
      <c r="AI14"/>
      <c r="AJ14"/>
      <c r="AK14"/>
      <c r="AL14"/>
      <c r="AM14"/>
      <c r="AN14"/>
      <c r="AO14"/>
    </row>
    <row r="15" spans="1:51" s="65" customFormat="1" ht="148.5" customHeight="1">
      <c r="B15" s="183"/>
      <c r="C15" s="805"/>
      <c r="D15" s="805"/>
      <c r="E15" s="805"/>
      <c r="F15" s="805"/>
      <c r="G15" s="805"/>
      <c r="H15" s="805"/>
      <c r="I15" s="805"/>
      <c r="J15" s="805"/>
      <c r="K15" s="805"/>
      <c r="L15" s="805"/>
      <c r="M15" s="805"/>
      <c r="N15" s="805"/>
      <c r="O15" s="805"/>
      <c r="P15" s="805"/>
      <c r="Q15" s="805"/>
      <c r="R15" s="805"/>
      <c r="S15" s="805"/>
      <c r="T15" s="805"/>
      <c r="U15" s="805"/>
      <c r="V15" s="805"/>
      <c r="W15" s="805"/>
      <c r="X15" s="805"/>
      <c r="Y15" s="805"/>
      <c r="AA15"/>
      <c r="AB15"/>
      <c r="AC15"/>
      <c r="AD15"/>
      <c r="AE15"/>
      <c r="AF15"/>
      <c r="AG15"/>
      <c r="AH15"/>
      <c r="AI15"/>
      <c r="AJ15"/>
      <c r="AK15"/>
      <c r="AL15"/>
      <c r="AM15"/>
      <c r="AN15"/>
      <c r="AO15"/>
    </row>
    <row r="16" spans="1:51" s="65" customFormat="1" ht="21" customHeight="1">
      <c r="B16" s="183"/>
      <c r="C16" s="41"/>
      <c r="D16" s="41"/>
      <c r="E16" s="41"/>
      <c r="F16" s="41"/>
      <c r="G16" s="41"/>
      <c r="H16" s="41"/>
      <c r="I16" s="41"/>
      <c r="J16" s="41"/>
      <c r="K16" s="41"/>
      <c r="L16" s="41"/>
      <c r="M16" s="41"/>
      <c r="N16" s="41"/>
      <c r="O16" s="41"/>
      <c r="P16" s="41"/>
      <c r="Q16" s="41"/>
      <c r="R16" s="41"/>
      <c r="S16" s="41"/>
      <c r="T16" s="41"/>
      <c r="U16" s="41"/>
      <c r="V16" s="41"/>
      <c r="W16" s="41"/>
      <c r="X16" s="41"/>
      <c r="Y16" s="41"/>
      <c r="AA16"/>
      <c r="AB16"/>
      <c r="AC16"/>
      <c r="AD16"/>
      <c r="AE16"/>
      <c r="AF16"/>
      <c r="AG16"/>
      <c r="AH16"/>
      <c r="AI16"/>
      <c r="AJ16"/>
      <c r="AK16"/>
      <c r="AL16"/>
      <c r="AM16"/>
      <c r="AN16"/>
      <c r="AO16"/>
    </row>
    <row r="17" spans="2:41" ht="18" customHeight="1">
      <c r="B17" s="14"/>
      <c r="C17" s="41"/>
      <c r="D17" s="41"/>
      <c r="E17" s="41"/>
      <c r="F17" s="41"/>
      <c r="G17" s="41"/>
      <c r="H17" s="41"/>
      <c r="I17" s="41"/>
      <c r="J17" s="41"/>
      <c r="K17" s="41"/>
      <c r="L17" s="41"/>
      <c r="M17" s="41"/>
      <c r="N17" s="41"/>
      <c r="O17" s="41"/>
      <c r="P17" s="41"/>
      <c r="Q17" s="41"/>
      <c r="R17" s="41"/>
      <c r="S17" s="41"/>
      <c r="T17" s="41"/>
      <c r="U17" s="41"/>
      <c r="V17" s="41"/>
      <c r="W17" s="41"/>
      <c r="X17" s="41"/>
      <c r="Y17" s="41"/>
    </row>
    <row r="18" spans="2:41" ht="20.25" customHeight="1">
      <c r="B18" s="14"/>
      <c r="W18" s="818" t="s">
        <v>1097</v>
      </c>
      <c r="X18" s="818"/>
      <c r="Y18" s="818"/>
    </row>
    <row r="19" spans="2:41" ht="3.75" customHeight="1">
      <c r="B19" s="14"/>
      <c r="C19" s="270"/>
      <c r="W19" s="59"/>
      <c r="X19" s="59"/>
      <c r="Y19" s="59"/>
    </row>
    <row r="20" spans="2:41" ht="18" customHeight="1">
      <c r="B20" s="14"/>
      <c r="C20" s="270"/>
      <c r="W20" s="59"/>
      <c r="X20" s="59"/>
      <c r="Y20" s="59"/>
    </row>
    <row r="21" spans="2:41" ht="12" customHeight="1">
      <c r="B21" s="14"/>
      <c r="C21" s="270"/>
      <c r="W21" s="59"/>
      <c r="X21" s="59"/>
      <c r="Y21" s="59"/>
    </row>
    <row r="22" spans="2:41" ht="18" customHeight="1">
      <c r="C22" s="805" t="str">
        <f>+'Data Input'!B64&amp;" gÄyixcÎ Bm¨y K‡i `wjjvqb m¤úv`b Kiv nDK Ges FY wnmve †Lv‡j †PK eB cÖ`vb Kiv nDK|"</f>
        <v>Av‡e`bKvix†K ‡gmvm© mvbd¬vIqvi †UBjvm© GÛ †dweªK&amp;ª bvgK Kvc‡oi  e¨emv cwiPvjbvi Rb¨ wmGgGmGgB Lv‡Z 1 (GK) erm‡ii ‡gqv‡` gs  70.00 (mËi) jÿ UvKv gvÎ bM` cyuwR FY gÄyixi  mycvwik Kiv n‡jv| gÄyixcÎ Bm¨y K‡i `wjjvqb m¤úv`b Kiv nDK Ges FY wnmve †Lv‡j †PK eB cÖ`vb Kiv nDK|</v>
      </c>
      <c r="D22" s="805"/>
      <c r="E22" s="805"/>
      <c r="F22" s="805"/>
      <c r="G22" s="805"/>
      <c r="H22" s="805"/>
      <c r="I22" s="805"/>
      <c r="J22" s="805"/>
      <c r="K22" s="805"/>
      <c r="L22" s="805"/>
      <c r="M22" s="805"/>
      <c r="N22" s="805"/>
      <c r="O22" s="805"/>
      <c r="P22" s="805"/>
      <c r="Q22" s="805"/>
      <c r="R22" s="805"/>
      <c r="S22" s="805"/>
      <c r="T22" s="805"/>
      <c r="U22" s="805"/>
      <c r="V22" s="805"/>
      <c r="W22" s="805"/>
      <c r="X22" s="805"/>
      <c r="Y22" s="805"/>
    </row>
    <row r="23" spans="2:41" ht="18" customHeight="1">
      <c r="B23" s="15"/>
      <c r="C23" s="805"/>
      <c r="D23" s="805"/>
      <c r="E23" s="805"/>
      <c r="F23" s="805"/>
      <c r="G23" s="805"/>
      <c r="H23" s="805"/>
      <c r="I23" s="805"/>
      <c r="J23" s="805"/>
      <c r="K23" s="805"/>
      <c r="L23" s="805"/>
      <c r="M23" s="805"/>
      <c r="N23" s="805"/>
      <c r="O23" s="805"/>
      <c r="P23" s="805"/>
      <c r="Q23" s="805"/>
      <c r="R23" s="805"/>
      <c r="S23" s="805"/>
      <c r="T23" s="805"/>
      <c r="U23" s="805"/>
      <c r="V23" s="805"/>
      <c r="W23" s="805"/>
      <c r="X23" s="805"/>
      <c r="Y23" s="805"/>
    </row>
    <row r="24" spans="2:41" s="65" customFormat="1" ht="27.75" customHeight="1">
      <c r="C24" s="805"/>
      <c r="D24" s="805"/>
      <c r="E24" s="805"/>
      <c r="F24" s="805"/>
      <c r="G24" s="805"/>
      <c r="H24" s="805"/>
      <c r="I24" s="805"/>
      <c r="J24" s="805"/>
      <c r="K24" s="805"/>
      <c r="L24" s="805"/>
      <c r="M24" s="805"/>
      <c r="N24" s="805"/>
      <c r="O24" s="805"/>
      <c r="P24" s="805"/>
      <c r="Q24" s="805"/>
      <c r="R24" s="805"/>
      <c r="S24" s="805"/>
      <c r="T24" s="805"/>
      <c r="U24" s="805"/>
      <c r="V24" s="805"/>
      <c r="W24" s="805"/>
      <c r="X24" s="805"/>
      <c r="Y24" s="805"/>
      <c r="AA24"/>
      <c r="AB24"/>
      <c r="AC24"/>
      <c r="AD24"/>
      <c r="AE24"/>
      <c r="AF24"/>
      <c r="AG24"/>
      <c r="AH24"/>
      <c r="AI24"/>
      <c r="AJ24"/>
      <c r="AK24"/>
      <c r="AL24"/>
      <c r="AM24"/>
      <c r="AN24"/>
      <c r="AO24"/>
    </row>
    <row r="25" spans="2:41" s="65" customFormat="1" ht="45" customHeight="1">
      <c r="C25" s="41"/>
      <c r="D25" s="41"/>
      <c r="E25" s="41"/>
      <c r="F25" s="41"/>
      <c r="G25" s="41"/>
      <c r="H25" s="41"/>
      <c r="I25" s="41"/>
      <c r="J25" s="41"/>
      <c r="K25" s="41"/>
      <c r="L25" s="41"/>
      <c r="M25" s="41"/>
      <c r="N25" s="41"/>
      <c r="O25" s="41"/>
      <c r="P25" s="41"/>
      <c r="Q25" s="41"/>
      <c r="R25" s="41"/>
      <c r="S25" s="41"/>
      <c r="T25" s="41"/>
      <c r="U25" s="41"/>
      <c r="V25" s="41"/>
      <c r="W25" s="41"/>
      <c r="X25" s="41"/>
      <c r="Y25" s="41"/>
      <c r="AA25"/>
      <c r="AB25"/>
      <c r="AC25"/>
      <c r="AD25"/>
      <c r="AE25"/>
      <c r="AF25"/>
      <c r="AG25"/>
      <c r="AH25"/>
      <c r="AI25"/>
      <c r="AJ25"/>
      <c r="AK25"/>
      <c r="AL25"/>
      <c r="AM25"/>
      <c r="AN25"/>
      <c r="AO25"/>
    </row>
    <row r="26" spans="2:41" ht="20.25" customHeight="1">
      <c r="B26" s="14"/>
      <c r="W26" s="829" t="s">
        <v>702</v>
      </c>
      <c r="X26" s="829"/>
      <c r="Y26" s="829"/>
    </row>
    <row r="27" spans="2:41" ht="20.25" customHeight="1">
      <c r="B27" s="14"/>
      <c r="W27" s="719"/>
      <c r="X27" s="719"/>
      <c r="Y27" s="719"/>
    </row>
    <row r="28" spans="2:41" ht="13.5" customHeight="1">
      <c r="C28" s="805" t="s">
        <v>1098</v>
      </c>
      <c r="D28" s="805"/>
      <c r="E28" s="805"/>
      <c r="F28" s="805"/>
      <c r="G28" s="805"/>
      <c r="H28" s="805"/>
      <c r="I28" s="805"/>
      <c r="J28" s="805"/>
      <c r="K28" s="805"/>
      <c r="L28" s="805"/>
      <c r="M28" s="805"/>
      <c r="N28" s="805"/>
      <c r="O28" s="805"/>
      <c r="P28" s="805"/>
      <c r="Q28" s="805"/>
      <c r="R28" s="805"/>
      <c r="S28" s="805"/>
      <c r="T28" s="805"/>
      <c r="U28" s="805"/>
      <c r="V28" s="805"/>
      <c r="W28" s="805"/>
      <c r="X28" s="805"/>
      <c r="Y28" s="805"/>
    </row>
    <row r="29" spans="2:41" ht="15.75" customHeight="1">
      <c r="B29" s="16"/>
      <c r="C29" s="805"/>
      <c r="D29" s="805"/>
      <c r="E29" s="805"/>
      <c r="F29" s="805"/>
      <c r="G29" s="805"/>
      <c r="H29" s="805"/>
      <c r="I29" s="805"/>
      <c r="J29" s="805"/>
      <c r="K29" s="805"/>
      <c r="L29" s="805"/>
      <c r="M29" s="805"/>
      <c r="N29" s="805"/>
      <c r="O29" s="805"/>
      <c r="P29" s="805"/>
      <c r="Q29" s="805"/>
      <c r="R29" s="805"/>
      <c r="S29" s="805"/>
      <c r="T29" s="805"/>
      <c r="U29" s="805"/>
      <c r="V29" s="805"/>
      <c r="W29" s="805"/>
      <c r="X29" s="805"/>
      <c r="Y29" s="805"/>
    </row>
    <row r="30" spans="2:41" ht="19.5" customHeight="1">
      <c r="B30" s="16"/>
      <c r="C30" s="823" t="s">
        <v>1099</v>
      </c>
      <c r="D30" s="823"/>
      <c r="E30" s="823"/>
      <c r="F30" s="823"/>
      <c r="G30" s="823"/>
      <c r="H30" s="823"/>
      <c r="I30" s="823"/>
      <c r="J30" s="823"/>
      <c r="K30" s="823"/>
      <c r="L30" s="823"/>
      <c r="M30" s="823"/>
      <c r="N30" s="823"/>
      <c r="O30" s="823"/>
      <c r="P30" s="823"/>
      <c r="Q30" s="823"/>
      <c r="R30" s="823"/>
      <c r="S30" s="823"/>
      <c r="T30" s="823"/>
      <c r="U30" s="823"/>
      <c r="V30" s="823"/>
      <c r="W30" s="823"/>
      <c r="X30" s="823"/>
      <c r="Y30" s="41"/>
    </row>
    <row r="31" spans="2:41" ht="19.5" customHeight="1">
      <c r="B31" s="16"/>
      <c r="C31" s="823" t="s">
        <v>1100</v>
      </c>
      <c r="D31" s="823"/>
      <c r="E31" s="823"/>
      <c r="F31" s="823"/>
      <c r="G31" s="823"/>
      <c r="H31" s="823"/>
      <c r="I31" s="823"/>
      <c r="J31" s="823"/>
      <c r="K31" s="823"/>
      <c r="L31" s="823"/>
      <c r="M31" s="823"/>
      <c r="N31" s="823"/>
      <c r="O31" s="823"/>
      <c r="P31" s="823"/>
      <c r="Q31" s="823"/>
      <c r="R31" s="823"/>
      <c r="S31" s="823"/>
      <c r="T31" s="823"/>
      <c r="U31" s="823"/>
      <c r="V31" s="823"/>
      <c r="W31" s="823"/>
      <c r="X31" s="823"/>
      <c r="Y31" s="41"/>
    </row>
    <row r="32" spans="2:41" ht="19.5" customHeight="1">
      <c r="B32" s="16"/>
      <c r="C32" s="823" t="s">
        <v>1101</v>
      </c>
      <c r="D32" s="823"/>
      <c r="E32" s="823"/>
      <c r="F32" s="823"/>
      <c r="G32" s="823"/>
      <c r="H32" s="823"/>
      <c r="I32" s="823"/>
      <c r="J32" s="823"/>
      <c r="K32" s="823"/>
      <c r="L32" s="823"/>
      <c r="M32" s="823"/>
      <c r="N32" s="823"/>
      <c r="O32" s="823"/>
      <c r="P32" s="823"/>
      <c r="Q32" s="823"/>
      <c r="R32" s="823"/>
      <c r="S32" s="823"/>
      <c r="T32" s="823"/>
      <c r="U32" s="823"/>
      <c r="V32" s="823"/>
      <c r="W32" s="823"/>
      <c r="X32" s="823"/>
      <c r="Y32" s="41"/>
    </row>
    <row r="33" spans="2:25" ht="19.5" customHeight="1">
      <c r="B33" s="16"/>
      <c r="C33" s="823" t="s">
        <v>1102</v>
      </c>
      <c r="D33" s="823"/>
      <c r="E33" s="823"/>
      <c r="F33" s="823"/>
      <c r="G33" s="823"/>
      <c r="H33" s="823"/>
      <c r="I33" s="823"/>
      <c r="J33" s="823"/>
      <c r="K33" s="823"/>
      <c r="L33" s="823"/>
      <c r="M33" s="823"/>
      <c r="N33" s="823"/>
      <c r="O33" s="823"/>
      <c r="P33" s="823"/>
      <c r="Q33" s="823"/>
      <c r="R33" s="823"/>
      <c r="S33" s="823"/>
      <c r="T33" s="823"/>
      <c r="U33" s="823"/>
      <c r="V33" s="823"/>
      <c r="W33" s="823"/>
      <c r="X33" s="823"/>
      <c r="Y33" s="41"/>
    </row>
    <row r="34" spans="2:25" ht="19.5" customHeight="1">
      <c r="B34" s="16"/>
      <c r="C34" s="823" t="s">
        <v>1103</v>
      </c>
      <c r="D34" s="823"/>
      <c r="E34" s="823"/>
      <c r="F34" s="823"/>
      <c r="G34" s="823"/>
      <c r="H34" s="823"/>
      <c r="I34" s="823"/>
      <c r="J34" s="823"/>
      <c r="K34" s="823"/>
      <c r="L34" s="823"/>
      <c r="M34" s="823"/>
      <c r="N34" s="823"/>
      <c r="O34" s="823"/>
      <c r="P34" s="823"/>
      <c r="Q34" s="823"/>
      <c r="R34" s="823"/>
      <c r="S34" s="823"/>
      <c r="T34" s="823"/>
      <c r="U34" s="823"/>
      <c r="V34" s="823"/>
      <c r="W34" s="823"/>
      <c r="X34" s="823"/>
      <c r="Y34" s="41"/>
    </row>
    <row r="35" spans="2:25" ht="19.5" customHeight="1">
      <c r="B35" s="16"/>
      <c r="C35" s="823" t="s">
        <v>1104</v>
      </c>
      <c r="D35" s="823"/>
      <c r="E35" s="823"/>
      <c r="F35" s="823"/>
      <c r="G35" s="823"/>
      <c r="H35" s="823"/>
      <c r="I35" s="823"/>
      <c r="J35" s="823"/>
      <c r="K35" s="823"/>
      <c r="L35" s="823"/>
      <c r="M35" s="823"/>
      <c r="N35" s="823"/>
      <c r="O35" s="823"/>
      <c r="P35" s="823"/>
      <c r="Q35" s="823"/>
      <c r="R35" s="823"/>
      <c r="S35" s="823"/>
      <c r="T35" s="823"/>
      <c r="U35" s="823"/>
      <c r="V35" s="823"/>
      <c r="W35" s="823"/>
      <c r="X35" s="823"/>
      <c r="Y35" s="41"/>
    </row>
    <row r="36" spans="2:25" ht="19.5" customHeight="1">
      <c r="B36" s="16"/>
      <c r="C36" s="823" t="s">
        <v>1105</v>
      </c>
      <c r="D36" s="823"/>
      <c r="E36" s="823"/>
      <c r="F36" s="823"/>
      <c r="G36" s="823"/>
      <c r="H36" s="823"/>
      <c r="I36" s="823"/>
      <c r="J36" s="823"/>
      <c r="K36" s="823"/>
      <c r="L36" s="823"/>
      <c r="M36" s="823"/>
      <c r="N36" s="823"/>
      <c r="O36" s="823"/>
      <c r="P36" s="823"/>
      <c r="Q36" s="823"/>
      <c r="R36" s="823"/>
      <c r="S36" s="823"/>
      <c r="T36" s="823"/>
      <c r="U36" s="823"/>
      <c r="V36" s="823"/>
      <c r="W36" s="823"/>
      <c r="X36" s="823"/>
      <c r="Y36" s="41"/>
    </row>
    <row r="37" spans="2:25" ht="19.5" customHeight="1">
      <c r="B37" s="16"/>
      <c r="C37" s="823" t="s">
        <v>1106</v>
      </c>
      <c r="D37" s="823"/>
      <c r="E37" s="823"/>
      <c r="F37" s="823"/>
      <c r="G37" s="823"/>
      <c r="H37" s="823"/>
      <c r="I37" s="823"/>
      <c r="J37" s="823"/>
      <c r="K37" s="823"/>
      <c r="L37" s="823"/>
      <c r="M37" s="823"/>
      <c r="N37" s="823"/>
      <c r="O37" s="823"/>
      <c r="P37" s="823"/>
      <c r="Q37" s="823"/>
      <c r="R37" s="823"/>
      <c r="S37" s="823"/>
      <c r="T37" s="823"/>
      <c r="U37" s="823"/>
      <c r="V37" s="823"/>
      <c r="W37" s="823"/>
      <c r="X37" s="823"/>
      <c r="Y37" s="41"/>
    </row>
    <row r="38" spans="2:25" ht="19.5" customHeight="1">
      <c r="B38" s="16"/>
      <c r="C38" s="823" t="s">
        <v>1107</v>
      </c>
      <c r="D38" s="823"/>
      <c r="E38" s="823"/>
      <c r="F38" s="823"/>
      <c r="G38" s="823"/>
      <c r="H38" s="823"/>
      <c r="I38" s="823"/>
      <c r="J38" s="823"/>
      <c r="K38" s="823"/>
      <c r="L38" s="823"/>
      <c r="M38" s="823"/>
      <c r="N38" s="823"/>
      <c r="O38" s="823"/>
      <c r="P38" s="823"/>
      <c r="Q38" s="823"/>
      <c r="R38" s="823"/>
      <c r="S38" s="823"/>
      <c r="T38" s="823"/>
      <c r="U38" s="823"/>
      <c r="V38" s="823"/>
      <c r="W38" s="823"/>
      <c r="X38" s="823"/>
      <c r="Y38" s="41"/>
    </row>
    <row r="39" spans="2:25" ht="19.5" customHeight="1">
      <c r="B39" s="16"/>
      <c r="C39" s="823" t="s">
        <v>1108</v>
      </c>
      <c r="D39" s="823"/>
      <c r="E39" s="823"/>
      <c r="F39" s="823"/>
      <c r="G39" s="823"/>
      <c r="H39" s="823"/>
      <c r="I39" s="823"/>
      <c r="J39" s="823"/>
      <c r="K39" s="823"/>
      <c r="L39" s="823"/>
      <c r="M39" s="823"/>
      <c r="N39" s="823"/>
      <c r="O39" s="823"/>
      <c r="P39" s="823"/>
      <c r="Q39" s="823"/>
      <c r="R39" s="823"/>
      <c r="S39" s="823"/>
      <c r="T39" s="823"/>
      <c r="U39" s="823"/>
      <c r="V39" s="823"/>
      <c r="W39" s="823"/>
      <c r="X39" s="823"/>
      <c r="Y39" s="41"/>
    </row>
    <row r="40" spans="2:25" ht="19.5" customHeight="1">
      <c r="B40" s="16"/>
      <c r="C40" s="823" t="s">
        <v>1109</v>
      </c>
      <c r="D40" s="823"/>
      <c r="E40" s="823"/>
      <c r="F40" s="823"/>
      <c r="G40" s="823"/>
      <c r="H40" s="823"/>
      <c r="I40" s="823"/>
      <c r="J40" s="823"/>
      <c r="K40" s="823"/>
      <c r="L40" s="823"/>
      <c r="M40" s="823"/>
      <c r="N40" s="823"/>
      <c r="O40" s="823"/>
      <c r="P40" s="823"/>
      <c r="Q40" s="823"/>
      <c r="R40" s="823"/>
      <c r="S40" s="823"/>
      <c r="T40" s="823"/>
      <c r="U40" s="823"/>
      <c r="V40" s="823"/>
      <c r="W40" s="823"/>
      <c r="X40" s="823"/>
      <c r="Y40" s="41"/>
    </row>
    <row r="41" spans="2:25" ht="19.5" customHeight="1">
      <c r="B41" s="16"/>
      <c r="C41" s="823" t="s">
        <v>1110</v>
      </c>
      <c r="D41" s="823"/>
      <c r="E41" s="823"/>
      <c r="F41" s="823"/>
      <c r="G41" s="823"/>
      <c r="H41" s="823"/>
      <c r="I41" s="823"/>
      <c r="J41" s="823"/>
      <c r="K41" s="823"/>
      <c r="L41" s="823"/>
      <c r="M41" s="823"/>
      <c r="N41" s="823"/>
      <c r="O41" s="823"/>
      <c r="P41" s="823"/>
      <c r="Q41" s="823"/>
      <c r="R41" s="823"/>
      <c r="S41" s="823"/>
      <c r="T41" s="823"/>
      <c r="U41" s="823"/>
      <c r="V41" s="823"/>
      <c r="W41" s="823"/>
      <c r="X41" s="823"/>
      <c r="Y41" s="41"/>
    </row>
    <row r="42" spans="2:25" ht="19.5" customHeight="1">
      <c r="B42" s="16"/>
      <c r="C42" s="823" t="s">
        <v>1111</v>
      </c>
      <c r="D42" s="823"/>
      <c r="E42" s="823"/>
      <c r="F42" s="823"/>
      <c r="G42" s="823"/>
      <c r="H42" s="823"/>
      <c r="I42" s="823"/>
      <c r="J42" s="823"/>
      <c r="K42" s="823"/>
      <c r="L42" s="823"/>
      <c r="M42" s="823"/>
      <c r="N42" s="823"/>
      <c r="O42" s="823"/>
      <c r="P42" s="823"/>
      <c r="Q42" s="823"/>
      <c r="R42" s="823"/>
      <c r="S42" s="823"/>
      <c r="T42" s="823"/>
      <c r="U42" s="823"/>
      <c r="V42" s="823"/>
      <c r="W42" s="823"/>
      <c r="X42" s="823"/>
      <c r="Y42" s="41"/>
    </row>
    <row r="43" spans="2:25" ht="21.75" customHeight="1">
      <c r="B43" s="16"/>
      <c r="C43" s="41"/>
      <c r="D43" s="41"/>
      <c r="E43" s="41"/>
      <c r="F43" s="41"/>
      <c r="G43" s="41"/>
      <c r="H43" s="41"/>
      <c r="I43" s="41"/>
      <c r="J43" s="41"/>
      <c r="K43" s="41"/>
      <c r="L43" s="41"/>
      <c r="M43" s="41"/>
      <c r="N43" s="41"/>
      <c r="O43" s="41"/>
      <c r="P43" s="41"/>
      <c r="Q43" s="41"/>
      <c r="R43" s="41"/>
      <c r="S43" s="41"/>
      <c r="T43" s="41"/>
      <c r="U43" s="41"/>
      <c r="V43" s="41"/>
      <c r="W43" s="41"/>
      <c r="X43" s="41"/>
      <c r="Y43" s="41"/>
    </row>
    <row r="44" spans="2:25" ht="20.25" customHeight="1">
      <c r="B44" s="14"/>
      <c r="W44" s="818" t="s">
        <v>1097</v>
      </c>
      <c r="X44" s="818"/>
      <c r="Y44" s="818"/>
    </row>
    <row r="45" spans="2:25" ht="20.25" customHeight="1">
      <c r="B45" s="14"/>
      <c r="W45" s="59"/>
      <c r="X45" s="59"/>
      <c r="Y45" s="59"/>
    </row>
    <row r="46" spans="2:25" ht="20.25" customHeight="1">
      <c r="B46" s="14"/>
      <c r="C46" s="821" t="s">
        <v>1115</v>
      </c>
      <c r="D46" s="821"/>
      <c r="E46" s="821"/>
      <c r="F46" s="821"/>
      <c r="G46" s="821"/>
      <c r="H46" s="821"/>
      <c r="I46" s="821"/>
      <c r="J46" s="821"/>
      <c r="K46" s="821"/>
      <c r="L46" s="821"/>
      <c r="M46" s="821"/>
      <c r="N46" s="821"/>
      <c r="O46" s="821"/>
      <c r="P46" s="821"/>
      <c r="Q46" s="821"/>
      <c r="R46" s="821"/>
      <c r="S46" s="821"/>
      <c r="T46" s="821"/>
      <c r="U46" s="821"/>
      <c r="V46" s="821"/>
      <c r="W46" s="821"/>
      <c r="X46" s="821"/>
      <c r="Y46" s="59"/>
    </row>
    <row r="47" spans="2:25" ht="20.25" customHeight="1">
      <c r="B47" s="14"/>
      <c r="W47" s="59"/>
      <c r="X47" s="59"/>
      <c r="Y47" s="59"/>
    </row>
    <row r="48" spans="2:25" ht="20.25" customHeight="1">
      <c r="B48" s="14"/>
      <c r="W48" s="818" t="s">
        <v>1097</v>
      </c>
      <c r="X48" s="818"/>
      <c r="Y48" s="818"/>
    </row>
    <row r="49" spans="2:30" ht="20.25" customHeight="1">
      <c r="B49" s="14"/>
      <c r="W49" s="30"/>
      <c r="X49" s="30"/>
      <c r="Y49" s="30"/>
    </row>
    <row r="50" spans="2:30" ht="20.25" customHeight="1">
      <c r="B50" s="14"/>
      <c r="W50" s="30"/>
      <c r="X50" s="30"/>
      <c r="Y50" s="30"/>
    </row>
    <row r="51" spans="2:30" ht="20.25" customHeight="1">
      <c r="B51" s="14"/>
      <c r="W51" s="59"/>
      <c r="X51" s="59"/>
      <c r="Y51" s="59"/>
    </row>
    <row r="52" spans="2:30" ht="20.25" customHeight="1">
      <c r="B52" s="14"/>
      <c r="W52" s="59"/>
      <c r="X52" s="59"/>
      <c r="Y52" s="59"/>
    </row>
    <row r="53" spans="2:30" ht="18" customHeight="1">
      <c r="C53" s="805" t="s">
        <v>1113</v>
      </c>
      <c r="D53" s="805"/>
      <c r="E53" s="805"/>
      <c r="F53" s="805"/>
      <c r="G53" s="805"/>
      <c r="H53" s="805"/>
      <c r="I53" s="805"/>
      <c r="J53" s="805"/>
      <c r="K53" s="805"/>
      <c r="L53" s="805"/>
      <c r="M53" s="805"/>
      <c r="N53" s="805"/>
      <c r="O53" s="805"/>
      <c r="P53" s="805"/>
      <c r="Q53" s="805"/>
      <c r="R53" s="805"/>
      <c r="S53" s="805"/>
      <c r="T53" s="805"/>
      <c r="U53" s="805"/>
      <c r="V53" s="805"/>
      <c r="W53" s="805"/>
      <c r="X53" s="805"/>
      <c r="Y53" s="805"/>
      <c r="Z53" s="27" t="s">
        <v>723</v>
      </c>
      <c r="AA53" s="27" t="s">
        <v>1</v>
      </c>
      <c r="AB53" s="409"/>
      <c r="AC53" s="326"/>
      <c r="AD53" s="326"/>
    </row>
    <row r="54" spans="2:30" ht="18" customHeight="1">
      <c r="C54" s="805"/>
      <c r="D54" s="805"/>
      <c r="E54" s="805"/>
      <c r="F54" s="805"/>
      <c r="G54" s="805"/>
      <c r="H54" s="805"/>
      <c r="I54" s="805"/>
      <c r="J54" s="805"/>
      <c r="K54" s="805"/>
      <c r="L54" s="805"/>
      <c r="M54" s="805"/>
      <c r="N54" s="805"/>
      <c r="O54" s="805"/>
      <c r="P54" s="805"/>
      <c r="Q54" s="805"/>
      <c r="R54" s="805"/>
      <c r="S54" s="805"/>
      <c r="T54" s="805"/>
      <c r="U54" s="805"/>
      <c r="V54" s="805"/>
      <c r="W54" s="805"/>
      <c r="X54" s="805"/>
      <c r="Y54" s="805"/>
    </row>
    <row r="55" spans="2:30" ht="45" customHeight="1">
      <c r="C55" s="805"/>
      <c r="D55" s="805"/>
      <c r="E55" s="805"/>
      <c r="F55" s="805"/>
      <c r="G55" s="805"/>
      <c r="H55" s="805"/>
      <c r="I55" s="805"/>
      <c r="J55" s="805"/>
      <c r="K55" s="805"/>
      <c r="L55" s="805"/>
      <c r="M55" s="805"/>
      <c r="N55" s="805"/>
      <c r="O55" s="805"/>
      <c r="P55" s="805"/>
      <c r="Q55" s="805"/>
      <c r="R55" s="805"/>
      <c r="S55" s="805"/>
      <c r="T55" s="805"/>
      <c r="U55" s="805"/>
      <c r="V55" s="805"/>
      <c r="W55" s="805"/>
      <c r="X55" s="805"/>
      <c r="Y55" s="805"/>
    </row>
    <row r="56" spans="2:30" ht="32.25" customHeight="1"/>
    <row r="57" spans="2:30" ht="18" customHeight="1">
      <c r="W57" s="828" t="s">
        <v>1114</v>
      </c>
      <c r="X57" s="828"/>
      <c r="Y57" s="828"/>
    </row>
    <row r="58" spans="2:30" ht="7.5" customHeight="1"/>
    <row r="59" spans="2:30" ht="18" customHeight="1">
      <c r="C59" s="830" t="s">
        <v>1112</v>
      </c>
      <c r="D59" s="830"/>
      <c r="E59" s="830"/>
      <c r="F59" s="830"/>
      <c r="G59" s="830"/>
      <c r="H59" s="830"/>
      <c r="I59" s="830"/>
      <c r="J59" s="830"/>
      <c r="K59" s="830"/>
      <c r="L59" s="830"/>
      <c r="M59" s="830"/>
      <c r="N59" s="830"/>
      <c r="O59" s="830"/>
      <c r="P59" s="830"/>
      <c r="Q59" s="830"/>
      <c r="R59" s="830"/>
      <c r="S59" s="830"/>
      <c r="T59" s="830"/>
      <c r="U59" s="830"/>
      <c r="V59" s="830"/>
      <c r="W59" s="830"/>
      <c r="X59" s="830"/>
      <c r="Y59" s="830"/>
    </row>
    <row r="60" spans="2:30" ht="38.25" customHeight="1">
      <c r="C60" s="63"/>
      <c r="D60" s="63"/>
      <c r="E60" s="63"/>
      <c r="F60" s="63"/>
      <c r="G60" s="63"/>
      <c r="H60" s="63"/>
      <c r="I60" s="63"/>
      <c r="J60" s="63"/>
      <c r="K60" s="63"/>
      <c r="L60" s="63"/>
      <c r="M60" s="63"/>
      <c r="N60" s="63"/>
      <c r="O60" s="63"/>
      <c r="P60" s="63"/>
      <c r="Q60" s="63"/>
      <c r="R60" s="63"/>
      <c r="S60" s="63"/>
      <c r="T60" s="63"/>
      <c r="U60" s="63"/>
      <c r="V60" s="63"/>
      <c r="W60" s="63"/>
      <c r="X60" s="63"/>
      <c r="Y60" s="63"/>
    </row>
    <row r="61" spans="2:30" ht="18" customHeight="1">
      <c r="C61" s="63"/>
      <c r="D61" s="63"/>
      <c r="E61" s="63"/>
      <c r="F61" s="63"/>
      <c r="G61" s="63"/>
      <c r="H61" s="63"/>
      <c r="I61" s="63"/>
      <c r="J61" s="63"/>
      <c r="K61" s="63"/>
      <c r="L61" s="63"/>
      <c r="M61" s="63"/>
      <c r="N61" s="63"/>
      <c r="O61" s="63"/>
      <c r="P61" s="63"/>
      <c r="Q61" s="63"/>
      <c r="R61" s="63"/>
      <c r="S61" s="63"/>
      <c r="T61" s="63"/>
      <c r="U61" s="63"/>
      <c r="V61" s="63"/>
      <c r="W61" s="828" t="s">
        <v>702</v>
      </c>
      <c r="X61" s="828"/>
      <c r="Y61" s="828"/>
    </row>
  </sheetData>
  <sheetProtection formatCells="0" formatColumns="0" formatRows="0" insertColumns="0" insertRows="0" deleteColumns="0" deleteRows="0"/>
  <protectedRanges>
    <protectedRange sqref="AB53" name="Range3"/>
    <protectedRange sqref="AB53:AD53" name="Range1" securityDescriptor="O:WDG:WDD:(A;;CC;;;WD)"/>
    <protectedRange sqref="C7:Y7" name="Range2"/>
  </protectedRanges>
  <mergeCells count="38">
    <mergeCell ref="C42:X42"/>
    <mergeCell ref="E10:Y10"/>
    <mergeCell ref="C38:X38"/>
    <mergeCell ref="C39:X39"/>
    <mergeCell ref="C40:X40"/>
    <mergeCell ref="C41:X41"/>
    <mergeCell ref="W61:Y61"/>
    <mergeCell ref="C14:Y15"/>
    <mergeCell ref="W18:Y18"/>
    <mergeCell ref="C22:Y24"/>
    <mergeCell ref="W26:Y26"/>
    <mergeCell ref="C28:Y29"/>
    <mergeCell ref="W44:Y44"/>
    <mergeCell ref="C53:Y55"/>
    <mergeCell ref="W57:Y57"/>
    <mergeCell ref="C59:Y59"/>
    <mergeCell ref="C34:X34"/>
    <mergeCell ref="C35:X35"/>
    <mergeCell ref="C36:X36"/>
    <mergeCell ref="C37:X37"/>
    <mergeCell ref="C30:X30"/>
    <mergeCell ref="C31:X31"/>
    <mergeCell ref="W48:Y48"/>
    <mergeCell ref="E1:P2"/>
    <mergeCell ref="S1:Y1"/>
    <mergeCell ref="U2:V2"/>
    <mergeCell ref="W2:Y2"/>
    <mergeCell ref="C46:X46"/>
    <mergeCell ref="E3:P3"/>
    <mergeCell ref="C32:X32"/>
    <mergeCell ref="C33:X33"/>
    <mergeCell ref="E11:Y11"/>
    <mergeCell ref="V3:Y3"/>
    <mergeCell ref="C4:Y4"/>
    <mergeCell ref="V5:W5"/>
    <mergeCell ref="C7:Y7"/>
    <mergeCell ref="E8:Y8"/>
    <mergeCell ref="E9:Y9"/>
  </mergeCells>
  <pageMargins left="0.39370078740157483" right="0.39370078740157483" top="3.937007874015748E-2" bottom="3.937007874015748E-2" header="0.11811023622047245" footer="0.11811023622047245"/>
  <pageSetup paperSize="5" scale="91" fitToHeight="0" orientation="portrait" blackAndWhite="1" r:id="rId1"/>
  <headerFooter>
    <oddFooter>&amp;L&amp;Z&amp;F&amp;R&amp;"SutonnyMJ,Regular"evsjv‡`k K…wl e¨vsK, c„ôv &amp;P &amp;"-,Regular"of&amp;"SutonnyMJ,Regular" &amp;N</oddFooter>
  </headerFooter>
  <rowBreaks count="1" manualBreakCount="1">
    <brk id="50" max="24"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7030A0"/>
  </sheetPr>
  <dimension ref="A1:CO99"/>
  <sheetViews>
    <sheetView showGridLines="0" topLeftCell="A11" zoomScaleSheetLayoutView="100" workbookViewId="0">
      <selection activeCell="D11" sqref="D11"/>
    </sheetView>
  </sheetViews>
  <sheetFormatPr defaultRowHeight="18" customHeight="1"/>
  <cols>
    <col min="1" max="1" width="2.42578125" style="23" customWidth="1"/>
    <col min="2" max="2" width="17" style="23" customWidth="1"/>
    <col min="3" max="3" width="1.7109375" style="23" bestFit="1" customWidth="1"/>
    <col min="4" max="4" width="42.5703125" style="23" customWidth="1"/>
    <col min="5" max="5" width="0.7109375" customWidth="1"/>
    <col min="6" max="6" width="24" style="62" customWidth="1"/>
    <col min="7" max="7" width="10.140625" style="62" customWidth="1"/>
    <col min="8" max="8" width="8.5703125" style="62" customWidth="1"/>
    <col min="9" max="9" width="2.5703125" customWidth="1"/>
    <col min="10" max="10" width="10.85546875" style="23" customWidth="1"/>
    <col min="11" max="11" width="15.42578125" style="23" customWidth="1"/>
    <col min="12" max="12" width="14.85546875" style="23" customWidth="1"/>
    <col min="13" max="13" width="9" style="23" customWidth="1"/>
    <col min="14" max="14" width="10.85546875" style="23" customWidth="1"/>
    <col min="15" max="15" width="9.5703125" style="23" customWidth="1"/>
    <col min="16" max="16" width="4" style="23" customWidth="1"/>
    <col min="17" max="17" width="14.28515625" style="23" customWidth="1"/>
    <col min="18" max="18" width="8.5703125" style="23" customWidth="1"/>
    <col min="19" max="19" width="10" style="23" customWidth="1"/>
    <col min="20" max="20" width="1.5703125" customWidth="1"/>
    <col min="21" max="21" width="22.7109375" style="23" customWidth="1"/>
    <col min="22" max="23" width="8.5703125" style="23" customWidth="1"/>
    <col min="24" max="24" width="2.28515625" customWidth="1"/>
    <col min="25" max="25" width="16" style="23" customWidth="1"/>
    <col min="26" max="27" width="8.5703125" style="23" customWidth="1"/>
    <col min="28" max="28" width="2.28515625" customWidth="1"/>
    <col min="29" max="29" width="16.5703125" style="23" customWidth="1"/>
    <col min="30" max="31" width="8.5703125" style="23" customWidth="1"/>
    <col min="32" max="32" width="2.140625" customWidth="1"/>
    <col min="33" max="33" width="17.42578125" style="23" customWidth="1"/>
    <col min="34" max="35" width="8.5703125" style="23" customWidth="1"/>
    <col min="36" max="36" width="2.28515625" customWidth="1"/>
    <col min="37" max="37" width="13.7109375" style="23" customWidth="1"/>
    <col min="38" max="39" width="8.5703125" style="23" customWidth="1"/>
    <col min="40" max="40" width="2.7109375" customWidth="1"/>
    <col min="41" max="41" width="15.85546875" style="23" customWidth="1"/>
    <col min="42" max="42" width="10.140625" style="23" customWidth="1"/>
    <col min="43" max="43" width="8.5703125" style="23" customWidth="1"/>
    <col min="44" max="44" width="1.7109375" customWidth="1"/>
    <col min="45" max="45" width="16.42578125" style="23" customWidth="1"/>
    <col min="46" max="47" width="8.5703125" style="23" customWidth="1"/>
    <col min="48" max="48" width="1.5703125" customWidth="1"/>
    <col min="49" max="49" width="16.28515625" style="23" customWidth="1"/>
    <col min="50" max="50" width="9.85546875" style="23" customWidth="1"/>
    <col min="51" max="51" width="8.5703125" style="23" customWidth="1"/>
    <col min="52" max="52" width="1.42578125" customWidth="1"/>
    <col min="53" max="53" width="17.140625" style="23" customWidth="1"/>
    <col min="54" max="55" width="8.5703125" style="23" customWidth="1"/>
    <col min="56" max="56" width="1.42578125" customWidth="1"/>
    <col min="57" max="57" width="14.42578125" style="23" customWidth="1"/>
    <col min="58" max="58" width="8.5703125" style="23" customWidth="1"/>
    <col min="59" max="59" width="9.140625" style="23"/>
    <col min="60" max="60" width="2.42578125" customWidth="1"/>
    <col min="61" max="61" width="15" style="23" customWidth="1"/>
    <col min="62" max="63" width="9.140625" style="23"/>
    <col min="64" max="64" width="2.5703125" customWidth="1"/>
    <col min="65" max="65" width="15.140625" style="23" customWidth="1"/>
    <col min="66" max="67" width="9.140625" style="23"/>
    <col min="68" max="68" width="1.5703125" style="23" customWidth="1"/>
    <col min="69" max="69" width="15.7109375" style="23" customWidth="1"/>
    <col min="70" max="70" width="10" style="23" bestFit="1" customWidth="1"/>
    <col min="71" max="71" width="9.28515625" style="23" bestFit="1" customWidth="1"/>
    <col min="72" max="72" width="1.85546875" style="23" customWidth="1"/>
    <col min="73" max="73" width="18.42578125" style="23" customWidth="1"/>
    <col min="74" max="75" width="9.140625" style="23"/>
    <col min="76" max="76" width="1.85546875" style="23" customWidth="1"/>
    <col min="77" max="79" width="9.140625" style="23"/>
    <col min="80" max="80" width="2" style="23" customWidth="1"/>
    <col min="81" max="16384" width="9.140625" style="23"/>
  </cols>
  <sheetData>
    <row r="1" spans="2:93" ht="6" customHeight="1" thickBot="1">
      <c r="O1"/>
      <c r="P1"/>
    </row>
    <row r="2" spans="2:93" ht="18" customHeight="1" thickBot="1">
      <c r="B2" s="397" t="s">
        <v>382</v>
      </c>
      <c r="C2" s="378" t="s">
        <v>1</v>
      </c>
      <c r="D2" s="733" t="s">
        <v>902</v>
      </c>
      <c r="F2" s="336" t="str">
        <f>+D10</f>
        <v>gyw` cY¨ e¨emv</v>
      </c>
      <c r="G2" s="337" t="s">
        <v>686</v>
      </c>
      <c r="H2" s="338" t="s">
        <v>54</v>
      </c>
      <c r="J2" s="201" t="s">
        <v>1015</v>
      </c>
      <c r="K2" s="394" t="s">
        <v>831</v>
      </c>
      <c r="L2" s="245" t="s">
        <v>724</v>
      </c>
      <c r="M2" s="841" t="str">
        <f>+D23</f>
        <v>bvivqYMÄ</v>
      </c>
      <c r="N2" s="842"/>
      <c r="O2"/>
      <c r="P2" s="838" t="s">
        <v>717</v>
      </c>
      <c r="Q2" s="341" t="s">
        <v>398</v>
      </c>
      <c r="R2" s="342" t="s">
        <v>686</v>
      </c>
      <c r="S2" s="343" t="s">
        <v>54</v>
      </c>
      <c r="U2" s="327" t="s">
        <v>397</v>
      </c>
      <c r="V2" s="328" t="s">
        <v>686</v>
      </c>
      <c r="W2" s="329" t="s">
        <v>54</v>
      </c>
      <c r="Y2" s="350" t="s">
        <v>459</v>
      </c>
      <c r="Z2" s="351" t="s">
        <v>686</v>
      </c>
      <c r="AA2" s="352" t="s">
        <v>54</v>
      </c>
      <c r="AC2" s="115" t="s">
        <v>474</v>
      </c>
      <c r="AD2" s="115" t="s">
        <v>686</v>
      </c>
      <c r="AE2" s="115" t="s">
        <v>54</v>
      </c>
      <c r="AG2" s="358" t="s">
        <v>481</v>
      </c>
      <c r="AH2" s="359" t="s">
        <v>686</v>
      </c>
      <c r="AI2" s="360" t="s">
        <v>54</v>
      </c>
      <c r="AK2" s="166" t="s">
        <v>530</v>
      </c>
      <c r="AL2" s="166" t="s">
        <v>686</v>
      </c>
      <c r="AM2" s="166" t="s">
        <v>54</v>
      </c>
      <c r="AO2" s="241" t="s">
        <v>520</v>
      </c>
      <c r="AP2" s="241" t="s">
        <v>686</v>
      </c>
      <c r="AQ2" s="241" t="s">
        <v>54</v>
      </c>
      <c r="AS2" s="186" t="s">
        <v>521</v>
      </c>
      <c r="AT2" s="186" t="s">
        <v>686</v>
      </c>
      <c r="AU2" s="186" t="s">
        <v>54</v>
      </c>
      <c r="AW2" s="283" t="s">
        <v>632</v>
      </c>
      <c r="AX2" s="283" t="s">
        <v>686</v>
      </c>
      <c r="AY2" s="284" t="s">
        <v>54</v>
      </c>
      <c r="BA2" s="114" t="s">
        <v>522</v>
      </c>
      <c r="BB2" s="114" t="s">
        <v>686</v>
      </c>
      <c r="BC2" s="114" t="s">
        <v>54</v>
      </c>
      <c r="BE2" s="350" t="s">
        <v>581</v>
      </c>
      <c r="BF2" s="351" t="s">
        <v>686</v>
      </c>
      <c r="BG2" s="352" t="s">
        <v>54</v>
      </c>
      <c r="BI2" s="327" t="s">
        <v>716</v>
      </c>
      <c r="BJ2" s="328" t="s">
        <v>686</v>
      </c>
      <c r="BK2" s="366" t="s">
        <v>54</v>
      </c>
      <c r="BM2" s="114" t="s">
        <v>467</v>
      </c>
      <c r="BN2" s="114" t="s">
        <v>686</v>
      </c>
      <c r="BO2" s="285" t="s">
        <v>54</v>
      </c>
      <c r="BP2" s="421"/>
      <c r="BQ2" s="423" t="s">
        <v>740</v>
      </c>
      <c r="BR2" s="425" t="s">
        <v>686</v>
      </c>
      <c r="BS2" s="424" t="s">
        <v>54</v>
      </c>
    </row>
    <row r="3" spans="2:93" ht="18" customHeight="1" thickBot="1">
      <c r="B3" s="405" t="s">
        <v>393</v>
      </c>
      <c r="C3" s="379" t="s">
        <v>1</v>
      </c>
      <c r="D3" s="734" t="s">
        <v>826</v>
      </c>
      <c r="F3" s="247"/>
      <c r="G3" s="283"/>
      <c r="H3" s="248"/>
      <c r="J3" s="201" t="s">
        <v>176</v>
      </c>
      <c r="K3" s="245" t="s">
        <v>177</v>
      </c>
      <c r="L3" s="245" t="s">
        <v>178</v>
      </c>
      <c r="M3" s="839" t="s">
        <v>179</v>
      </c>
      <c r="N3" s="840"/>
      <c r="O3"/>
      <c r="P3" s="838"/>
      <c r="Q3" s="344" t="s">
        <v>396</v>
      </c>
      <c r="R3" s="207">
        <v>130</v>
      </c>
      <c r="S3" s="345"/>
      <c r="U3" s="330" t="s">
        <v>682</v>
      </c>
      <c r="V3" s="331">
        <v>1400</v>
      </c>
      <c r="W3" s="331">
        <v>300</v>
      </c>
      <c r="Y3" s="353" t="s">
        <v>460</v>
      </c>
      <c r="Z3" s="114">
        <v>70</v>
      </c>
      <c r="AA3" s="354"/>
      <c r="AC3" s="115" t="s">
        <v>470</v>
      </c>
      <c r="AD3" s="116">
        <v>100</v>
      </c>
      <c r="AE3" s="116"/>
      <c r="AG3" s="361" t="s">
        <v>482</v>
      </c>
      <c r="AH3" s="117">
        <v>350</v>
      </c>
      <c r="AI3" s="362"/>
      <c r="AK3" s="166" t="s">
        <v>531</v>
      </c>
      <c r="AL3" s="166">
        <v>3000</v>
      </c>
      <c r="AM3" s="166"/>
      <c r="AO3" s="241" t="s">
        <v>592</v>
      </c>
      <c r="AP3" s="241">
        <v>150000</v>
      </c>
      <c r="AQ3" s="241"/>
      <c r="AS3" s="185" t="s">
        <v>479</v>
      </c>
      <c r="AT3" s="186">
        <v>25000</v>
      </c>
      <c r="AU3" s="186"/>
      <c r="AW3" s="247" t="s">
        <v>622</v>
      </c>
      <c r="AX3" s="248">
        <v>126500</v>
      </c>
      <c r="AY3" s="248">
        <v>6.5</v>
      </c>
      <c r="BA3" s="255" t="s">
        <v>479</v>
      </c>
      <c r="BB3" s="255">
        <v>28000</v>
      </c>
      <c r="BC3" s="255"/>
      <c r="BE3" s="368" t="s">
        <v>479</v>
      </c>
      <c r="BF3" s="255">
        <v>60000</v>
      </c>
      <c r="BG3" s="369"/>
      <c r="BI3" s="330" t="s">
        <v>609</v>
      </c>
      <c r="BJ3" s="241">
        <v>850</v>
      </c>
      <c r="BK3" s="331">
        <v>200</v>
      </c>
      <c r="BM3" s="323" t="s">
        <v>703</v>
      </c>
      <c r="BN3" s="323">
        <v>670</v>
      </c>
      <c r="BO3" s="323">
        <v>300</v>
      </c>
      <c r="BP3" s="421"/>
      <c r="BQ3" s="423" t="s">
        <v>734</v>
      </c>
      <c r="BR3" s="425">
        <v>1500</v>
      </c>
      <c r="BS3" s="424">
        <v>5850</v>
      </c>
      <c r="BU3" s="247" t="s">
        <v>752</v>
      </c>
      <c r="BV3" s="283">
        <v>700000</v>
      </c>
      <c r="BW3" s="248">
        <v>1.5</v>
      </c>
    </row>
    <row r="4" spans="2:93" ht="18" customHeight="1" thickBot="1">
      <c r="B4" s="405" t="s">
        <v>394</v>
      </c>
      <c r="C4" s="401" t="s">
        <v>1</v>
      </c>
      <c r="D4" s="735" t="s">
        <v>827</v>
      </c>
      <c r="F4" s="247"/>
      <c r="G4" s="283"/>
      <c r="H4" s="248"/>
      <c r="I4" s="399"/>
      <c r="J4" s="209"/>
      <c r="K4" s="731"/>
      <c r="L4" s="730"/>
      <c r="M4" s="392"/>
      <c r="N4" s="732"/>
      <c r="O4"/>
      <c r="P4" s="838"/>
      <c r="Q4" s="344" t="s">
        <v>455</v>
      </c>
      <c r="R4" s="207">
        <v>150</v>
      </c>
      <c r="S4" s="345"/>
      <c r="U4" s="330" t="s">
        <v>675</v>
      </c>
      <c r="V4" s="331">
        <v>1500</v>
      </c>
      <c r="W4" s="331">
        <v>250</v>
      </c>
      <c r="Y4" s="353" t="s">
        <v>461</v>
      </c>
      <c r="Z4" s="114">
        <v>450</v>
      </c>
      <c r="AA4" s="354"/>
      <c r="AC4" s="115" t="s">
        <v>471</v>
      </c>
      <c r="AD4" s="116">
        <v>100</v>
      </c>
      <c r="AE4" s="116"/>
      <c r="AG4" s="361" t="s">
        <v>484</v>
      </c>
      <c r="AH4" s="117">
        <v>200</v>
      </c>
      <c r="AI4" s="362"/>
      <c r="AK4" s="166" t="s">
        <v>532</v>
      </c>
      <c r="AL4" s="166">
        <v>1000</v>
      </c>
      <c r="AM4" s="166"/>
      <c r="AO4" s="256" t="s">
        <v>593</v>
      </c>
      <c r="AP4" s="241">
        <v>100000</v>
      </c>
      <c r="AQ4" s="241"/>
      <c r="AS4" s="185" t="s">
        <v>476</v>
      </c>
      <c r="AT4" s="186">
        <v>45000</v>
      </c>
      <c r="AU4" s="186"/>
      <c r="AW4" s="247" t="s">
        <v>631</v>
      </c>
      <c r="AX4" s="248">
        <f>82500+16500</f>
        <v>99000</v>
      </c>
      <c r="AY4" s="248">
        <v>6.5</v>
      </c>
      <c r="BA4" s="255" t="s">
        <v>476</v>
      </c>
      <c r="BB4" s="255">
        <v>60000</v>
      </c>
      <c r="BC4" s="255"/>
      <c r="BE4" s="368" t="s">
        <v>476</v>
      </c>
      <c r="BF4" s="255">
        <v>110000</v>
      </c>
      <c r="BG4" s="369"/>
      <c r="BI4" s="330" t="s">
        <v>610</v>
      </c>
      <c r="BJ4" s="241">
        <v>250</v>
      </c>
      <c r="BK4" s="331">
        <v>100</v>
      </c>
      <c r="BM4" s="323" t="s">
        <v>704</v>
      </c>
      <c r="BN4" s="323">
        <v>500</v>
      </c>
      <c r="BO4" s="323">
        <v>320</v>
      </c>
      <c r="BP4" s="421"/>
      <c r="BQ4" s="423" t="s">
        <v>735</v>
      </c>
      <c r="BR4" s="425">
        <v>100</v>
      </c>
      <c r="BS4" s="424">
        <v>5850</v>
      </c>
      <c r="BU4" s="247" t="s">
        <v>753</v>
      </c>
      <c r="BV4" s="283">
        <v>450000</v>
      </c>
      <c r="BW4" s="248">
        <v>1.5</v>
      </c>
    </row>
    <row r="5" spans="2:93" ht="18" customHeight="1">
      <c r="B5" s="620" t="s">
        <v>977</v>
      </c>
      <c r="C5" s="404" t="s">
        <v>1</v>
      </c>
      <c r="D5" s="412" t="s">
        <v>1170</v>
      </c>
      <c r="F5" s="249"/>
      <c r="G5" s="283"/>
      <c r="H5" s="248"/>
      <c r="J5" s="209"/>
      <c r="K5" s="246"/>
      <c r="L5" s="462"/>
      <c r="M5" s="393"/>
      <c r="N5" s="650"/>
      <c r="O5"/>
      <c r="P5" s="838"/>
      <c r="Q5" s="344" t="s">
        <v>456</v>
      </c>
      <c r="R5" s="207">
        <v>180</v>
      </c>
      <c r="S5" s="345"/>
      <c r="U5" s="330" t="s">
        <v>676</v>
      </c>
      <c r="V5" s="332">
        <v>1400</v>
      </c>
      <c r="W5" s="331">
        <v>200</v>
      </c>
      <c r="Y5" s="353" t="s">
        <v>468</v>
      </c>
      <c r="Z5" s="114">
        <v>280</v>
      </c>
      <c r="AA5" s="354"/>
      <c r="AC5" s="116" t="s">
        <v>472</v>
      </c>
      <c r="AD5" s="116">
        <v>100</v>
      </c>
      <c r="AE5" s="116"/>
      <c r="AG5" s="361" t="s">
        <v>483</v>
      </c>
      <c r="AH5" s="117">
        <v>120</v>
      </c>
      <c r="AI5" s="362"/>
      <c r="AK5" s="166" t="s">
        <v>533</v>
      </c>
      <c r="AL5" s="166">
        <v>5000</v>
      </c>
      <c r="AM5" s="166"/>
      <c r="AO5" s="256" t="s">
        <v>594</v>
      </c>
      <c r="AP5" s="241">
        <v>150000</v>
      </c>
      <c r="AQ5" s="241"/>
      <c r="AS5" s="186"/>
      <c r="AT5" s="186"/>
      <c r="AU5" s="186"/>
      <c r="AW5" s="247" t="s">
        <v>623</v>
      </c>
      <c r="AX5" s="266">
        <v>110000</v>
      </c>
      <c r="AY5" s="248">
        <v>6.5</v>
      </c>
      <c r="BA5" s="255" t="s">
        <v>477</v>
      </c>
      <c r="BB5" s="255">
        <v>42000</v>
      </c>
      <c r="BC5" s="255"/>
      <c r="BE5" s="368" t="s">
        <v>477</v>
      </c>
      <c r="BF5" s="255">
        <v>42000</v>
      </c>
      <c r="BG5" s="369"/>
      <c r="BI5" s="330" t="s">
        <v>611</v>
      </c>
      <c r="BJ5" s="241">
        <v>200</v>
      </c>
      <c r="BK5" s="331">
        <v>100</v>
      </c>
      <c r="BM5" s="323" t="s">
        <v>705</v>
      </c>
      <c r="BN5" s="323">
        <v>750</v>
      </c>
      <c r="BO5" s="323">
        <v>180</v>
      </c>
      <c r="BP5" s="421"/>
      <c r="BQ5" s="423" t="s">
        <v>736</v>
      </c>
      <c r="BR5" s="425">
        <v>105000</v>
      </c>
      <c r="BS5" s="424">
        <v>1</v>
      </c>
      <c r="BU5" s="249" t="s">
        <v>757</v>
      </c>
      <c r="BV5" s="283">
        <v>40000</v>
      </c>
      <c r="BW5" s="248">
        <v>1.5</v>
      </c>
    </row>
    <row r="6" spans="2:93" ht="18" customHeight="1">
      <c r="B6" s="405" t="s">
        <v>1049</v>
      </c>
      <c r="C6" s="402" t="s">
        <v>1</v>
      </c>
      <c r="D6" s="736" t="s">
        <v>1050</v>
      </c>
      <c r="F6" s="249"/>
      <c r="G6" s="283"/>
      <c r="H6" s="248"/>
      <c r="J6" s="209"/>
      <c r="K6" s="200"/>
      <c r="L6" s="202"/>
      <c r="M6" s="393"/>
      <c r="N6" s="339"/>
      <c r="O6"/>
      <c r="P6" s="838"/>
      <c r="Q6" s="344"/>
      <c r="R6" s="207"/>
      <c r="S6" s="345"/>
      <c r="U6" s="330"/>
      <c r="V6" s="332"/>
      <c r="W6" s="331"/>
      <c r="Y6" s="353"/>
      <c r="Z6" s="114"/>
      <c r="AA6" s="354"/>
      <c r="AC6" s="116"/>
      <c r="AD6" s="116"/>
      <c r="AE6" s="116"/>
      <c r="AG6" s="361"/>
      <c r="AH6" s="117"/>
      <c r="AI6" s="362"/>
      <c r="AK6" s="166"/>
      <c r="AL6" s="166"/>
      <c r="AM6" s="166"/>
      <c r="AO6" s="256"/>
      <c r="AP6" s="241"/>
      <c r="AQ6" s="241"/>
      <c r="AS6" s="186"/>
      <c r="AT6" s="186"/>
      <c r="AU6" s="186"/>
      <c r="AW6" s="247"/>
      <c r="AX6" s="266"/>
      <c r="AY6" s="248"/>
      <c r="BA6" s="255"/>
      <c r="BB6" s="255"/>
      <c r="BC6" s="255"/>
      <c r="BE6" s="368"/>
      <c r="BF6" s="255"/>
      <c r="BG6" s="369"/>
      <c r="BI6" s="330"/>
      <c r="BJ6" s="241"/>
      <c r="BK6" s="331"/>
      <c r="BM6" s="323"/>
      <c r="BN6" s="323"/>
      <c r="BO6" s="323"/>
      <c r="BP6" s="421"/>
      <c r="BQ6" s="423"/>
      <c r="BR6" s="425"/>
      <c r="BS6" s="424"/>
      <c r="BU6" s="249"/>
      <c r="BV6" s="283"/>
      <c r="BW6" s="248"/>
    </row>
    <row r="7" spans="2:93" ht="18" customHeight="1">
      <c r="B7" s="405" t="s">
        <v>207</v>
      </c>
      <c r="C7" s="402" t="s">
        <v>1</v>
      </c>
      <c r="D7" s="736" t="s">
        <v>1051</v>
      </c>
      <c r="F7" s="249"/>
      <c r="G7" s="283"/>
      <c r="H7" s="248"/>
      <c r="J7" s="209"/>
      <c r="K7" s="200"/>
      <c r="L7" s="202"/>
      <c r="M7" s="393"/>
      <c r="N7" s="339"/>
      <c r="O7"/>
      <c r="P7" s="838"/>
      <c r="Q7" s="344"/>
      <c r="R7" s="207"/>
      <c r="S7" s="345"/>
      <c r="U7" s="330"/>
      <c r="V7" s="332"/>
      <c r="W7" s="331"/>
      <c r="Y7" s="353"/>
      <c r="Z7" s="114"/>
      <c r="AA7" s="354"/>
      <c r="AC7" s="116"/>
      <c r="AD7" s="116"/>
      <c r="AE7" s="116"/>
      <c r="AG7" s="361"/>
      <c r="AH7" s="117"/>
      <c r="AI7" s="362"/>
      <c r="AK7" s="166"/>
      <c r="AL7" s="166"/>
      <c r="AM7" s="166"/>
      <c r="AO7" s="256"/>
      <c r="AP7" s="241"/>
      <c r="AQ7" s="241"/>
      <c r="AS7" s="186"/>
      <c r="AT7" s="186"/>
      <c r="AU7" s="186"/>
      <c r="AW7" s="247"/>
      <c r="AX7" s="266"/>
      <c r="AY7" s="248"/>
      <c r="BA7" s="255"/>
      <c r="BB7" s="255"/>
      <c r="BC7" s="255"/>
      <c r="BE7" s="368"/>
      <c r="BF7" s="255"/>
      <c r="BG7" s="369"/>
      <c r="BI7" s="330"/>
      <c r="BJ7" s="241"/>
      <c r="BK7" s="331"/>
      <c r="BM7" s="323"/>
      <c r="BN7" s="323"/>
      <c r="BO7" s="323"/>
      <c r="BP7" s="421"/>
      <c r="BQ7" s="423"/>
      <c r="BR7" s="425"/>
      <c r="BS7" s="424"/>
      <c r="BU7" s="249"/>
      <c r="BV7" s="283"/>
      <c r="BW7" s="248"/>
    </row>
    <row r="8" spans="2:93" ht="16.5" customHeight="1">
      <c r="B8" s="405" t="s">
        <v>761</v>
      </c>
      <c r="C8" s="402" t="s">
        <v>1</v>
      </c>
      <c r="D8" s="413" t="s">
        <v>1146</v>
      </c>
      <c r="F8" s="249"/>
      <c r="G8" s="283"/>
      <c r="H8" s="248"/>
      <c r="J8" s="209"/>
      <c r="K8" s="200"/>
      <c r="L8" s="202"/>
      <c r="M8" s="393"/>
      <c r="N8" s="339"/>
      <c r="O8"/>
      <c r="P8" s="838"/>
      <c r="Q8" s="344" t="s">
        <v>395</v>
      </c>
      <c r="R8" s="207">
        <v>60</v>
      </c>
      <c r="S8" s="345"/>
      <c r="U8" s="333" t="s">
        <v>677</v>
      </c>
      <c r="V8" s="332">
        <v>1500</v>
      </c>
      <c r="W8" s="331">
        <v>250</v>
      </c>
      <c r="Y8" s="353" t="s">
        <v>469</v>
      </c>
      <c r="Z8" s="114">
        <v>250</v>
      </c>
      <c r="AA8" s="354"/>
      <c r="AC8" s="116" t="s">
        <v>473</v>
      </c>
      <c r="AD8" s="116">
        <v>100</v>
      </c>
      <c r="AE8" s="116"/>
      <c r="AG8" s="361" t="s">
        <v>6</v>
      </c>
      <c r="AH8" s="117" t="s">
        <v>6</v>
      </c>
      <c r="AI8" s="362"/>
      <c r="AK8" s="166"/>
      <c r="AL8" s="166"/>
      <c r="AM8" s="166"/>
      <c r="AO8" s="256" t="s">
        <v>595</v>
      </c>
      <c r="AP8" s="241">
        <v>100000</v>
      </c>
      <c r="AQ8" s="241"/>
      <c r="AS8" s="186"/>
      <c r="AT8" s="186"/>
      <c r="AU8" s="186"/>
      <c r="AW8" s="249" t="s">
        <v>630</v>
      </c>
      <c r="AX8" s="266">
        <f>16500+22000</f>
        <v>38500</v>
      </c>
      <c r="AY8" s="248">
        <v>6.5</v>
      </c>
      <c r="BA8" s="255" t="s">
        <v>475</v>
      </c>
      <c r="BB8" s="255">
        <v>35000</v>
      </c>
      <c r="BC8" s="255"/>
      <c r="BE8" s="368" t="s">
        <v>475</v>
      </c>
      <c r="BF8" s="255">
        <v>35000</v>
      </c>
      <c r="BG8" s="369"/>
      <c r="BI8" s="333" t="s">
        <v>612</v>
      </c>
      <c r="BJ8" s="242">
        <v>550</v>
      </c>
      <c r="BK8" s="331">
        <v>100</v>
      </c>
      <c r="BM8" s="323" t="s">
        <v>706</v>
      </c>
      <c r="BN8" s="323">
        <v>900</v>
      </c>
      <c r="BO8" s="323">
        <v>350</v>
      </c>
      <c r="BP8" s="421"/>
      <c r="BQ8" s="423" t="s">
        <v>737</v>
      </c>
      <c r="BR8" s="425">
        <v>30000</v>
      </c>
      <c r="BS8" s="424">
        <v>1</v>
      </c>
      <c r="BU8" s="249" t="s">
        <v>750</v>
      </c>
      <c r="BV8" s="283">
        <v>20000</v>
      </c>
      <c r="BW8" s="248">
        <v>1.5</v>
      </c>
    </row>
    <row r="9" spans="2:93" customFormat="1" ht="16.5" customHeight="1">
      <c r="B9" s="405" t="s">
        <v>975</v>
      </c>
      <c r="C9" s="402" t="s">
        <v>1</v>
      </c>
      <c r="D9" s="413" t="s">
        <v>1228</v>
      </c>
      <c r="F9" s="249"/>
      <c r="G9" s="283"/>
      <c r="H9" s="248"/>
      <c r="J9" s="209"/>
      <c r="K9" s="200"/>
      <c r="L9" s="202"/>
      <c r="M9" s="393"/>
      <c r="N9" s="339"/>
      <c r="P9" s="838"/>
      <c r="Q9" s="344" t="s">
        <v>457</v>
      </c>
      <c r="R9" s="208">
        <v>180</v>
      </c>
      <c r="S9" s="346"/>
      <c r="U9" s="333" t="s">
        <v>678</v>
      </c>
      <c r="V9" s="332">
        <v>4150</v>
      </c>
      <c r="W9" s="331">
        <v>20</v>
      </c>
      <c r="Y9" s="353" t="s">
        <v>462</v>
      </c>
      <c r="Z9" s="114">
        <v>250</v>
      </c>
      <c r="AA9" s="354"/>
      <c r="AC9" s="116" t="s">
        <v>6</v>
      </c>
      <c r="AD9" s="116" t="s">
        <v>6</v>
      </c>
      <c r="AE9" s="116"/>
      <c r="AG9" s="361" t="s">
        <v>6</v>
      </c>
      <c r="AH9" s="117" t="s">
        <v>6</v>
      </c>
      <c r="AI9" s="362"/>
      <c r="AK9" s="167"/>
      <c r="AL9" s="167"/>
      <c r="AM9" s="167"/>
      <c r="AO9" s="256"/>
      <c r="AP9" s="241"/>
      <c r="AQ9" s="241"/>
      <c r="AS9" s="186"/>
      <c r="AT9" s="186"/>
      <c r="AU9" s="186"/>
      <c r="AW9" s="249" t="s">
        <v>624</v>
      </c>
      <c r="AX9" s="266">
        <v>39600</v>
      </c>
      <c r="AY9" s="248">
        <v>6.5</v>
      </c>
      <c r="BA9" s="255" t="s">
        <v>478</v>
      </c>
      <c r="BB9" s="255">
        <v>25000</v>
      </c>
      <c r="BC9" s="255"/>
      <c r="BE9" s="368" t="s">
        <v>584</v>
      </c>
      <c r="BF9" s="255">
        <v>25000</v>
      </c>
      <c r="BG9" s="369"/>
      <c r="BI9" s="333" t="s">
        <v>613</v>
      </c>
      <c r="BJ9" s="242">
        <v>450</v>
      </c>
      <c r="BK9" s="331">
        <v>100</v>
      </c>
      <c r="BM9" s="323" t="s">
        <v>466</v>
      </c>
      <c r="BN9" s="323">
        <v>600</v>
      </c>
      <c r="BO9" s="323">
        <v>250</v>
      </c>
      <c r="BP9" s="421"/>
      <c r="BQ9" s="423" t="s">
        <v>738</v>
      </c>
      <c r="BR9" s="425">
        <v>270000</v>
      </c>
      <c r="BS9" s="424">
        <v>1</v>
      </c>
      <c r="BT9" s="23"/>
      <c r="BU9" s="249" t="s">
        <v>751</v>
      </c>
      <c r="BV9" s="283">
        <v>5000</v>
      </c>
      <c r="BW9" s="248">
        <v>1.5</v>
      </c>
      <c r="BX9" s="23"/>
      <c r="BY9" s="23"/>
      <c r="BZ9" s="23"/>
      <c r="CA9" s="23"/>
      <c r="CB9" s="23"/>
      <c r="CC9" s="23"/>
      <c r="CD9" s="23"/>
      <c r="CE9" s="23"/>
      <c r="CF9" s="23"/>
      <c r="CG9" s="23"/>
      <c r="CH9" s="23"/>
      <c r="CI9" s="23"/>
      <c r="CJ9" s="23"/>
      <c r="CK9" s="23"/>
      <c r="CL9" s="23"/>
      <c r="CM9" s="23"/>
      <c r="CN9" s="23"/>
      <c r="CO9" s="23"/>
    </row>
    <row r="10" spans="2:93" ht="16.5" customHeight="1">
      <c r="B10" s="405" t="s">
        <v>951</v>
      </c>
      <c r="C10" s="402" t="s">
        <v>1</v>
      </c>
      <c r="D10" s="414" t="s">
        <v>1229</v>
      </c>
      <c r="F10" s="249"/>
      <c r="G10" s="283"/>
      <c r="H10" s="248"/>
      <c r="J10" s="209"/>
      <c r="K10" s="200"/>
      <c r="L10" s="202"/>
      <c r="M10" s="393"/>
      <c r="N10" s="339"/>
      <c r="O10"/>
      <c r="P10" s="838"/>
      <c r="Q10" s="344" t="s">
        <v>458</v>
      </c>
      <c r="R10" s="208">
        <v>100</v>
      </c>
      <c r="S10" s="346"/>
      <c r="U10" s="333" t="s">
        <v>681</v>
      </c>
      <c r="V10" s="332">
        <v>4200</v>
      </c>
      <c r="W10" s="331">
        <v>15</v>
      </c>
      <c r="Y10" s="353" t="s">
        <v>463</v>
      </c>
      <c r="Z10" s="114">
        <v>70</v>
      </c>
      <c r="AA10" s="354"/>
      <c r="AC10" s="116" t="s">
        <v>6</v>
      </c>
      <c r="AD10" s="116" t="s">
        <v>6</v>
      </c>
      <c r="AE10" s="116"/>
      <c r="AG10" s="361" t="s">
        <v>6</v>
      </c>
      <c r="AH10" s="117" t="s">
        <v>6</v>
      </c>
      <c r="AI10" s="362"/>
      <c r="AK10" s="167"/>
      <c r="AL10" s="167"/>
      <c r="AM10" s="167"/>
      <c r="AO10" s="241"/>
      <c r="AP10" s="241"/>
      <c r="AQ10" s="241"/>
      <c r="AS10" s="187"/>
      <c r="AT10" s="187"/>
      <c r="AU10" s="187"/>
      <c r="AW10" s="249" t="s">
        <v>625</v>
      </c>
      <c r="AX10" s="266">
        <v>44000</v>
      </c>
      <c r="AY10" s="248">
        <v>6.5</v>
      </c>
      <c r="BA10" s="255" t="s">
        <v>480</v>
      </c>
      <c r="BB10" s="255" t="s">
        <v>6</v>
      </c>
      <c r="BC10" s="255"/>
      <c r="BE10" s="368" t="s">
        <v>586</v>
      </c>
      <c r="BF10" s="255">
        <v>1600</v>
      </c>
      <c r="BG10" s="369"/>
      <c r="BI10" s="333" t="s">
        <v>614</v>
      </c>
      <c r="BJ10" s="242">
        <v>650</v>
      </c>
      <c r="BK10" s="331">
        <v>100</v>
      </c>
      <c r="BM10" s="323" t="s">
        <v>467</v>
      </c>
      <c r="BN10" s="323">
        <v>750</v>
      </c>
      <c r="BO10" s="323">
        <v>400</v>
      </c>
      <c r="BP10" s="421"/>
      <c r="BQ10" s="423" t="s">
        <v>739</v>
      </c>
      <c r="BR10" s="425">
        <v>60000</v>
      </c>
      <c r="BS10" s="424">
        <v>1</v>
      </c>
      <c r="BT10"/>
      <c r="BU10" s="249" t="s">
        <v>754</v>
      </c>
      <c r="BV10" s="283">
        <v>50000</v>
      </c>
      <c r="BW10" s="248">
        <v>1.5</v>
      </c>
      <c r="BX10"/>
      <c r="BY10"/>
      <c r="BZ10"/>
      <c r="CA10"/>
      <c r="CB10"/>
      <c r="CC10"/>
      <c r="CD10"/>
      <c r="CE10"/>
      <c r="CF10"/>
      <c r="CG10"/>
      <c r="CH10"/>
      <c r="CI10"/>
      <c r="CJ10"/>
      <c r="CK10"/>
      <c r="CL10"/>
    </row>
    <row r="11" spans="2:93" ht="16.5" customHeight="1">
      <c r="B11" s="406" t="s">
        <v>506</v>
      </c>
      <c r="C11" s="403" t="s">
        <v>1</v>
      </c>
      <c r="D11" s="415">
        <v>500000</v>
      </c>
      <c r="F11" s="249"/>
      <c r="G11" s="283"/>
      <c r="H11" s="248"/>
      <c r="J11" s="209"/>
      <c r="K11" s="200"/>
      <c r="L11" s="202"/>
      <c r="M11" s="393"/>
      <c r="N11" s="339"/>
      <c r="O11"/>
      <c r="P11" s="838"/>
      <c r="Q11" s="344" t="s">
        <v>6</v>
      </c>
      <c r="R11" s="208" t="s">
        <v>6</v>
      </c>
      <c r="S11" s="346"/>
      <c r="U11" s="333" t="s">
        <v>679</v>
      </c>
      <c r="V11" s="331">
        <v>3600</v>
      </c>
      <c r="W11" s="331">
        <v>20</v>
      </c>
      <c r="Y11" s="353" t="s">
        <v>464</v>
      </c>
      <c r="Z11" s="114">
        <v>50</v>
      </c>
      <c r="AA11" s="354"/>
      <c r="AC11" s="116" t="s">
        <v>6</v>
      </c>
      <c r="AD11" s="116" t="s">
        <v>6</v>
      </c>
      <c r="AE11" s="116"/>
      <c r="AG11" s="361" t="s">
        <v>6</v>
      </c>
      <c r="AH11" s="117" t="s">
        <v>6</v>
      </c>
      <c r="AI11" s="362"/>
      <c r="AK11" s="167"/>
      <c r="AL11" s="167"/>
      <c r="AM11" s="167"/>
      <c r="AO11" s="241"/>
      <c r="AP11" s="241"/>
      <c r="AQ11" s="241"/>
      <c r="AS11" s="186"/>
      <c r="AT11" s="186"/>
      <c r="AU11" s="186"/>
      <c r="AW11" s="249" t="s">
        <v>626</v>
      </c>
      <c r="AX11" s="248">
        <v>11000</v>
      </c>
      <c r="AY11" s="248">
        <v>6.5</v>
      </c>
      <c r="BA11" s="255" t="s">
        <v>6</v>
      </c>
      <c r="BB11" s="255" t="s">
        <v>6</v>
      </c>
      <c r="BC11" s="255"/>
      <c r="BE11" s="368" t="s">
        <v>585</v>
      </c>
      <c r="BF11" s="255">
        <v>3500</v>
      </c>
      <c r="BG11" s="369"/>
      <c r="BI11" s="333" t="s">
        <v>615</v>
      </c>
      <c r="BJ11" s="242">
        <v>500</v>
      </c>
      <c r="BK11" s="331">
        <v>500</v>
      </c>
      <c r="BM11" s="323" t="s">
        <v>707</v>
      </c>
      <c r="BN11" s="323">
        <v>250</v>
      </c>
      <c r="BO11" s="323">
        <v>300</v>
      </c>
      <c r="BP11" s="421"/>
      <c r="BQ11" s="423"/>
      <c r="BR11" s="425"/>
      <c r="BS11" s="424"/>
      <c r="BU11" s="249" t="s">
        <v>755</v>
      </c>
      <c r="BV11" s="283">
        <v>60000</v>
      </c>
      <c r="BW11" s="248">
        <v>1.5</v>
      </c>
    </row>
    <row r="12" spans="2:93" ht="16.5" customHeight="1">
      <c r="B12" s="407" t="s">
        <v>211</v>
      </c>
      <c r="C12" s="402" t="s">
        <v>1</v>
      </c>
      <c r="D12" s="416" t="s">
        <v>1225</v>
      </c>
      <c r="F12" s="249"/>
      <c r="G12" s="283"/>
      <c r="H12" s="248"/>
      <c r="J12" s="209"/>
      <c r="K12" s="200"/>
      <c r="L12" s="202"/>
      <c r="M12" s="393"/>
      <c r="N12" s="339"/>
      <c r="O12"/>
      <c r="P12" s="838"/>
      <c r="Q12" s="344" t="s">
        <v>6</v>
      </c>
      <c r="R12" s="208" t="s">
        <v>6</v>
      </c>
      <c r="S12" s="346"/>
      <c r="U12" s="333" t="s">
        <v>680</v>
      </c>
      <c r="V12" s="331">
        <v>2500</v>
      </c>
      <c r="W12" s="331">
        <v>15</v>
      </c>
      <c r="Y12" s="353" t="s">
        <v>465</v>
      </c>
      <c r="Z12" s="114">
        <v>270</v>
      </c>
      <c r="AA12" s="354"/>
      <c r="AC12" s="116" t="s">
        <v>6</v>
      </c>
      <c r="AD12" s="116" t="s">
        <v>6</v>
      </c>
      <c r="AE12" s="116"/>
      <c r="AG12" s="361" t="s">
        <v>6</v>
      </c>
      <c r="AH12" s="117" t="s">
        <v>6</v>
      </c>
      <c r="AI12" s="362"/>
      <c r="AK12" s="167"/>
      <c r="AL12" s="167"/>
      <c r="AM12" s="167"/>
      <c r="AO12" s="241"/>
      <c r="AP12" s="241"/>
      <c r="AQ12" s="241"/>
      <c r="AS12" s="186"/>
      <c r="AT12" s="186"/>
      <c r="AU12" s="186"/>
      <c r="AW12" s="249" t="s">
        <v>627</v>
      </c>
      <c r="AX12" s="248">
        <v>11000</v>
      </c>
      <c r="AY12" s="248">
        <v>6.5</v>
      </c>
      <c r="BA12" s="255" t="s">
        <v>6</v>
      </c>
      <c r="BB12" s="255" t="s">
        <v>6</v>
      </c>
      <c r="BC12" s="255"/>
      <c r="BE12" s="368" t="s">
        <v>6</v>
      </c>
      <c r="BF12" s="255" t="s">
        <v>6</v>
      </c>
      <c r="BG12" s="369"/>
      <c r="BI12" s="333">
        <v>0</v>
      </c>
      <c r="BJ12" s="242">
        <v>0</v>
      </c>
      <c r="BK12" s="331"/>
      <c r="BM12" s="322"/>
      <c r="BN12" s="322"/>
      <c r="BO12" s="322"/>
      <c r="BP12" s="421"/>
      <c r="BQ12" s="423"/>
      <c r="BR12" s="425"/>
      <c r="BS12" s="424"/>
      <c r="BU12" s="249" t="s">
        <v>756</v>
      </c>
      <c r="BV12" s="283">
        <v>35000</v>
      </c>
      <c r="BW12" s="248">
        <v>1.5</v>
      </c>
    </row>
    <row r="13" spans="2:93" ht="18" customHeight="1">
      <c r="B13" s="407" t="s">
        <v>727</v>
      </c>
      <c r="C13" s="402" t="s">
        <v>1</v>
      </c>
      <c r="D13" s="416" t="s">
        <v>1226</v>
      </c>
      <c r="F13" s="249"/>
      <c r="G13" s="283"/>
      <c r="H13" s="248"/>
      <c r="J13" s="209"/>
      <c r="K13" s="200"/>
      <c r="L13" s="202"/>
      <c r="M13" s="393"/>
      <c r="N13" s="339"/>
      <c r="O13"/>
      <c r="P13" s="838"/>
      <c r="Q13" s="344" t="s">
        <v>6</v>
      </c>
      <c r="R13" s="208" t="s">
        <v>6</v>
      </c>
      <c r="S13" s="346"/>
      <c r="U13" s="333"/>
      <c r="V13" s="331"/>
      <c r="W13" s="331"/>
      <c r="Y13" s="353" t="s">
        <v>466</v>
      </c>
      <c r="Z13" s="114">
        <v>350</v>
      </c>
      <c r="AA13" s="354"/>
      <c r="AC13" s="116" t="s">
        <v>6</v>
      </c>
      <c r="AD13" s="116" t="s">
        <v>6</v>
      </c>
      <c r="AE13" s="116"/>
      <c r="AG13" s="361" t="s">
        <v>6</v>
      </c>
      <c r="AH13" s="117" t="s">
        <v>6</v>
      </c>
      <c r="AI13" s="362"/>
      <c r="AK13" s="167"/>
      <c r="AL13" s="167"/>
      <c r="AM13" s="167"/>
      <c r="AO13" s="241"/>
      <c r="AP13" s="241"/>
      <c r="AQ13" s="241"/>
      <c r="AS13" s="186"/>
      <c r="AT13" s="186"/>
      <c r="AU13" s="186"/>
      <c r="AW13" s="249" t="s">
        <v>628</v>
      </c>
      <c r="AX13" s="248">
        <v>22000</v>
      </c>
      <c r="AY13" s="248">
        <v>5</v>
      </c>
      <c r="BA13" s="255" t="s">
        <v>6</v>
      </c>
      <c r="BB13" s="255" t="s">
        <v>6</v>
      </c>
      <c r="BC13" s="255"/>
      <c r="BE13" s="368" t="s">
        <v>6</v>
      </c>
      <c r="BF13" s="255" t="s">
        <v>6</v>
      </c>
      <c r="BG13" s="369"/>
      <c r="BI13" s="333">
        <v>0</v>
      </c>
      <c r="BJ13" s="242">
        <v>0</v>
      </c>
      <c r="BK13" s="331"/>
      <c r="BM13" s="322"/>
      <c r="BN13" s="322"/>
      <c r="BO13" s="322"/>
      <c r="BP13" s="421"/>
      <c r="BQ13" s="423"/>
      <c r="BR13" s="425"/>
      <c r="BS13" s="424"/>
    </row>
    <row r="14" spans="2:93" thickBot="1">
      <c r="B14" s="407" t="s">
        <v>400</v>
      </c>
      <c r="C14" s="402" t="s">
        <v>1</v>
      </c>
      <c r="D14" s="413" t="s">
        <v>1227</v>
      </c>
      <c r="F14" s="395"/>
      <c r="G14" s="396"/>
      <c r="H14" s="248"/>
      <c r="J14" s="209"/>
      <c r="K14" s="200"/>
      <c r="L14" s="202"/>
      <c r="M14" s="393"/>
      <c r="N14" s="339"/>
      <c r="O14"/>
      <c r="P14" s="838"/>
      <c r="Q14" s="347" t="s">
        <v>6</v>
      </c>
      <c r="R14" s="348" t="s">
        <v>6</v>
      </c>
      <c r="S14" s="349"/>
      <c r="U14" s="334"/>
      <c r="V14" s="335"/>
      <c r="W14" s="335"/>
      <c r="Y14" s="355" t="s">
        <v>467</v>
      </c>
      <c r="Z14" s="356">
        <v>150</v>
      </c>
      <c r="AA14" s="357"/>
      <c r="AC14" s="116" t="s">
        <v>6</v>
      </c>
      <c r="AD14" s="116" t="s">
        <v>6</v>
      </c>
      <c r="AE14" s="116"/>
      <c r="AG14" s="363" t="s">
        <v>6</v>
      </c>
      <c r="AH14" s="364" t="s">
        <v>6</v>
      </c>
      <c r="AI14" s="365"/>
      <c r="AK14" s="167"/>
      <c r="AL14" s="167"/>
      <c r="AM14" s="167"/>
      <c r="AO14" s="241"/>
      <c r="AP14" s="241"/>
      <c r="AQ14" s="241"/>
      <c r="AS14" s="186"/>
      <c r="AT14" s="186"/>
      <c r="AU14" s="186"/>
      <c r="AW14" s="250" t="s">
        <v>629</v>
      </c>
      <c r="AX14" s="286">
        <v>22000</v>
      </c>
      <c r="AY14" s="248">
        <v>6.5</v>
      </c>
      <c r="BA14" s="255" t="s">
        <v>6</v>
      </c>
      <c r="BB14" s="255" t="s">
        <v>6</v>
      </c>
      <c r="BC14" s="255"/>
      <c r="BE14" s="370" t="s">
        <v>6</v>
      </c>
      <c r="BF14" s="371" t="s">
        <v>6</v>
      </c>
      <c r="BG14" s="372"/>
      <c r="BI14" s="334">
        <v>0</v>
      </c>
      <c r="BJ14" s="367">
        <v>0</v>
      </c>
      <c r="BK14" s="335"/>
      <c r="BM14" s="322"/>
      <c r="BN14" s="322"/>
      <c r="BO14" s="322"/>
      <c r="BP14" s="421"/>
      <c r="BQ14" s="427"/>
      <c r="BR14" s="426"/>
      <c r="BS14" s="422"/>
    </row>
    <row r="15" spans="2:93" ht="17.25">
      <c r="B15" s="407" t="s">
        <v>683</v>
      </c>
      <c r="C15" s="402" t="s">
        <v>1</v>
      </c>
      <c r="D15" s="417" t="s">
        <v>1135</v>
      </c>
      <c r="F15" s="397" t="s">
        <v>16</v>
      </c>
      <c r="G15" s="836">
        <f>SUMPRODUCT(G3:G14,H3:H14)</f>
        <v>0</v>
      </c>
      <c r="H15" s="837"/>
      <c r="J15" s="209"/>
      <c r="K15" s="200"/>
      <c r="L15" s="202"/>
      <c r="M15" s="393"/>
      <c r="N15" s="339"/>
      <c r="O15"/>
      <c r="P15"/>
      <c r="Q15"/>
      <c r="R15"/>
      <c r="S15"/>
      <c r="U15"/>
      <c r="V15"/>
      <c r="W15"/>
      <c r="Y15"/>
      <c r="Z15"/>
      <c r="AA15"/>
      <c r="AC15"/>
      <c r="AD15"/>
      <c r="AE15"/>
      <c r="AG15"/>
      <c r="AH15"/>
      <c r="AI15"/>
      <c r="AK15"/>
      <c r="AL15"/>
      <c r="AM15"/>
      <c r="AT15"/>
      <c r="AU15"/>
      <c r="AW15"/>
      <c r="AX15"/>
      <c r="AY15"/>
      <c r="BA15"/>
      <c r="BQ15"/>
    </row>
    <row r="16" spans="2:93" thickBot="1">
      <c r="B16" s="407" t="s">
        <v>277</v>
      </c>
      <c r="C16" s="402" t="s">
        <v>1</v>
      </c>
      <c r="D16" s="417" t="s">
        <v>1136</v>
      </c>
      <c r="F16" s="398" t="e">
        <f>"FY t  wewb‡qvM "&amp;TEXT(D11/G15*100,0)&amp;" t "&amp;TEXT(G16/G15*100,0)</f>
        <v>#DIV/0!</v>
      </c>
      <c r="G16" s="834">
        <f>+G15-D11</f>
        <v>-500000</v>
      </c>
      <c r="H16" s="835"/>
      <c r="J16" s="209"/>
      <c r="K16" s="200"/>
      <c r="L16" s="202"/>
      <c r="M16" s="393"/>
      <c r="N16" s="339"/>
      <c r="O16"/>
      <c r="P16"/>
      <c r="Q16"/>
      <c r="R16"/>
      <c r="S16"/>
      <c r="U16"/>
      <c r="V16"/>
      <c r="W16"/>
      <c r="Y16"/>
      <c r="Z16"/>
      <c r="AA16"/>
      <c r="AC16"/>
      <c r="AD16"/>
      <c r="AE16"/>
      <c r="AG16"/>
      <c r="AH16"/>
      <c r="AI16"/>
      <c r="AK16"/>
      <c r="AL16"/>
      <c r="AM16"/>
      <c r="AT16"/>
      <c r="AU16"/>
      <c r="AW16"/>
      <c r="AX16"/>
      <c r="AY16"/>
      <c r="BA16"/>
      <c r="BQ16"/>
    </row>
    <row r="17" spans="1:53" ht="18.75" customHeight="1" thickBot="1">
      <c r="B17" s="408" t="s">
        <v>1024</v>
      </c>
      <c r="C17" s="402" t="s">
        <v>1</v>
      </c>
      <c r="D17" s="743" t="s">
        <v>1228</v>
      </c>
      <c r="J17" s="209"/>
      <c r="K17" s="200"/>
      <c r="L17" s="202"/>
      <c r="M17" s="393"/>
      <c r="N17" s="339"/>
      <c r="O17"/>
      <c r="P17"/>
      <c r="S17"/>
      <c r="U17"/>
      <c r="V17"/>
      <c r="W17"/>
      <c r="Y17"/>
      <c r="Z17"/>
      <c r="AA17"/>
      <c r="AC17"/>
      <c r="AD17"/>
      <c r="AE17"/>
      <c r="AG17"/>
      <c r="AH17"/>
      <c r="AI17"/>
      <c r="AK17"/>
      <c r="AL17"/>
      <c r="AM17"/>
      <c r="AT17"/>
      <c r="AU17"/>
      <c r="AW17"/>
      <c r="AX17"/>
      <c r="AY17"/>
      <c r="BA17"/>
    </row>
    <row r="18" spans="1:53" ht="18.75" customHeight="1" thickBot="1">
      <c r="B18" s="408" t="s">
        <v>742</v>
      </c>
      <c r="C18" s="402" t="s">
        <v>1</v>
      </c>
      <c r="D18" s="413" t="s">
        <v>1231</v>
      </c>
      <c r="F18" s="340" t="s">
        <v>714</v>
      </c>
      <c r="G18" s="858">
        <v>2</v>
      </c>
      <c r="H18" s="859"/>
      <c r="J18" s="209"/>
      <c r="K18" s="200"/>
      <c r="L18" s="202"/>
      <c r="M18" s="393"/>
      <c r="N18" s="339"/>
      <c r="O18"/>
      <c r="P18"/>
      <c r="S18"/>
      <c r="U18"/>
      <c r="V18"/>
      <c r="W18"/>
      <c r="Y18"/>
      <c r="Z18"/>
      <c r="AA18"/>
      <c r="AC18"/>
      <c r="AD18"/>
      <c r="AE18"/>
      <c r="AG18"/>
      <c r="AH18"/>
      <c r="AI18"/>
      <c r="AK18"/>
      <c r="AL18"/>
      <c r="AM18"/>
      <c r="AT18"/>
      <c r="AU18"/>
      <c r="AW18"/>
      <c r="AX18"/>
      <c r="AY18"/>
      <c r="BA18"/>
    </row>
    <row r="19" spans="1:53" ht="18.75" customHeight="1">
      <c r="B19" s="408" t="s">
        <v>743</v>
      </c>
      <c r="C19" s="402" t="s">
        <v>1</v>
      </c>
      <c r="D19" s="413" t="s">
        <v>1230</v>
      </c>
      <c r="J19" s="209"/>
      <c r="K19" s="200"/>
      <c r="L19" s="202"/>
      <c r="M19" s="393"/>
      <c r="N19" s="339"/>
      <c r="O19"/>
      <c r="P19"/>
      <c r="S19"/>
      <c r="U19"/>
      <c r="V19"/>
      <c r="W19"/>
      <c r="Y19"/>
      <c r="Z19"/>
      <c r="AA19"/>
      <c r="AC19"/>
      <c r="AD19"/>
      <c r="AE19"/>
      <c r="AG19"/>
      <c r="AH19"/>
      <c r="AI19"/>
      <c r="AK19"/>
      <c r="AL19"/>
      <c r="AM19"/>
      <c r="AT19"/>
      <c r="AU19"/>
      <c r="AW19"/>
      <c r="AX19"/>
      <c r="AY19"/>
      <c r="BA19"/>
    </row>
    <row r="20" spans="1:53" ht="18.75" customHeight="1">
      <c r="B20" s="408" t="s">
        <v>1119</v>
      </c>
      <c r="C20" s="402" t="s">
        <v>1</v>
      </c>
      <c r="D20" s="413" t="s">
        <v>1232</v>
      </c>
      <c r="J20" s="209"/>
      <c r="K20" s="200"/>
      <c r="L20" s="202"/>
      <c r="M20" s="393"/>
      <c r="N20" s="339"/>
      <c r="O20"/>
      <c r="P20"/>
      <c r="S20"/>
      <c r="U20"/>
      <c r="V20"/>
      <c r="W20"/>
      <c r="Y20"/>
      <c r="Z20"/>
      <c r="AA20"/>
      <c r="AC20"/>
      <c r="AD20"/>
      <c r="AE20"/>
      <c r="AG20"/>
      <c r="AH20"/>
      <c r="AI20"/>
      <c r="AK20"/>
      <c r="AL20"/>
      <c r="AM20"/>
      <c r="AT20"/>
      <c r="AU20"/>
      <c r="AW20"/>
      <c r="AX20"/>
      <c r="AY20"/>
      <c r="BA20"/>
    </row>
    <row r="21" spans="1:53" ht="18.75" customHeight="1">
      <c r="B21" s="408" t="s">
        <v>729</v>
      </c>
      <c r="C21" s="402" t="s">
        <v>1</v>
      </c>
      <c r="D21" s="413" t="s">
        <v>1230</v>
      </c>
      <c r="J21" s="209"/>
      <c r="K21" s="200"/>
      <c r="L21" s="202"/>
      <c r="M21" s="393"/>
      <c r="N21" s="339"/>
      <c r="O21"/>
      <c r="P21"/>
      <c r="S21"/>
      <c r="U21"/>
      <c r="V21"/>
      <c r="W21"/>
      <c r="Y21"/>
      <c r="Z21"/>
      <c r="AA21"/>
      <c r="AC21"/>
      <c r="AD21"/>
      <c r="AE21"/>
      <c r="AG21"/>
      <c r="AH21"/>
      <c r="AI21"/>
      <c r="AK21"/>
      <c r="AL21"/>
      <c r="AM21"/>
      <c r="AT21"/>
      <c r="AU21"/>
      <c r="AW21"/>
      <c r="AX21"/>
      <c r="AY21"/>
      <c r="BA21"/>
    </row>
    <row r="22" spans="1:53" ht="18.75" customHeight="1">
      <c r="B22" s="408" t="s">
        <v>206</v>
      </c>
      <c r="C22" s="402" t="s">
        <v>1</v>
      </c>
      <c r="D22" s="418" t="s">
        <v>828</v>
      </c>
      <c r="J22" s="209"/>
      <c r="K22" s="200"/>
      <c r="L22" s="202"/>
      <c r="M22" s="393"/>
      <c r="N22" s="339"/>
      <c r="O22"/>
      <c r="P22"/>
      <c r="S22"/>
      <c r="U22"/>
      <c r="V22"/>
      <c r="W22"/>
      <c r="Y22"/>
      <c r="Z22"/>
      <c r="AA22"/>
      <c r="AC22"/>
      <c r="AD22"/>
      <c r="AE22"/>
      <c r="AG22"/>
      <c r="AH22"/>
      <c r="AI22"/>
      <c r="AK22"/>
      <c r="AL22"/>
      <c r="AM22"/>
      <c r="AT22"/>
      <c r="AU22"/>
      <c r="AW22"/>
      <c r="AX22"/>
      <c r="AY22"/>
      <c r="BA22"/>
    </row>
    <row r="23" spans="1:53" ht="18.75" customHeight="1">
      <c r="B23" s="408" t="s">
        <v>174</v>
      </c>
      <c r="C23" s="402" t="s">
        <v>1</v>
      </c>
      <c r="D23" s="418" t="s">
        <v>829</v>
      </c>
      <c r="J23" s="209"/>
      <c r="K23" s="200"/>
      <c r="L23" s="202"/>
      <c r="M23" s="393"/>
      <c r="N23" s="339"/>
      <c r="O23"/>
      <c r="P23"/>
      <c r="S23"/>
      <c r="U23"/>
      <c r="V23"/>
      <c r="W23"/>
      <c r="Y23"/>
      <c r="Z23"/>
      <c r="AA23"/>
      <c r="AC23"/>
      <c r="AD23"/>
      <c r="AE23"/>
      <c r="AG23"/>
      <c r="AH23"/>
      <c r="AI23"/>
      <c r="AK23"/>
      <c r="AL23"/>
      <c r="AM23"/>
      <c r="AT23"/>
      <c r="AU23"/>
      <c r="AW23"/>
      <c r="AX23"/>
      <c r="AY23"/>
      <c r="BA23"/>
    </row>
    <row r="24" spans="1:53" ht="18.75" customHeight="1">
      <c r="B24" s="737" t="s">
        <v>652</v>
      </c>
      <c r="C24" s="402" t="s">
        <v>1</v>
      </c>
      <c r="D24" s="738" t="s">
        <v>1181</v>
      </c>
      <c r="J24" s="209"/>
      <c r="K24" s="200"/>
      <c r="L24" s="202"/>
      <c r="M24" s="393"/>
      <c r="N24" s="339"/>
      <c r="O24"/>
      <c r="P24"/>
      <c r="S24"/>
      <c r="U24"/>
      <c r="V24"/>
      <c r="W24"/>
      <c r="Y24"/>
      <c r="Z24"/>
      <c r="AA24"/>
      <c r="AC24"/>
      <c r="AD24"/>
      <c r="AE24"/>
      <c r="AG24"/>
      <c r="AH24"/>
      <c r="AI24"/>
      <c r="AK24"/>
      <c r="AL24"/>
      <c r="AM24"/>
      <c r="AT24"/>
      <c r="AU24"/>
      <c r="AW24"/>
      <c r="AX24"/>
      <c r="AY24"/>
      <c r="BA24"/>
    </row>
    <row r="25" spans="1:53" ht="18.75" customHeight="1">
      <c r="B25" s="737" t="s">
        <v>1179</v>
      </c>
      <c r="C25" s="402" t="s">
        <v>1</v>
      </c>
      <c r="D25" s="418" t="s">
        <v>1180</v>
      </c>
      <c r="J25" s="209"/>
      <c r="K25" s="200"/>
      <c r="L25" s="202"/>
      <c r="M25" s="393"/>
      <c r="N25" s="339"/>
      <c r="O25"/>
      <c r="P25"/>
      <c r="S25"/>
      <c r="U25"/>
      <c r="V25"/>
      <c r="W25"/>
      <c r="Y25"/>
      <c r="Z25"/>
      <c r="AA25"/>
      <c r="AC25"/>
      <c r="AD25"/>
      <c r="AE25"/>
      <c r="AG25"/>
      <c r="AH25"/>
      <c r="AI25"/>
      <c r="AK25"/>
      <c r="AL25"/>
      <c r="AM25"/>
      <c r="AT25"/>
      <c r="AU25"/>
      <c r="AW25"/>
      <c r="AX25"/>
      <c r="AY25"/>
      <c r="BA25"/>
    </row>
    <row r="26" spans="1:53" ht="18.75" customHeight="1">
      <c r="B26" s="739" t="s">
        <v>1178</v>
      </c>
      <c r="C26" s="402" t="s">
        <v>1</v>
      </c>
      <c r="D26" s="740">
        <v>186078663120</v>
      </c>
      <c r="J26" s="209"/>
      <c r="K26" s="200"/>
      <c r="L26" s="202"/>
      <c r="M26" s="393"/>
      <c r="N26" s="339"/>
      <c r="O26"/>
      <c r="P26"/>
      <c r="S26"/>
      <c r="U26"/>
      <c r="V26"/>
      <c r="W26"/>
      <c r="Y26"/>
      <c r="Z26"/>
      <c r="AA26"/>
      <c r="AC26"/>
      <c r="AD26"/>
      <c r="AE26"/>
      <c r="AG26"/>
      <c r="AH26"/>
      <c r="AI26"/>
      <c r="AK26"/>
      <c r="AL26"/>
      <c r="AM26"/>
      <c r="AT26"/>
      <c r="AU26"/>
      <c r="AW26"/>
      <c r="AX26"/>
      <c r="AY26"/>
      <c r="BA26"/>
    </row>
    <row r="27" spans="1:53" ht="18.75" customHeight="1" thickBot="1">
      <c r="B27" s="741" t="s">
        <v>1137</v>
      </c>
      <c r="C27" s="742" t="s">
        <v>1</v>
      </c>
      <c r="D27" s="743" t="s">
        <v>1228</v>
      </c>
      <c r="J27" s="209"/>
      <c r="K27" s="200"/>
      <c r="L27" s="202"/>
      <c r="M27" s="393"/>
      <c r="N27" s="339"/>
      <c r="O27"/>
      <c r="P27"/>
      <c r="S27"/>
      <c r="U27"/>
      <c r="V27"/>
      <c r="W27"/>
      <c r="Y27"/>
      <c r="Z27"/>
      <c r="AA27"/>
      <c r="AC27"/>
      <c r="AD27"/>
      <c r="AE27"/>
      <c r="AG27"/>
      <c r="AH27"/>
      <c r="AI27"/>
      <c r="AK27"/>
      <c r="AL27"/>
      <c r="AM27"/>
      <c r="AT27"/>
      <c r="AU27"/>
      <c r="AW27"/>
      <c r="AX27"/>
      <c r="AY27"/>
      <c r="BA27"/>
    </row>
    <row r="28" spans="1:53" ht="18.75" customHeight="1">
      <c r="J28" s="209"/>
      <c r="K28" s="200"/>
      <c r="L28" s="202"/>
      <c r="M28" s="393"/>
      <c r="N28" s="339"/>
      <c r="O28"/>
      <c r="P28"/>
      <c r="S28"/>
      <c r="U28"/>
      <c r="V28"/>
      <c r="W28"/>
      <c r="Y28"/>
      <c r="Z28"/>
      <c r="AA28"/>
      <c r="AC28"/>
      <c r="AD28"/>
      <c r="AE28"/>
      <c r="AG28"/>
      <c r="AH28"/>
      <c r="AI28"/>
      <c r="AK28"/>
      <c r="AL28"/>
      <c r="AM28"/>
      <c r="AT28"/>
      <c r="AU28"/>
      <c r="AW28"/>
      <c r="AX28"/>
      <c r="AY28"/>
      <c r="BA28"/>
    </row>
    <row r="29" spans="1:53" ht="19.5" customHeight="1">
      <c r="J29" s="209"/>
      <c r="K29" s="200"/>
      <c r="L29" s="202"/>
      <c r="M29" s="393"/>
      <c r="N29" s="339"/>
      <c r="O29"/>
      <c r="P29"/>
      <c r="Y29"/>
      <c r="Z29"/>
      <c r="AA29"/>
      <c r="AC29"/>
      <c r="AD29"/>
      <c r="AE29"/>
      <c r="AG29"/>
      <c r="AH29"/>
      <c r="AI29"/>
      <c r="AK29"/>
      <c r="AL29"/>
      <c r="AM29"/>
      <c r="AO29"/>
      <c r="AP29"/>
      <c r="AQ29"/>
      <c r="AS29"/>
      <c r="AT29"/>
      <c r="AU29"/>
    </row>
    <row r="30" spans="1:53" ht="15" customHeight="1" thickBot="1">
      <c r="A30"/>
      <c r="J30" s="209"/>
      <c r="K30" s="200"/>
      <c r="L30" s="202"/>
      <c r="M30" s="393"/>
      <c r="N30" s="339"/>
      <c r="O30"/>
      <c r="P30"/>
      <c r="Y30"/>
      <c r="Z30"/>
      <c r="AA30"/>
      <c r="AC30"/>
      <c r="AD30"/>
      <c r="AE30"/>
      <c r="AG30"/>
      <c r="AH30"/>
      <c r="AI30"/>
      <c r="AK30"/>
      <c r="AL30"/>
      <c r="AM30"/>
      <c r="AO30"/>
      <c r="AP30"/>
      <c r="AQ30"/>
      <c r="AS30"/>
      <c r="AT30"/>
      <c r="AU30"/>
    </row>
    <row r="31" spans="1:53" ht="22.5" customHeight="1" thickBot="1">
      <c r="B31" s="860" t="s">
        <v>523</v>
      </c>
      <c r="C31" s="861"/>
      <c r="D31" s="861"/>
      <c r="E31" s="861"/>
      <c r="F31" s="861"/>
      <c r="G31" s="861"/>
      <c r="H31" s="862"/>
      <c r="J31" s="209"/>
      <c r="K31" s="200"/>
      <c r="L31" s="202"/>
      <c r="M31" s="393"/>
      <c r="N31" s="339"/>
      <c r="O31"/>
      <c r="P31"/>
      <c r="Y31"/>
      <c r="Z31"/>
      <c r="AA31"/>
      <c r="AC31"/>
      <c r="AD31"/>
      <c r="AE31"/>
      <c r="AG31"/>
      <c r="AH31"/>
      <c r="AI31"/>
      <c r="AK31"/>
      <c r="AL31"/>
      <c r="AM31"/>
      <c r="AO31"/>
      <c r="AP31"/>
      <c r="AQ31"/>
      <c r="AS31"/>
      <c r="AT31"/>
      <c r="AU31"/>
    </row>
    <row r="32" spans="1:53" ht="56.25" customHeight="1">
      <c r="B32" s="846" t="s">
        <v>1150</v>
      </c>
      <c r="C32" s="847"/>
      <c r="D32" s="847"/>
      <c r="E32" s="847"/>
      <c r="F32" s="847"/>
      <c r="G32" s="847"/>
      <c r="H32" s="848"/>
      <c r="J32" s="209"/>
      <c r="K32" s="200"/>
      <c r="L32" s="202"/>
      <c r="M32" s="393"/>
      <c r="N32" s="339"/>
      <c r="O32"/>
      <c r="P32"/>
      <c r="Y32"/>
      <c r="Z32"/>
      <c r="AA32"/>
      <c r="AC32"/>
      <c r="AD32"/>
      <c r="AE32"/>
      <c r="AG32"/>
      <c r="AH32"/>
      <c r="AI32"/>
      <c r="AK32"/>
      <c r="AL32"/>
      <c r="AM32"/>
      <c r="AO32"/>
      <c r="AP32"/>
      <c r="AQ32"/>
      <c r="AS32"/>
      <c r="AT32"/>
      <c r="AU32"/>
    </row>
    <row r="33" spans="2:47" ht="38.25" customHeight="1">
      <c r="B33" s="849"/>
      <c r="C33" s="850"/>
      <c r="D33" s="850"/>
      <c r="E33" s="850"/>
      <c r="F33" s="850"/>
      <c r="G33" s="850"/>
      <c r="H33" s="851"/>
      <c r="J33" s="209"/>
      <c r="K33" s="200"/>
      <c r="L33" s="202"/>
      <c r="M33" s="393"/>
      <c r="N33" s="339"/>
      <c r="O33"/>
      <c r="P33"/>
      <c r="Y33"/>
      <c r="Z33"/>
      <c r="AA33"/>
      <c r="AC33"/>
      <c r="AD33"/>
      <c r="AE33"/>
      <c r="AG33"/>
      <c r="AH33"/>
      <c r="AI33"/>
      <c r="AK33"/>
      <c r="AL33"/>
      <c r="AM33"/>
      <c r="AO33"/>
      <c r="AP33"/>
      <c r="AQ33"/>
      <c r="AS33"/>
      <c r="AT33"/>
      <c r="AU33"/>
    </row>
    <row r="34" spans="2:47" ht="57.75" customHeight="1">
      <c r="B34" s="849"/>
      <c r="C34" s="850"/>
      <c r="D34" s="850"/>
      <c r="E34" s="850"/>
      <c r="F34" s="850"/>
      <c r="G34" s="850"/>
      <c r="H34" s="851"/>
      <c r="J34" s="209"/>
      <c r="K34" s="200"/>
      <c r="L34" s="202"/>
      <c r="M34" s="393"/>
      <c r="N34" s="339"/>
      <c r="O34"/>
      <c r="P34"/>
      <c r="Q34"/>
      <c r="R34"/>
      <c r="S34"/>
      <c r="U34"/>
      <c r="V34"/>
      <c r="W34"/>
      <c r="Y34"/>
      <c r="Z34"/>
      <c r="AA34"/>
      <c r="AC34"/>
      <c r="AD34"/>
      <c r="AE34"/>
      <c r="AG34"/>
      <c r="AH34"/>
      <c r="AI34"/>
    </row>
    <row r="35" spans="2:47" ht="19.5" customHeight="1">
      <c r="B35" s="849"/>
      <c r="C35" s="850"/>
      <c r="D35" s="850"/>
      <c r="E35" s="850"/>
      <c r="F35" s="850"/>
      <c r="G35" s="850"/>
      <c r="H35" s="851"/>
      <c r="J35" s="209"/>
      <c r="K35" s="200"/>
      <c r="L35" s="202"/>
      <c r="M35" s="393"/>
      <c r="N35" s="339"/>
      <c r="R35"/>
      <c r="S35"/>
      <c r="U35" s="72"/>
      <c r="V35"/>
      <c r="W35"/>
      <c r="Y35"/>
      <c r="Z35"/>
      <c r="AA35"/>
      <c r="AC35"/>
      <c r="AD35"/>
      <c r="AE35"/>
      <c r="AG35"/>
      <c r="AH35"/>
      <c r="AI35"/>
      <c r="AK35"/>
      <c r="AL35"/>
      <c r="AM35"/>
      <c r="AO35"/>
    </row>
    <row r="36" spans="2:47" ht="27.75" customHeight="1">
      <c r="B36" s="849"/>
      <c r="C36" s="850"/>
      <c r="D36" s="850"/>
      <c r="E36" s="850"/>
      <c r="F36" s="850"/>
      <c r="G36" s="850"/>
      <c r="H36" s="851"/>
      <c r="J36" s="209"/>
      <c r="K36" s="200"/>
      <c r="L36" s="202"/>
      <c r="M36" s="393"/>
      <c r="N36" s="339"/>
      <c r="R36"/>
      <c r="S36"/>
      <c r="U36"/>
      <c r="V36"/>
      <c r="W36"/>
      <c r="Y36"/>
      <c r="Z36"/>
      <c r="AA36"/>
      <c r="AC36"/>
      <c r="AD36"/>
      <c r="AE36"/>
      <c r="AG36"/>
      <c r="AH36"/>
      <c r="AI36"/>
      <c r="AK36"/>
      <c r="AL36"/>
      <c r="AM36"/>
      <c r="AO36"/>
    </row>
    <row r="37" spans="2:47" ht="30" customHeight="1">
      <c r="B37" s="849"/>
      <c r="C37" s="850"/>
      <c r="D37" s="850"/>
      <c r="E37" s="850"/>
      <c r="F37" s="850"/>
      <c r="G37" s="850"/>
      <c r="H37" s="851"/>
      <c r="J37" s="209"/>
      <c r="K37" s="200"/>
      <c r="L37" s="202"/>
      <c r="M37" s="393"/>
      <c r="N37" s="339"/>
      <c r="R37"/>
      <c r="S37"/>
      <c r="U37"/>
      <c r="V37"/>
      <c r="W37"/>
      <c r="Y37"/>
      <c r="Z37"/>
      <c r="AA37"/>
      <c r="AC37"/>
      <c r="AD37"/>
      <c r="AE37"/>
      <c r="AG37"/>
      <c r="AH37"/>
      <c r="AI37"/>
      <c r="AK37"/>
      <c r="AL37"/>
      <c r="AM37"/>
      <c r="AO37"/>
    </row>
    <row r="38" spans="2:47" ht="18" customHeight="1">
      <c r="B38" s="849"/>
      <c r="C38" s="850"/>
      <c r="D38" s="850"/>
      <c r="E38" s="850"/>
      <c r="F38" s="850"/>
      <c r="G38" s="850"/>
      <c r="H38" s="851"/>
      <c r="J38" s="209"/>
      <c r="K38" s="200"/>
      <c r="L38" s="202"/>
      <c r="M38" s="393"/>
      <c r="N38" s="339"/>
      <c r="R38"/>
      <c r="S38"/>
      <c r="U38"/>
      <c r="V38"/>
      <c r="W38"/>
      <c r="Y38"/>
      <c r="Z38"/>
      <c r="AA38"/>
      <c r="AC38"/>
      <c r="AD38"/>
      <c r="AE38"/>
      <c r="AG38"/>
      <c r="AH38"/>
      <c r="AI38"/>
      <c r="AK38"/>
      <c r="AL38"/>
      <c r="AM38"/>
      <c r="AO38"/>
    </row>
    <row r="39" spans="2:47" ht="27.75" customHeight="1">
      <c r="B39" s="849"/>
      <c r="C39" s="850"/>
      <c r="D39" s="850"/>
      <c r="E39" s="850"/>
      <c r="F39" s="850"/>
      <c r="G39" s="850"/>
      <c r="H39" s="851"/>
      <c r="J39" s="209"/>
      <c r="K39" s="200"/>
      <c r="L39" s="202"/>
      <c r="M39" s="393"/>
      <c r="N39" s="339"/>
      <c r="R39"/>
      <c r="S39"/>
      <c r="U39"/>
      <c r="V39"/>
      <c r="W39"/>
      <c r="Y39"/>
      <c r="Z39"/>
      <c r="AA39"/>
      <c r="AC39"/>
      <c r="AD39"/>
      <c r="AE39"/>
      <c r="AG39"/>
      <c r="AH39"/>
      <c r="AI39"/>
      <c r="AK39"/>
      <c r="AL39"/>
      <c r="AM39"/>
      <c r="AO39"/>
    </row>
    <row r="40" spans="2:47" ht="36.75" customHeight="1">
      <c r="B40" s="849"/>
      <c r="C40" s="850"/>
      <c r="D40" s="850"/>
      <c r="E40" s="850"/>
      <c r="F40" s="850"/>
      <c r="G40" s="850"/>
      <c r="H40" s="851"/>
      <c r="J40" s="209"/>
      <c r="K40" s="200"/>
      <c r="L40" s="202"/>
      <c r="M40" s="393"/>
      <c r="N40" s="339"/>
      <c r="R40"/>
      <c r="S40"/>
      <c r="U40"/>
      <c r="V40"/>
      <c r="W40"/>
      <c r="Y40"/>
      <c r="Z40"/>
      <c r="AA40"/>
      <c r="AC40"/>
      <c r="AD40"/>
      <c r="AE40"/>
      <c r="AG40"/>
      <c r="AH40"/>
      <c r="AI40"/>
      <c r="AK40"/>
      <c r="AL40"/>
      <c r="AM40"/>
      <c r="AO40"/>
    </row>
    <row r="41" spans="2:47" ht="45.75" customHeight="1">
      <c r="B41" s="849"/>
      <c r="C41" s="850"/>
      <c r="D41" s="850"/>
      <c r="E41" s="850"/>
      <c r="F41" s="850"/>
      <c r="G41" s="850"/>
      <c r="H41" s="851"/>
      <c r="J41" s="209"/>
      <c r="K41" s="200"/>
      <c r="L41" s="202"/>
      <c r="M41" s="393"/>
      <c r="N41" s="339"/>
      <c r="O41"/>
      <c r="P41"/>
      <c r="Q41"/>
      <c r="R41"/>
      <c r="S41"/>
      <c r="U41"/>
      <c r="V41"/>
      <c r="W41"/>
      <c r="Y41"/>
      <c r="Z41"/>
      <c r="AA41"/>
      <c r="AC41"/>
      <c r="AD41"/>
      <c r="AE41"/>
      <c r="AG41"/>
      <c r="AH41"/>
      <c r="AI41"/>
      <c r="AK41"/>
      <c r="AL41"/>
      <c r="AM41"/>
      <c r="AO41"/>
    </row>
    <row r="42" spans="2:47" ht="51" customHeight="1">
      <c r="B42" s="849"/>
      <c r="C42" s="850"/>
      <c r="D42" s="850"/>
      <c r="E42" s="850"/>
      <c r="F42" s="850"/>
      <c r="G42" s="850"/>
      <c r="H42" s="851"/>
      <c r="J42" s="209"/>
      <c r="K42" s="200"/>
      <c r="L42" s="202"/>
      <c r="M42" s="393"/>
      <c r="N42" s="339"/>
      <c r="O42"/>
      <c r="P42"/>
      <c r="Q42"/>
      <c r="R42"/>
      <c r="S42"/>
      <c r="U42"/>
      <c r="V42"/>
      <c r="W42"/>
      <c r="Y42"/>
      <c r="Z42"/>
      <c r="AA42"/>
      <c r="AC42"/>
      <c r="AD42"/>
      <c r="AE42"/>
      <c r="AG42"/>
      <c r="AH42"/>
      <c r="AI42"/>
      <c r="AK42"/>
      <c r="AL42"/>
      <c r="AM42"/>
      <c r="AO42"/>
    </row>
    <row r="43" spans="2:47" ht="45" customHeight="1">
      <c r="B43" s="849"/>
      <c r="C43" s="850"/>
      <c r="D43" s="850"/>
      <c r="E43" s="850"/>
      <c r="F43" s="850"/>
      <c r="G43" s="850"/>
      <c r="H43" s="851"/>
      <c r="J43" s="209"/>
      <c r="K43" s="200"/>
      <c r="L43" s="202"/>
      <c r="M43" s="393"/>
      <c r="N43" s="339"/>
      <c r="O43"/>
      <c r="P43"/>
      <c r="Q43"/>
      <c r="R43"/>
      <c r="S43"/>
      <c r="U43"/>
      <c r="V43"/>
      <c r="W43"/>
      <c r="Y43"/>
      <c r="Z43"/>
      <c r="AA43"/>
      <c r="AC43"/>
      <c r="AD43"/>
      <c r="AE43"/>
      <c r="AG43"/>
      <c r="AH43"/>
      <c r="AI43"/>
      <c r="AK43"/>
      <c r="AL43"/>
      <c r="AM43"/>
      <c r="AO43"/>
    </row>
    <row r="44" spans="2:47" ht="40.5" customHeight="1">
      <c r="B44" s="849"/>
      <c r="C44" s="850"/>
      <c r="D44" s="850"/>
      <c r="E44" s="850"/>
      <c r="F44" s="850"/>
      <c r="G44" s="850"/>
      <c r="H44" s="851"/>
      <c r="J44" s="209"/>
      <c r="K44" s="200"/>
      <c r="L44" s="202"/>
      <c r="M44" s="393"/>
      <c r="N44" s="339"/>
      <c r="O44"/>
      <c r="P44"/>
      <c r="U44"/>
      <c r="V44"/>
      <c r="W44"/>
      <c r="Y44"/>
      <c r="Z44"/>
      <c r="AA44"/>
      <c r="AC44"/>
      <c r="AD44"/>
      <c r="AE44"/>
      <c r="AG44"/>
      <c r="AH44"/>
      <c r="AI44"/>
      <c r="AK44"/>
      <c r="AL44"/>
      <c r="AM44"/>
      <c r="AO44"/>
    </row>
    <row r="45" spans="2:47" ht="35.25" customHeight="1">
      <c r="B45" s="849"/>
      <c r="C45" s="850"/>
      <c r="D45" s="850"/>
      <c r="E45" s="850"/>
      <c r="F45" s="850"/>
      <c r="G45" s="850"/>
      <c r="H45" s="851"/>
      <c r="J45" s="209"/>
      <c r="K45" s="200"/>
      <c r="L45" s="202"/>
      <c r="M45" s="393"/>
      <c r="N45" s="339"/>
      <c r="O45"/>
      <c r="P45"/>
      <c r="U45"/>
      <c r="V45"/>
      <c r="W45"/>
      <c r="Y45"/>
      <c r="Z45"/>
      <c r="AA45"/>
      <c r="AC45"/>
      <c r="AD45"/>
      <c r="AE45"/>
      <c r="AG45"/>
      <c r="AH45"/>
      <c r="AI45"/>
      <c r="AK45"/>
      <c r="AL45"/>
      <c r="AM45"/>
      <c r="AO45"/>
    </row>
    <row r="46" spans="2:47" ht="76.5" customHeight="1" thickBot="1">
      <c r="B46" s="852"/>
      <c r="C46" s="853"/>
      <c r="D46" s="853"/>
      <c r="E46" s="853"/>
      <c r="F46" s="853"/>
      <c r="G46" s="853"/>
      <c r="H46" s="854"/>
      <c r="J46" s="209"/>
      <c r="K46" s="200"/>
      <c r="L46" s="202"/>
      <c r="M46" s="393"/>
      <c r="N46" s="339"/>
      <c r="O46"/>
      <c r="P46"/>
      <c r="U46"/>
      <c r="V46"/>
      <c r="W46"/>
      <c r="Y46"/>
      <c r="Z46"/>
      <c r="AA46"/>
      <c r="AC46"/>
      <c r="AD46"/>
      <c r="AE46"/>
      <c r="AG46"/>
      <c r="AH46"/>
      <c r="AI46"/>
      <c r="AK46"/>
      <c r="AL46"/>
      <c r="AM46"/>
      <c r="AO46"/>
    </row>
    <row r="47" spans="2:47" ht="18" customHeight="1" thickBot="1">
      <c r="B47"/>
      <c r="C47"/>
      <c r="D47"/>
      <c r="F47"/>
      <c r="G47"/>
      <c r="H47"/>
      <c r="J47" s="209"/>
      <c r="K47" s="200"/>
      <c r="L47" s="202"/>
      <c r="M47" s="393"/>
      <c r="N47" s="339"/>
      <c r="O47"/>
      <c r="P47"/>
      <c r="Q47"/>
      <c r="R47"/>
      <c r="U47"/>
      <c r="V47"/>
      <c r="W47"/>
      <c r="Y47"/>
      <c r="Z47"/>
      <c r="AA47"/>
      <c r="AC47"/>
      <c r="AD47"/>
      <c r="AE47"/>
      <c r="AG47"/>
      <c r="AH47"/>
      <c r="AI47"/>
      <c r="AK47"/>
      <c r="AL47"/>
      <c r="AM47"/>
      <c r="AO47"/>
    </row>
    <row r="48" spans="2:47" ht="24.75" customHeight="1" thickBot="1">
      <c r="B48" s="843" t="s">
        <v>672</v>
      </c>
      <c r="C48" s="844"/>
      <c r="D48" s="844"/>
      <c r="E48" s="844"/>
      <c r="F48" s="844"/>
      <c r="G48" s="844"/>
      <c r="H48" s="845"/>
      <c r="J48" s="855" t="s">
        <v>715</v>
      </c>
      <c r="K48" s="856"/>
      <c r="L48" s="857"/>
      <c r="M48" s="321" t="s">
        <v>1</v>
      </c>
      <c r="N48" s="649">
        <f>SUM(N4:N47)</f>
        <v>0</v>
      </c>
      <c r="O48"/>
      <c r="P48"/>
      <c r="Q48"/>
      <c r="R48"/>
      <c r="U48"/>
      <c r="V48"/>
      <c r="W48"/>
      <c r="Y48"/>
      <c r="Z48"/>
      <c r="AA48"/>
      <c r="AC48"/>
      <c r="AD48"/>
      <c r="AE48"/>
      <c r="AG48"/>
      <c r="AH48"/>
      <c r="AI48"/>
      <c r="AK48"/>
      <c r="AL48"/>
      <c r="AM48"/>
      <c r="AO48"/>
    </row>
    <row r="49" spans="1:57" ht="18" customHeight="1">
      <c r="B49" s="846" t="s">
        <v>1168</v>
      </c>
      <c r="C49" s="847"/>
      <c r="D49" s="847"/>
      <c r="E49" s="847"/>
      <c r="F49" s="847"/>
      <c r="G49" s="847"/>
      <c r="H49" s="848"/>
      <c r="J49"/>
      <c r="K49"/>
      <c r="L49"/>
      <c r="M49"/>
      <c r="N49"/>
      <c r="O49"/>
      <c r="P49"/>
      <c r="Q49"/>
      <c r="R49"/>
      <c r="U49"/>
      <c r="V49"/>
      <c r="W49"/>
      <c r="Y49"/>
      <c r="Z49"/>
      <c r="AA49"/>
      <c r="AC49"/>
      <c r="AD49"/>
      <c r="AE49"/>
      <c r="AG49"/>
      <c r="AH49"/>
      <c r="AI49"/>
      <c r="AK49"/>
      <c r="AL49"/>
      <c r="AM49"/>
      <c r="AO49"/>
    </row>
    <row r="50" spans="1:57" ht="18" customHeight="1">
      <c r="B50" s="849"/>
      <c r="C50" s="850"/>
      <c r="D50" s="850"/>
      <c r="E50" s="850"/>
      <c r="F50" s="850"/>
      <c r="G50" s="850"/>
      <c r="H50" s="851"/>
      <c r="J50" s="878" t="s">
        <v>399</v>
      </c>
      <c r="K50" s="878"/>
      <c r="L50" s="878"/>
      <c r="M50" s="878"/>
      <c r="N50" s="878"/>
      <c r="O50"/>
      <c r="P50"/>
      <c r="Q50"/>
      <c r="R50"/>
      <c r="U50"/>
      <c r="V50"/>
      <c r="W50"/>
      <c r="Y50"/>
      <c r="Z50"/>
      <c r="AA50"/>
      <c r="AC50"/>
      <c r="AD50"/>
      <c r="AE50"/>
      <c r="AG50"/>
      <c r="AH50"/>
      <c r="AI50"/>
      <c r="AK50"/>
      <c r="AL50"/>
      <c r="AM50"/>
      <c r="AO50"/>
    </row>
    <row r="51" spans="1:57" ht="18" customHeight="1">
      <c r="B51" s="849"/>
      <c r="C51" s="850"/>
      <c r="D51" s="850"/>
      <c r="E51" s="850"/>
      <c r="F51" s="850"/>
      <c r="G51" s="850"/>
      <c r="H51" s="851"/>
      <c r="J51" s="127" t="s">
        <v>957</v>
      </c>
      <c r="K51" s="879" t="s">
        <v>1152</v>
      </c>
      <c r="L51" s="879"/>
      <c r="M51" s="879"/>
      <c r="N51" s="879"/>
      <c r="O51"/>
      <c r="P51"/>
      <c r="Q51"/>
      <c r="R51"/>
      <c r="U51"/>
      <c r="V51"/>
      <c r="W51"/>
      <c r="Y51"/>
      <c r="Z51"/>
      <c r="AA51"/>
      <c r="AC51"/>
      <c r="AD51"/>
      <c r="AE51"/>
      <c r="AG51"/>
      <c r="AH51"/>
      <c r="AI51"/>
      <c r="AK51"/>
      <c r="AL51"/>
      <c r="AM51"/>
      <c r="AO51"/>
    </row>
    <row r="52" spans="1:57" ht="18" customHeight="1">
      <c r="B52" s="849"/>
      <c r="C52" s="850"/>
      <c r="D52" s="850"/>
      <c r="E52" s="850"/>
      <c r="F52" s="850"/>
      <c r="G52" s="850"/>
      <c r="H52" s="851"/>
      <c r="J52" s="127" t="s">
        <v>958</v>
      </c>
      <c r="K52" s="831" t="s">
        <v>1153</v>
      </c>
      <c r="L52" s="832"/>
      <c r="M52" s="832"/>
      <c r="N52" s="833"/>
      <c r="O52"/>
      <c r="P52"/>
      <c r="Q52"/>
      <c r="R52"/>
      <c r="U52"/>
      <c r="V52"/>
      <c r="W52"/>
      <c r="Y52"/>
      <c r="Z52"/>
      <c r="AA52"/>
      <c r="AC52"/>
      <c r="AD52"/>
      <c r="AE52"/>
      <c r="AG52"/>
      <c r="AH52"/>
      <c r="AI52"/>
      <c r="AK52"/>
      <c r="AL52"/>
      <c r="AM52"/>
      <c r="AO52"/>
    </row>
    <row r="53" spans="1:57" ht="18" customHeight="1">
      <c r="B53" s="849"/>
      <c r="C53" s="850"/>
      <c r="D53" s="850"/>
      <c r="E53" s="850"/>
      <c r="F53" s="850"/>
      <c r="G53" s="850"/>
      <c r="H53" s="851"/>
      <c r="J53" s="127" t="s">
        <v>959</v>
      </c>
      <c r="K53" s="831" t="s">
        <v>1154</v>
      </c>
      <c r="L53" s="832"/>
      <c r="M53" s="832"/>
      <c r="N53" s="833"/>
      <c r="O53"/>
      <c r="P53"/>
      <c r="Q53"/>
      <c r="R53"/>
      <c r="U53"/>
      <c r="V53"/>
      <c r="W53"/>
      <c r="Y53"/>
      <c r="Z53"/>
      <c r="AA53"/>
      <c r="AC53"/>
      <c r="AD53"/>
      <c r="AE53"/>
      <c r="AG53"/>
      <c r="AH53"/>
      <c r="AI53"/>
      <c r="AK53"/>
      <c r="AL53"/>
      <c r="AM53"/>
      <c r="AO53"/>
    </row>
    <row r="54" spans="1:57" ht="18" customHeight="1">
      <c r="A54"/>
      <c r="B54" s="849"/>
      <c r="C54" s="850"/>
      <c r="D54" s="850"/>
      <c r="E54" s="850"/>
      <c r="F54" s="850"/>
      <c r="G54" s="850"/>
      <c r="H54" s="851"/>
      <c r="J54" s="127" t="s">
        <v>960</v>
      </c>
      <c r="K54" s="831" t="s">
        <v>1155</v>
      </c>
      <c r="L54" s="832"/>
      <c r="M54" s="832"/>
      <c r="N54" s="833"/>
      <c r="O54"/>
      <c r="P54"/>
      <c r="Q54"/>
      <c r="R54"/>
      <c r="U54"/>
      <c r="V54"/>
      <c r="W54"/>
      <c r="Y54"/>
      <c r="Z54"/>
      <c r="AA54"/>
      <c r="AC54"/>
      <c r="AD54"/>
      <c r="AE54"/>
      <c r="AG54"/>
      <c r="AH54"/>
      <c r="AI54"/>
      <c r="AK54"/>
      <c r="AL54"/>
      <c r="AM54"/>
      <c r="AO54"/>
    </row>
    <row r="55" spans="1:57" ht="18" customHeight="1" thickBot="1">
      <c r="A55"/>
      <c r="B55" s="849"/>
      <c r="C55" s="850"/>
      <c r="D55" s="850"/>
      <c r="E55" s="850"/>
      <c r="F55" s="850"/>
      <c r="G55" s="850"/>
      <c r="H55" s="851"/>
      <c r="J55"/>
      <c r="K55"/>
      <c r="L55"/>
      <c r="M55"/>
      <c r="N55"/>
      <c r="O55"/>
      <c r="P55"/>
      <c r="Q55"/>
      <c r="R55"/>
      <c r="S55"/>
      <c r="U55"/>
      <c r="V55"/>
      <c r="W55"/>
      <c r="Y55"/>
      <c r="Z55"/>
      <c r="AA55"/>
      <c r="AC55"/>
      <c r="AD55"/>
      <c r="AE55"/>
      <c r="AG55"/>
      <c r="AH55"/>
      <c r="AI55"/>
      <c r="AK55"/>
      <c r="AL55"/>
      <c r="AM55"/>
      <c r="AO55"/>
    </row>
    <row r="56" spans="1:57" ht="18" customHeight="1">
      <c r="A56"/>
      <c r="B56" s="849"/>
      <c r="C56" s="850"/>
      <c r="D56" s="850"/>
      <c r="E56" s="850"/>
      <c r="F56" s="850"/>
      <c r="G56" s="850"/>
      <c r="H56" s="851"/>
      <c r="J56" s="866" t="s">
        <v>616</v>
      </c>
      <c r="K56" s="867"/>
      <c r="L56" s="868"/>
      <c r="M56"/>
      <c r="N56"/>
      <c r="O56"/>
      <c r="P56"/>
      <c r="Q56"/>
      <c r="R56"/>
      <c r="S56"/>
      <c r="U56"/>
      <c r="V56"/>
      <c r="W56"/>
      <c r="Y56"/>
      <c r="Z56"/>
      <c r="AA56"/>
      <c r="AC56"/>
      <c r="AD56"/>
      <c r="AE56"/>
      <c r="AG56"/>
      <c r="AH56"/>
      <c r="AI56"/>
      <c r="AK56"/>
      <c r="AL56"/>
      <c r="AM56"/>
      <c r="AO56"/>
    </row>
    <row r="57" spans="1:57" ht="18" customHeight="1">
      <c r="A57"/>
      <c r="B57" s="849"/>
      <c r="C57" s="850"/>
      <c r="D57" s="850"/>
      <c r="E57" s="850"/>
      <c r="F57" s="850"/>
      <c r="G57" s="850"/>
      <c r="H57" s="851"/>
      <c r="J57" s="869" t="s">
        <v>617</v>
      </c>
      <c r="K57" s="870"/>
      <c r="L57" s="871"/>
      <c r="M57"/>
      <c r="N57"/>
      <c r="O57"/>
      <c r="P57"/>
      <c r="Q57"/>
      <c r="R57"/>
      <c r="S57"/>
      <c r="U57"/>
      <c r="V57"/>
      <c r="W57"/>
      <c r="Y57"/>
      <c r="Z57"/>
      <c r="AA57"/>
      <c r="AC57"/>
      <c r="AD57"/>
      <c r="AE57"/>
      <c r="AG57"/>
      <c r="AH57"/>
      <c r="AI57"/>
      <c r="AK57"/>
      <c r="AL57"/>
      <c r="AM57"/>
      <c r="AO57"/>
    </row>
    <row r="58" spans="1:57" ht="18" customHeight="1">
      <c r="A58"/>
      <c r="B58" s="849"/>
      <c r="C58" s="850"/>
      <c r="D58" s="850"/>
      <c r="E58" s="850"/>
      <c r="F58" s="850"/>
      <c r="G58" s="850"/>
      <c r="H58" s="851"/>
      <c r="J58" s="872" t="s">
        <v>534</v>
      </c>
      <c r="K58" s="873"/>
      <c r="L58" s="874"/>
      <c r="M58"/>
      <c r="N58"/>
      <c r="O58"/>
      <c r="P58"/>
      <c r="Q58"/>
      <c r="R58"/>
      <c r="S58"/>
      <c r="U58"/>
      <c r="V58"/>
      <c r="W58"/>
      <c r="Y58"/>
      <c r="Z58"/>
      <c r="AA58"/>
      <c r="AC58"/>
      <c r="AD58"/>
      <c r="AE58"/>
      <c r="AG58"/>
      <c r="AH58"/>
      <c r="AI58"/>
      <c r="AK58"/>
      <c r="AL58"/>
      <c r="AM58"/>
      <c r="AO58"/>
    </row>
    <row r="59" spans="1:57" customFormat="1" ht="18" customHeight="1">
      <c r="B59" s="849"/>
      <c r="C59" s="850"/>
      <c r="D59" s="850"/>
      <c r="E59" s="850"/>
      <c r="F59" s="850"/>
      <c r="G59" s="850"/>
      <c r="H59" s="851"/>
      <c r="J59" s="875" t="s">
        <v>618</v>
      </c>
      <c r="K59" s="876"/>
      <c r="L59" s="877"/>
      <c r="BB59" s="23"/>
      <c r="BC59" s="23"/>
      <c r="BE59" s="23"/>
    </row>
    <row r="60" spans="1:57" customFormat="1" ht="18" customHeight="1" thickBot="1">
      <c r="B60" s="849"/>
      <c r="C60" s="850"/>
      <c r="D60" s="850"/>
      <c r="E60" s="850"/>
      <c r="F60" s="850"/>
      <c r="G60" s="850"/>
      <c r="H60" s="851"/>
      <c r="J60" s="863" t="s">
        <v>619</v>
      </c>
      <c r="K60" s="864"/>
      <c r="L60" s="865"/>
      <c r="BB60" s="23"/>
      <c r="BC60" s="23"/>
      <c r="BE60" s="23"/>
    </row>
    <row r="61" spans="1:57" customFormat="1" ht="18" customHeight="1" thickBot="1">
      <c r="B61" s="852"/>
      <c r="C61" s="853"/>
      <c r="D61" s="853"/>
      <c r="E61" s="853"/>
      <c r="F61" s="853"/>
      <c r="G61" s="853"/>
      <c r="H61" s="854"/>
    </row>
    <row r="62" spans="1:57" customFormat="1" ht="18" customHeight="1" thickBot="1"/>
    <row r="63" spans="1:57" customFormat="1" ht="27" customHeight="1" thickBot="1">
      <c r="B63" s="843" t="s">
        <v>673</v>
      </c>
      <c r="C63" s="844"/>
      <c r="D63" s="844"/>
      <c r="E63" s="844"/>
      <c r="F63" s="844"/>
      <c r="G63" s="844"/>
      <c r="H63" s="845"/>
    </row>
    <row r="64" spans="1:57" customFormat="1" ht="18" customHeight="1">
      <c r="B64" s="846" t="s">
        <v>1169</v>
      </c>
      <c r="C64" s="847"/>
      <c r="D64" s="847"/>
      <c r="E64" s="847"/>
      <c r="F64" s="847"/>
      <c r="G64" s="847"/>
      <c r="H64" s="848"/>
    </row>
    <row r="65" spans="1:14" customFormat="1" ht="18" customHeight="1">
      <c r="B65" s="849"/>
      <c r="C65" s="850"/>
      <c r="D65" s="850"/>
      <c r="E65" s="850"/>
      <c r="F65" s="850"/>
      <c r="G65" s="850"/>
      <c r="H65" s="851"/>
    </row>
    <row r="66" spans="1:14" customFormat="1" ht="18" customHeight="1">
      <c r="B66" s="849"/>
      <c r="C66" s="850"/>
      <c r="D66" s="850"/>
      <c r="E66" s="850"/>
      <c r="F66" s="850"/>
      <c r="G66" s="850"/>
      <c r="H66" s="851"/>
    </row>
    <row r="67" spans="1:14" customFormat="1" ht="18" customHeight="1">
      <c r="B67" s="849"/>
      <c r="C67" s="850"/>
      <c r="D67" s="850"/>
      <c r="E67" s="850"/>
      <c r="F67" s="850"/>
      <c r="G67" s="850"/>
      <c r="H67" s="851"/>
    </row>
    <row r="68" spans="1:14" customFormat="1" ht="18" customHeight="1">
      <c r="B68" s="849"/>
      <c r="C68" s="850"/>
      <c r="D68" s="850"/>
      <c r="E68" s="850"/>
      <c r="F68" s="850"/>
      <c r="G68" s="850"/>
      <c r="H68" s="851"/>
    </row>
    <row r="69" spans="1:14" customFormat="1" ht="18" customHeight="1">
      <c r="B69" s="849"/>
      <c r="C69" s="850"/>
      <c r="D69" s="850"/>
      <c r="E69" s="850"/>
      <c r="F69" s="850"/>
      <c r="G69" s="850"/>
      <c r="H69" s="851"/>
      <c r="J69" s="23"/>
      <c r="K69" s="23"/>
      <c r="L69" s="23"/>
      <c r="M69" s="23"/>
      <c r="N69" s="23"/>
    </row>
    <row r="70" spans="1:14" customFormat="1" ht="18" customHeight="1">
      <c r="B70" s="849"/>
      <c r="C70" s="850"/>
      <c r="D70" s="850"/>
      <c r="E70" s="850"/>
      <c r="F70" s="850"/>
      <c r="G70" s="850"/>
      <c r="H70" s="851"/>
      <c r="J70" s="23"/>
      <c r="K70" s="23"/>
      <c r="L70" s="23"/>
      <c r="M70" s="23"/>
      <c r="N70" s="23"/>
    </row>
    <row r="71" spans="1:14" customFormat="1" ht="18" customHeight="1">
      <c r="B71" s="849"/>
      <c r="C71" s="850"/>
      <c r="D71" s="850"/>
      <c r="E71" s="850"/>
      <c r="F71" s="850"/>
      <c r="G71" s="850"/>
      <c r="H71" s="851"/>
      <c r="J71" s="23"/>
      <c r="K71" s="23"/>
      <c r="L71" s="23"/>
      <c r="M71" s="23"/>
      <c r="N71" s="23"/>
    </row>
    <row r="72" spans="1:14" customFormat="1" ht="18" customHeight="1" thickBot="1">
      <c r="B72" s="852"/>
      <c r="C72" s="853"/>
      <c r="D72" s="853"/>
      <c r="E72" s="853"/>
      <c r="F72" s="853"/>
      <c r="G72" s="853"/>
      <c r="H72" s="854"/>
      <c r="J72" s="23"/>
      <c r="K72" s="23"/>
      <c r="L72" s="23"/>
      <c r="M72" s="23"/>
      <c r="N72" s="23"/>
    </row>
    <row r="73" spans="1:14" customFormat="1" ht="18" customHeight="1" thickBot="1">
      <c r="B73" s="279"/>
      <c r="C73" s="279"/>
      <c r="D73" s="279"/>
      <c r="E73" s="280"/>
      <c r="F73" s="281"/>
      <c r="G73" s="281"/>
      <c r="H73" s="281"/>
      <c r="J73" s="23"/>
      <c r="K73" s="23"/>
      <c r="L73" s="23"/>
      <c r="M73" s="23"/>
      <c r="N73" s="23"/>
    </row>
    <row r="74" spans="1:14" customFormat="1" ht="39" customHeight="1">
      <c r="B74" s="397" t="s">
        <v>382</v>
      </c>
      <c r="C74" s="378" t="s">
        <v>1</v>
      </c>
      <c r="D74" s="766" t="s">
        <v>1193</v>
      </c>
      <c r="E74" s="280"/>
      <c r="F74" s="281"/>
      <c r="G74" s="281"/>
      <c r="H74" s="281"/>
      <c r="J74" s="23"/>
      <c r="K74" s="23"/>
      <c r="L74" s="23"/>
      <c r="M74" s="23"/>
      <c r="N74" s="23"/>
    </row>
    <row r="75" spans="1:14" customFormat="1" ht="18" customHeight="1">
      <c r="B75" s="405" t="s">
        <v>393</v>
      </c>
      <c r="C75" s="379" t="s">
        <v>1</v>
      </c>
      <c r="D75" s="767"/>
      <c r="E75" s="280"/>
      <c r="F75" s="281"/>
      <c r="G75" s="281"/>
      <c r="H75" s="281"/>
      <c r="J75" s="23"/>
      <c r="K75" s="23"/>
      <c r="L75" s="23"/>
      <c r="M75" s="23"/>
      <c r="N75" s="23"/>
    </row>
    <row r="76" spans="1:14" customFormat="1" ht="18" customHeight="1" thickBot="1">
      <c r="B76" s="405" t="s">
        <v>394</v>
      </c>
      <c r="C76" s="401" t="s">
        <v>1</v>
      </c>
      <c r="D76" s="735" t="s">
        <v>827</v>
      </c>
      <c r="E76" s="280"/>
      <c r="F76" s="281"/>
      <c r="G76" s="281"/>
      <c r="H76" s="281"/>
      <c r="J76" s="23"/>
      <c r="K76" s="23"/>
      <c r="L76" s="23"/>
      <c r="M76" s="23"/>
      <c r="N76" s="23"/>
    </row>
    <row r="77" spans="1:14" customFormat="1" ht="18" customHeight="1">
      <c r="B77" s="620" t="s">
        <v>977</v>
      </c>
      <c r="C77" s="404" t="s">
        <v>1</v>
      </c>
      <c r="D77" s="412" t="s">
        <v>1170</v>
      </c>
      <c r="E77" s="280"/>
      <c r="F77" s="281"/>
      <c r="G77" s="281"/>
      <c r="H77" s="281"/>
      <c r="J77" s="23"/>
      <c r="K77" s="23"/>
      <c r="L77" s="23"/>
      <c r="M77" s="23"/>
      <c r="N77" s="23"/>
    </row>
    <row r="78" spans="1:14" customFormat="1" ht="18" customHeight="1">
      <c r="B78" s="405" t="s">
        <v>1049</v>
      </c>
      <c r="C78" s="402" t="s">
        <v>1</v>
      </c>
      <c r="D78" s="736" t="s">
        <v>1050</v>
      </c>
      <c r="F78" s="62"/>
      <c r="G78" s="62"/>
      <c r="H78" s="62"/>
      <c r="J78" s="23"/>
      <c r="K78" s="23"/>
      <c r="L78" s="23"/>
      <c r="M78" s="23"/>
      <c r="N78" s="23"/>
    </row>
    <row r="79" spans="1:14" customFormat="1" ht="18" customHeight="1">
      <c r="A79" s="23"/>
      <c r="B79" s="405" t="s">
        <v>207</v>
      </c>
      <c r="C79" s="402" t="s">
        <v>1</v>
      </c>
      <c r="D79" s="736" t="s">
        <v>1051</v>
      </c>
      <c r="F79" s="62"/>
      <c r="G79" s="62"/>
      <c r="H79" s="62"/>
      <c r="J79" s="23"/>
      <c r="K79" s="23"/>
      <c r="L79" s="23"/>
      <c r="M79" s="23"/>
      <c r="N79" s="23"/>
    </row>
    <row r="80" spans="1:14" customFormat="1" ht="18" customHeight="1">
      <c r="A80" s="23"/>
      <c r="B80" s="405" t="s">
        <v>761</v>
      </c>
      <c r="C80" s="402" t="s">
        <v>1</v>
      </c>
      <c r="D80" s="771" t="s">
        <v>1198</v>
      </c>
      <c r="F80" s="62"/>
      <c r="G80" s="62"/>
      <c r="H80" s="62"/>
      <c r="J80" s="23"/>
      <c r="K80" s="23"/>
      <c r="L80" s="23"/>
      <c r="M80" s="23"/>
      <c r="N80" s="23"/>
    </row>
    <row r="81" spans="1:57" customFormat="1" ht="18" customHeight="1">
      <c r="A81" s="23"/>
      <c r="B81" s="405" t="s">
        <v>975</v>
      </c>
      <c r="C81" s="402" t="s">
        <v>1</v>
      </c>
      <c r="D81" s="771" t="s">
        <v>1197</v>
      </c>
      <c r="F81" s="62"/>
      <c r="G81" s="62"/>
      <c r="H81" s="62"/>
      <c r="J81" s="23"/>
      <c r="K81" s="23"/>
      <c r="L81" s="23"/>
      <c r="M81" s="23"/>
      <c r="N81" s="23"/>
    </row>
    <row r="82" spans="1:57" customFormat="1" ht="18" customHeight="1">
      <c r="A82" s="23"/>
      <c r="B82" s="405" t="s">
        <v>951</v>
      </c>
      <c r="C82" s="402" t="s">
        <v>1</v>
      </c>
      <c r="D82" s="414" t="s">
        <v>1116</v>
      </c>
      <c r="F82" s="62"/>
      <c r="G82" s="62"/>
      <c r="H82" s="62"/>
      <c r="J82" s="23"/>
      <c r="K82" s="23"/>
      <c r="L82" s="23"/>
      <c r="M82" s="23"/>
      <c r="N82" s="23"/>
    </row>
    <row r="83" spans="1:57" customFormat="1" ht="18" customHeight="1">
      <c r="A83" s="23"/>
      <c r="B83" s="406" t="s">
        <v>506</v>
      </c>
      <c r="C83" s="403" t="s">
        <v>1</v>
      </c>
      <c r="D83" s="770">
        <v>500000</v>
      </c>
      <c r="F83" s="62"/>
      <c r="G83" s="62"/>
      <c r="H83" s="62"/>
      <c r="J83" s="23"/>
      <c r="K83" s="23"/>
      <c r="L83" s="23"/>
      <c r="M83" s="23"/>
      <c r="N83" s="23"/>
    </row>
    <row r="84" spans="1:57" ht="18" customHeight="1">
      <c r="B84" s="407" t="s">
        <v>211</v>
      </c>
      <c r="C84" s="402" t="s">
        <v>1</v>
      </c>
      <c r="D84" s="772" t="s">
        <v>1199</v>
      </c>
      <c r="O84"/>
      <c r="P84"/>
      <c r="Q84"/>
      <c r="R84"/>
      <c r="S84"/>
      <c r="U84"/>
      <c r="V84"/>
      <c r="W84"/>
      <c r="Y84"/>
      <c r="Z84"/>
      <c r="AA84"/>
      <c r="AC84"/>
      <c r="AD84"/>
      <c r="AE84"/>
      <c r="AG84"/>
      <c r="AH84"/>
      <c r="AI84"/>
      <c r="AK84"/>
      <c r="AL84"/>
      <c r="AM84"/>
      <c r="AO84"/>
      <c r="AP84"/>
      <c r="AQ84"/>
      <c r="AS84"/>
      <c r="AT84"/>
      <c r="AU84"/>
      <c r="AW84"/>
      <c r="AX84"/>
      <c r="AY84"/>
      <c r="BA84"/>
      <c r="BB84"/>
      <c r="BC84"/>
      <c r="BE84"/>
    </row>
    <row r="85" spans="1:57" ht="18" customHeight="1">
      <c r="B85" s="407" t="s">
        <v>727</v>
      </c>
      <c r="C85" s="402" t="s">
        <v>1</v>
      </c>
      <c r="D85" s="416" t="s">
        <v>1117</v>
      </c>
      <c r="O85"/>
      <c r="P85"/>
      <c r="Q85"/>
      <c r="R85"/>
      <c r="S85"/>
      <c r="U85"/>
      <c r="V85"/>
      <c r="W85"/>
      <c r="Y85"/>
      <c r="Z85"/>
      <c r="AA85"/>
      <c r="AC85"/>
      <c r="AD85"/>
      <c r="AE85"/>
      <c r="AG85"/>
      <c r="AH85"/>
      <c r="AI85"/>
      <c r="AK85"/>
      <c r="AL85"/>
      <c r="AM85"/>
      <c r="AO85"/>
      <c r="BB85"/>
      <c r="BC85"/>
      <c r="BE85"/>
    </row>
    <row r="86" spans="1:57" ht="18" customHeight="1">
      <c r="B86" s="407" t="s">
        <v>400</v>
      </c>
      <c r="C86" s="402" t="s">
        <v>1</v>
      </c>
      <c r="D86" s="413" t="s">
        <v>1118</v>
      </c>
      <c r="O86"/>
      <c r="P86"/>
      <c r="Q86"/>
      <c r="R86"/>
      <c r="S86"/>
      <c r="U86"/>
      <c r="V86"/>
      <c r="W86"/>
      <c r="Y86"/>
      <c r="Z86"/>
      <c r="AA86"/>
      <c r="AC86"/>
      <c r="AD86"/>
      <c r="AE86"/>
      <c r="AG86"/>
      <c r="AH86"/>
      <c r="AI86"/>
      <c r="AK86"/>
      <c r="AL86"/>
      <c r="AM86"/>
      <c r="AO86"/>
    </row>
    <row r="87" spans="1:57" ht="18" customHeight="1">
      <c r="B87" s="407" t="s">
        <v>683</v>
      </c>
      <c r="C87" s="402" t="s">
        <v>1</v>
      </c>
      <c r="D87" s="417" t="s">
        <v>1135</v>
      </c>
      <c r="P87"/>
      <c r="Q87"/>
      <c r="R87"/>
      <c r="S87"/>
      <c r="U87"/>
      <c r="V87"/>
      <c r="W87"/>
      <c r="Y87"/>
      <c r="Z87"/>
      <c r="AA87"/>
      <c r="AC87"/>
      <c r="AD87"/>
      <c r="AE87"/>
      <c r="AG87"/>
      <c r="AH87"/>
      <c r="AI87"/>
      <c r="AK87"/>
      <c r="AL87"/>
      <c r="AM87"/>
      <c r="AO87"/>
    </row>
    <row r="88" spans="1:57" ht="18" customHeight="1">
      <c r="B88" s="407" t="s">
        <v>277</v>
      </c>
      <c r="C88" s="402" t="s">
        <v>1</v>
      </c>
      <c r="D88" s="417" t="s">
        <v>1136</v>
      </c>
      <c r="S88"/>
      <c r="U88"/>
      <c r="V88"/>
      <c r="W88"/>
      <c r="Y88"/>
      <c r="Z88"/>
      <c r="AA88"/>
      <c r="AC88"/>
      <c r="AD88"/>
      <c r="AE88"/>
      <c r="AG88"/>
      <c r="AH88"/>
      <c r="AI88"/>
      <c r="AK88"/>
      <c r="AL88"/>
      <c r="AM88"/>
      <c r="AO88"/>
    </row>
    <row r="89" spans="1:57" ht="18" customHeight="1">
      <c r="B89" s="408" t="s">
        <v>1024</v>
      </c>
      <c r="C89" s="402" t="s">
        <v>1</v>
      </c>
      <c r="D89" s="413" t="s">
        <v>1187</v>
      </c>
      <c r="S89"/>
      <c r="U89"/>
      <c r="V89"/>
      <c r="W89"/>
      <c r="Y89"/>
      <c r="Z89"/>
      <c r="AA89"/>
      <c r="AC89"/>
      <c r="AD89"/>
      <c r="AE89"/>
      <c r="AG89"/>
      <c r="AH89"/>
      <c r="AI89"/>
      <c r="AK89"/>
      <c r="AL89"/>
      <c r="AM89"/>
      <c r="AO89"/>
    </row>
    <row r="90" spans="1:57" ht="18" customHeight="1">
      <c r="B90" s="408" t="s">
        <v>742</v>
      </c>
      <c r="C90" s="402" t="s">
        <v>1</v>
      </c>
      <c r="D90" s="413" t="s">
        <v>1164</v>
      </c>
      <c r="S90"/>
      <c r="U90"/>
      <c r="V90"/>
      <c r="W90"/>
      <c r="Y90"/>
      <c r="Z90"/>
      <c r="AA90"/>
      <c r="AC90"/>
      <c r="AD90"/>
      <c r="AE90"/>
      <c r="AG90"/>
      <c r="AH90"/>
      <c r="AI90"/>
      <c r="AK90"/>
      <c r="AL90"/>
      <c r="AM90"/>
      <c r="AO90"/>
    </row>
    <row r="91" spans="1:57" ht="18" customHeight="1">
      <c r="B91" s="408" t="s">
        <v>743</v>
      </c>
      <c r="C91" s="402" t="s">
        <v>1</v>
      </c>
      <c r="D91" s="413" t="s">
        <v>1093</v>
      </c>
      <c r="S91"/>
      <c r="U91"/>
      <c r="V91"/>
      <c r="W91"/>
      <c r="Y91"/>
      <c r="Z91"/>
      <c r="AA91"/>
      <c r="AC91"/>
      <c r="AD91"/>
      <c r="AE91"/>
      <c r="AG91"/>
      <c r="AH91"/>
      <c r="AI91"/>
      <c r="AK91"/>
      <c r="AL91"/>
      <c r="AM91"/>
      <c r="AO91"/>
    </row>
    <row r="92" spans="1:57" ht="18" customHeight="1">
      <c r="B92" s="408" t="s">
        <v>1119</v>
      </c>
      <c r="C92" s="402" t="s">
        <v>1</v>
      </c>
      <c r="D92" s="413" t="s">
        <v>1120</v>
      </c>
      <c r="S92"/>
      <c r="U92"/>
      <c r="V92"/>
      <c r="W92"/>
      <c r="Y92"/>
      <c r="Z92"/>
      <c r="AA92"/>
      <c r="AC92"/>
      <c r="AD92"/>
      <c r="AE92"/>
      <c r="AG92"/>
      <c r="AH92"/>
      <c r="AI92"/>
      <c r="AK92"/>
      <c r="AL92"/>
      <c r="AM92"/>
      <c r="AO92"/>
    </row>
    <row r="93" spans="1:57" ht="18" customHeight="1">
      <c r="B93" s="408" t="s">
        <v>729</v>
      </c>
      <c r="C93" s="402" t="s">
        <v>1</v>
      </c>
      <c r="D93" s="413" t="s">
        <v>831</v>
      </c>
      <c r="S93"/>
      <c r="U93"/>
      <c r="V93"/>
      <c r="W93"/>
      <c r="Y93"/>
      <c r="Z93"/>
      <c r="AA93"/>
      <c r="AC93"/>
      <c r="AD93"/>
      <c r="AE93"/>
      <c r="AG93"/>
      <c r="AH93"/>
      <c r="AI93"/>
      <c r="AK93"/>
      <c r="AL93"/>
      <c r="AM93"/>
      <c r="AO93"/>
    </row>
    <row r="94" spans="1:57" ht="18" customHeight="1">
      <c r="B94" s="408" t="s">
        <v>206</v>
      </c>
      <c r="C94" s="402" t="s">
        <v>1</v>
      </c>
      <c r="D94" s="418" t="s">
        <v>828</v>
      </c>
      <c r="S94"/>
      <c r="U94"/>
      <c r="V94"/>
      <c r="W94"/>
      <c r="Y94"/>
      <c r="Z94"/>
      <c r="AA94"/>
      <c r="AC94"/>
      <c r="AD94"/>
      <c r="AE94"/>
      <c r="AG94"/>
      <c r="AH94"/>
      <c r="AI94"/>
      <c r="AK94"/>
      <c r="AL94"/>
      <c r="AM94"/>
      <c r="AO94"/>
      <c r="AP94"/>
      <c r="AQ94"/>
      <c r="AS94"/>
      <c r="AT94"/>
      <c r="AU94"/>
      <c r="AW94"/>
      <c r="AX94"/>
      <c r="AY94"/>
      <c r="BA94"/>
    </row>
    <row r="95" spans="1:57" ht="18" customHeight="1">
      <c r="B95" s="408" t="s">
        <v>174</v>
      </c>
      <c r="C95" s="402" t="s">
        <v>1</v>
      </c>
      <c r="D95" s="418" t="s">
        <v>829</v>
      </c>
      <c r="S95"/>
      <c r="U95"/>
      <c r="V95"/>
      <c r="W95"/>
      <c r="Y95"/>
      <c r="Z95"/>
      <c r="AA95"/>
      <c r="AC95"/>
      <c r="AD95"/>
      <c r="AE95"/>
      <c r="AG95"/>
      <c r="AH95"/>
      <c r="AI95"/>
      <c r="AK95"/>
      <c r="AL95"/>
      <c r="AM95"/>
      <c r="AO95"/>
    </row>
    <row r="96" spans="1:57" ht="18" customHeight="1">
      <c r="B96" s="737" t="s">
        <v>652</v>
      </c>
      <c r="C96" s="402" t="s">
        <v>1</v>
      </c>
      <c r="D96" s="738" t="s">
        <v>1181</v>
      </c>
      <c r="S96"/>
      <c r="U96"/>
      <c r="V96"/>
      <c r="W96"/>
      <c r="Y96"/>
      <c r="Z96"/>
      <c r="AA96"/>
      <c r="AC96"/>
      <c r="AD96"/>
      <c r="AE96"/>
      <c r="AG96"/>
      <c r="AH96"/>
      <c r="AI96"/>
      <c r="AK96"/>
      <c r="AL96"/>
      <c r="AM96"/>
      <c r="AO96"/>
    </row>
    <row r="97" spans="2:41" ht="18" customHeight="1">
      <c r="B97" s="737" t="s">
        <v>1179</v>
      </c>
      <c r="C97" s="402" t="s">
        <v>1</v>
      </c>
      <c r="D97" s="418" t="s">
        <v>1180</v>
      </c>
      <c r="S97"/>
      <c r="U97"/>
      <c r="V97"/>
      <c r="W97"/>
      <c r="Y97"/>
      <c r="Z97"/>
      <c r="AA97"/>
      <c r="AC97"/>
      <c r="AD97"/>
      <c r="AE97"/>
      <c r="AG97"/>
      <c r="AH97"/>
      <c r="AI97"/>
      <c r="AK97"/>
      <c r="AL97"/>
      <c r="AM97"/>
      <c r="AO97"/>
    </row>
    <row r="98" spans="2:41" ht="18" customHeight="1">
      <c r="B98" s="739" t="s">
        <v>1178</v>
      </c>
      <c r="C98" s="402" t="s">
        <v>1</v>
      </c>
      <c r="D98" s="740">
        <v>186078663120</v>
      </c>
      <c r="S98"/>
      <c r="U98"/>
      <c r="V98"/>
      <c r="W98"/>
      <c r="Y98"/>
      <c r="Z98"/>
      <c r="AA98"/>
      <c r="AC98"/>
      <c r="AD98"/>
      <c r="AE98"/>
      <c r="AG98"/>
      <c r="AH98"/>
      <c r="AI98"/>
      <c r="AK98"/>
      <c r="AL98"/>
      <c r="AM98"/>
      <c r="AO98"/>
    </row>
    <row r="99" spans="2:41" ht="18" customHeight="1" thickBot="1">
      <c r="B99" s="741" t="s">
        <v>1137</v>
      </c>
      <c r="C99" s="742" t="s">
        <v>1</v>
      </c>
      <c r="D99" s="743" t="s">
        <v>1185</v>
      </c>
    </row>
  </sheetData>
  <sheetProtection formatCells="0" formatColumns="0" formatRows="0" insertColumns="0" insertRows="0" deleteColumns="0" deleteRows="0"/>
  <protectedRanges>
    <protectedRange sqref="BQ3:BS14 BU2:BW14 BY2:CA14 CC2:CE14 BR2:BS2" name="Range3"/>
    <protectedRange sqref="G18:H18 B49:H61 P2:BO14 B64:H72 F3:H14 J6:N47 D2:D5 D21:D26 D74:D77 D93:D98" name="Data Input" securityDescriptor="O:WDG:WDD:(A;;CC;;;WD)"/>
    <protectedRange sqref="K2 M2:N2" name="Range2"/>
    <protectedRange sqref="BQ2" name="Range1"/>
    <protectedRange sqref="D6:D7 D78:D79" name="Data Input_1" securityDescriptor="O:WDG:WDD:(A;;CC;;;WD)"/>
    <protectedRange sqref="D27 D99 D80:D92 D8:D20" name="Data Input_2" securityDescriptor="O:WDG:WDD:(A;;CC;;;WD)"/>
    <protectedRange sqref="B32:H46" name="Data Input_3" securityDescriptor="O:WDG:WDD:(A;;CC;;;WD)"/>
    <protectedRange sqref="J4:N5" name="Data Input_4" securityDescriptor="O:WDG:WDD:(A;;CC;;;WD)"/>
  </protectedRanges>
  <dataConsolidate/>
  <mergeCells count="23">
    <mergeCell ref="B63:H63"/>
    <mergeCell ref="B64:H72"/>
    <mergeCell ref="B49:H61"/>
    <mergeCell ref="J48:L48"/>
    <mergeCell ref="G18:H18"/>
    <mergeCell ref="B31:H31"/>
    <mergeCell ref="J60:L60"/>
    <mergeCell ref="J56:L56"/>
    <mergeCell ref="J57:L57"/>
    <mergeCell ref="J58:L58"/>
    <mergeCell ref="J59:L59"/>
    <mergeCell ref="B32:H46"/>
    <mergeCell ref="B48:H48"/>
    <mergeCell ref="J50:N50"/>
    <mergeCell ref="K51:N51"/>
    <mergeCell ref="K52:N52"/>
    <mergeCell ref="K53:N53"/>
    <mergeCell ref="K54:N54"/>
    <mergeCell ref="G16:H16"/>
    <mergeCell ref="G15:H15"/>
    <mergeCell ref="P2:P14"/>
    <mergeCell ref="M3:N3"/>
    <mergeCell ref="M2:N2"/>
  </mergeCells>
  <phoneticPr fontId="118" type="noConversion"/>
  <conditionalFormatting sqref="J6:J47">
    <cfRule type="expression" dxfId="24" priority="55">
      <formula>J6=""</formula>
    </cfRule>
  </conditionalFormatting>
  <conditionalFormatting sqref="L6:L8 L10:L47">
    <cfRule type="expression" dxfId="23" priority="52">
      <formula>L6=""</formula>
    </cfRule>
  </conditionalFormatting>
  <conditionalFormatting sqref="K6:K47">
    <cfRule type="expression" dxfId="22" priority="40">
      <formula>K6=""</formula>
    </cfRule>
  </conditionalFormatting>
  <conditionalFormatting sqref="L9">
    <cfRule type="expression" dxfId="21" priority="38">
      <formula>L9=""</formula>
    </cfRule>
  </conditionalFormatting>
  <conditionalFormatting sqref="N6:N47">
    <cfRule type="expression" dxfId="20" priority="72">
      <formula>L6=""</formula>
    </cfRule>
    <cfRule type="cellIs" dxfId="19" priority="73" operator="lessThanOrEqual">
      <formula>0.01</formula>
    </cfRule>
  </conditionalFormatting>
  <conditionalFormatting sqref="M6:M47">
    <cfRule type="expression" dxfId="18" priority="74">
      <formula>L6=""</formula>
    </cfRule>
  </conditionalFormatting>
  <conditionalFormatting sqref="F18:G18">
    <cfRule type="expression" dxfId="17" priority="134">
      <formula>#REF!="no"</formula>
    </cfRule>
  </conditionalFormatting>
  <conditionalFormatting sqref="J4:J5">
    <cfRule type="expression" dxfId="16" priority="3">
      <formula>J4=""</formula>
    </cfRule>
  </conditionalFormatting>
  <conditionalFormatting sqref="L4:L5">
    <cfRule type="expression" dxfId="15" priority="2">
      <formula>L4=""</formula>
    </cfRule>
  </conditionalFormatting>
  <conditionalFormatting sqref="K4:K5">
    <cfRule type="expression" dxfId="14" priority="1">
      <formula>K4=""</formula>
    </cfRule>
  </conditionalFormatting>
  <conditionalFormatting sqref="N4:N5">
    <cfRule type="expression" dxfId="13" priority="4">
      <formula>L4=""</formula>
    </cfRule>
    <cfRule type="cellIs" dxfId="12" priority="5" operator="lessThanOrEqual">
      <formula>0.01</formula>
    </cfRule>
  </conditionalFormatting>
  <conditionalFormatting sqref="M4:M5">
    <cfRule type="expression" dxfId="11" priority="6">
      <formula>L4=""</formula>
    </cfRule>
  </conditionalFormatting>
  <dataValidations xWindow="493" yWindow="582" count="5">
    <dataValidation allowBlank="1" showInputMessage="1" showErrorMessage="1" promptTitle="দাগে মোট জমি" prompt="(খতিয়ানে)" sqref="M44:M47" xr:uid="{00000000-0002-0000-0300-000000000000}"/>
    <dataValidation allowBlank="1" showInputMessage="1" showErrorMessage="1" promptTitle="ইউনিট" prompt="প্রতি চক্রে ক্রয়কৃত ইউনিট লিখুন" sqref="AY3:AY14 W3:W14 H3:H14 J4:M47" xr:uid="{00000000-0002-0000-0300-000001000000}"/>
    <dataValidation allowBlank="1" showInputMessage="1" showErrorMessage="1" promptTitle="মূল্য ও পরিমান কম/বেশি করুন" prompt="(প্রয়োজনে)" sqref="G15:G16" xr:uid="{00000000-0002-0000-0300-000002000000}"/>
    <dataValidation type="list" allowBlank="1" showInputMessage="1" showErrorMessage="1" sqref="G18" xr:uid="{00000000-0002-0000-0300-000003000000}">
      <formula1>"1.5,2,3,6,12"</formula1>
    </dataValidation>
    <dataValidation allowBlank="1" showInputMessage="1" showErrorMessage="1" prompt="গৃহীত জমি" sqref="N4:N47" xr:uid="{00000000-0002-0000-0300-000004000000}"/>
  </dataValidations>
  <hyperlinks>
    <hyperlink ref="J60" r:id="rId1" xr:uid="{00000000-0004-0000-0300-000000000000}"/>
  </hyperlinks>
  <pageMargins left="0.25" right="0.25" top="0.75" bottom="0.75" header="0.3" footer="0.3"/>
  <pageSetup paperSize="9" scale="96" orientation="portrait" r:id="rId2"/>
  <colBreaks count="1" manualBreakCount="1">
    <brk id="8" max="1048575" man="1"/>
  </colBreaks>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92D050"/>
  </sheetPr>
  <dimension ref="A1:CA227"/>
  <sheetViews>
    <sheetView showGridLines="0" view="pageBreakPreview" topLeftCell="A31" zoomScaleSheetLayoutView="100" zoomScalePageLayoutView="90" workbookViewId="0">
      <selection activeCell="B34" sqref="B34:AM37"/>
    </sheetView>
  </sheetViews>
  <sheetFormatPr defaultRowHeight="20.25" customHeight="1"/>
  <cols>
    <col min="1" max="1" width="4.7109375" customWidth="1"/>
    <col min="2" max="3" width="3.42578125" customWidth="1"/>
    <col min="4" max="4" width="3.7109375" customWidth="1"/>
    <col min="5" max="5" width="1.85546875" customWidth="1"/>
    <col min="6" max="6" width="3.140625" customWidth="1"/>
    <col min="7" max="7" width="2.28515625" customWidth="1"/>
    <col min="8" max="8" width="3.42578125" customWidth="1"/>
    <col min="9" max="9" width="2.85546875" customWidth="1"/>
    <col min="10" max="10" width="3.42578125" customWidth="1"/>
    <col min="11" max="11" width="1.5703125" customWidth="1"/>
    <col min="12" max="12" width="1.85546875" customWidth="1"/>
    <col min="13" max="13" width="2.5703125" customWidth="1"/>
    <col min="14" max="14" width="3.28515625" customWidth="1"/>
    <col min="15" max="15" width="3" customWidth="1"/>
    <col min="16" max="16" width="2.7109375" customWidth="1"/>
    <col min="17" max="17" width="3.42578125" customWidth="1"/>
    <col min="18" max="18" width="4.140625" customWidth="1"/>
    <col min="19" max="19" width="3.140625" customWidth="1"/>
    <col min="20" max="20" width="3.5703125" customWidth="1"/>
    <col min="21" max="21" width="3.7109375" customWidth="1"/>
    <col min="22" max="22" width="2.28515625" customWidth="1"/>
    <col min="23" max="23" width="2" customWidth="1"/>
    <col min="24" max="24" width="2.140625" customWidth="1"/>
    <col min="25" max="25" width="2.85546875" customWidth="1"/>
    <col min="26" max="26" width="2.5703125" customWidth="1"/>
    <col min="27" max="27" width="2.7109375" customWidth="1"/>
    <col min="28" max="28" width="1.7109375" customWidth="1"/>
    <col min="29" max="29" width="1.28515625" customWidth="1"/>
    <col min="30" max="30" width="2" customWidth="1"/>
    <col min="31" max="31" width="2.5703125" customWidth="1"/>
    <col min="32" max="32" width="1.85546875" customWidth="1"/>
    <col min="33" max="33" width="3.5703125" customWidth="1"/>
    <col min="34" max="34" width="2.7109375" customWidth="1"/>
    <col min="35" max="35" width="3.5703125" customWidth="1"/>
    <col min="36" max="36" width="2.85546875" customWidth="1"/>
    <col min="37" max="37" width="3.5703125" customWidth="1"/>
    <col min="38" max="38" width="3" customWidth="1"/>
    <col min="39" max="39" width="4.42578125" customWidth="1"/>
    <col min="40" max="40" width="2.7109375" customWidth="1"/>
    <col min="41" max="41" width="15.5703125" customWidth="1"/>
    <col min="42" max="42" width="13.28515625" customWidth="1"/>
    <col min="43" max="43" width="11.7109375" customWidth="1"/>
    <col min="44" max="45" width="14.42578125" bestFit="1" customWidth="1"/>
    <col min="46" max="46" width="18.42578125" bestFit="1" customWidth="1"/>
    <col min="47" max="47" width="14" bestFit="1" customWidth="1"/>
    <col min="48" max="48" width="11.85546875" customWidth="1"/>
  </cols>
  <sheetData>
    <row r="1" spans="1:40" ht="20.25" customHeight="1">
      <c r="AG1" s="1002" t="s">
        <v>292</v>
      </c>
      <c r="AH1" s="1002"/>
      <c r="AI1" s="1002"/>
      <c r="AJ1" s="1002"/>
      <c r="AK1" s="1002"/>
      <c r="AL1" s="1002"/>
      <c r="AM1" s="1002"/>
    </row>
    <row r="2" spans="1:40" ht="24" customHeight="1">
      <c r="A2" s="1011" t="s">
        <v>291</v>
      </c>
      <c r="B2" s="1011"/>
      <c r="C2" s="1011"/>
      <c r="D2" s="1011"/>
      <c r="E2" s="1011"/>
      <c r="F2" s="1011"/>
      <c r="G2" s="1011"/>
      <c r="H2" s="1011"/>
      <c r="I2" s="1011"/>
      <c r="J2" s="1011"/>
      <c r="K2" s="1011"/>
      <c r="L2" s="1011"/>
      <c r="M2" s="1011"/>
      <c r="N2" s="1011"/>
      <c r="O2" s="1011"/>
      <c r="P2" s="1011"/>
      <c r="Q2" s="1011"/>
      <c r="R2" s="1011"/>
      <c r="S2" s="1011"/>
      <c r="T2" s="1011"/>
      <c r="U2" s="1011"/>
      <c r="V2" s="1011"/>
      <c r="W2" s="1011"/>
      <c r="X2" s="1011"/>
      <c r="Y2" s="1011"/>
      <c r="Z2" s="1011"/>
      <c r="AA2" s="1011"/>
      <c r="AB2" s="1011"/>
      <c r="AC2" s="1011"/>
      <c r="AD2" s="1011"/>
      <c r="AE2" s="1011"/>
      <c r="AF2" s="1011"/>
      <c r="AG2" s="1011"/>
      <c r="AH2" s="1011"/>
      <c r="AI2" s="1011"/>
      <c r="AJ2" s="1011"/>
      <c r="AK2" s="1011"/>
      <c r="AL2" s="1011"/>
      <c r="AM2" s="1011"/>
    </row>
    <row r="3" spans="1:40" ht="17.25" customHeight="1">
      <c r="A3" s="804" t="s">
        <v>287</v>
      </c>
      <c r="B3" s="804"/>
      <c r="C3" s="804"/>
      <c r="D3" s="804"/>
      <c r="E3" s="804"/>
      <c r="F3" s="804"/>
      <c r="G3" s="804"/>
      <c r="H3" s="804"/>
      <c r="I3" s="804"/>
      <c r="J3" s="804"/>
      <c r="K3" s="804"/>
      <c r="L3" s="804"/>
      <c r="M3" s="804"/>
      <c r="N3" s="804"/>
      <c r="O3" s="804"/>
      <c r="P3" s="804"/>
      <c r="Q3" s="804"/>
      <c r="R3" s="804"/>
      <c r="S3" s="804"/>
      <c r="T3" s="804"/>
      <c r="U3" s="804"/>
      <c r="V3" s="804"/>
      <c r="W3" s="804"/>
      <c r="X3" s="804"/>
      <c r="Y3" s="804"/>
      <c r="Z3" s="804"/>
      <c r="AA3" s="804"/>
      <c r="AB3" s="804"/>
      <c r="AC3" s="804"/>
      <c r="AD3" s="804"/>
      <c r="AE3" s="804"/>
      <c r="AF3" s="804"/>
      <c r="AG3" s="804"/>
      <c r="AH3" s="804"/>
      <c r="AI3" s="804"/>
      <c r="AJ3" s="804"/>
      <c r="AK3" s="804"/>
      <c r="AL3" s="804"/>
      <c r="AM3" s="804"/>
    </row>
    <row r="4" spans="1:40" ht="17.25" customHeight="1">
      <c r="A4" s="123"/>
      <c r="B4" s="123"/>
      <c r="C4" s="123"/>
      <c r="D4" s="123"/>
      <c r="E4" s="123"/>
      <c r="F4" s="123"/>
      <c r="G4" s="123"/>
      <c r="H4" s="123"/>
      <c r="I4" s="123"/>
      <c r="J4" s="123"/>
      <c r="K4" s="123"/>
      <c r="L4" s="123"/>
      <c r="M4" s="123"/>
      <c r="N4" s="123"/>
      <c r="O4" s="123"/>
      <c r="P4" s="123"/>
      <c r="Q4" s="123"/>
      <c r="R4" s="123"/>
      <c r="S4" s="123"/>
      <c r="T4" s="123"/>
      <c r="U4" s="123"/>
      <c r="V4" s="123"/>
      <c r="W4" s="123"/>
      <c r="X4" s="123"/>
      <c r="Y4" s="123"/>
      <c r="Z4" s="123"/>
      <c r="AA4" s="123"/>
      <c r="AB4" s="123"/>
      <c r="AC4" s="123"/>
      <c r="AD4" s="123"/>
      <c r="AE4" s="123"/>
      <c r="AF4" s="123"/>
      <c r="AG4" s="123"/>
      <c r="AH4" s="123"/>
      <c r="AI4" s="123"/>
      <c r="AJ4" s="123"/>
      <c r="AK4" s="123"/>
      <c r="AL4" s="123"/>
      <c r="AM4" s="123"/>
    </row>
    <row r="5" spans="1:40" ht="6.75" customHeight="1">
      <c r="A5" s="12"/>
    </row>
    <row r="6" spans="1:40" s="110" customFormat="1" ht="21.75" customHeight="1">
      <c r="A6" s="1008" t="s">
        <v>382</v>
      </c>
      <c r="B6" s="1008"/>
      <c r="C6" s="1008"/>
      <c r="D6" s="1008"/>
      <c r="E6" s="709" t="s">
        <v>1</v>
      </c>
      <c r="F6" s="1003" t="str">
        <f>+'Data Input'!D2</f>
        <v>wmw×iMÄ kvLv, bvivqYMÄ</v>
      </c>
      <c r="G6" s="1003"/>
      <c r="H6" s="1003"/>
      <c r="I6" s="1003"/>
      <c r="J6" s="1003"/>
      <c r="K6" s="1003"/>
      <c r="L6" s="1003"/>
      <c r="M6" s="1003"/>
      <c r="N6" s="1003"/>
      <c r="O6" s="1003"/>
      <c r="P6" s="1003"/>
      <c r="Q6" s="1003"/>
      <c r="R6" s="1003"/>
      <c r="S6" s="1003"/>
      <c r="T6" s="1003"/>
      <c r="U6" s="1003"/>
      <c r="V6" s="1003"/>
      <c r="W6" s="1003"/>
      <c r="X6" s="1003"/>
      <c r="Y6" s="1004" t="str">
        <f>'Data Input'!B5&amp;" "&amp;'Data Input'!D5</f>
        <v xml:space="preserve">FY †KBm bs 64(wmGgGmGgB)/2024-25 </v>
      </c>
      <c r="Z6" s="1004"/>
      <c r="AA6" s="1004"/>
      <c r="AB6" s="1004"/>
      <c r="AC6" s="1004"/>
      <c r="AD6" s="1004"/>
      <c r="AE6" s="1004"/>
      <c r="AF6" s="1004"/>
      <c r="AG6" s="1004"/>
      <c r="AH6" s="1004"/>
      <c r="AI6" s="1004"/>
      <c r="AJ6" s="1004"/>
      <c r="AK6" s="1004"/>
      <c r="AL6" s="1004"/>
      <c r="AM6" s="1004"/>
    </row>
    <row r="7" spans="1:40" s="65" customFormat="1" ht="21.75" customHeight="1">
      <c r="A7" s="1012" t="s">
        <v>1079</v>
      </c>
      <c r="B7" s="1012"/>
      <c r="C7" s="1012"/>
      <c r="D7" s="1012"/>
      <c r="E7" s="709" t="s">
        <v>1</v>
      </c>
      <c r="F7" s="1009" t="str">
        <f>'Data Input'!D12</f>
        <v>‡gvt Rwb</v>
      </c>
      <c r="G7" s="1010"/>
      <c r="H7" s="1010"/>
      <c r="I7" s="1010"/>
      <c r="J7" s="1010"/>
      <c r="K7" s="1010"/>
      <c r="L7" s="1010"/>
      <c r="M7" s="1010"/>
      <c r="N7" s="1010"/>
      <c r="O7" s="1010"/>
      <c r="P7" s="1010"/>
      <c r="Q7" s="1010"/>
      <c r="R7" s="1010"/>
      <c r="S7" s="1010"/>
      <c r="T7" s="1010"/>
      <c r="U7" s="1010"/>
      <c r="V7" s="1010"/>
      <c r="W7" s="1010"/>
      <c r="X7" s="1010"/>
      <c r="Y7" s="1010"/>
      <c r="Z7" s="1010"/>
      <c r="AA7" s="1010"/>
      <c r="AB7" s="1010"/>
      <c r="AC7" s="1010"/>
      <c r="AD7" s="1010"/>
      <c r="AE7" s="1010"/>
      <c r="AF7" s="1010"/>
      <c r="AG7" s="1010"/>
      <c r="AH7" s="1010"/>
      <c r="AI7" s="1010"/>
      <c r="AJ7" s="1010"/>
      <c r="AK7" s="1010"/>
      <c r="AL7" s="1010"/>
      <c r="AM7" s="1010"/>
    </row>
    <row r="8" spans="1:40" s="65" customFormat="1" ht="21.75" customHeight="1">
      <c r="A8" s="823" t="str">
        <f>'Data Input'!B13</f>
        <v>wcZv/¯^vgxi bvg</v>
      </c>
      <c r="B8" s="823"/>
      <c r="C8" s="823"/>
      <c r="D8" s="823"/>
      <c r="E8" s="648" t="s">
        <v>1</v>
      </c>
      <c r="F8" s="956" t="str">
        <f>+'Data Input'!D13</f>
        <v>g„Z †gvt Bw`ªm Avjx</v>
      </c>
      <c r="G8" s="956"/>
      <c r="H8" s="956"/>
      <c r="I8" s="956"/>
      <c r="J8" s="956"/>
      <c r="K8" s="956"/>
      <c r="L8" s="956"/>
      <c r="M8" s="956"/>
      <c r="N8" s="956"/>
      <c r="O8" s="956"/>
      <c r="P8" s="956"/>
      <c r="Q8" s="956"/>
      <c r="Z8" s="952" t="s">
        <v>1080</v>
      </c>
      <c r="AA8" s="952"/>
      <c r="AB8" s="952"/>
      <c r="AC8" s="952"/>
      <c r="AD8" s="952"/>
      <c r="AE8" s="823" t="str">
        <f>'Data Input'!D14</f>
        <v>gvmvt Avgexqv LvZzb</v>
      </c>
      <c r="AF8" s="823"/>
      <c r="AG8" s="823"/>
      <c r="AH8" s="823"/>
      <c r="AI8" s="823"/>
      <c r="AJ8" s="823"/>
      <c r="AK8" s="823"/>
      <c r="AL8" s="823"/>
      <c r="AM8" s="823"/>
    </row>
    <row r="9" spans="1:40" s="65" customFormat="1" ht="37.5" customHeight="1">
      <c r="A9" s="918" t="s">
        <v>742</v>
      </c>
      <c r="B9" s="918"/>
      <c r="C9" s="918"/>
      <c r="D9" s="918"/>
      <c r="E9" s="648" t="s">
        <v>1</v>
      </c>
      <c r="F9" s="907" t="str">
        <f>'Data Input'!D18</f>
        <v>`vcv B`ªvKcyi</v>
      </c>
      <c r="G9" s="907"/>
      <c r="H9" s="907"/>
      <c r="I9" s="907"/>
      <c r="J9" s="907"/>
      <c r="K9" s="907"/>
      <c r="L9" s="907"/>
      <c r="M9" s="907"/>
      <c r="N9" s="907"/>
      <c r="O9" s="907"/>
      <c r="P9" s="907"/>
      <c r="Q9" s="953" t="s">
        <v>1081</v>
      </c>
      <c r="R9" s="953"/>
      <c r="S9" s="954" t="str">
        <f>'Data Input'!D19</f>
        <v>dZzjøv</v>
      </c>
      <c r="T9" s="954"/>
      <c r="U9" s="954"/>
      <c r="V9" s="954"/>
      <c r="W9" s="954"/>
      <c r="X9" s="954"/>
      <c r="Y9" s="954"/>
      <c r="Z9" s="952" t="s">
        <v>1082</v>
      </c>
      <c r="AA9" s="952"/>
      <c r="AB9" s="952"/>
      <c r="AC9" s="952"/>
      <c r="AD9" s="952"/>
      <c r="AE9" s="823" t="str">
        <f>'Data Input'!D20</f>
        <v>bvivqYMÄ-1430</v>
      </c>
      <c r="AF9" s="823"/>
      <c r="AG9" s="823"/>
      <c r="AH9" s="823"/>
      <c r="AI9" s="823"/>
      <c r="AJ9" s="823"/>
      <c r="AK9" s="823"/>
      <c r="AL9" s="823"/>
      <c r="AM9" s="823"/>
    </row>
    <row r="10" spans="1:40" s="65" customFormat="1" ht="21.75" customHeight="1">
      <c r="A10" s="918" t="s">
        <v>729</v>
      </c>
      <c r="B10" s="918"/>
      <c r="C10" s="918"/>
      <c r="D10" s="918"/>
      <c r="E10" s="648" t="s">
        <v>1</v>
      </c>
      <c r="F10" s="954" t="str">
        <f>'Data Input'!D21</f>
        <v>dZzjøv</v>
      </c>
      <c r="G10" s="954"/>
      <c r="H10" s="954"/>
      <c r="I10" s="954"/>
      <c r="J10" s="954"/>
      <c r="K10" s="954"/>
      <c r="L10" s="954"/>
      <c r="M10" s="954"/>
      <c r="N10" s="954"/>
      <c r="O10" s="954"/>
      <c r="P10" s="105"/>
      <c r="Q10" s="953" t="s">
        <v>1083</v>
      </c>
      <c r="R10" s="953"/>
      <c r="S10" s="954" t="str">
        <f>'Data Input'!D23</f>
        <v>bvivqYMÄ</v>
      </c>
      <c r="T10" s="954"/>
      <c r="U10" s="954"/>
      <c r="V10" s="954"/>
      <c r="W10" s="954"/>
      <c r="X10" s="954"/>
      <c r="Y10" s="918" t="s">
        <v>1084</v>
      </c>
      <c r="Z10" s="918"/>
      <c r="AA10" s="918"/>
      <c r="AB10" s="918"/>
      <c r="AC10" s="918"/>
      <c r="AD10" s="918"/>
      <c r="AE10" s="955" t="str">
        <f>'Data Input'!D16</f>
        <v>01923-401539</v>
      </c>
      <c r="AF10" s="823"/>
      <c r="AG10" s="823"/>
      <c r="AH10" s="823"/>
      <c r="AI10" s="823"/>
      <c r="AJ10" s="823"/>
      <c r="AK10" s="823"/>
      <c r="AL10" s="823"/>
      <c r="AM10" s="823"/>
    </row>
    <row r="11" spans="1:40" s="65" customFormat="1" ht="21.75" customHeight="1">
      <c r="A11" s="63"/>
      <c r="B11" s="63"/>
      <c r="C11" s="63"/>
      <c r="D11" s="63"/>
      <c r="E11" s="648"/>
      <c r="F11" s="105"/>
      <c r="G11" s="105"/>
      <c r="H11" s="105"/>
      <c r="I11" s="105"/>
      <c r="J11" s="105"/>
      <c r="K11" s="105"/>
      <c r="L11" s="105"/>
      <c r="M11" s="105"/>
      <c r="N11" s="105"/>
      <c r="O11" s="105"/>
      <c r="P11" s="105"/>
      <c r="Q11" s="105"/>
      <c r="R11" s="105"/>
      <c r="S11" s="105"/>
      <c r="T11" s="105"/>
      <c r="V11" s="105"/>
      <c r="W11" s="105"/>
      <c r="X11" s="105"/>
      <c r="Y11" s="105"/>
    </row>
    <row r="12" spans="1:40" ht="12" customHeight="1">
      <c r="A12" s="105"/>
      <c r="B12" s="627"/>
      <c r="C12" s="627"/>
      <c r="D12" s="627"/>
      <c r="E12" s="627"/>
      <c r="F12" s="627"/>
      <c r="G12" s="627"/>
      <c r="H12" s="627"/>
      <c r="I12" s="627"/>
      <c r="J12" s="627"/>
      <c r="K12" s="627"/>
      <c r="L12" s="627"/>
      <c r="M12" s="627"/>
      <c r="N12" s="627"/>
      <c r="O12" s="627"/>
      <c r="P12" s="627"/>
      <c r="Q12" s="627"/>
      <c r="R12" s="627"/>
      <c r="S12" s="627"/>
      <c r="T12" s="627"/>
      <c r="U12" s="627"/>
      <c r="V12" s="627"/>
      <c r="W12" s="627"/>
      <c r="X12" s="627"/>
      <c r="Y12" s="627"/>
      <c r="Z12" s="627"/>
      <c r="AA12" s="627"/>
      <c r="AB12" s="627"/>
      <c r="AC12" s="627"/>
      <c r="AD12" s="627"/>
      <c r="AE12" s="627"/>
      <c r="AF12" s="627"/>
      <c r="AG12" s="627"/>
      <c r="AH12" s="627"/>
      <c r="AI12" s="627"/>
      <c r="AJ12" s="627"/>
      <c r="AK12" s="627"/>
      <c r="AL12" s="627"/>
      <c r="AM12" s="627"/>
      <c r="AN12" s="85"/>
    </row>
    <row r="13" spans="1:40" s="76" customFormat="1" ht="16.5" customHeight="1">
      <c r="A13" s="77" t="s">
        <v>56</v>
      </c>
      <c r="B13" s="908" t="s">
        <v>288</v>
      </c>
      <c r="C13" s="908"/>
      <c r="D13" s="908"/>
      <c r="E13" s="908"/>
      <c r="F13" s="908"/>
      <c r="G13" s="908"/>
      <c r="H13" s="908"/>
      <c r="I13" s="908"/>
      <c r="J13" s="908"/>
      <c r="K13" s="908"/>
      <c r="L13" s="908"/>
      <c r="M13" s="908"/>
      <c r="N13" s="908"/>
      <c r="O13" s="908"/>
      <c r="P13" s="908"/>
      <c r="Q13" s="908"/>
      <c r="R13" s="908"/>
      <c r="S13" s="908"/>
      <c r="T13" s="908"/>
      <c r="U13" s="908"/>
      <c r="V13" s="908"/>
      <c r="W13" s="908"/>
      <c r="X13" s="908"/>
      <c r="Y13" s="908"/>
      <c r="Z13" s="908"/>
      <c r="AA13" s="908"/>
      <c r="AB13" s="908"/>
      <c r="AC13" s="908"/>
      <c r="AD13" s="908"/>
      <c r="AE13" s="908"/>
      <c r="AF13" s="908"/>
      <c r="AG13" s="908"/>
      <c r="AH13" s="908"/>
      <c r="AI13" s="908"/>
      <c r="AJ13" s="908"/>
      <c r="AK13" s="908"/>
      <c r="AL13" s="908"/>
      <c r="AM13" s="908"/>
    </row>
    <row r="14" spans="1:40" ht="6" customHeight="1">
      <c r="A14" s="52"/>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row>
    <row r="15" spans="1:40" s="65" customFormat="1" ht="18.75" customHeight="1">
      <c r="A15" s="81"/>
      <c r="B15" s="959" t="s">
        <v>1091</v>
      </c>
      <c r="C15" s="959"/>
      <c r="D15" s="959"/>
      <c r="E15" s="959"/>
      <c r="F15" s="959"/>
      <c r="G15" s="959"/>
      <c r="H15" s="959"/>
      <c r="I15" s="959"/>
      <c r="J15" s="959"/>
      <c r="K15" s="82"/>
      <c r="L15" s="1007" t="str">
        <f>TEXT('Data Input'!N48,"0.0000")&amp;" GKi"</f>
        <v>0.0000 GKi</v>
      </c>
      <c r="M15" s="1007"/>
      <c r="N15" s="1007"/>
      <c r="O15" s="1007"/>
      <c r="P15" s="1007"/>
      <c r="Q15" s="1007"/>
      <c r="R15" s="82"/>
      <c r="S15" s="82"/>
      <c r="T15" s="82"/>
      <c r="U15" s="82"/>
      <c r="V15" s="82"/>
      <c r="W15" s="82"/>
      <c r="X15" s="82"/>
      <c r="Y15" s="82"/>
      <c r="Z15" s="82"/>
      <c r="AA15" s="82"/>
      <c r="AB15" s="82"/>
      <c r="AC15" s="82"/>
      <c r="AD15" s="82"/>
      <c r="AE15" s="82"/>
      <c r="AF15" s="82"/>
      <c r="AG15" s="82"/>
      <c r="AH15" s="82"/>
      <c r="AI15" s="82"/>
      <c r="AJ15" s="82"/>
      <c r="AK15" s="82"/>
      <c r="AL15" s="82"/>
      <c r="AM15" s="83"/>
    </row>
    <row r="16" spans="1:40" s="85" customFormat="1" ht="20.25" customHeight="1">
      <c r="A16" s="419"/>
      <c r="B16" s="1005" t="s">
        <v>175</v>
      </c>
      <c r="C16" s="1005"/>
      <c r="D16" s="1005"/>
      <c r="E16" s="1006" t="s">
        <v>298</v>
      </c>
      <c r="F16" s="1006"/>
      <c r="G16" s="1006"/>
      <c r="H16" s="1006"/>
      <c r="I16" s="1006" t="s">
        <v>177</v>
      </c>
      <c r="J16" s="1006"/>
      <c r="K16" s="1006"/>
      <c r="L16" s="1006"/>
      <c r="M16" s="1006"/>
      <c r="N16" s="926" t="s">
        <v>178</v>
      </c>
      <c r="O16" s="927"/>
      <c r="P16" s="927"/>
      <c r="Q16" s="928"/>
      <c r="R16" s="925" t="s">
        <v>299</v>
      </c>
      <c r="S16" s="925"/>
      <c r="T16" s="925"/>
      <c r="U16" s="925"/>
      <c r="V16" s="926" t="s">
        <v>685</v>
      </c>
      <c r="W16" s="927"/>
      <c r="X16" s="927"/>
      <c r="Y16" s="927"/>
      <c r="Z16" s="927"/>
      <c r="AA16" s="927"/>
      <c r="AB16" s="927"/>
      <c r="AC16" s="927"/>
      <c r="AD16" s="927"/>
      <c r="AE16" s="927"/>
      <c r="AF16" s="927"/>
      <c r="AG16" s="927"/>
      <c r="AH16" s="927"/>
      <c r="AI16" s="927"/>
      <c r="AJ16" s="927"/>
      <c r="AK16" s="927"/>
      <c r="AL16" s="927"/>
      <c r="AM16" s="928"/>
    </row>
    <row r="17" spans="1:41" s="85" customFormat="1" ht="18" customHeight="1">
      <c r="A17" s="84"/>
      <c r="B17" s="915" t="str">
        <f>'Data Input'!D22</f>
        <v>bvivqYMÄ m`i</v>
      </c>
      <c r="C17" s="916"/>
      <c r="D17" s="917"/>
      <c r="E17" s="889" t="str">
        <f>IF('Data Input'!L4&gt;0,'Data Input'!J4,"")</f>
        <v/>
      </c>
      <c r="F17" s="890"/>
      <c r="G17" s="890"/>
      <c r="H17" s="891"/>
      <c r="I17" s="901" t="str">
        <f>IF('Data Input'!L4&gt;0,+'Data Input'!K4,"")</f>
        <v/>
      </c>
      <c r="J17" s="902"/>
      <c r="K17" s="902"/>
      <c r="L17" s="902"/>
      <c r="M17" s="903"/>
      <c r="N17" s="901" t="str">
        <f>IF('Data Input'!L4&gt;0,+'Data Input'!L4,"")</f>
        <v/>
      </c>
      <c r="O17" s="902"/>
      <c r="P17" s="902"/>
      <c r="Q17" s="903"/>
      <c r="R17" s="884" t="str">
        <f>IF('Data Input'!L4&gt;0,+'Data Input'!M4,"")</f>
        <v/>
      </c>
      <c r="S17" s="880">
        <f>'Data Input'!N4</f>
        <v>0</v>
      </c>
      <c r="T17" s="880"/>
      <c r="U17" s="881"/>
      <c r="V17" s="919" t="s">
        <v>1189</v>
      </c>
      <c r="W17" s="919"/>
      <c r="X17" s="919"/>
      <c r="Y17" s="919"/>
      <c r="Z17" s="919"/>
      <c r="AA17" s="919"/>
      <c r="AB17" s="919"/>
      <c r="AC17" s="919"/>
      <c r="AD17" s="919"/>
      <c r="AE17" s="919"/>
      <c r="AF17" s="919"/>
      <c r="AG17" s="919"/>
      <c r="AH17" s="919"/>
      <c r="AI17" s="919"/>
      <c r="AJ17" s="919"/>
      <c r="AK17" s="919"/>
      <c r="AL17" s="919"/>
      <c r="AM17" s="920"/>
    </row>
    <row r="18" spans="1:41" s="85" customFormat="1" ht="16.5" customHeight="1">
      <c r="A18" s="84"/>
      <c r="B18" s="886"/>
      <c r="C18" s="887"/>
      <c r="D18" s="888"/>
      <c r="E18" s="892"/>
      <c r="F18" s="893"/>
      <c r="G18" s="893"/>
      <c r="H18" s="894"/>
      <c r="I18" s="904"/>
      <c r="J18" s="905"/>
      <c r="K18" s="905"/>
      <c r="L18" s="905"/>
      <c r="M18" s="906"/>
      <c r="N18" s="904"/>
      <c r="O18" s="905"/>
      <c r="P18" s="905"/>
      <c r="Q18" s="906"/>
      <c r="R18" s="885"/>
      <c r="S18" s="882"/>
      <c r="T18" s="882"/>
      <c r="U18" s="883"/>
      <c r="V18" s="921"/>
      <c r="W18" s="921"/>
      <c r="X18" s="921"/>
      <c r="Y18" s="921"/>
      <c r="Z18" s="921"/>
      <c r="AA18" s="921"/>
      <c r="AB18" s="921"/>
      <c r="AC18" s="921"/>
      <c r="AD18" s="921"/>
      <c r="AE18" s="921"/>
      <c r="AF18" s="921"/>
      <c r="AG18" s="921"/>
      <c r="AH18" s="921"/>
      <c r="AI18" s="921"/>
      <c r="AJ18" s="921"/>
      <c r="AK18" s="921"/>
      <c r="AL18" s="921"/>
      <c r="AM18" s="922"/>
    </row>
    <row r="19" spans="1:41" s="85" customFormat="1" ht="55.5" customHeight="1">
      <c r="A19" s="84"/>
      <c r="B19" s="886"/>
      <c r="C19" s="887"/>
      <c r="D19" s="888"/>
      <c r="E19" s="912"/>
      <c r="F19" s="913"/>
      <c r="G19" s="913"/>
      <c r="H19" s="914"/>
      <c r="I19" s="904"/>
      <c r="J19" s="905"/>
      <c r="K19" s="905"/>
      <c r="L19" s="905"/>
      <c r="M19" s="906"/>
      <c r="N19" s="904"/>
      <c r="O19" s="905"/>
      <c r="P19" s="905"/>
      <c r="Q19" s="906"/>
      <c r="R19" s="885"/>
      <c r="S19" s="882"/>
      <c r="T19" s="882"/>
      <c r="U19" s="883"/>
      <c r="V19" s="921"/>
      <c r="W19" s="921"/>
      <c r="X19" s="921"/>
      <c r="Y19" s="921"/>
      <c r="Z19" s="921"/>
      <c r="AA19" s="921"/>
      <c r="AB19" s="921"/>
      <c r="AC19" s="921"/>
      <c r="AD19" s="921"/>
      <c r="AE19" s="921"/>
      <c r="AF19" s="921"/>
      <c r="AG19" s="921"/>
      <c r="AH19" s="921"/>
      <c r="AI19" s="921"/>
      <c r="AJ19" s="921"/>
      <c r="AK19" s="921"/>
      <c r="AL19" s="921"/>
      <c r="AM19" s="922"/>
    </row>
    <row r="20" spans="1:41" s="85" customFormat="1" ht="16.5" customHeight="1">
      <c r="A20" s="84"/>
      <c r="B20" s="886"/>
      <c r="C20" s="887"/>
      <c r="D20" s="888"/>
      <c r="E20" s="889" t="str">
        <f>IF('Data Input'!L5&gt;0,'Data Input'!J5,"")</f>
        <v/>
      </c>
      <c r="F20" s="890"/>
      <c r="G20" s="890"/>
      <c r="H20" s="891"/>
      <c r="I20" s="895" t="str">
        <f>IF('Data Input'!L5&gt;0,+'Data Input'!K5,"")</f>
        <v/>
      </c>
      <c r="J20" s="896"/>
      <c r="K20" s="896"/>
      <c r="L20" s="896"/>
      <c r="M20" s="897"/>
      <c r="N20" s="901" t="str">
        <f>IF('Data Input'!L5&gt;0,+'Data Input'!L5,"")</f>
        <v/>
      </c>
      <c r="O20" s="902"/>
      <c r="P20" s="902"/>
      <c r="Q20" s="903"/>
      <c r="R20" s="884" t="str">
        <f>IF('Data Input'!L5&gt;0,+'Data Input'!M5,"")</f>
        <v/>
      </c>
      <c r="S20" s="880"/>
      <c r="T20" s="880"/>
      <c r="U20" s="881"/>
      <c r="V20" s="921"/>
      <c r="W20" s="921"/>
      <c r="X20" s="921"/>
      <c r="Y20" s="921"/>
      <c r="Z20" s="921"/>
      <c r="AA20" s="921"/>
      <c r="AB20" s="921"/>
      <c r="AC20" s="921"/>
      <c r="AD20" s="921"/>
      <c r="AE20" s="921"/>
      <c r="AF20" s="921"/>
      <c r="AG20" s="921"/>
      <c r="AH20" s="921"/>
      <c r="AI20" s="921"/>
      <c r="AJ20" s="921"/>
      <c r="AK20" s="921"/>
      <c r="AL20" s="921"/>
      <c r="AM20" s="922"/>
    </row>
    <row r="21" spans="1:41" s="85" customFormat="1" ht="9.75" customHeight="1">
      <c r="A21" s="84"/>
      <c r="B21" s="886"/>
      <c r="C21" s="887"/>
      <c r="D21" s="888"/>
      <c r="E21" s="892"/>
      <c r="F21" s="893"/>
      <c r="G21" s="893"/>
      <c r="H21" s="894"/>
      <c r="I21" s="898"/>
      <c r="J21" s="899"/>
      <c r="K21" s="899"/>
      <c r="L21" s="899"/>
      <c r="M21" s="900"/>
      <c r="N21" s="904"/>
      <c r="O21" s="905"/>
      <c r="P21" s="905"/>
      <c r="Q21" s="906"/>
      <c r="R21" s="885"/>
      <c r="S21" s="882"/>
      <c r="T21" s="882"/>
      <c r="U21" s="883"/>
      <c r="V21" s="921"/>
      <c r="W21" s="921"/>
      <c r="X21" s="921"/>
      <c r="Y21" s="921"/>
      <c r="Z21" s="921"/>
      <c r="AA21" s="921"/>
      <c r="AB21" s="921"/>
      <c r="AC21" s="921"/>
      <c r="AD21" s="921"/>
      <c r="AE21" s="921"/>
      <c r="AF21" s="921"/>
      <c r="AG21" s="921"/>
      <c r="AH21" s="921"/>
      <c r="AI21" s="921"/>
      <c r="AJ21" s="921"/>
      <c r="AK21" s="921"/>
      <c r="AL21" s="921"/>
      <c r="AM21" s="922"/>
    </row>
    <row r="22" spans="1:41" s="85" customFormat="1" ht="10.5" customHeight="1">
      <c r="A22" s="84"/>
      <c r="B22" s="886"/>
      <c r="C22" s="887"/>
      <c r="D22" s="888"/>
      <c r="E22" s="892"/>
      <c r="F22" s="893"/>
      <c r="G22" s="893"/>
      <c r="H22" s="894"/>
      <c r="I22" s="898"/>
      <c r="J22" s="899"/>
      <c r="K22" s="899"/>
      <c r="L22" s="899"/>
      <c r="M22" s="900"/>
      <c r="N22" s="904"/>
      <c r="O22" s="905"/>
      <c r="P22" s="905"/>
      <c r="Q22" s="906"/>
      <c r="R22" s="885"/>
      <c r="S22" s="882"/>
      <c r="T22" s="882"/>
      <c r="U22" s="883"/>
      <c r="V22" s="921"/>
      <c r="W22" s="921"/>
      <c r="X22" s="921"/>
      <c r="Y22" s="921"/>
      <c r="Z22" s="921"/>
      <c r="AA22" s="921"/>
      <c r="AB22" s="921"/>
      <c r="AC22" s="921"/>
      <c r="AD22" s="921"/>
      <c r="AE22" s="921"/>
      <c r="AF22" s="921"/>
      <c r="AG22" s="921"/>
      <c r="AH22" s="921"/>
      <c r="AI22" s="921"/>
      <c r="AJ22" s="921"/>
      <c r="AK22" s="921"/>
      <c r="AL22" s="921"/>
      <c r="AM22" s="922"/>
    </row>
    <row r="23" spans="1:41" s="85" customFormat="1" ht="16.5" customHeight="1">
      <c r="A23" s="84"/>
      <c r="B23" s="937"/>
      <c r="C23" s="938"/>
      <c r="D23" s="939"/>
      <c r="E23" s="957" t="str">
        <f>IF('Data Input'!L12&gt;0,'Data Input'!J12,"")</f>
        <v/>
      </c>
      <c r="F23" s="957"/>
      <c r="G23" s="957"/>
      <c r="H23" s="958"/>
      <c r="I23" s="898" t="str">
        <f>IF('Data Input'!L12&gt;0,+'Data Input'!K12,"")</f>
        <v/>
      </c>
      <c r="J23" s="899"/>
      <c r="K23" s="899"/>
      <c r="L23" s="899"/>
      <c r="M23" s="900"/>
      <c r="N23" s="929" t="str">
        <f>IF('Data Input'!L12&gt;0,+'Data Input'!L12,"")</f>
        <v/>
      </c>
      <c r="O23" s="930"/>
      <c r="P23" s="930"/>
      <c r="Q23" s="931"/>
      <c r="R23" s="630" t="str">
        <f>IF('Data Input'!L12&gt;0,+'Data Input'!M12,"")</f>
        <v/>
      </c>
      <c r="S23" s="631" t="str">
        <f>IF('Data Input'!L12&gt;0,"-","")</f>
        <v/>
      </c>
      <c r="T23" s="960" t="str">
        <f>IF('Data Input'!L12&gt;0,'Data Input'!N12,"")</f>
        <v/>
      </c>
      <c r="U23" s="961"/>
      <c r="V23" s="923"/>
      <c r="W23" s="923"/>
      <c r="X23" s="923"/>
      <c r="Y23" s="923"/>
      <c r="Z23" s="923"/>
      <c r="AA23" s="923"/>
      <c r="AB23" s="923"/>
      <c r="AC23" s="923"/>
      <c r="AD23" s="923"/>
      <c r="AE23" s="923"/>
      <c r="AF23" s="923"/>
      <c r="AG23" s="923"/>
      <c r="AH23" s="923"/>
      <c r="AI23" s="923"/>
      <c r="AJ23" s="923"/>
      <c r="AK23" s="923"/>
      <c r="AL23" s="923"/>
      <c r="AM23" s="924"/>
    </row>
    <row r="24" spans="1:41" s="85" customFormat="1" ht="16.5" customHeight="1">
      <c r="A24" s="420"/>
      <c r="B24" s="934" t="s">
        <v>260</v>
      </c>
      <c r="C24" s="923"/>
      <c r="D24" s="923"/>
      <c r="E24" s="935"/>
      <c r="F24" s="935"/>
      <c r="G24" s="935"/>
      <c r="H24" s="935"/>
      <c r="I24" s="935"/>
      <c r="J24" s="935"/>
      <c r="K24" s="935"/>
      <c r="L24" s="935"/>
      <c r="M24" s="935"/>
      <c r="N24" s="935"/>
      <c r="O24" s="935"/>
      <c r="P24" s="935"/>
      <c r="Q24" s="936"/>
      <c r="R24" s="932">
        <f>SUM(S17:S20)</f>
        <v>0</v>
      </c>
      <c r="S24" s="932"/>
      <c r="T24" s="932"/>
      <c r="U24" s="933"/>
      <c r="V24" s="909"/>
      <c r="W24" s="910"/>
      <c r="X24" s="910"/>
      <c r="Y24" s="910"/>
      <c r="Z24" s="910"/>
      <c r="AA24" s="910"/>
      <c r="AB24" s="910"/>
      <c r="AC24" s="910"/>
      <c r="AD24" s="910"/>
      <c r="AE24" s="910"/>
      <c r="AF24" s="910"/>
      <c r="AG24" s="910"/>
      <c r="AH24" s="910"/>
      <c r="AI24" s="910"/>
      <c r="AJ24" s="910"/>
      <c r="AK24" s="910"/>
      <c r="AL24" s="910"/>
      <c r="AM24" s="911"/>
    </row>
    <row r="25" spans="1:41" s="85" customFormat="1" ht="16.5" customHeight="1">
      <c r="A25" s="105"/>
      <c r="B25" s="627"/>
      <c r="C25" s="627"/>
      <c r="D25" s="627"/>
      <c r="E25" s="627"/>
      <c r="F25" s="627"/>
      <c r="G25" s="627"/>
      <c r="H25" s="627"/>
      <c r="I25" s="627"/>
      <c r="J25" s="627"/>
      <c r="K25" s="627"/>
      <c r="L25" s="627"/>
      <c r="M25" s="627"/>
      <c r="N25" s="627"/>
      <c r="O25" s="627"/>
      <c r="P25" s="627"/>
      <c r="Q25" s="627"/>
      <c r="R25" s="627"/>
      <c r="S25" s="627"/>
      <c r="T25" s="627"/>
      <c r="U25" s="627"/>
      <c r="V25" s="627"/>
      <c r="W25" s="627"/>
      <c r="X25" s="627"/>
      <c r="Y25" s="627"/>
      <c r="Z25" s="627"/>
      <c r="AA25" s="627"/>
      <c r="AB25" s="627"/>
      <c r="AC25" s="627"/>
      <c r="AD25" s="627"/>
      <c r="AE25" s="627"/>
      <c r="AF25" s="627"/>
      <c r="AG25" s="627"/>
      <c r="AH25" s="627"/>
      <c r="AI25" s="627"/>
      <c r="AJ25" s="627"/>
      <c r="AK25" s="627"/>
      <c r="AL25" s="627"/>
      <c r="AM25" s="627"/>
    </row>
    <row r="26" spans="1:41" s="85" customFormat="1" ht="16.5" customHeight="1">
      <c r="A26" s="105"/>
      <c r="B26" s="627"/>
      <c r="C26" s="627"/>
      <c r="D26" s="627"/>
      <c r="E26" s="627"/>
      <c r="F26" s="627"/>
      <c r="G26" s="627"/>
      <c r="H26" s="627"/>
      <c r="I26" s="627"/>
      <c r="J26" s="627"/>
      <c r="K26" s="627"/>
      <c r="L26" s="627"/>
      <c r="M26" s="627"/>
      <c r="N26" s="627"/>
      <c r="O26" s="627"/>
      <c r="P26" s="627"/>
      <c r="Q26" s="627"/>
      <c r="R26" s="627"/>
      <c r="S26" s="627"/>
      <c r="T26" s="627"/>
      <c r="U26" s="627"/>
      <c r="V26" s="627"/>
      <c r="W26" s="627"/>
      <c r="X26" s="627"/>
      <c r="Y26" s="627"/>
      <c r="Z26" s="627"/>
      <c r="AA26" s="627"/>
      <c r="AB26" s="627"/>
      <c r="AC26" s="627"/>
      <c r="AD26" s="627"/>
      <c r="AE26" s="627"/>
      <c r="AF26" s="627"/>
      <c r="AG26" s="627"/>
      <c r="AH26" s="627"/>
      <c r="AI26" s="627"/>
      <c r="AJ26" s="627"/>
      <c r="AK26" s="627"/>
      <c r="AL26" s="627"/>
      <c r="AM26" s="627"/>
    </row>
    <row r="27" spans="1:41" s="85" customFormat="1" ht="16.5" customHeight="1">
      <c r="A27" s="105"/>
      <c r="B27" s="627"/>
      <c r="C27" s="627"/>
      <c r="D27" s="627"/>
      <c r="E27" s="627"/>
      <c r="F27" s="627"/>
      <c r="G27" s="627"/>
      <c r="H27" s="627"/>
      <c r="I27" s="627"/>
      <c r="J27" s="627"/>
      <c r="K27" s="627"/>
      <c r="L27" s="627"/>
      <c r="M27" s="627"/>
      <c r="N27" s="627"/>
      <c r="O27" s="627"/>
      <c r="P27" s="627"/>
      <c r="Q27" s="627"/>
      <c r="R27" s="627"/>
      <c r="S27" s="627"/>
      <c r="T27" s="627"/>
      <c r="U27" s="627"/>
      <c r="V27" s="627"/>
      <c r="W27" s="627"/>
      <c r="X27" s="627"/>
      <c r="Y27" s="627"/>
      <c r="Z27" s="627"/>
      <c r="AA27" s="627"/>
      <c r="AB27" s="627"/>
      <c r="AC27" s="627"/>
      <c r="AD27" s="627"/>
      <c r="AE27" s="627"/>
      <c r="AF27" s="627"/>
      <c r="AG27" s="627"/>
      <c r="AH27" s="627"/>
      <c r="AI27" s="627"/>
      <c r="AJ27" s="627"/>
      <c r="AK27" s="627"/>
      <c r="AL27" s="627"/>
      <c r="AM27" s="627"/>
    </row>
    <row r="28" spans="1:41" s="85" customFormat="1" ht="16.5" customHeight="1">
      <c r="A28" s="105"/>
      <c r="B28" s="627"/>
      <c r="C28" s="627"/>
      <c r="D28" s="627"/>
      <c r="E28" s="627"/>
      <c r="F28" s="627"/>
      <c r="G28" s="627"/>
      <c r="H28" s="627"/>
      <c r="I28" s="627"/>
      <c r="J28" s="627"/>
      <c r="K28" s="627"/>
      <c r="L28" s="627"/>
      <c r="M28" s="627"/>
      <c r="N28" s="627"/>
      <c r="O28" s="627"/>
      <c r="P28" s="627"/>
      <c r="Q28" s="627"/>
      <c r="R28" s="627"/>
      <c r="S28" s="627"/>
      <c r="T28" s="627"/>
      <c r="U28" s="627"/>
      <c r="V28" s="627"/>
      <c r="W28" s="627"/>
      <c r="X28" s="627"/>
      <c r="Y28" s="627"/>
      <c r="Z28" s="627"/>
      <c r="AA28" s="627"/>
      <c r="AB28" s="627"/>
      <c r="AC28" s="627"/>
      <c r="AD28" s="627"/>
      <c r="AE28" s="627"/>
      <c r="AF28" s="627"/>
      <c r="AG28" s="627"/>
      <c r="AH28" s="627"/>
      <c r="AI28" s="627"/>
      <c r="AJ28" s="627"/>
      <c r="AK28" s="627"/>
      <c r="AL28" s="627"/>
      <c r="AM28" s="627"/>
    </row>
    <row r="29" spans="1:41" s="85" customFormat="1" ht="16.5" customHeight="1">
      <c r="A29" s="105"/>
      <c r="B29" s="627"/>
      <c r="C29" s="627"/>
      <c r="D29" s="627"/>
      <c r="E29" s="627"/>
      <c r="F29" s="627"/>
      <c r="G29" s="627"/>
      <c r="H29" s="627"/>
      <c r="I29" s="627"/>
      <c r="J29" s="627"/>
      <c r="K29" s="627"/>
      <c r="L29" s="627"/>
      <c r="M29" s="627"/>
      <c r="N29" s="627"/>
      <c r="O29" s="627"/>
      <c r="P29" s="627"/>
      <c r="Q29" s="627"/>
      <c r="R29" s="627"/>
      <c r="S29" s="627"/>
      <c r="T29" s="627"/>
      <c r="U29" s="627"/>
      <c r="V29" s="627"/>
      <c r="W29" s="627"/>
      <c r="X29" s="627"/>
      <c r="Y29" s="627"/>
      <c r="Z29" s="627"/>
      <c r="AA29" s="627"/>
      <c r="AB29" s="627"/>
      <c r="AC29" s="627"/>
      <c r="AD29" s="627"/>
      <c r="AE29" s="627"/>
      <c r="AF29" s="627"/>
      <c r="AG29" s="627"/>
      <c r="AH29" s="627"/>
      <c r="AI29" s="627"/>
      <c r="AJ29" s="627"/>
      <c r="AK29" s="627"/>
      <c r="AL29" s="627"/>
      <c r="AM29" s="627"/>
    </row>
    <row r="30" spans="1:41" s="65" customFormat="1" ht="16.5" customHeight="1">
      <c r="AO30" s="65" t="b">
        <f>R24='Data Input'!N48</f>
        <v>1</v>
      </c>
    </row>
    <row r="31" spans="1:41" s="65" customFormat="1" ht="6.75" customHeight="1">
      <c r="A31" s="105"/>
      <c r="B31" s="3"/>
      <c r="C31" s="3"/>
      <c r="D31" s="3"/>
      <c r="E31" s="3"/>
      <c r="F31" s="3"/>
      <c r="G31" s="3"/>
      <c r="H31" s="3"/>
      <c r="I31" s="3"/>
      <c r="J31" s="3"/>
      <c r="K31" s="3"/>
      <c r="L31" s="3"/>
      <c r="M31" s="3"/>
      <c r="N31" s="3"/>
      <c r="O31" s="3"/>
      <c r="P31" s="3"/>
      <c r="Q31" s="3"/>
      <c r="R31" s="107"/>
      <c r="S31" s="107"/>
      <c r="T31" s="107"/>
      <c r="U31" s="107"/>
      <c r="V31" s="2"/>
      <c r="W31" s="2"/>
      <c r="X31" s="2"/>
      <c r="Z31" s="24"/>
      <c r="AA31" s="24"/>
      <c r="AB31" s="24"/>
      <c r="AC31" s="24"/>
      <c r="AD31" s="24"/>
      <c r="AE31" s="24"/>
      <c r="AF31" s="24"/>
      <c r="AG31" s="24"/>
      <c r="AH31" s="24"/>
      <c r="AI31" s="24"/>
      <c r="AJ31" s="24"/>
      <c r="AK31" s="24"/>
      <c r="AL31" s="24"/>
      <c r="AM31" s="24"/>
    </row>
    <row r="32" spans="1:41" s="76" customFormat="1" ht="16.5" customHeight="1">
      <c r="A32" s="908" t="s">
        <v>293</v>
      </c>
      <c r="B32" s="908"/>
      <c r="C32" s="908"/>
      <c r="D32" s="908"/>
      <c r="E32" s="908"/>
      <c r="F32" s="908"/>
      <c r="G32" s="908"/>
      <c r="H32" s="908"/>
      <c r="I32" s="908"/>
      <c r="J32" s="908"/>
      <c r="K32" s="908"/>
      <c r="L32" s="908"/>
      <c r="M32" s="908"/>
      <c r="N32" s="908"/>
      <c r="O32" s="908"/>
      <c r="P32" s="908"/>
      <c r="Q32" s="908"/>
      <c r="R32" s="908"/>
      <c r="S32" s="908"/>
      <c r="T32" s="908"/>
      <c r="U32" s="908"/>
      <c r="V32" s="908"/>
      <c r="W32" s="908"/>
      <c r="X32" s="908"/>
      <c r="Y32" s="908"/>
      <c r="Z32" s="908"/>
      <c r="AA32" s="908"/>
      <c r="AB32" s="908"/>
      <c r="AC32" s="908"/>
      <c r="AD32" s="908"/>
      <c r="AE32" s="908"/>
      <c r="AF32" s="908"/>
      <c r="AG32" s="908"/>
      <c r="AH32" s="908"/>
      <c r="AI32" s="908"/>
      <c r="AJ32" s="908"/>
      <c r="AK32" s="908"/>
      <c r="AL32" s="908"/>
      <c r="AM32" s="908"/>
    </row>
    <row r="33" spans="1:55" s="67" customFormat="1" ht="18" customHeight="1">
      <c r="A33" s="66" t="s">
        <v>103</v>
      </c>
      <c r="B33" s="66" t="s">
        <v>294</v>
      </c>
      <c r="C33" s="66"/>
      <c r="D33" s="1121" t="s">
        <v>831</v>
      </c>
      <c r="E33" s="1121"/>
      <c r="F33" s="1121"/>
      <c r="G33" s="1121"/>
      <c r="H33" s="1121"/>
      <c r="I33" s="1121"/>
      <c r="J33" s="1121"/>
      <c r="K33" s="1121"/>
      <c r="L33" s="1121"/>
      <c r="M33" s="1121"/>
      <c r="N33" s="66" t="s">
        <v>295</v>
      </c>
      <c r="R33" s="1123">
        <v>45676</v>
      </c>
      <c r="S33" s="1124"/>
      <c r="T33" s="1124"/>
      <c r="U33" s="1124"/>
      <c r="V33" s="1125" t="s">
        <v>684</v>
      </c>
      <c r="W33" s="1125"/>
      <c r="X33" s="1125"/>
      <c r="Y33" s="1125"/>
      <c r="Z33" s="1125"/>
      <c r="AA33" s="1125"/>
      <c r="AB33" s="1125"/>
      <c r="AC33" s="1125"/>
      <c r="AD33" s="1125"/>
      <c r="AE33" s="1125"/>
      <c r="AF33" s="1125"/>
      <c r="AG33" s="1125"/>
      <c r="AH33" s="1125"/>
      <c r="AI33" s="1125"/>
      <c r="AJ33" s="1125"/>
      <c r="AK33" s="1125"/>
      <c r="AL33" s="1125"/>
      <c r="AM33" s="1125"/>
      <c r="AO33"/>
      <c r="AP33" s="66"/>
      <c r="AQ33" s="66"/>
      <c r="AR33" s="66"/>
    </row>
    <row r="34" spans="1:55" s="67" customFormat="1" ht="6" customHeight="1">
      <c r="A34" s="66"/>
      <c r="B34" s="805" t="str">
        <f>'Data Input'!D12&amp; ", wcZv/m¦vgxt "&amp;'Data Input'!D13&amp;" Gi cÖ¯ÍvweZ Rvgvb‡Zi  cixÿv I ch©‡eÿY KwiqvwQ| "&amp;'Data Input'!D5&amp;" G Avwg †`wLjvg †h, eÜKx m¤úwËwU (1) Av‡e`bKvix A_ev Zvnvi wcZvi "&amp;"wbR"&amp;" bv‡g GK‡PwUqv gvwjK/kwiK wnmv‡e `wjjK…Z A_ev (2) we‡µZvi bv‡g (Lwi`K…Z m¤úwËi †ÿ‡Î) `wjjK…Z| `„k¨Zt () Rvgvb‡Zi Rb¨  cÖ¯ÍvweZ m¤úwË wU Av‡e`bKvixi  DËivwaKvi m~‡Î cvBevi Ges n¯ÍvšÍ‡ii AwaKvi iwnqv‡Q "</f>
        <v xml:space="preserve">‡gvt Rwb, wcZv/m¦vgxt g„Z †gvt Bw`ªm Avjx Gi cÖ¯ÍvweZ Rvgvb‡Zi  cixÿv I ch©‡eÿY KwiqvwQ| 64(wmGgGmGgB)/2024-25  G Avwg †`wLjvg †h, eÜKx m¤úwËwU (1) Av‡e`bKvix A_ev Zvnvi wcZvi wbR bv‡g GK‡PwUqv gvwjK/kwiK wnmv‡e `wjjK…Z A_ev (2) we‡µZvi bv‡g (Lwi`K…Z m¤úwËi †ÿ‡Î) `wjjK…Z| `„k¨Zt () Rvgvb‡Zi Rb¨  cÖ¯ÍvweZ m¤úwË wU Av‡e`bKvixi  DËivwaKvi m~‡Î cvBevi Ges n¯ÍvšÍ‡ii AwaKvi iwnqv‡Q </v>
      </c>
      <c r="C34" s="805"/>
      <c r="D34" s="805"/>
      <c r="E34" s="805"/>
      <c r="F34" s="805"/>
      <c r="G34" s="805"/>
      <c r="H34" s="805"/>
      <c r="I34" s="805"/>
      <c r="J34" s="805"/>
      <c r="K34" s="805"/>
      <c r="L34" s="805"/>
      <c r="M34" s="805"/>
      <c r="N34" s="805"/>
      <c r="O34" s="805"/>
      <c r="P34" s="805"/>
      <c r="Q34" s="805"/>
      <c r="R34" s="805"/>
      <c r="S34" s="805"/>
      <c r="T34" s="805"/>
      <c r="U34" s="805"/>
      <c r="V34" s="805"/>
      <c r="W34" s="805"/>
      <c r="X34" s="805"/>
      <c r="Y34" s="805"/>
      <c r="Z34" s="805"/>
      <c r="AA34" s="805"/>
      <c r="AB34" s="805"/>
      <c r="AC34" s="805"/>
      <c r="AD34" s="805"/>
      <c r="AE34" s="805"/>
      <c r="AF34" s="805"/>
      <c r="AG34" s="805"/>
      <c r="AH34" s="805"/>
      <c r="AI34" s="805"/>
      <c r="AJ34" s="805"/>
      <c r="AK34" s="805"/>
      <c r="AL34" s="805"/>
      <c r="AM34" s="805"/>
    </row>
    <row r="35" spans="1:55" s="67" customFormat="1" ht="27.75" customHeight="1">
      <c r="A35" s="66"/>
      <c r="B35" s="805"/>
      <c r="C35" s="805"/>
      <c r="D35" s="805"/>
      <c r="E35" s="805"/>
      <c r="F35" s="805"/>
      <c r="G35" s="805"/>
      <c r="H35" s="805"/>
      <c r="I35" s="805"/>
      <c r="J35" s="805"/>
      <c r="K35" s="805"/>
      <c r="L35" s="805"/>
      <c r="M35" s="805"/>
      <c r="N35" s="805"/>
      <c r="O35" s="805"/>
      <c r="P35" s="805"/>
      <c r="Q35" s="805"/>
      <c r="R35" s="805"/>
      <c r="S35" s="805"/>
      <c r="T35" s="805"/>
      <c r="U35" s="805"/>
      <c r="V35" s="805"/>
      <c r="W35" s="805"/>
      <c r="X35" s="805"/>
      <c r="Y35" s="805"/>
      <c r="Z35" s="805"/>
      <c r="AA35" s="805"/>
      <c r="AB35" s="805"/>
      <c r="AC35" s="805"/>
      <c r="AD35" s="805"/>
      <c r="AE35" s="805"/>
      <c r="AF35" s="805"/>
      <c r="AG35" s="805"/>
      <c r="AH35" s="805"/>
      <c r="AI35" s="805"/>
      <c r="AJ35" s="805"/>
      <c r="AK35" s="805"/>
      <c r="AL35" s="805"/>
      <c r="AM35" s="805"/>
      <c r="AP35" s="211"/>
    </row>
    <row r="36" spans="1:55" s="67" customFormat="1" ht="27.75" customHeight="1">
      <c r="A36" s="66"/>
      <c r="B36" s="805"/>
      <c r="C36" s="805"/>
      <c r="D36" s="805"/>
      <c r="E36" s="805"/>
      <c r="F36" s="805"/>
      <c r="G36" s="805"/>
      <c r="H36" s="805"/>
      <c r="I36" s="805"/>
      <c r="J36" s="805"/>
      <c r="K36" s="805"/>
      <c r="L36" s="805"/>
      <c r="M36" s="805"/>
      <c r="N36" s="805"/>
      <c r="O36" s="805"/>
      <c r="P36" s="805"/>
      <c r="Q36" s="805"/>
      <c r="R36" s="805"/>
      <c r="S36" s="805"/>
      <c r="T36" s="805"/>
      <c r="U36" s="805"/>
      <c r="V36" s="805"/>
      <c r="W36" s="805"/>
      <c r="X36" s="805"/>
      <c r="Y36" s="805"/>
      <c r="Z36" s="805"/>
      <c r="AA36" s="805"/>
      <c r="AB36" s="805"/>
      <c r="AC36" s="805"/>
      <c r="AD36" s="805"/>
      <c r="AE36" s="805"/>
      <c r="AF36" s="805"/>
      <c r="AG36" s="805"/>
      <c r="AH36" s="805"/>
      <c r="AI36" s="805"/>
      <c r="AJ36" s="805"/>
      <c r="AK36" s="805"/>
      <c r="AL36" s="805"/>
      <c r="AM36" s="805"/>
    </row>
    <row r="37" spans="1:55" s="67" customFormat="1" ht="30.75" customHeight="1">
      <c r="B37" s="805"/>
      <c r="C37" s="805"/>
      <c r="D37" s="805"/>
      <c r="E37" s="805"/>
      <c r="F37" s="805"/>
      <c r="G37" s="805"/>
      <c r="H37" s="805"/>
      <c r="I37" s="805"/>
      <c r="J37" s="805"/>
      <c r="K37" s="805"/>
      <c r="L37" s="805"/>
      <c r="M37" s="805"/>
      <c r="N37" s="805"/>
      <c r="O37" s="805"/>
      <c r="P37" s="805"/>
      <c r="Q37" s="805"/>
      <c r="R37" s="805"/>
      <c r="S37" s="805"/>
      <c r="T37" s="805"/>
      <c r="U37" s="805"/>
      <c r="V37" s="805"/>
      <c r="W37" s="805"/>
      <c r="X37" s="805"/>
      <c r="Y37" s="805"/>
      <c r="Z37" s="805"/>
      <c r="AA37" s="805"/>
      <c r="AB37" s="805"/>
      <c r="AC37" s="805"/>
      <c r="AD37" s="805"/>
      <c r="AE37" s="805"/>
      <c r="AF37" s="805"/>
      <c r="AG37" s="805"/>
      <c r="AH37" s="805"/>
      <c r="AI37" s="805"/>
      <c r="AJ37" s="805"/>
      <c r="AK37" s="805"/>
      <c r="AL37" s="805"/>
      <c r="AM37" s="805"/>
    </row>
    <row r="38" spans="1:55" s="65" customFormat="1" ht="22.5" customHeight="1">
      <c r="A38" s="64" t="s">
        <v>116</v>
      </c>
      <c r="B38" s="805" t="str">
        <f>"Avwg "&amp;IF(R33="","                  ",TEXT(R33,"dd/mm/yyyy")&amp;" Bs")&amp;" Zvwi‡L Dc‡ivwjøwLZ m¤úwËwU m‡iRwg‡b Z`šÍ KwiqvwQ Ges ‡`wLqvwQ †h, Dnv cÖK…Zc‡ÿ Ges GKvšÍ fv‡e Av‡e`bKvix / Av‡e`bKvixM‡Yi `L‡j iwnqv‡Q|"</f>
        <v>Avwg 19/01/2025 Bs Zvwi‡L Dc‡ivwjøwLZ m¤úwËwU m‡iRwg‡b Z`šÍ KwiqvwQ Ges ‡`wLqvwQ †h, Dnv cÖK…Zc‡ÿ Ges GKvšÍ fv‡e Av‡e`bKvix / Av‡e`bKvixM‡Yi `L‡j iwnqv‡Q|</v>
      </c>
      <c r="C38" s="805"/>
      <c r="D38" s="805"/>
      <c r="E38" s="805"/>
      <c r="F38" s="805"/>
      <c r="G38" s="805"/>
      <c r="H38" s="805"/>
      <c r="I38" s="805"/>
      <c r="J38" s="805"/>
      <c r="K38" s="805"/>
      <c r="L38" s="805"/>
      <c r="M38" s="805"/>
      <c r="N38" s="805"/>
      <c r="O38" s="805"/>
      <c r="P38" s="805"/>
      <c r="Q38" s="805"/>
      <c r="R38" s="805"/>
      <c r="S38" s="805"/>
      <c r="T38" s="805"/>
      <c r="U38" s="805"/>
      <c r="V38" s="805"/>
      <c r="W38" s="805"/>
      <c r="X38" s="805"/>
      <c r="Y38" s="805"/>
      <c r="Z38" s="805"/>
      <c r="AA38" s="805"/>
      <c r="AB38" s="805"/>
      <c r="AC38" s="805"/>
      <c r="AD38" s="805"/>
      <c r="AE38" s="805"/>
      <c r="AF38" s="805"/>
      <c r="AG38" s="805"/>
      <c r="AH38" s="805"/>
      <c r="AI38" s="805"/>
      <c r="AJ38" s="805"/>
      <c r="AK38" s="805"/>
      <c r="AL38" s="805"/>
      <c r="AM38" s="805"/>
    </row>
    <row r="39" spans="1:55" s="65" customFormat="1" ht="24" customHeight="1">
      <c r="A39" s="64"/>
      <c r="B39" s="805"/>
      <c r="C39" s="805"/>
      <c r="D39" s="805"/>
      <c r="E39" s="805"/>
      <c r="F39" s="805"/>
      <c r="G39" s="805"/>
      <c r="H39" s="805"/>
      <c r="I39" s="805"/>
      <c r="J39" s="805"/>
      <c r="K39" s="805"/>
      <c r="L39" s="805"/>
      <c r="M39" s="805"/>
      <c r="N39" s="805"/>
      <c r="O39" s="805"/>
      <c r="P39" s="805"/>
      <c r="Q39" s="805"/>
      <c r="R39" s="805"/>
      <c r="S39" s="805"/>
      <c r="T39" s="805"/>
      <c r="U39" s="805"/>
      <c r="V39" s="805"/>
      <c r="W39" s="805"/>
      <c r="X39" s="805"/>
      <c r="Y39" s="805"/>
      <c r="Z39" s="805"/>
      <c r="AA39" s="805"/>
      <c r="AB39" s="805"/>
      <c r="AC39" s="805"/>
      <c r="AD39" s="805"/>
      <c r="AE39" s="805"/>
      <c r="AF39" s="805"/>
      <c r="AG39" s="805"/>
      <c r="AH39" s="805"/>
      <c r="AI39" s="805"/>
      <c r="AJ39" s="805"/>
      <c r="AK39" s="805"/>
      <c r="AL39" s="805"/>
      <c r="AM39" s="805"/>
    </row>
    <row r="40" spans="1:55" s="65" customFormat="1" ht="19.5" customHeight="1">
      <c r="A40" s="64"/>
      <c r="C40" s="64"/>
      <c r="D40" s="64"/>
      <c r="F40" s="64"/>
      <c r="G40" s="64"/>
      <c r="H40" s="64"/>
      <c r="I40" s="64"/>
      <c r="J40" s="64"/>
      <c r="K40" s="64"/>
      <c r="L40" s="64"/>
      <c r="M40" s="64"/>
      <c r="N40" s="64"/>
      <c r="O40" s="64"/>
      <c r="P40" s="64"/>
      <c r="Q40" s="64"/>
      <c r="R40" s="64"/>
      <c r="S40" s="64"/>
      <c r="T40" s="64"/>
      <c r="U40" s="64"/>
      <c r="V40" s="64"/>
      <c r="W40" s="64"/>
      <c r="X40" s="64"/>
      <c r="Y40" s="64"/>
      <c r="Z40" s="64"/>
      <c r="AA40" s="64"/>
      <c r="AB40" s="64"/>
      <c r="AC40" s="64" t="s">
        <v>296</v>
      </c>
      <c r="AD40" s="64"/>
      <c r="AE40" s="64"/>
      <c r="AF40" s="64"/>
      <c r="AG40" s="64"/>
      <c r="AH40" s="64"/>
      <c r="AI40" s="64"/>
      <c r="AJ40" s="64"/>
      <c r="AK40" s="64"/>
      <c r="AL40" s="64"/>
      <c r="AM40" s="64"/>
      <c r="AP40"/>
      <c r="AQ40"/>
      <c r="AR40"/>
      <c r="AS40"/>
      <c r="AT40"/>
      <c r="AU40"/>
      <c r="AV40"/>
      <c r="AW40"/>
      <c r="AX40"/>
      <c r="AY40"/>
      <c r="AZ40"/>
      <c r="BA40"/>
      <c r="BB40"/>
      <c r="BC40"/>
    </row>
    <row r="41" spans="1:55" s="65" customFormat="1" ht="19.5" customHeight="1">
      <c r="A41" s="64"/>
      <c r="B41" s="64" t="s">
        <v>954</v>
      </c>
      <c r="C41" s="64"/>
      <c r="D41" s="64"/>
      <c r="E41" s="821" t="s">
        <v>1171</v>
      </c>
      <c r="F41" s="821"/>
      <c r="G41" s="821"/>
      <c r="H41" s="821"/>
      <c r="I41" s="821"/>
      <c r="J41" s="821"/>
      <c r="K41" s="821"/>
      <c r="L41" s="821"/>
      <c r="M41" s="821"/>
      <c r="N41" s="821"/>
      <c r="O41" s="821"/>
      <c r="P41" s="821"/>
      <c r="Q41" s="821"/>
      <c r="R41" s="821"/>
      <c r="S41" s="821"/>
      <c r="T41" s="821"/>
      <c r="U41" s="821"/>
      <c r="V41" s="821"/>
      <c r="W41" s="64"/>
      <c r="X41" s="64"/>
      <c r="Y41" s="64"/>
      <c r="Z41" s="64"/>
      <c r="AA41" s="64"/>
      <c r="AB41" s="64"/>
      <c r="AC41" s="64" t="s">
        <v>297</v>
      </c>
      <c r="AD41" s="64"/>
      <c r="AF41" s="64"/>
      <c r="AG41" s="64"/>
      <c r="AH41" s="64"/>
      <c r="AI41" s="64"/>
      <c r="AJ41" s="64"/>
      <c r="AK41" s="64"/>
      <c r="AL41" s="64"/>
      <c r="AM41" s="64"/>
    </row>
    <row r="42" spans="1:55" s="65" customFormat="1" ht="19.5" customHeight="1">
      <c r="A42" s="64"/>
      <c r="B42" s="64" t="s">
        <v>370</v>
      </c>
      <c r="C42" s="64"/>
      <c r="D42" s="64"/>
      <c r="E42" s="1097">
        <v>45676</v>
      </c>
      <c r="F42" s="1097"/>
      <c r="G42" s="1097"/>
      <c r="H42" s="1097"/>
      <c r="I42" s="1097"/>
      <c r="J42" s="400" t="s">
        <v>275</v>
      </c>
      <c r="K42" s="400"/>
      <c r="L42" s="400"/>
      <c r="M42" s="400"/>
      <c r="N42" s="400"/>
      <c r="O42" s="400"/>
      <c r="P42" s="400"/>
      <c r="Q42" s="400"/>
      <c r="R42" s="400"/>
      <c r="S42" s="64"/>
      <c r="T42" s="64"/>
      <c r="U42" s="64"/>
      <c r="V42" s="64"/>
      <c r="W42" s="64"/>
      <c r="X42" s="64"/>
      <c r="Y42" s="64"/>
      <c r="Z42" s="64"/>
      <c r="AA42" s="64"/>
      <c r="AB42" s="64"/>
      <c r="AC42" s="64" t="s">
        <v>207</v>
      </c>
      <c r="AD42" s="64"/>
      <c r="AE42" s="64"/>
      <c r="AF42" s="64"/>
      <c r="AG42" s="64"/>
      <c r="AH42" s="64"/>
      <c r="AI42" s="64"/>
      <c r="AJ42" s="64"/>
      <c r="AK42" s="64"/>
      <c r="AL42" s="64"/>
      <c r="AM42" s="64"/>
    </row>
    <row r="43" spans="1:55" s="65" customFormat="1" ht="19.5" customHeight="1">
      <c r="A43" s="64"/>
      <c r="B43" s="64"/>
      <c r="C43" s="64"/>
      <c r="D43" s="64"/>
      <c r="E43" s="64"/>
      <c r="F43" s="64"/>
      <c r="G43" s="64"/>
      <c r="H43" s="64"/>
      <c r="I43" s="64"/>
      <c r="J43" s="64"/>
      <c r="K43" s="64"/>
      <c r="L43" s="64"/>
      <c r="M43" s="64"/>
      <c r="N43" s="64"/>
      <c r="O43" s="400"/>
      <c r="P43" s="400"/>
      <c r="Q43" s="400"/>
      <c r="R43" s="400"/>
      <c r="S43" s="64"/>
      <c r="T43" s="64"/>
      <c r="U43" s="64"/>
      <c r="V43" s="64"/>
      <c r="W43" s="64"/>
      <c r="X43" s="64"/>
      <c r="Y43" s="64"/>
      <c r="Z43" s="64"/>
      <c r="AA43" s="64"/>
      <c r="AB43" s="64"/>
      <c r="AC43" s="64"/>
      <c r="AD43" s="64"/>
      <c r="AE43" s="64"/>
      <c r="AF43" s="64"/>
      <c r="AG43" s="64"/>
      <c r="AH43" s="64"/>
      <c r="AI43" s="64"/>
      <c r="AJ43" s="64"/>
      <c r="AK43" s="64"/>
      <c r="AL43" s="64"/>
      <c r="AM43" s="64"/>
    </row>
    <row r="44" spans="1:55" s="65" customFormat="1" ht="19.5" customHeight="1">
      <c r="A44" s="64"/>
      <c r="B44" s="64"/>
      <c r="C44" s="64"/>
      <c r="D44" s="64"/>
      <c r="E44" s="64"/>
      <c r="F44" s="64"/>
      <c r="G44" s="64"/>
      <c r="H44" s="64"/>
      <c r="I44" s="64"/>
      <c r="J44" s="64"/>
      <c r="K44" s="64"/>
      <c r="L44" s="64"/>
      <c r="M44" s="64"/>
      <c r="N44" s="400"/>
      <c r="O44" s="400"/>
      <c r="P44" s="400"/>
      <c r="Q44" s="400"/>
      <c r="R44" s="400"/>
      <c r="S44" s="64"/>
      <c r="T44" s="64"/>
      <c r="U44" s="64"/>
      <c r="V44" s="64"/>
      <c r="W44" s="64"/>
      <c r="X44" s="64"/>
      <c r="Y44" s="64"/>
      <c r="Z44" s="64"/>
      <c r="AA44" s="64"/>
      <c r="AB44" s="64"/>
      <c r="AC44" s="64"/>
      <c r="AD44" s="64"/>
      <c r="AE44" s="64"/>
      <c r="AF44" s="64"/>
      <c r="AG44" s="64"/>
      <c r="AH44" s="64"/>
      <c r="AI44" s="64"/>
      <c r="AJ44" s="64"/>
      <c r="AK44" s="64"/>
      <c r="AL44" s="64"/>
      <c r="AM44" s="64"/>
    </row>
    <row r="45" spans="1:55" s="65" customFormat="1" ht="19.5" customHeight="1">
      <c r="A45" s="64"/>
      <c r="B45" s="64"/>
      <c r="C45" s="64"/>
      <c r="D45" s="64"/>
      <c r="E45" s="64"/>
      <c r="F45" s="64"/>
      <c r="G45" s="64"/>
      <c r="H45" s="64"/>
      <c r="I45" s="64"/>
      <c r="J45" s="64"/>
      <c r="K45" s="64"/>
      <c r="L45" s="64"/>
      <c r="M45" s="64"/>
      <c r="N45" s="400"/>
      <c r="O45" s="400"/>
      <c r="P45" s="400"/>
      <c r="Q45" s="400"/>
      <c r="R45" s="400"/>
      <c r="S45" s="64"/>
      <c r="T45" s="64"/>
      <c r="U45" s="64"/>
      <c r="V45" s="64"/>
      <c r="W45" s="64"/>
      <c r="X45" s="64"/>
      <c r="Y45" s="64"/>
      <c r="Z45" s="64"/>
      <c r="AA45" s="64"/>
      <c r="AB45" s="64"/>
      <c r="AC45" s="64"/>
      <c r="AD45" s="64"/>
      <c r="AE45" s="64"/>
      <c r="AF45" s="64"/>
      <c r="AG45" s="64"/>
      <c r="AH45" s="64"/>
      <c r="AI45" s="64"/>
      <c r="AJ45" s="64"/>
      <c r="AK45" s="64"/>
      <c r="AL45" s="64"/>
      <c r="AM45" s="64"/>
    </row>
    <row r="46" spans="1:55" s="65" customFormat="1" ht="19.5" customHeight="1">
      <c r="A46" s="64"/>
      <c r="B46" s="64"/>
      <c r="C46" s="64"/>
      <c r="D46" s="64"/>
      <c r="E46" s="64"/>
      <c r="F46" s="64"/>
      <c r="G46" s="64"/>
      <c r="H46" s="64"/>
      <c r="I46" s="64"/>
      <c r="J46" s="64"/>
      <c r="K46" s="64"/>
      <c r="L46" s="64"/>
      <c r="M46" s="64"/>
      <c r="N46" s="400"/>
      <c r="O46" s="400"/>
      <c r="P46" s="400"/>
      <c r="Q46" s="400"/>
      <c r="R46" s="400"/>
      <c r="S46" s="64"/>
      <c r="T46" s="64"/>
      <c r="U46" s="64"/>
      <c r="V46" s="64"/>
      <c r="W46" s="64"/>
      <c r="X46" s="64"/>
      <c r="Y46" s="64"/>
      <c r="Z46" s="64"/>
      <c r="AA46" s="64"/>
      <c r="AB46" s="64"/>
      <c r="AC46" s="64"/>
      <c r="AD46" s="64"/>
      <c r="AE46" s="64"/>
      <c r="AF46" s="64"/>
      <c r="AG46" s="64"/>
      <c r="AH46" s="64"/>
      <c r="AI46" s="64"/>
      <c r="AJ46" s="64"/>
      <c r="AK46" s="64"/>
      <c r="AL46" s="64"/>
      <c r="AM46" s="64"/>
    </row>
    <row r="47" spans="1:55" s="76" customFormat="1" ht="19.5" customHeight="1">
      <c r="A47" s="80" t="s">
        <v>229</v>
      </c>
      <c r="B47" s="257" t="s">
        <v>308</v>
      </c>
      <c r="C47" s="78"/>
      <c r="D47" s="78"/>
      <c r="E47" s="258"/>
      <c r="F47" s="258"/>
      <c r="G47" s="258"/>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c r="AE47" s="258"/>
      <c r="AF47" s="258"/>
      <c r="AG47" s="258"/>
      <c r="AH47" s="258"/>
      <c r="AI47" s="258"/>
      <c r="AJ47" s="258"/>
      <c r="AK47" s="258"/>
      <c r="AL47" s="258"/>
      <c r="AM47" s="258"/>
    </row>
    <row r="48" spans="1:55" s="65" customFormat="1" ht="19.5" customHeight="1">
      <c r="B48" s="5" t="s">
        <v>25</v>
      </c>
      <c r="C48" s="965" t="s">
        <v>309</v>
      </c>
      <c r="D48" s="965"/>
      <c r="E48" s="965"/>
      <c r="F48" s="965"/>
      <c r="G48" s="965"/>
      <c r="H48" s="965"/>
      <c r="I48" s="965"/>
      <c r="J48" s="965"/>
      <c r="K48" s="965"/>
      <c r="L48" s="965"/>
      <c r="M48" s="965"/>
      <c r="N48" s="965"/>
      <c r="O48" s="965"/>
      <c r="P48" s="965"/>
      <c r="Q48" s="965"/>
      <c r="R48" s="965"/>
      <c r="S48" s="965"/>
      <c r="T48" s="965"/>
      <c r="U48" s="965"/>
      <c r="V48" s="965"/>
      <c r="W48" s="965"/>
      <c r="X48" s="965"/>
      <c r="Y48" s="965"/>
      <c r="Z48" s="965"/>
      <c r="AA48" s="965"/>
      <c r="AB48" s="965"/>
      <c r="AC48" s="965"/>
      <c r="AD48" s="965"/>
      <c r="AE48" s="965"/>
      <c r="AF48" s="965"/>
      <c r="AG48" s="965"/>
      <c r="AH48" s="965"/>
      <c r="AI48" s="965"/>
      <c r="AJ48" s="965"/>
      <c r="AK48" s="965"/>
      <c r="AL48" s="965"/>
      <c r="AM48" s="965"/>
    </row>
    <row r="49" spans="1:58" s="65" customFormat="1" ht="19.5" customHeight="1">
      <c r="B49" s="71"/>
      <c r="C49" s="983" t="str">
        <f>"Av‡e`bKvix (MY)i ‡gvU Rwgi cwigvYt "</f>
        <v xml:space="preserve">Av‡e`bKvix (MY)i ‡gvU Rwgi cwigvYt </v>
      </c>
      <c r="D49" s="983"/>
      <c r="E49" s="983"/>
      <c r="F49" s="983"/>
      <c r="G49" s="983"/>
      <c r="H49" s="983"/>
      <c r="I49" s="983"/>
      <c r="J49" s="983"/>
      <c r="K49" s="983"/>
      <c r="L49" s="983"/>
      <c r="M49" s="983"/>
      <c r="N49" s="983"/>
      <c r="O49" s="983"/>
      <c r="P49" s="983"/>
      <c r="Q49" s="983"/>
      <c r="R49" s="983"/>
      <c r="S49" s="983"/>
      <c r="T49" s="983"/>
      <c r="U49" s="983"/>
      <c r="V49" s="983"/>
      <c r="W49" s="983"/>
      <c r="X49" s="983"/>
      <c r="Y49" s="983"/>
      <c r="Z49" s="983"/>
      <c r="AA49" s="983"/>
      <c r="AB49" s="983"/>
      <c r="AC49" s="983"/>
      <c r="AD49" s="983"/>
      <c r="AE49" s="983"/>
      <c r="AF49" s="983"/>
      <c r="AG49" s="983"/>
      <c r="AH49" s="983"/>
      <c r="AI49" s="983"/>
      <c r="AJ49" s="983"/>
      <c r="AK49" s="983"/>
      <c r="AL49" s="983"/>
      <c r="AM49" s="983"/>
      <c r="AO49" s="1103" t="s">
        <v>725</v>
      </c>
      <c r="AP49" s="1103" t="s">
        <v>726</v>
      </c>
    </row>
    <row r="50" spans="1:58" s="73" customFormat="1" ht="28.5" customHeight="1">
      <c r="A50" s="970" t="s">
        <v>310</v>
      </c>
      <c r="B50" s="970"/>
      <c r="C50" s="970"/>
      <c r="D50" s="970"/>
      <c r="E50" s="970"/>
      <c r="F50" s="970"/>
      <c r="G50" s="970"/>
      <c r="H50" s="970"/>
      <c r="I50" s="970"/>
      <c r="J50" s="970"/>
      <c r="K50" s="1084" t="s">
        <v>299</v>
      </c>
      <c r="L50" s="970"/>
      <c r="M50" s="970"/>
      <c r="N50" s="970"/>
      <c r="O50" s="970"/>
      <c r="P50" s="970"/>
      <c r="Q50" s="970"/>
      <c r="R50" s="970"/>
      <c r="S50" s="970"/>
      <c r="T50" s="970"/>
      <c r="U50" s="970" t="s">
        <v>311</v>
      </c>
      <c r="V50" s="970"/>
      <c r="W50" s="970"/>
      <c r="X50" s="970"/>
      <c r="Y50" s="970"/>
      <c r="Z50" s="970"/>
      <c r="AA50" s="970"/>
      <c r="AB50" s="970"/>
      <c r="AC50" s="970"/>
      <c r="AD50" s="970" t="s">
        <v>299</v>
      </c>
      <c r="AE50" s="970"/>
      <c r="AF50" s="970"/>
      <c r="AG50" s="970"/>
      <c r="AH50" s="970"/>
      <c r="AI50" s="970"/>
      <c r="AJ50" s="970"/>
      <c r="AK50" s="970"/>
      <c r="AL50" s="970"/>
      <c r="AM50" s="970"/>
      <c r="AO50" s="1103"/>
      <c r="AP50" s="1103"/>
    </row>
    <row r="51" spans="1:58" s="65" customFormat="1" ht="28.5" customHeight="1">
      <c r="A51" s="1102" t="s">
        <v>966</v>
      </c>
      <c r="B51" s="1102"/>
      <c r="C51" s="1102"/>
      <c r="D51" s="1102"/>
      <c r="E51" s="1102"/>
      <c r="F51" s="1102"/>
      <c r="G51" s="1102"/>
      <c r="H51" s="1102"/>
      <c r="I51" s="1102"/>
      <c r="J51" s="1102"/>
      <c r="K51" s="1116"/>
      <c r="L51" s="1117"/>
      <c r="M51" s="1117"/>
      <c r="N51" s="1117"/>
      <c r="O51" s="1117"/>
      <c r="P51" s="1117"/>
      <c r="Q51" s="1117"/>
      <c r="R51" s="1117"/>
      <c r="S51" s="1117"/>
      <c r="T51" s="1118"/>
      <c r="U51" s="941" t="s">
        <v>1085</v>
      </c>
      <c r="V51" s="941"/>
      <c r="W51" s="941"/>
      <c r="X51" s="941"/>
      <c r="Y51" s="941"/>
      <c r="Z51" s="941"/>
      <c r="AA51" s="941"/>
      <c r="AB51" s="941"/>
      <c r="AC51" s="941"/>
      <c r="AD51" s="946"/>
      <c r="AE51" s="946"/>
      <c r="AF51" s="946"/>
      <c r="AG51" s="946"/>
      <c r="AH51" s="946"/>
      <c r="AI51" s="946"/>
      <c r="AJ51" s="946"/>
      <c r="AK51" s="946"/>
      <c r="AL51" s="946"/>
      <c r="AM51" s="946"/>
      <c r="AO51" s="377" t="s">
        <v>1151</v>
      </c>
      <c r="AP51" s="374" t="s">
        <v>830</v>
      </c>
      <c r="AT51" s="68"/>
    </row>
    <row r="52" spans="1:58" s="65" customFormat="1" ht="28.5" customHeight="1">
      <c r="A52" s="1102" t="s">
        <v>1068</v>
      </c>
      <c r="B52" s="1102"/>
      <c r="C52" s="1102"/>
      <c r="D52" s="1102"/>
      <c r="E52" s="1102"/>
      <c r="F52" s="1102"/>
      <c r="G52" s="1102"/>
      <c r="H52" s="1102"/>
      <c r="I52" s="1102"/>
      <c r="J52" s="1102"/>
      <c r="K52" s="1099"/>
      <c r="L52" s="1100"/>
      <c r="M52" s="1100"/>
      <c r="N52" s="1100"/>
      <c r="O52" s="1100"/>
      <c r="P52" s="1100"/>
      <c r="Q52" s="1100"/>
      <c r="R52" s="1100"/>
      <c r="S52" s="1100"/>
      <c r="T52" s="1101"/>
      <c r="U52" s="941" t="s">
        <v>1086</v>
      </c>
      <c r="V52" s="941"/>
      <c r="W52" s="941"/>
      <c r="X52" s="941"/>
      <c r="Y52" s="941"/>
      <c r="Z52" s="941"/>
      <c r="AA52" s="941"/>
      <c r="AB52" s="941"/>
      <c r="AC52" s="941"/>
      <c r="AD52" s="946"/>
      <c r="AE52" s="946"/>
      <c r="AF52" s="946"/>
      <c r="AG52" s="946"/>
      <c r="AH52" s="946"/>
      <c r="AI52" s="946"/>
      <c r="AJ52" s="946"/>
      <c r="AK52" s="946"/>
      <c r="AL52" s="946"/>
      <c r="AM52" s="946"/>
      <c r="AO52" s="377"/>
      <c r="AP52" s="374"/>
    </row>
    <row r="53" spans="1:58" s="65" customFormat="1" ht="28.5" customHeight="1">
      <c r="A53" s="1102" t="s">
        <v>967</v>
      </c>
      <c r="B53" s="1102"/>
      <c r="C53" s="1102"/>
      <c r="D53" s="1102"/>
      <c r="E53" s="1102"/>
      <c r="F53" s="1102"/>
      <c r="G53" s="1102"/>
      <c r="H53" s="1102"/>
      <c r="I53" s="1102"/>
      <c r="J53" s="1102"/>
      <c r="K53" s="1099"/>
      <c r="L53" s="1100"/>
      <c r="M53" s="1100"/>
      <c r="N53" s="1100"/>
      <c r="O53" s="1100"/>
      <c r="P53" s="1100"/>
      <c r="Q53" s="1100"/>
      <c r="R53" s="1100"/>
      <c r="S53" s="1100"/>
      <c r="T53" s="1101"/>
      <c r="U53" s="941" t="s">
        <v>1087</v>
      </c>
      <c r="V53" s="941"/>
      <c r="W53" s="941"/>
      <c r="X53" s="941"/>
      <c r="Y53" s="941"/>
      <c r="Z53" s="941"/>
      <c r="AA53" s="941"/>
      <c r="AB53" s="941"/>
      <c r="AC53" s="941"/>
      <c r="AD53" s="946">
        <f>S17</f>
        <v>0</v>
      </c>
      <c r="AE53" s="946"/>
      <c r="AF53" s="946"/>
      <c r="AG53" s="946"/>
      <c r="AH53" s="946"/>
      <c r="AI53" s="946"/>
      <c r="AJ53" s="946"/>
      <c r="AK53" s="946"/>
      <c r="AL53" s="946"/>
      <c r="AM53" s="946"/>
      <c r="AO53" s="377"/>
      <c r="AP53" s="374"/>
    </row>
    <row r="54" spans="1:58" s="65" customFormat="1" ht="28.5" customHeight="1">
      <c r="A54" s="1102" t="str">
        <f>IF(AO54="","","(4) "&amp;AP54&amp;" Rwg, gŠRvt "&amp;AO54)</f>
        <v/>
      </c>
      <c r="B54" s="1102"/>
      <c r="C54" s="1102"/>
      <c r="D54" s="1102"/>
      <c r="E54" s="1102"/>
      <c r="F54" s="1102"/>
      <c r="G54" s="1102"/>
      <c r="H54" s="1102"/>
      <c r="I54" s="1102"/>
      <c r="J54" s="1102"/>
      <c r="K54" s="1099"/>
      <c r="L54" s="1100"/>
      <c r="M54" s="1100"/>
      <c r="N54" s="1100"/>
      <c r="O54" s="1100"/>
      <c r="P54" s="1100"/>
      <c r="Q54" s="1100"/>
      <c r="R54" s="1100"/>
      <c r="S54" s="1100"/>
      <c r="T54" s="1101"/>
      <c r="U54" s="1128"/>
      <c r="V54" s="1129"/>
      <c r="W54" s="1129"/>
      <c r="X54" s="1129"/>
      <c r="Y54" s="1129"/>
      <c r="Z54" s="1129"/>
      <c r="AA54" s="1129"/>
      <c r="AB54" s="1129"/>
      <c r="AC54" s="1130"/>
      <c r="AD54" s="946"/>
      <c r="AE54" s="946"/>
      <c r="AF54" s="946"/>
      <c r="AG54" s="946"/>
      <c r="AH54" s="946"/>
      <c r="AI54" s="946"/>
      <c r="AJ54" s="946"/>
      <c r="AK54" s="946"/>
      <c r="AL54" s="946"/>
      <c r="AM54" s="946"/>
      <c r="AO54" s="377"/>
      <c r="AP54" s="374"/>
    </row>
    <row r="55" spans="1:58" s="65" customFormat="1" ht="21" customHeight="1" thickBot="1">
      <c r="A55" s="1067" t="s">
        <v>307</v>
      </c>
      <c r="B55" s="1068"/>
      <c r="C55" s="1068"/>
      <c r="D55" s="1068"/>
      <c r="E55" s="1068"/>
      <c r="F55" s="1068"/>
      <c r="G55" s="1068"/>
      <c r="H55" s="1068"/>
      <c r="I55" s="1068"/>
      <c r="J55" s="1068"/>
      <c r="K55" s="1068"/>
      <c r="L55" s="1068"/>
      <c r="M55" s="1068"/>
      <c r="N55" s="1068"/>
      <c r="O55" s="1068"/>
      <c r="P55" s="1068"/>
      <c r="Q55" s="1068"/>
      <c r="R55" s="1068"/>
      <c r="S55" s="1068"/>
      <c r="T55" s="1068"/>
      <c r="U55" s="1068"/>
      <c r="V55" s="1068"/>
      <c r="W55" s="1068"/>
      <c r="X55" s="1068"/>
      <c r="Y55" s="1068"/>
      <c r="Z55" s="1068"/>
      <c r="AA55" s="1068"/>
      <c r="AB55" s="1068"/>
      <c r="AC55" s="1069"/>
      <c r="AD55" s="947">
        <f>AD53</f>
        <v>0</v>
      </c>
      <c r="AE55" s="948"/>
      <c r="AF55" s="948"/>
      <c r="AG55" s="948"/>
      <c r="AH55" s="1126" t="s">
        <v>259</v>
      </c>
      <c r="AI55" s="1126"/>
      <c r="AJ55" s="1126"/>
      <c r="AK55" s="1126"/>
      <c r="AL55" s="1126"/>
      <c r="AM55" s="1127"/>
      <c r="AO55" s="689" t="b">
        <f>SUM(K51:T54,AD51:AM54)='LF-5'!R24</f>
        <v>1</v>
      </c>
    </row>
    <row r="56" spans="1:58" s="65" customFormat="1" ht="18.75" customHeight="1">
      <c r="A56" s="70" t="s">
        <v>232</v>
      </c>
      <c r="B56" s="1122" t="s">
        <v>383</v>
      </c>
      <c r="C56" s="1122"/>
      <c r="D56" s="1122"/>
      <c r="E56" s="1122"/>
      <c r="F56" s="1122"/>
      <c r="G56" s="1122"/>
      <c r="H56" s="1131"/>
      <c r="I56" s="1131"/>
      <c r="J56" s="1131"/>
      <c r="K56" s="1131"/>
      <c r="L56" s="1131"/>
      <c r="M56" s="1131"/>
      <c r="N56" s="1131"/>
      <c r="O56" s="1131"/>
      <c r="P56" s="1131"/>
      <c r="Q56" s="1131"/>
      <c r="R56" s="1131"/>
      <c r="S56" s="1131"/>
      <c r="T56" s="1131"/>
      <c r="U56" s="1131"/>
      <c r="V56" s="1131"/>
      <c r="W56" s="1131"/>
      <c r="X56" s="1131"/>
      <c r="Y56" s="1131"/>
      <c r="Z56" s="1131"/>
      <c r="AA56" s="1131"/>
      <c r="AB56" s="1131"/>
      <c r="AC56" s="1131"/>
      <c r="AD56" s="1131"/>
      <c r="AE56" s="1131"/>
      <c r="AF56" s="1131"/>
      <c r="AG56" s="1131"/>
      <c r="AH56" s="1131"/>
      <c r="AI56" s="1131"/>
      <c r="AJ56" s="1131"/>
      <c r="AK56" s="1131"/>
      <c r="AL56" s="1131"/>
      <c r="AM56" s="1131"/>
      <c r="AO56" s="375" t="s">
        <v>196</v>
      </c>
      <c r="AP56" s="1079" t="s">
        <v>748</v>
      </c>
      <c r="AQ56" s="1080"/>
      <c r="AR56" s="1080"/>
      <c r="AS56" s="1081"/>
      <c r="AT56" s="66"/>
      <c r="AU56" s="66"/>
      <c r="AV56" s="1104" t="s">
        <v>711</v>
      </c>
      <c r="AW56" s="1104"/>
      <c r="AX56" s="1104"/>
      <c r="AY56" s="1104"/>
    </row>
    <row r="57" spans="1:58" s="71" customFormat="1" ht="20.25" customHeight="1">
      <c r="A57" s="940"/>
      <c r="B57" s="940"/>
      <c r="C57" s="940"/>
      <c r="D57" s="940"/>
      <c r="E57" s="940"/>
      <c r="F57" s="940"/>
      <c r="G57" s="940"/>
      <c r="H57" s="940"/>
      <c r="I57" s="940"/>
      <c r="J57" s="940"/>
      <c r="K57" s="940"/>
      <c r="L57" s="940"/>
      <c r="M57" s="940"/>
      <c r="N57" s="940"/>
      <c r="O57" s="940"/>
      <c r="P57" s="940"/>
      <c r="Q57" s="940"/>
      <c r="R57" s="940"/>
      <c r="S57" s="940"/>
      <c r="T57" s="940"/>
      <c r="U57" s="940"/>
      <c r="V57" s="940"/>
      <c r="W57" s="940"/>
      <c r="X57" s="940"/>
      <c r="Y57" s="940"/>
      <c r="Z57" s="940"/>
      <c r="AA57" s="940"/>
      <c r="AB57" s="940"/>
      <c r="AC57" s="940"/>
      <c r="AD57" s="940"/>
      <c r="AE57" s="940"/>
      <c r="AF57" s="940"/>
      <c r="AG57" s="940"/>
      <c r="AH57" s="940"/>
      <c r="AI57" s="940"/>
      <c r="AJ57" s="940"/>
      <c r="AK57" s="940"/>
      <c r="AL57" s="940"/>
      <c r="AM57" s="940"/>
      <c r="AO57" s="376" t="s">
        <v>662</v>
      </c>
      <c r="AP57" s="282" t="s">
        <v>1151</v>
      </c>
      <c r="AQ57" s="282"/>
      <c r="AR57" s="282"/>
      <c r="AS57" s="282"/>
      <c r="AV57" s="1092" t="s">
        <v>712</v>
      </c>
      <c r="AW57" s="1092"/>
      <c r="AX57" s="1092"/>
      <c r="AY57" s="1092"/>
    </row>
    <row r="58" spans="1:58" s="71" customFormat="1" ht="21" customHeight="1">
      <c r="A58" s="1093"/>
      <c r="B58" s="1093"/>
      <c r="C58" s="1093"/>
      <c r="D58" s="1093"/>
      <c r="E58" s="1093"/>
      <c r="F58" s="1093"/>
      <c r="G58" s="1093"/>
      <c r="H58" s="1093"/>
      <c r="I58" s="1093"/>
      <c r="J58" s="1093"/>
      <c r="K58" s="1093"/>
      <c r="L58" s="1093"/>
      <c r="M58" s="1093"/>
      <c r="N58" s="1093"/>
      <c r="O58" s="1093"/>
      <c r="P58" s="1093"/>
      <c r="Q58" s="1093"/>
      <c r="R58" s="1093"/>
      <c r="S58" s="1093"/>
      <c r="T58" s="1093"/>
      <c r="U58" s="1093"/>
      <c r="V58" s="1093"/>
      <c r="W58" s="1093"/>
      <c r="X58" s="1094"/>
      <c r="Y58" s="1094"/>
      <c r="Z58" s="1094"/>
      <c r="AA58" s="1095"/>
      <c r="AB58" s="1095"/>
      <c r="AC58" s="1095"/>
      <c r="AD58" s="1095"/>
      <c r="AE58" s="1095"/>
      <c r="AF58" s="1095"/>
      <c r="AG58" s="1095"/>
      <c r="AH58" s="634"/>
      <c r="AI58" s="634"/>
      <c r="AJ58" s="634"/>
      <c r="AK58" s="634"/>
      <c r="AL58" s="634"/>
      <c r="AM58" s="634"/>
      <c r="AO58" s="1096" t="s">
        <v>953</v>
      </c>
      <c r="AP58" s="1096"/>
      <c r="AQ58" s="1096"/>
      <c r="AR58" s="1096"/>
      <c r="AS58" s="626"/>
      <c r="AT58" s="68" t="s">
        <v>952</v>
      </c>
      <c r="AV58" s="326"/>
      <c r="AW58" s="326"/>
      <c r="AX58" s="326"/>
      <c r="AY58" s="326"/>
    </row>
    <row r="59" spans="1:58" s="110" customFormat="1" ht="21.75" customHeight="1">
      <c r="A59" s="70" t="s">
        <v>93</v>
      </c>
      <c r="B59" s="70" t="s">
        <v>310</v>
      </c>
      <c r="C59" s="74"/>
      <c r="D59" s="74"/>
      <c r="E59" s="74"/>
      <c r="F59" s="74"/>
      <c r="G59" s="74"/>
      <c r="H59" s="74"/>
      <c r="I59" s="74"/>
      <c r="J59" s="74"/>
      <c r="K59" s="74"/>
      <c r="L59" s="74"/>
      <c r="M59" s="74"/>
      <c r="N59" s="74"/>
      <c r="O59" s="74"/>
      <c r="P59" s="74"/>
      <c r="Q59" s="268"/>
      <c r="R59" s="268"/>
      <c r="S59" s="268"/>
      <c r="T59" s="268"/>
      <c r="U59" s="268"/>
      <c r="V59" s="268"/>
      <c r="W59" s="268"/>
      <c r="X59" s="268"/>
      <c r="Y59" s="268"/>
      <c r="Z59" s="268"/>
      <c r="AA59" s="268"/>
      <c r="AB59" s="268"/>
      <c r="AC59" s="268"/>
      <c r="AD59" s="70"/>
      <c r="AF59" s="275"/>
      <c r="AO59" s="375" t="s">
        <v>731</v>
      </c>
      <c r="AP59"/>
      <c r="AQ59"/>
      <c r="AR59"/>
      <c r="AS59"/>
      <c r="AT59"/>
      <c r="AU59" s="373"/>
      <c r="AV59" s="1092" t="s">
        <v>713</v>
      </c>
      <c r="AW59" s="1092"/>
      <c r="AX59" s="1092"/>
      <c r="AY59" s="1092"/>
      <c r="AZ59" s="373"/>
      <c r="BA59" s="373"/>
      <c r="BB59" s="373"/>
      <c r="BC59" s="373"/>
      <c r="BD59" s="373"/>
      <c r="BE59" s="373"/>
      <c r="BF59" s="373"/>
    </row>
    <row r="60" spans="1:58" s="65" customFormat="1" ht="25.5" customHeight="1">
      <c r="A60" s="943" t="s">
        <v>313</v>
      </c>
      <c r="B60" s="943"/>
      <c r="C60" s="943"/>
      <c r="D60" s="943"/>
      <c r="E60" s="943"/>
      <c r="F60" s="943"/>
      <c r="G60" s="943" t="s">
        <v>314</v>
      </c>
      <c r="H60" s="943"/>
      <c r="I60" s="943"/>
      <c r="J60" s="943"/>
      <c r="K60" s="942" t="s">
        <v>315</v>
      </c>
      <c r="L60" s="942"/>
      <c r="M60" s="942"/>
      <c r="N60" s="942"/>
      <c r="O60" s="942"/>
      <c r="P60" s="942"/>
      <c r="Q60" s="943" t="s">
        <v>316</v>
      </c>
      <c r="R60" s="943"/>
      <c r="S60" s="943"/>
      <c r="T60" s="943"/>
      <c r="U60" s="943"/>
      <c r="V60" s="943"/>
      <c r="W60" s="943"/>
      <c r="X60" s="943"/>
      <c r="Y60" s="943" t="s">
        <v>162</v>
      </c>
      <c r="Z60" s="943"/>
      <c r="AA60" s="943"/>
      <c r="AB60" s="943"/>
      <c r="AC60" s="943"/>
      <c r="AD60" s="943"/>
      <c r="AE60" s="943"/>
      <c r="AF60" s="943"/>
      <c r="AG60" s="943" t="s">
        <v>317</v>
      </c>
      <c r="AH60" s="943"/>
      <c r="AI60" s="943"/>
      <c r="AJ60" s="943"/>
      <c r="AK60" s="943"/>
      <c r="AL60" s="943"/>
      <c r="AM60" s="943"/>
      <c r="AO60" s="375" t="s">
        <v>747</v>
      </c>
      <c r="AP60"/>
      <c r="AQ60"/>
      <c r="AR60"/>
      <c r="AS60"/>
      <c r="AT60"/>
      <c r="AU60" s="326"/>
      <c r="AV60" s="326"/>
      <c r="AW60" s="326"/>
      <c r="AX60" s="326"/>
      <c r="AY60" s="326"/>
      <c r="AZ60" s="326"/>
      <c r="BA60" s="326"/>
      <c r="BB60" s="326"/>
      <c r="BC60" s="326"/>
      <c r="BD60" s="326"/>
      <c r="BE60" s="326"/>
      <c r="BF60" s="326"/>
    </row>
    <row r="61" spans="1:58" s="65" customFormat="1" ht="22.5" customHeight="1">
      <c r="A61" s="943"/>
      <c r="B61" s="943"/>
      <c r="C61" s="943"/>
      <c r="D61" s="943"/>
      <c r="E61" s="943"/>
      <c r="F61" s="943"/>
      <c r="G61" s="943"/>
      <c r="H61" s="943"/>
      <c r="I61" s="943"/>
      <c r="J61" s="943"/>
      <c r="K61" s="942"/>
      <c r="L61" s="942"/>
      <c r="M61" s="942"/>
      <c r="N61" s="942"/>
      <c r="O61" s="942"/>
      <c r="P61" s="942"/>
      <c r="Q61" s="943" t="s">
        <v>87</v>
      </c>
      <c r="R61" s="943"/>
      <c r="S61" s="943"/>
      <c r="T61" s="943"/>
      <c r="U61" s="943" t="s">
        <v>296</v>
      </c>
      <c r="V61" s="943"/>
      <c r="W61" s="943"/>
      <c r="X61" s="943"/>
      <c r="Y61" s="943" t="s">
        <v>87</v>
      </c>
      <c r="Z61" s="943"/>
      <c r="AA61" s="943"/>
      <c r="AB61" s="943"/>
      <c r="AC61" s="943" t="s">
        <v>296</v>
      </c>
      <c r="AD61" s="943"/>
      <c r="AE61" s="943"/>
      <c r="AF61" s="943"/>
      <c r="AG61" s="943" t="s">
        <v>87</v>
      </c>
      <c r="AH61" s="943"/>
      <c r="AI61" s="943"/>
      <c r="AJ61" s="943" t="s">
        <v>296</v>
      </c>
      <c r="AK61" s="943"/>
      <c r="AL61" s="943"/>
      <c r="AM61" s="943"/>
      <c r="AO61"/>
      <c r="AQ61" s="326"/>
      <c r="AR61" s="326"/>
      <c r="AS61" s="326"/>
      <c r="AT61" s="326"/>
      <c r="AU61" s="326"/>
      <c r="AV61" s="326"/>
      <c r="AW61" s="326"/>
      <c r="AX61" s="326"/>
      <c r="AY61" s="326"/>
      <c r="AZ61" s="326"/>
      <c r="BA61" s="326"/>
      <c r="BB61" s="326"/>
      <c r="BC61" s="326"/>
      <c r="BD61" s="326"/>
      <c r="BE61" s="326"/>
      <c r="BF61" s="326"/>
    </row>
    <row r="62" spans="1:58" s="65" customFormat="1" ht="30" customHeight="1">
      <c r="A62" s="1115" t="s">
        <v>966</v>
      </c>
      <c r="B62" s="1115"/>
      <c r="C62" s="1115"/>
      <c r="D62" s="1115"/>
      <c r="E62" s="1115"/>
      <c r="F62" s="1115"/>
      <c r="G62" s="949"/>
      <c r="H62" s="950"/>
      <c r="I62" s="950"/>
      <c r="J62" s="951"/>
      <c r="K62" s="1108"/>
      <c r="L62" s="1108"/>
      <c r="M62" s="1108"/>
      <c r="N62" s="1108"/>
      <c r="O62" s="1108"/>
      <c r="P62" s="1108"/>
      <c r="Q62" s="1071">
        <f>IF(K51="",0,G62*K62)</f>
        <v>0</v>
      </c>
      <c r="R62" s="1071"/>
      <c r="S62" s="1071"/>
      <c r="T62" s="1071"/>
      <c r="U62" s="944"/>
      <c r="V62" s="944"/>
      <c r="W62" s="944"/>
      <c r="X62" s="944"/>
      <c r="Y62" s="1070">
        <f>+Q62</f>
        <v>0</v>
      </c>
      <c r="Z62" s="1070"/>
      <c r="AA62" s="1070"/>
      <c r="AB62" s="1070"/>
      <c r="AC62" s="1105"/>
      <c r="AD62" s="1098"/>
      <c r="AE62" s="1098"/>
      <c r="AF62" s="1098"/>
      <c r="AG62" s="1098"/>
      <c r="AH62" s="1098"/>
      <c r="AI62" s="1098"/>
      <c r="AJ62" s="1071"/>
      <c r="AK62" s="1071"/>
      <c r="AL62" s="1071"/>
      <c r="AM62" s="1071"/>
      <c r="AO62"/>
      <c r="AP62"/>
      <c r="AQ62"/>
      <c r="AR62"/>
      <c r="AS62"/>
      <c r="AT62"/>
      <c r="AU62"/>
      <c r="AV62"/>
    </row>
    <row r="63" spans="1:58" s="65" customFormat="1" ht="31.5" customHeight="1">
      <c r="A63" s="1115" t="s">
        <v>1068</v>
      </c>
      <c r="B63" s="1115"/>
      <c r="C63" s="1115"/>
      <c r="D63" s="1115"/>
      <c r="E63" s="1115"/>
      <c r="F63" s="1115"/>
      <c r="G63" s="1072" t="str">
        <f t="shared" ref="G63:G64" si="0">IF(K52="","",+K52)</f>
        <v/>
      </c>
      <c r="H63" s="1073"/>
      <c r="I63" s="1073"/>
      <c r="J63" s="1074"/>
      <c r="K63" s="1108"/>
      <c r="L63" s="1108"/>
      <c r="M63" s="1108"/>
      <c r="N63" s="1108"/>
      <c r="O63" s="1108"/>
      <c r="P63" s="1108"/>
      <c r="Q63" s="1071">
        <f t="shared" ref="Q63:Q64" si="1">IF(K52="",0,G63*K63)</f>
        <v>0</v>
      </c>
      <c r="R63" s="1071"/>
      <c r="S63" s="1071"/>
      <c r="T63" s="1071"/>
      <c r="U63" s="945"/>
      <c r="V63" s="945"/>
      <c r="W63" s="945"/>
      <c r="X63" s="945"/>
      <c r="Y63" s="1070">
        <f>+Q63</f>
        <v>0</v>
      </c>
      <c r="Z63" s="1070"/>
      <c r="AA63" s="1070"/>
      <c r="AB63" s="1070"/>
      <c r="AC63" s="1071"/>
      <c r="AD63" s="1071"/>
      <c r="AE63" s="1071"/>
      <c r="AF63" s="1071"/>
      <c r="AG63" s="1098"/>
      <c r="AH63" s="1098"/>
      <c r="AI63" s="1098"/>
      <c r="AJ63" s="1071"/>
      <c r="AK63" s="1071"/>
      <c r="AL63" s="1071"/>
      <c r="AM63" s="1071"/>
      <c r="AO63"/>
      <c r="AP63"/>
      <c r="AQ63"/>
      <c r="AR63"/>
      <c r="AS63"/>
      <c r="AT63"/>
      <c r="AU63"/>
      <c r="AV63"/>
    </row>
    <row r="64" spans="1:58" s="65" customFormat="1" ht="31.5" customHeight="1">
      <c r="A64" s="1115" t="s">
        <v>967</v>
      </c>
      <c r="B64" s="1115"/>
      <c r="C64" s="1115"/>
      <c r="D64" s="1115"/>
      <c r="E64" s="1115"/>
      <c r="F64" s="1115"/>
      <c r="G64" s="1072" t="str">
        <f t="shared" si="0"/>
        <v/>
      </c>
      <c r="H64" s="1073"/>
      <c r="I64" s="1073"/>
      <c r="J64" s="1074"/>
      <c r="K64" s="1108"/>
      <c r="L64" s="1108"/>
      <c r="M64" s="1108"/>
      <c r="N64" s="1108"/>
      <c r="O64" s="1108"/>
      <c r="P64" s="1108"/>
      <c r="Q64" s="1071">
        <f t="shared" si="1"/>
        <v>0</v>
      </c>
      <c r="R64" s="1071"/>
      <c r="S64" s="1071"/>
      <c r="T64" s="1071"/>
      <c r="U64" s="945"/>
      <c r="V64" s="945"/>
      <c r="W64" s="945"/>
      <c r="X64" s="945"/>
      <c r="Y64" s="1070">
        <f>+Q64</f>
        <v>0</v>
      </c>
      <c r="Z64" s="1070"/>
      <c r="AA64" s="1070"/>
      <c r="AB64" s="1070"/>
      <c r="AC64" s="1071"/>
      <c r="AD64" s="1071"/>
      <c r="AE64" s="1071"/>
      <c r="AF64" s="1071"/>
      <c r="AG64" s="1098"/>
      <c r="AH64" s="1098"/>
      <c r="AI64" s="1098"/>
      <c r="AJ64" s="1071"/>
      <c r="AK64" s="1071"/>
      <c r="AL64" s="1071"/>
      <c r="AM64" s="1071"/>
      <c r="AO64"/>
      <c r="AP64"/>
      <c r="AQ64"/>
      <c r="AR64"/>
      <c r="AS64"/>
      <c r="AT64"/>
      <c r="AU64"/>
      <c r="AV64"/>
    </row>
    <row r="65" spans="1:79" s="65" customFormat="1" ht="21.75" customHeight="1">
      <c r="A65" s="941" t="s">
        <v>1088</v>
      </c>
      <c r="B65" s="941"/>
      <c r="C65" s="941"/>
      <c r="D65" s="941"/>
      <c r="E65" s="941"/>
      <c r="F65" s="941"/>
      <c r="G65" s="1077">
        <f>SUM(G62:J64)</f>
        <v>0</v>
      </c>
      <c r="H65" s="1077"/>
      <c r="I65" s="1077"/>
      <c r="J65" s="1077"/>
      <c r="K65" s="1098"/>
      <c r="L65" s="1098"/>
      <c r="M65" s="1098"/>
      <c r="N65" s="1098"/>
      <c r="O65" s="1098"/>
      <c r="P65" s="1098"/>
      <c r="Q65" s="1071">
        <f>SUM(Q62:T64)</f>
        <v>0</v>
      </c>
      <c r="R65" s="1071"/>
      <c r="S65" s="1071"/>
      <c r="T65" s="1071"/>
      <c r="U65" s="1071"/>
      <c r="V65" s="1071"/>
      <c r="W65" s="1071"/>
      <c r="X65" s="1071"/>
      <c r="Y65" s="1107">
        <f>SUM(Y62:AB64)</f>
        <v>0</v>
      </c>
      <c r="Z65" s="1107"/>
      <c r="AA65" s="1107"/>
      <c r="AB65" s="1107"/>
      <c r="AC65" s="1106"/>
      <c r="AD65" s="1106"/>
      <c r="AE65" s="1106"/>
      <c r="AF65" s="1106"/>
      <c r="AG65" s="1098"/>
      <c r="AH65" s="1098"/>
      <c r="AI65" s="1098"/>
      <c r="AJ65" s="1106"/>
      <c r="AK65" s="1106"/>
      <c r="AL65" s="1106"/>
      <c r="AM65" s="1106"/>
      <c r="AO65">
        <f>'Data Input'!N48</f>
        <v>0</v>
      </c>
      <c r="AP65"/>
      <c r="AQ65"/>
      <c r="AR65"/>
      <c r="AS65"/>
      <c r="AT65"/>
      <c r="AU65"/>
      <c r="AV65"/>
    </row>
    <row r="66" spans="1:79" s="411" customFormat="1" ht="22.5" customHeight="1">
      <c r="A66" s="1109"/>
      <c r="B66" s="1109"/>
      <c r="C66" s="1109"/>
      <c r="D66" s="1109"/>
      <c r="E66" s="1109"/>
      <c r="F66" s="1109"/>
      <c r="G66" s="1109"/>
      <c r="H66" s="1109"/>
      <c r="I66" s="1109"/>
      <c r="J66" s="1109"/>
      <c r="K66" s="1110"/>
      <c r="L66" s="1111"/>
      <c r="M66" s="1111"/>
      <c r="N66" s="1111"/>
      <c r="O66" s="1111"/>
      <c r="P66" s="1111"/>
      <c r="Q66" s="410"/>
      <c r="R66" s="1112"/>
      <c r="S66" s="1112"/>
      <c r="T66" s="410"/>
      <c r="U66" s="1076"/>
      <c r="V66" s="1076"/>
      <c r="W66" s="1076"/>
      <c r="X66" s="1076"/>
      <c r="Y66" s="1076"/>
      <c r="Z66" s="1076"/>
      <c r="AA66" s="1076"/>
      <c r="AB66" s="1076"/>
      <c r="AC66" s="1091"/>
      <c r="AD66" s="1091"/>
      <c r="AE66" s="1091"/>
      <c r="AF66" s="1091"/>
      <c r="AG66" s="1076"/>
      <c r="AH66" s="1076"/>
      <c r="AI66" s="1076"/>
      <c r="AJ66" s="708"/>
      <c r="AK66" s="708"/>
      <c r="AL66" s="708"/>
      <c r="AM66" s="708" t="s">
        <v>1089</v>
      </c>
      <c r="AO66" s="1109" t="s">
        <v>732</v>
      </c>
      <c r="AP66" s="1109"/>
      <c r="AQ66" s="1109"/>
      <c r="AR66" s="1109"/>
      <c r="AS66" s="1109"/>
      <c r="AT66" s="1109"/>
      <c r="AU66" s="1109"/>
      <c r="AV66" s="1109"/>
      <c r="AW66" s="1109"/>
      <c r="AX66" s="1109"/>
      <c r="AY66" s="1110">
        <f>+BE65</f>
        <v>0</v>
      </c>
      <c r="AZ66" s="1111"/>
      <c r="BA66" s="1111"/>
      <c r="BB66" s="1111"/>
      <c r="BC66" s="1111"/>
      <c r="BD66" s="1111"/>
      <c r="BE66" s="410" t="s">
        <v>733</v>
      </c>
      <c r="BF66" s="1112">
        <v>2.5</v>
      </c>
      <c r="BG66" s="1112"/>
      <c r="BH66" s="410" t="s">
        <v>264</v>
      </c>
      <c r="BI66" s="1076">
        <f>+AY66*BF66</f>
        <v>0</v>
      </c>
      <c r="BJ66" s="1076"/>
      <c r="BK66" s="1076"/>
      <c r="BL66" s="1076"/>
      <c r="BM66" s="1076"/>
      <c r="BN66" s="1076"/>
      <c r="BO66" s="1076"/>
      <c r="BP66" s="1076"/>
      <c r="BQ66" s="1091"/>
      <c r="BR66" s="1091"/>
      <c r="BS66" s="1091"/>
      <c r="BT66" s="1091"/>
      <c r="BU66" s="1076"/>
      <c r="BV66" s="1076"/>
      <c r="BW66" s="1076"/>
      <c r="BX66" s="1091"/>
      <c r="BY66" s="1091"/>
      <c r="BZ66" s="1091"/>
      <c r="CA66" s="1091"/>
    </row>
    <row r="67" spans="1:79" s="76" customFormat="1" ht="21" customHeight="1">
      <c r="B67" s="79" t="s">
        <v>116</v>
      </c>
      <c r="C67" s="982" t="s">
        <v>318</v>
      </c>
      <c r="D67" s="982"/>
      <c r="E67" s="982"/>
      <c r="F67" s="982"/>
      <c r="G67" s="982"/>
      <c r="H67" s="982"/>
      <c r="I67" s="982"/>
      <c r="J67" s="982"/>
      <c r="K67" s="982"/>
      <c r="L67" s="982"/>
      <c r="M67" s="982"/>
      <c r="N67" s="982"/>
      <c r="O67" s="982"/>
      <c r="P67" s="982"/>
      <c r="Q67" s="982"/>
      <c r="R67" s="982"/>
      <c r="S67" s="982"/>
      <c r="T67" s="982"/>
      <c r="U67" s="982"/>
      <c r="V67" s="982"/>
      <c r="W67" s="982"/>
      <c r="X67" s="982"/>
      <c r="Y67" s="982"/>
      <c r="Z67" s="982"/>
      <c r="AA67" s="982"/>
      <c r="AB67" s="982"/>
      <c r="AC67" s="982"/>
      <c r="AD67" s="982"/>
      <c r="AE67" s="982"/>
      <c r="AF67" s="982"/>
      <c r="AG67" s="982"/>
      <c r="AH67" s="982"/>
      <c r="AI67" s="982"/>
      <c r="AJ67" s="982"/>
      <c r="AK67" s="982"/>
      <c r="AL67" s="982"/>
      <c r="AM67" s="982"/>
    </row>
    <row r="68" spans="1:79" s="65" customFormat="1" ht="42.75" customHeight="1">
      <c r="A68" s="71"/>
      <c r="B68" s="1120"/>
      <c r="C68" s="1120"/>
      <c r="D68" s="1120"/>
      <c r="E68" s="1120"/>
      <c r="F68" s="1120"/>
      <c r="G68" s="1120"/>
      <c r="H68" s="1120"/>
      <c r="I68" s="1120"/>
      <c r="J68" s="1120"/>
      <c r="K68" s="1120"/>
      <c r="L68" s="1120"/>
      <c r="M68" s="1120"/>
      <c r="N68" s="1120"/>
      <c r="O68" s="1120"/>
      <c r="P68" s="1120"/>
      <c r="Q68" s="1120"/>
      <c r="R68" s="1120"/>
      <c r="S68" s="1120"/>
      <c r="T68" s="1120"/>
      <c r="U68" s="1120"/>
      <c r="V68" s="1120"/>
      <c r="W68" s="1120"/>
      <c r="X68" s="1120"/>
      <c r="Y68" s="1120"/>
      <c r="Z68" s="1120"/>
      <c r="AA68" s="1120"/>
      <c r="AB68" s="1120"/>
      <c r="AC68" s="1120"/>
      <c r="AD68" s="1120"/>
      <c r="AE68" s="1120"/>
      <c r="AF68" s="1120"/>
      <c r="AG68" s="1120"/>
      <c r="AH68" s="1120"/>
      <c r="AI68" s="1120"/>
      <c r="AJ68" s="1120"/>
      <c r="AK68" s="1120"/>
      <c r="AL68" s="1120"/>
      <c r="AM68" s="1120"/>
      <c r="AP68" s="251"/>
    </row>
    <row r="69" spans="1:79" s="86" customFormat="1" ht="31.5" customHeight="1">
      <c r="A69" s="962" t="s">
        <v>356</v>
      </c>
      <c r="B69" s="962"/>
      <c r="C69" s="962"/>
      <c r="D69" s="962"/>
      <c r="E69" s="962" t="s">
        <v>319</v>
      </c>
      <c r="F69" s="962"/>
      <c r="G69" s="962"/>
      <c r="H69" s="962"/>
      <c r="I69" s="962" t="s">
        <v>320</v>
      </c>
      <c r="J69" s="962"/>
      <c r="K69" s="962"/>
      <c r="L69" s="962"/>
      <c r="M69" s="962"/>
      <c r="N69" s="962"/>
      <c r="O69" s="1087" t="s">
        <v>267</v>
      </c>
      <c r="P69" s="935"/>
      <c r="Q69" s="935"/>
      <c r="R69" s="936"/>
      <c r="S69" s="962" t="s">
        <v>316</v>
      </c>
      <c r="T69" s="962"/>
      <c r="U69" s="962"/>
      <c r="V69" s="962"/>
      <c r="W69" s="962"/>
      <c r="X69" s="962"/>
      <c r="Y69" s="962" t="s">
        <v>162</v>
      </c>
      <c r="Z69" s="962"/>
      <c r="AA69" s="962"/>
      <c r="AB69" s="962"/>
      <c r="AC69" s="962"/>
      <c r="AD69" s="962"/>
      <c r="AE69" s="962"/>
      <c r="AF69" s="962"/>
      <c r="AG69" s="962" t="s">
        <v>317</v>
      </c>
      <c r="AH69" s="962"/>
      <c r="AI69" s="962"/>
      <c r="AJ69" s="962"/>
      <c r="AK69" s="962"/>
      <c r="AL69" s="962"/>
      <c r="AM69" s="962"/>
    </row>
    <row r="70" spans="1:79" s="65" customFormat="1" ht="21" customHeight="1">
      <c r="A70" s="1067" t="s">
        <v>1162</v>
      </c>
      <c r="B70" s="1068"/>
      <c r="C70" s="1068"/>
      <c r="D70" s="1069"/>
      <c r="E70" s="1114">
        <f>IF(+AD55="","",AD55)</f>
        <v>0</v>
      </c>
      <c r="F70" s="1114"/>
      <c r="G70" s="1114"/>
      <c r="H70" s="1114"/>
      <c r="I70" s="1113">
        <f>Valuation!K64*100*100000</f>
        <v>0</v>
      </c>
      <c r="J70" s="1113"/>
      <c r="K70" s="1113"/>
      <c r="L70" s="1113"/>
      <c r="M70" s="1113"/>
      <c r="N70" s="1113"/>
      <c r="O70" s="1088">
        <f>Valuation!AF64</f>
        <v>0</v>
      </c>
      <c r="P70" s="1089"/>
      <c r="Q70" s="1089"/>
      <c r="R70" s="1090"/>
      <c r="S70" s="1119">
        <f>O70</f>
        <v>0</v>
      </c>
      <c r="T70" s="1119"/>
      <c r="U70" s="1119"/>
      <c r="V70" s="1119"/>
      <c r="W70" s="1119"/>
      <c r="X70" s="1119"/>
      <c r="Y70" s="1075">
        <f>+S70</f>
        <v>0</v>
      </c>
      <c r="Z70" s="943"/>
      <c r="AA70" s="943"/>
      <c r="AB70" s="943"/>
      <c r="AC70" s="943"/>
      <c r="AD70" s="943"/>
      <c r="AE70" s="943"/>
      <c r="AF70" s="943"/>
      <c r="AG70" s="943"/>
      <c r="AH70" s="943"/>
      <c r="AI70" s="943"/>
      <c r="AJ70" s="943"/>
      <c r="AK70" s="943"/>
      <c r="AL70" s="943"/>
      <c r="AM70" s="943"/>
    </row>
    <row r="71" spans="1:79" s="65" customFormat="1" ht="17.25" customHeight="1">
      <c r="A71" s="972"/>
      <c r="B71" s="972"/>
      <c r="C71" s="972"/>
      <c r="D71" s="972"/>
      <c r="E71" s="972"/>
      <c r="F71" s="972"/>
      <c r="G71" s="973"/>
      <c r="H71" s="973"/>
      <c r="I71" s="973"/>
      <c r="J71" s="973"/>
      <c r="K71" s="973"/>
      <c r="L71" s="973"/>
      <c r="M71" s="973"/>
      <c r="N71" s="973"/>
      <c r="O71" s="973"/>
      <c r="P71" s="973"/>
      <c r="Q71" s="973"/>
      <c r="R71" s="973"/>
      <c r="S71" s="964"/>
      <c r="T71" s="964"/>
      <c r="U71" s="964"/>
      <c r="V71" s="964"/>
      <c r="W71" s="964"/>
      <c r="X71" s="964"/>
      <c r="Y71" s="973"/>
      <c r="Z71" s="973"/>
      <c r="AA71" s="973"/>
      <c r="AB71" s="973"/>
      <c r="AC71" s="973"/>
      <c r="AD71" s="973"/>
      <c r="AE71" s="973"/>
      <c r="AF71" s="973"/>
      <c r="AG71" s="973"/>
      <c r="AH71" s="973"/>
      <c r="AI71" s="973"/>
      <c r="AJ71" s="973"/>
      <c r="AK71" s="973"/>
      <c r="AL71" s="973"/>
      <c r="AM71" s="66" t="s">
        <v>357</v>
      </c>
    </row>
    <row r="72" spans="1:79" s="65" customFormat="1" ht="16.5" customHeight="1">
      <c r="A72" s="68"/>
      <c r="B72" s="66" t="s">
        <v>121</v>
      </c>
      <c r="C72" s="965" t="s">
        <v>332</v>
      </c>
      <c r="D72" s="965"/>
      <c r="E72" s="965"/>
      <c r="F72" s="965"/>
      <c r="G72" s="965"/>
      <c r="H72" s="965"/>
      <c r="I72" s="965"/>
      <c r="J72" s="965"/>
      <c r="K72" s="965"/>
      <c r="L72" s="965"/>
      <c r="M72" s="965"/>
      <c r="N72" s="965"/>
      <c r="O72" s="965"/>
      <c r="P72" s="965"/>
      <c r="Q72" s="965"/>
      <c r="R72" s="965"/>
      <c r="S72" s="965"/>
      <c r="T72" s="965"/>
      <c r="U72" s="965"/>
      <c r="V72" s="965"/>
      <c r="W72" s="965"/>
      <c r="X72" s="965"/>
      <c r="Y72" s="965"/>
      <c r="Z72" s="965"/>
      <c r="AA72" s="965"/>
      <c r="AB72" s="965"/>
      <c r="AC72" s="965"/>
      <c r="AD72" s="965"/>
      <c r="AE72" s="965"/>
      <c r="AF72" s="965"/>
      <c r="AG72" s="965"/>
      <c r="AH72" s="965"/>
      <c r="AI72" s="965"/>
      <c r="AJ72" s="965"/>
      <c r="AK72" s="965"/>
      <c r="AL72" s="965"/>
      <c r="AM72" s="965"/>
    </row>
    <row r="73" spans="1:79" s="65" customFormat="1" ht="20.25" customHeight="1">
      <c r="A73" s="66"/>
      <c r="B73" s="5" t="s">
        <v>359</v>
      </c>
      <c r="C73" s="87"/>
      <c r="D73" s="87"/>
      <c r="E73" s="968"/>
      <c r="F73" s="968"/>
      <c r="G73" s="968"/>
      <c r="H73" s="968"/>
      <c r="I73" s="968"/>
      <c r="J73" s="968"/>
      <c r="K73" s="968"/>
      <c r="L73" s="968"/>
      <c r="M73" s="968"/>
      <c r="N73" s="968"/>
      <c r="O73" s="968"/>
      <c r="P73" s="968"/>
      <c r="Q73" s="968"/>
      <c r="R73" s="968"/>
      <c r="S73" s="968"/>
      <c r="T73" s="968"/>
      <c r="U73" s="968"/>
      <c r="V73" s="5" t="s">
        <v>358</v>
      </c>
      <c r="W73" s="68"/>
      <c r="X73" s="68"/>
      <c r="Y73" s="68"/>
      <c r="Z73" s="1053"/>
      <c r="AA73" s="1053"/>
      <c r="AB73" s="1053"/>
      <c r="AC73" s="1053"/>
      <c r="AD73" s="1053"/>
      <c r="AE73" s="1053"/>
      <c r="AF73" s="1053"/>
      <c r="AG73" s="1053"/>
      <c r="AH73" s="1053"/>
      <c r="AI73" s="1053"/>
      <c r="AJ73" s="1053"/>
      <c r="AK73" s="1053"/>
      <c r="AL73" s="1053"/>
      <c r="AM73" s="1053"/>
    </row>
    <row r="74" spans="1:79" s="86" customFormat="1" ht="33" customHeight="1">
      <c r="A74" s="962" t="s">
        <v>321</v>
      </c>
      <c r="B74" s="962"/>
      <c r="C74" s="962"/>
      <c r="D74" s="962"/>
      <c r="E74" s="962"/>
      <c r="F74" s="962" t="s">
        <v>322</v>
      </c>
      <c r="G74" s="962"/>
      <c r="H74" s="962"/>
      <c r="I74" s="962"/>
      <c r="J74" s="1078" t="s">
        <v>323</v>
      </c>
      <c r="K74" s="1078"/>
      <c r="L74" s="1078"/>
      <c r="M74" s="1078"/>
      <c r="N74" s="1078"/>
      <c r="O74" s="962" t="s">
        <v>324</v>
      </c>
      <c r="P74" s="962"/>
      <c r="Q74" s="962"/>
      <c r="R74" s="962"/>
      <c r="S74" s="962" t="s">
        <v>325</v>
      </c>
      <c r="T74" s="962"/>
      <c r="U74" s="962"/>
      <c r="V74" s="962"/>
      <c r="W74" s="962"/>
      <c r="X74" s="962" t="s">
        <v>130</v>
      </c>
      <c r="Y74" s="962"/>
      <c r="Z74" s="962"/>
      <c r="AA74" s="962"/>
      <c r="AB74" s="962" t="s">
        <v>326</v>
      </c>
      <c r="AC74" s="962"/>
      <c r="AD74" s="962"/>
      <c r="AE74" s="962"/>
      <c r="AF74" s="962"/>
      <c r="AG74" s="962"/>
      <c r="AH74" s="962"/>
      <c r="AI74" s="962" t="s">
        <v>327</v>
      </c>
      <c r="AJ74" s="962"/>
      <c r="AK74" s="962"/>
      <c r="AL74" s="962"/>
      <c r="AM74" s="962"/>
    </row>
    <row r="75" spans="1:79" s="65" customFormat="1" ht="17.25" customHeight="1">
      <c r="A75" s="967"/>
      <c r="B75" s="967"/>
      <c r="C75" s="967"/>
      <c r="D75" s="967"/>
      <c r="E75" s="967"/>
      <c r="F75" s="963"/>
      <c r="G75" s="963"/>
      <c r="H75" s="963"/>
      <c r="I75" s="963"/>
      <c r="J75" s="943"/>
      <c r="K75" s="943"/>
      <c r="L75" s="943"/>
      <c r="M75" s="943"/>
      <c r="N75" s="943"/>
      <c r="O75" s="943"/>
      <c r="P75" s="943"/>
      <c r="Q75" s="943"/>
      <c r="R75" s="943"/>
      <c r="S75" s="943"/>
      <c r="T75" s="943"/>
      <c r="U75" s="943"/>
      <c r="V75" s="943"/>
      <c r="W75" s="943"/>
      <c r="X75" s="943"/>
      <c r="Y75" s="943"/>
      <c r="Z75" s="943"/>
      <c r="AA75" s="943"/>
      <c r="AB75" s="943"/>
      <c r="AC75" s="943"/>
      <c r="AD75" s="943"/>
      <c r="AE75" s="943"/>
      <c r="AF75" s="943"/>
      <c r="AG75" s="943"/>
      <c r="AH75" s="943"/>
      <c r="AI75" s="943"/>
      <c r="AJ75" s="943"/>
      <c r="AK75" s="943"/>
      <c r="AL75" s="943"/>
      <c r="AM75" s="943"/>
    </row>
    <row r="76" spans="1:79" s="65" customFormat="1" ht="12.75" customHeight="1">
      <c r="A76" s="66"/>
      <c r="B76" s="66"/>
      <c r="C76" s="66"/>
      <c r="D76" s="66"/>
      <c r="E76" s="66"/>
      <c r="F76" s="66"/>
      <c r="G76" s="66"/>
      <c r="I76" s="87"/>
      <c r="J76" s="68"/>
      <c r="K76" s="68"/>
      <c r="L76" s="68"/>
      <c r="M76" s="68"/>
      <c r="N76" s="68"/>
      <c r="O76" s="68"/>
      <c r="P76" s="68"/>
      <c r="Q76" s="68"/>
      <c r="R76" s="68"/>
      <c r="S76" s="68"/>
      <c r="T76" s="68"/>
      <c r="U76" s="68"/>
      <c r="V76" s="68"/>
      <c r="W76" s="68"/>
      <c r="X76" s="68"/>
      <c r="Y76" s="68"/>
      <c r="Z76" s="68"/>
      <c r="AA76" s="68"/>
      <c r="AB76" s="68"/>
      <c r="AC76" s="68"/>
      <c r="AD76" s="68"/>
      <c r="AE76" s="68"/>
      <c r="AF76" s="68"/>
      <c r="AM76" s="66" t="s">
        <v>360</v>
      </c>
    </row>
    <row r="77" spans="1:79" s="76" customFormat="1" ht="20.25" customHeight="1">
      <c r="A77" s="79" t="s">
        <v>328</v>
      </c>
      <c r="B77" s="982" t="s">
        <v>329</v>
      </c>
      <c r="C77" s="982"/>
      <c r="D77" s="982"/>
      <c r="E77" s="982"/>
      <c r="F77" s="982"/>
      <c r="G77" s="982"/>
      <c r="H77" s="982"/>
      <c r="I77" s="982"/>
      <c r="J77" s="982"/>
      <c r="K77" s="982"/>
      <c r="L77" s="982"/>
      <c r="M77" s="982"/>
      <c r="N77" s="982"/>
      <c r="O77" s="982"/>
      <c r="P77" s="982"/>
      <c r="Q77" s="982"/>
      <c r="R77" s="982"/>
      <c r="S77" s="982"/>
      <c r="T77" s="982"/>
      <c r="U77" s="982"/>
      <c r="V77" s="982"/>
      <c r="W77" s="982"/>
      <c r="X77" s="982"/>
      <c r="Y77" s="982"/>
      <c r="Z77" s="982"/>
      <c r="AA77" s="982"/>
      <c r="AB77" s="982"/>
      <c r="AC77" s="982"/>
      <c r="AD77" s="982"/>
      <c r="AE77" s="982"/>
      <c r="AF77" s="982"/>
      <c r="AG77" s="982"/>
      <c r="AH77" s="982"/>
      <c r="AI77" s="982"/>
      <c r="AJ77" s="982"/>
      <c r="AK77" s="982"/>
      <c r="AL77" s="982"/>
      <c r="AM77" s="982"/>
      <c r="AN77"/>
    </row>
    <row r="78" spans="1:79" s="76" customFormat="1" ht="18" customHeight="1">
      <c r="A78" s="887">
        <f>+A57</f>
        <v>0</v>
      </c>
      <c r="B78" s="887"/>
      <c r="C78" s="887"/>
      <c r="D78" s="887"/>
      <c r="E78" s="887"/>
      <c r="F78" s="887"/>
      <c r="G78" s="887"/>
      <c r="H78" s="887"/>
      <c r="I78" s="887"/>
      <c r="J78" s="887"/>
      <c r="K78" s="887"/>
      <c r="L78" s="887"/>
      <c r="M78" s="887"/>
      <c r="N78" s="887"/>
      <c r="O78" s="887"/>
      <c r="P78" s="887"/>
      <c r="Q78" s="887"/>
      <c r="R78" s="887"/>
      <c r="S78" s="887"/>
      <c r="T78" s="887"/>
      <c r="U78" s="887"/>
      <c r="V78" s="887"/>
      <c r="W78" s="887"/>
      <c r="X78" s="887"/>
      <c r="Y78" s="887"/>
      <c r="Z78" s="887"/>
      <c r="AA78" s="887"/>
      <c r="AB78" s="887"/>
      <c r="AC78" s="887"/>
      <c r="AD78" s="887"/>
      <c r="AE78" s="887"/>
      <c r="AF78" s="887"/>
      <c r="AG78" s="887"/>
      <c r="AH78" s="887"/>
      <c r="AI78" s="887"/>
      <c r="AJ78" s="887"/>
      <c r="AK78" s="887"/>
      <c r="AL78" s="887"/>
      <c r="AM78" s="887"/>
      <c r="AN78"/>
    </row>
    <row r="79" spans="1:79" s="76" customFormat="1" ht="14.25" customHeight="1">
      <c r="A79" s="981">
        <f>+A58</f>
        <v>0</v>
      </c>
      <c r="B79" s="938"/>
      <c r="C79" s="938"/>
      <c r="D79" s="938"/>
      <c r="E79" s="938"/>
      <c r="F79" s="938"/>
      <c r="G79" s="938"/>
      <c r="H79" s="938"/>
      <c r="I79" s="938"/>
      <c r="J79" s="938"/>
      <c r="K79" s="938"/>
      <c r="L79" s="938"/>
      <c r="M79" s="938"/>
      <c r="N79" s="938"/>
      <c r="O79" s="938"/>
      <c r="P79" s="938"/>
      <c r="Q79" s="938"/>
      <c r="R79" s="938"/>
      <c r="S79" s="938"/>
      <c r="T79" s="938"/>
      <c r="U79" s="938"/>
      <c r="V79" s="938"/>
      <c r="W79" s="938"/>
      <c r="X79" s="938"/>
      <c r="Y79" s="938"/>
      <c r="Z79" s="938"/>
      <c r="AA79" s="938"/>
      <c r="AB79" s="938"/>
      <c r="AC79" s="938"/>
      <c r="AD79" s="938"/>
      <c r="AE79" s="938"/>
      <c r="AF79" s="938"/>
      <c r="AG79" s="938"/>
      <c r="AH79" s="938"/>
      <c r="AI79" s="938"/>
      <c r="AJ79" s="938"/>
      <c r="AK79" s="938"/>
      <c r="AL79" s="938"/>
      <c r="AM79" s="938"/>
      <c r="AN79"/>
    </row>
    <row r="80" spans="1:79" s="65" customFormat="1" ht="30.75" customHeight="1">
      <c r="A80" s="970" t="s">
        <v>330</v>
      </c>
      <c r="B80" s="970"/>
      <c r="C80" s="970"/>
      <c r="D80" s="970"/>
      <c r="E80" s="970"/>
      <c r="F80" s="970"/>
      <c r="G80" s="970"/>
      <c r="H80" s="970"/>
      <c r="I80" s="970" t="s">
        <v>310</v>
      </c>
      <c r="J80" s="970"/>
      <c r="K80" s="970"/>
      <c r="L80" s="970"/>
      <c r="M80" s="970"/>
      <c r="N80" s="970"/>
      <c r="O80" s="970"/>
      <c r="P80" s="970"/>
      <c r="Q80" s="970"/>
      <c r="R80" s="1017"/>
      <c r="S80" s="1017"/>
      <c r="T80" s="1013" t="s">
        <v>331</v>
      </c>
      <c r="U80" s="1014"/>
      <c r="V80" s="1014"/>
      <c r="W80" s="1015"/>
      <c r="X80" s="970" t="s">
        <v>332</v>
      </c>
      <c r="Y80" s="970"/>
      <c r="Z80" s="970"/>
      <c r="AA80" s="970"/>
      <c r="AB80" s="970"/>
      <c r="AC80" s="970"/>
      <c r="AD80" s="970"/>
      <c r="AE80" s="970"/>
      <c r="AF80" s="970"/>
      <c r="AG80" s="971" t="s">
        <v>633</v>
      </c>
      <c r="AH80" s="971"/>
      <c r="AI80" s="971"/>
      <c r="AJ80" s="971"/>
      <c r="AK80" s="971"/>
      <c r="AL80" s="971"/>
      <c r="AM80" s="971"/>
      <c r="AN80"/>
      <c r="AO80"/>
      <c r="AP80"/>
      <c r="AQ80"/>
      <c r="AR80"/>
      <c r="AS80"/>
      <c r="AT80"/>
      <c r="AU80"/>
      <c r="AV80"/>
      <c r="AW80"/>
      <c r="AX80"/>
      <c r="AY80"/>
      <c r="AZ80"/>
      <c r="BA80"/>
      <c r="BB80"/>
    </row>
    <row r="81" spans="1:54" s="65" customFormat="1" ht="25.5" customHeight="1">
      <c r="A81" s="988" t="s">
        <v>1072</v>
      </c>
      <c r="B81" s="988"/>
      <c r="C81" s="988"/>
      <c r="D81" s="988"/>
      <c r="E81" s="988"/>
      <c r="F81" s="988"/>
      <c r="G81" s="988"/>
      <c r="H81" s="988"/>
      <c r="I81" s="963" t="s">
        <v>361</v>
      </c>
      <c r="J81" s="963"/>
      <c r="K81" s="1016">
        <f>ROUNDDOWN(+Q65*0.75,-2)</f>
        <v>0</v>
      </c>
      <c r="L81" s="1016"/>
      <c r="M81" s="1016"/>
      <c r="N81" s="1016"/>
      <c r="O81" s="1016"/>
      <c r="P81" s="1016"/>
      <c r="Q81" s="1016"/>
      <c r="R81" s="963" t="s">
        <v>361</v>
      </c>
      <c r="S81" s="963"/>
      <c r="T81" s="966">
        <f>S70*75%</f>
        <v>0</v>
      </c>
      <c r="U81" s="966"/>
      <c r="V81" s="966"/>
      <c r="W81" s="966"/>
      <c r="X81" s="963" t="s">
        <v>361</v>
      </c>
      <c r="Y81" s="963"/>
      <c r="Z81" s="987"/>
      <c r="AA81" s="987"/>
      <c r="AB81" s="987"/>
      <c r="AC81" s="987"/>
      <c r="AD81" s="987"/>
      <c r="AE81" s="987"/>
      <c r="AF81" s="987"/>
      <c r="AG81" s="963" t="s">
        <v>361</v>
      </c>
      <c r="AH81" s="963"/>
      <c r="AI81" s="969">
        <f>IFERROR(+K81+T81+Z81,0)</f>
        <v>0</v>
      </c>
      <c r="AJ81" s="969"/>
      <c r="AK81" s="969"/>
      <c r="AL81" s="969"/>
      <c r="AM81" s="969"/>
      <c r="AN81"/>
      <c r="AO81"/>
      <c r="AP81"/>
      <c r="AQ81"/>
      <c r="AR81"/>
      <c r="AS81"/>
      <c r="AT81"/>
      <c r="AU81"/>
      <c r="AV81"/>
      <c r="AW81"/>
      <c r="AX81"/>
      <c r="AY81"/>
      <c r="AZ81"/>
      <c r="BA81"/>
      <c r="BB81"/>
    </row>
    <row r="82" spans="1:54" s="65" customFormat="1" ht="48.75" customHeight="1">
      <c r="A82" s="70"/>
      <c r="B82" s="71"/>
      <c r="C82" s="71"/>
      <c r="D82" s="71"/>
      <c r="E82" s="71"/>
      <c r="F82" s="71"/>
      <c r="G82" s="71"/>
      <c r="H82" s="71"/>
      <c r="I82" s="71"/>
      <c r="J82" s="71"/>
      <c r="K82" s="71"/>
      <c r="L82" s="71"/>
      <c r="M82" s="71"/>
      <c r="N82" s="71"/>
      <c r="O82" s="71"/>
      <c r="Q82" s="66"/>
      <c r="R82" s="66"/>
      <c r="S82" s="66"/>
      <c r="T82" s="66"/>
      <c r="U82" s="66"/>
      <c r="V82" s="66"/>
      <c r="W82" s="66"/>
      <c r="X82" s="66"/>
      <c r="Y82" s="66"/>
      <c r="Z82" s="106"/>
      <c r="AA82" s="106"/>
      <c r="AB82" s="106"/>
      <c r="AC82" s="106"/>
      <c r="AD82" s="106"/>
      <c r="AE82" s="106"/>
      <c r="AF82" s="106"/>
      <c r="AG82" s="108"/>
      <c r="AH82" s="108"/>
      <c r="AI82" s="108"/>
      <c r="AJ82" s="108"/>
      <c r="AK82" s="108"/>
      <c r="AL82" s="108"/>
      <c r="AM82" s="108"/>
      <c r="AN82" s="108"/>
      <c r="AO82" s="71"/>
      <c r="AP82" s="71"/>
    </row>
    <row r="83" spans="1:54" s="65" customFormat="1" ht="20.25" customHeight="1">
      <c r="A83" s="68"/>
      <c r="B83" s="806"/>
      <c r="C83" s="806"/>
      <c r="D83" s="806"/>
      <c r="E83" s="806"/>
      <c r="F83" s="806"/>
      <c r="G83" s="806"/>
      <c r="H83" s="68"/>
      <c r="I83" s="68"/>
      <c r="J83" s="68"/>
      <c r="K83" s="68"/>
      <c r="L83" s="68"/>
      <c r="M83" s="68"/>
      <c r="N83" s="68"/>
      <c r="O83" s="68"/>
      <c r="P83" s="806"/>
      <c r="Q83" s="806"/>
      <c r="R83" s="806"/>
      <c r="S83" s="806"/>
      <c r="T83" s="806"/>
      <c r="U83" s="806"/>
      <c r="V83" s="68"/>
      <c r="W83" s="68"/>
      <c r="AD83" s="66"/>
      <c r="AE83" s="66"/>
      <c r="AF83" s="806"/>
      <c r="AG83" s="806"/>
      <c r="AH83" s="806"/>
      <c r="AI83" s="806"/>
      <c r="AJ83" s="806"/>
      <c r="AK83" s="806"/>
      <c r="AL83" s="806"/>
      <c r="AM83" s="66"/>
    </row>
    <row r="84" spans="1:54" s="65" customFormat="1" ht="22.5" customHeight="1">
      <c r="A84" s="68"/>
      <c r="B84" s="265"/>
      <c r="C84" s="265"/>
      <c r="D84" s="265"/>
      <c r="E84" s="265"/>
      <c r="F84" s="265"/>
      <c r="G84" s="265"/>
      <c r="H84" s="68"/>
      <c r="I84" s="68"/>
      <c r="J84" s="68"/>
      <c r="K84" s="68"/>
      <c r="L84" s="68"/>
      <c r="M84" s="68"/>
      <c r="N84" s="68"/>
      <c r="O84" s="68"/>
      <c r="P84" s="265"/>
      <c r="Q84" s="265"/>
      <c r="R84" s="265"/>
      <c r="S84" s="265"/>
      <c r="T84" s="265"/>
      <c r="U84" s="265"/>
      <c r="V84" s="68"/>
      <c r="W84" s="68"/>
      <c r="AD84" s="66"/>
      <c r="AE84" s="66"/>
      <c r="AF84" s="265"/>
      <c r="AG84" s="265"/>
      <c r="AH84" s="265"/>
      <c r="AI84" s="265"/>
      <c r="AJ84" s="265"/>
      <c r="AK84" s="265"/>
      <c r="AL84" s="265"/>
      <c r="AM84" s="66"/>
    </row>
    <row r="85" spans="1:54" s="65" customFormat="1" ht="20.25" customHeight="1">
      <c r="A85" s="68"/>
      <c r="B85" s="265"/>
      <c r="C85" s="265"/>
      <c r="D85" s="265"/>
      <c r="E85" s="265"/>
      <c r="F85" s="265"/>
      <c r="G85" s="265"/>
      <c r="H85" s="68"/>
      <c r="I85" s="68"/>
      <c r="J85" s="68"/>
      <c r="K85" s="68"/>
      <c r="L85" s="68"/>
      <c r="M85" s="68"/>
      <c r="N85" s="68"/>
      <c r="O85" s="68"/>
      <c r="P85" s="265"/>
      <c r="Q85" s="265"/>
      <c r="R85" s="265"/>
      <c r="S85" s="265"/>
      <c r="T85" s="265"/>
      <c r="U85" s="265"/>
      <c r="V85" s="68"/>
      <c r="W85" s="68"/>
      <c r="AD85" s="66"/>
      <c r="AE85" s="66"/>
      <c r="AF85" s="265"/>
      <c r="AG85" s="265"/>
      <c r="AH85" s="265"/>
      <c r="AI85" s="265"/>
      <c r="AJ85" s="265"/>
      <c r="AK85" s="265"/>
      <c r="AL85" s="265"/>
      <c r="AM85" s="66"/>
    </row>
    <row r="86" spans="1:54" s="65" customFormat="1" ht="11.25" customHeight="1">
      <c r="A86" s="68"/>
      <c r="B86" s="265"/>
      <c r="C86" s="265"/>
      <c r="D86" s="265"/>
      <c r="E86" s="265"/>
      <c r="F86" s="265"/>
      <c r="G86" s="265"/>
      <c r="H86" s="68"/>
      <c r="I86" s="68"/>
      <c r="J86" s="68"/>
      <c r="K86" s="68"/>
      <c r="L86" s="68"/>
      <c r="M86" s="68"/>
      <c r="N86" s="68"/>
      <c r="O86" s="68"/>
      <c r="P86" s="265"/>
      <c r="Q86" s="265"/>
      <c r="R86" s="265"/>
      <c r="S86" s="265"/>
      <c r="T86" s="265"/>
      <c r="U86" s="265"/>
      <c r="V86" s="68"/>
      <c r="W86" s="68"/>
      <c r="AD86" s="66"/>
      <c r="AE86" s="66"/>
      <c r="AF86" s="265"/>
      <c r="AG86" s="265"/>
      <c r="AH86" s="265"/>
      <c r="AI86" s="265"/>
      <c r="AJ86" s="265"/>
      <c r="AK86" s="265"/>
      <c r="AL86" s="265"/>
      <c r="AM86" s="66"/>
    </row>
    <row r="87" spans="1:54" ht="20.25" customHeight="1">
      <c r="A87" s="70" t="s">
        <v>238</v>
      </c>
      <c r="B87" s="965" t="s">
        <v>1090</v>
      </c>
      <c r="C87" s="965"/>
      <c r="D87" s="965"/>
      <c r="E87" s="965"/>
      <c r="F87" s="965"/>
      <c r="G87" s="965"/>
      <c r="H87" s="965"/>
      <c r="I87" s="965"/>
      <c r="J87" s="965"/>
      <c r="K87" s="965"/>
      <c r="L87" s="965"/>
      <c r="M87" s="965"/>
      <c r="N87" s="965"/>
      <c r="O87" s="965"/>
      <c r="P87" s="965"/>
      <c r="Q87" s="965"/>
      <c r="R87" s="965"/>
      <c r="S87" s="965"/>
      <c r="T87" s="965"/>
      <c r="U87" s="965"/>
      <c r="V87" s="965"/>
      <c r="W87" s="965"/>
      <c r="X87" s="965"/>
      <c r="Y87" s="965"/>
      <c r="Z87" s="965"/>
      <c r="AA87" s="965"/>
      <c r="AB87" s="965"/>
      <c r="AC87" s="965"/>
      <c r="AD87" s="965"/>
      <c r="AE87" s="965"/>
      <c r="AF87" s="965"/>
      <c r="AG87" s="965"/>
      <c r="AH87" s="965"/>
      <c r="AI87" s="965"/>
      <c r="AJ87" s="965"/>
      <c r="AK87" s="965"/>
      <c r="AL87" s="965"/>
      <c r="AM87" s="965"/>
    </row>
    <row r="88" spans="1:54" ht="20.25" customHeight="1">
      <c r="A88" s="984" t="s">
        <v>363</v>
      </c>
      <c r="B88" s="980" t="s">
        <v>362</v>
      </c>
      <c r="C88" s="980"/>
      <c r="D88" s="980"/>
      <c r="E88" s="980"/>
      <c r="F88" s="980"/>
      <c r="G88" s="980"/>
      <c r="H88" s="980"/>
      <c r="I88" s="980"/>
      <c r="J88" s="980"/>
      <c r="K88" s="980"/>
      <c r="L88" s="980"/>
      <c r="M88" s="980"/>
      <c r="N88" s="980"/>
      <c r="O88" s="980"/>
      <c r="P88" s="980"/>
      <c r="Q88" s="980"/>
      <c r="R88" s="980"/>
      <c r="S88" s="980"/>
      <c r="T88" s="980"/>
      <c r="U88" s="980"/>
      <c r="V88" s="980"/>
      <c r="W88" s="980"/>
      <c r="X88" s="979" t="s">
        <v>1166</v>
      </c>
      <c r="Y88" s="979"/>
      <c r="Z88" s="979"/>
      <c r="AA88" s="979"/>
      <c r="AB88" s="979"/>
      <c r="AC88" s="979"/>
      <c r="AD88" s="979"/>
      <c r="AE88" s="979"/>
      <c r="AF88" s="979"/>
      <c r="AG88" s="979"/>
      <c r="AH88" s="979"/>
      <c r="AI88" s="979"/>
      <c r="AJ88" s="979"/>
      <c r="AK88" s="979"/>
      <c r="AL88" s="979"/>
      <c r="AM88" s="979"/>
    </row>
    <row r="89" spans="1:54" ht="20.25" customHeight="1">
      <c r="A89" s="984"/>
      <c r="B89" s="980"/>
      <c r="C89" s="980"/>
      <c r="D89" s="980"/>
      <c r="E89" s="980"/>
      <c r="F89" s="980"/>
      <c r="G89" s="980"/>
      <c r="H89" s="980"/>
      <c r="I89" s="980"/>
      <c r="J89" s="980"/>
      <c r="K89" s="980"/>
      <c r="L89" s="980"/>
      <c r="M89" s="980"/>
      <c r="N89" s="980"/>
      <c r="O89" s="980"/>
      <c r="P89" s="980"/>
      <c r="Q89" s="980"/>
      <c r="R89" s="980"/>
      <c r="S89" s="980"/>
      <c r="T89" s="980"/>
      <c r="U89" s="980"/>
      <c r="V89" s="980"/>
      <c r="W89" s="980"/>
      <c r="X89" s="979"/>
      <c r="Y89" s="979"/>
      <c r="Z89" s="979"/>
      <c r="AA89" s="979"/>
      <c r="AB89" s="979"/>
      <c r="AC89" s="979"/>
      <c r="AD89" s="979"/>
      <c r="AE89" s="979"/>
      <c r="AF89" s="979"/>
      <c r="AG89" s="979"/>
      <c r="AH89" s="979"/>
      <c r="AI89" s="979"/>
      <c r="AJ89" s="979"/>
      <c r="AK89" s="979"/>
      <c r="AL89" s="979"/>
      <c r="AM89" s="979"/>
    </row>
    <row r="90" spans="1:54" ht="20.25" customHeight="1">
      <c r="A90" s="984" t="s">
        <v>365</v>
      </c>
      <c r="B90" s="985" t="s">
        <v>364</v>
      </c>
      <c r="C90" s="985"/>
      <c r="D90" s="985"/>
      <c r="E90" s="985"/>
      <c r="F90" s="985"/>
      <c r="G90" s="985"/>
      <c r="H90" s="985"/>
      <c r="I90" s="985"/>
      <c r="J90" s="985"/>
      <c r="K90" s="985"/>
      <c r="L90" s="985"/>
      <c r="M90" s="985"/>
      <c r="N90" s="985"/>
      <c r="O90" s="985"/>
      <c r="P90" s="985"/>
      <c r="Q90" s="985"/>
      <c r="R90" s="985"/>
      <c r="S90" s="985"/>
      <c r="T90" s="985"/>
      <c r="U90" s="985"/>
      <c r="V90" s="985"/>
      <c r="W90" s="985"/>
      <c r="X90" s="979" t="s">
        <v>634</v>
      </c>
      <c r="Y90" s="979"/>
      <c r="Z90" s="979"/>
      <c r="AA90" s="979"/>
      <c r="AB90" s="979"/>
      <c r="AC90" s="979"/>
      <c r="AD90" s="979"/>
      <c r="AE90" s="979"/>
      <c r="AF90" s="979"/>
      <c r="AG90" s="979"/>
      <c r="AH90" s="979"/>
      <c r="AI90" s="979"/>
      <c r="AJ90" s="979"/>
      <c r="AK90" s="979"/>
      <c r="AL90" s="979"/>
      <c r="AM90" s="979"/>
    </row>
    <row r="91" spans="1:54" ht="20.25" customHeight="1">
      <c r="A91" s="984"/>
      <c r="B91" s="985"/>
      <c r="C91" s="985"/>
      <c r="D91" s="985"/>
      <c r="E91" s="985"/>
      <c r="F91" s="985"/>
      <c r="G91" s="985"/>
      <c r="H91" s="985"/>
      <c r="I91" s="985"/>
      <c r="J91" s="985"/>
      <c r="K91" s="985"/>
      <c r="L91" s="985"/>
      <c r="M91" s="985"/>
      <c r="N91" s="985"/>
      <c r="O91" s="985"/>
      <c r="P91" s="985"/>
      <c r="Q91" s="985"/>
      <c r="R91" s="985"/>
      <c r="S91" s="985"/>
      <c r="T91" s="985"/>
      <c r="U91" s="985"/>
      <c r="V91" s="985"/>
      <c r="W91" s="985"/>
      <c r="X91" s="979"/>
      <c r="Y91" s="979"/>
      <c r="Z91" s="979"/>
      <c r="AA91" s="979"/>
      <c r="AB91" s="979"/>
      <c r="AC91" s="979"/>
      <c r="AD91" s="979"/>
      <c r="AE91" s="979"/>
      <c r="AF91" s="979"/>
      <c r="AG91" s="979"/>
      <c r="AH91" s="979"/>
      <c r="AI91" s="979"/>
      <c r="AJ91" s="979"/>
      <c r="AK91" s="979"/>
      <c r="AL91" s="979"/>
      <c r="AM91" s="979"/>
    </row>
    <row r="92" spans="1:54" ht="20.25" customHeight="1">
      <c r="A92" s="984" t="s">
        <v>29</v>
      </c>
      <c r="B92" s="985" t="s">
        <v>366</v>
      </c>
      <c r="C92" s="985"/>
      <c r="D92" s="985"/>
      <c r="E92" s="985"/>
      <c r="F92" s="985"/>
      <c r="G92" s="985"/>
      <c r="H92" s="985"/>
      <c r="I92" s="985"/>
      <c r="J92" s="985"/>
      <c r="K92" s="985"/>
      <c r="L92" s="985"/>
      <c r="M92" s="985"/>
      <c r="N92" s="985"/>
      <c r="O92" s="985"/>
      <c r="P92" s="985"/>
      <c r="Q92" s="985"/>
      <c r="R92" s="985"/>
      <c r="S92" s="985"/>
      <c r="T92" s="985"/>
      <c r="U92" s="985"/>
      <c r="V92" s="985"/>
      <c r="W92" s="985"/>
      <c r="X92" s="979" t="s">
        <v>635</v>
      </c>
      <c r="Y92" s="979"/>
      <c r="Z92" s="979"/>
      <c r="AA92" s="979"/>
      <c r="AB92" s="979"/>
      <c r="AC92" s="979"/>
      <c r="AD92" s="979"/>
      <c r="AE92" s="979"/>
      <c r="AF92" s="979"/>
      <c r="AG92" s="979"/>
      <c r="AH92" s="979"/>
      <c r="AI92" s="979"/>
      <c r="AJ92" s="979"/>
      <c r="AK92" s="979"/>
      <c r="AL92" s="979"/>
      <c r="AM92" s="979"/>
    </row>
    <row r="93" spans="1:54" ht="20.25" customHeight="1">
      <c r="A93" s="984"/>
      <c r="B93" s="985"/>
      <c r="C93" s="985"/>
      <c r="D93" s="985"/>
      <c r="E93" s="985"/>
      <c r="F93" s="985"/>
      <c r="G93" s="985"/>
      <c r="H93" s="985"/>
      <c r="I93" s="985"/>
      <c r="J93" s="985"/>
      <c r="K93" s="985"/>
      <c r="L93" s="985"/>
      <c r="M93" s="985"/>
      <c r="N93" s="985"/>
      <c r="O93" s="985"/>
      <c r="P93" s="985"/>
      <c r="Q93" s="985"/>
      <c r="R93" s="985"/>
      <c r="S93" s="985"/>
      <c r="T93" s="985"/>
      <c r="U93" s="985"/>
      <c r="V93" s="985"/>
      <c r="W93" s="985"/>
      <c r="X93" s="979"/>
      <c r="Y93" s="979"/>
      <c r="Z93" s="979"/>
      <c r="AA93" s="979"/>
      <c r="AB93" s="979"/>
      <c r="AC93" s="979"/>
      <c r="AD93" s="979"/>
      <c r="AE93" s="979"/>
      <c r="AF93" s="979"/>
      <c r="AG93" s="979"/>
      <c r="AH93" s="979"/>
      <c r="AI93" s="979"/>
      <c r="AJ93" s="979"/>
      <c r="AK93" s="979"/>
      <c r="AL93" s="979"/>
      <c r="AM93" s="979"/>
    </row>
    <row r="94" spans="1:54" ht="20.25" customHeight="1">
      <c r="A94" s="984" t="s">
        <v>31</v>
      </c>
      <c r="B94" s="985" t="s">
        <v>367</v>
      </c>
      <c r="C94" s="985"/>
      <c r="D94" s="985"/>
      <c r="E94" s="985"/>
      <c r="F94" s="985"/>
      <c r="G94" s="985"/>
      <c r="H94" s="985"/>
      <c r="I94" s="985"/>
      <c r="J94" s="985"/>
      <c r="K94" s="985"/>
      <c r="L94" s="985"/>
      <c r="M94" s="985"/>
      <c r="N94" s="985"/>
      <c r="O94" s="985"/>
      <c r="P94" s="985"/>
      <c r="Q94" s="985"/>
      <c r="R94" s="985"/>
      <c r="S94" s="985"/>
      <c r="T94" s="985"/>
      <c r="U94" s="985"/>
      <c r="V94" s="985"/>
      <c r="W94" s="985"/>
      <c r="X94" s="1085" t="s">
        <v>636</v>
      </c>
      <c r="Y94" s="1085"/>
      <c r="Z94" s="1085"/>
      <c r="AA94" s="1085"/>
      <c r="AB94" s="1085"/>
      <c r="AC94" s="1085"/>
      <c r="AD94" s="1085"/>
      <c r="AE94" s="1085"/>
      <c r="AF94" s="1085"/>
      <c r="AG94" s="1085"/>
      <c r="AH94" s="1085"/>
      <c r="AI94" s="1085"/>
      <c r="AJ94" s="1085"/>
      <c r="AK94" s="1085"/>
      <c r="AL94" s="1085"/>
      <c r="AM94" s="1085"/>
    </row>
    <row r="95" spans="1:54" ht="20.25" customHeight="1">
      <c r="A95" s="984"/>
      <c r="B95" s="985"/>
      <c r="C95" s="985"/>
      <c r="D95" s="985"/>
      <c r="E95" s="985"/>
      <c r="F95" s="985"/>
      <c r="G95" s="985"/>
      <c r="H95" s="985"/>
      <c r="I95" s="985"/>
      <c r="J95" s="985"/>
      <c r="K95" s="985"/>
      <c r="L95" s="985"/>
      <c r="M95" s="985"/>
      <c r="N95" s="985"/>
      <c r="O95" s="985"/>
      <c r="P95" s="985"/>
      <c r="Q95" s="985"/>
      <c r="R95" s="985"/>
      <c r="S95" s="985"/>
      <c r="T95" s="985"/>
      <c r="U95" s="985"/>
      <c r="V95" s="985"/>
      <c r="W95" s="985"/>
      <c r="X95" s="1085"/>
      <c r="Y95" s="1085"/>
      <c r="Z95" s="1085"/>
      <c r="AA95" s="1085"/>
      <c r="AB95" s="1085"/>
      <c r="AC95" s="1085"/>
      <c r="AD95" s="1085"/>
      <c r="AE95" s="1085"/>
      <c r="AF95" s="1085"/>
      <c r="AG95" s="1085"/>
      <c r="AH95" s="1085"/>
      <c r="AI95" s="1085"/>
      <c r="AJ95" s="1085"/>
      <c r="AK95" s="1085"/>
      <c r="AL95" s="1085"/>
      <c r="AM95" s="1085"/>
    </row>
    <row r="96" spans="1:54" ht="20.25" customHeight="1">
      <c r="A96" s="69" t="s">
        <v>33</v>
      </c>
      <c r="B96" s="985" t="s">
        <v>368</v>
      </c>
      <c r="C96" s="985"/>
      <c r="D96" s="985"/>
      <c r="E96" s="985"/>
      <c r="F96" s="985"/>
      <c r="G96" s="985"/>
      <c r="H96" s="985"/>
      <c r="I96" s="985"/>
      <c r="J96" s="985"/>
      <c r="K96" s="985"/>
      <c r="L96" s="985"/>
      <c r="M96" s="985"/>
      <c r="N96" s="985"/>
      <c r="O96" s="985"/>
      <c r="P96" s="985"/>
      <c r="Q96" s="985"/>
      <c r="R96" s="985"/>
      <c r="S96" s="985"/>
      <c r="T96" s="985"/>
      <c r="U96" s="985"/>
      <c r="V96" s="985"/>
      <c r="W96" s="985"/>
      <c r="X96" s="986" t="s">
        <v>1167</v>
      </c>
      <c r="Y96" s="986"/>
      <c r="Z96" s="986"/>
      <c r="AA96" s="986"/>
      <c r="AB96" s="986"/>
      <c r="AC96" s="986"/>
      <c r="AD96" s="986"/>
      <c r="AE96" s="986"/>
      <c r="AF96" s="986"/>
      <c r="AG96" s="986"/>
      <c r="AH96" s="986"/>
      <c r="AI96" s="986"/>
      <c r="AJ96" s="986"/>
      <c r="AK96" s="986"/>
      <c r="AL96" s="986"/>
      <c r="AM96" s="986"/>
    </row>
    <row r="97" spans="1:44" ht="20.25" customHeight="1">
      <c r="A97" s="39"/>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row>
    <row r="98" spans="1:44" s="76" customFormat="1" ht="20.25" customHeight="1">
      <c r="A98" s="80" t="s">
        <v>252</v>
      </c>
      <c r="B98" s="982" t="s">
        <v>401</v>
      </c>
      <c r="C98" s="982"/>
      <c r="D98" s="982"/>
      <c r="E98" s="982"/>
      <c r="F98" s="982"/>
      <c r="G98" s="982"/>
      <c r="H98" s="982"/>
      <c r="I98" s="982"/>
      <c r="J98" s="982"/>
      <c r="K98" s="982"/>
      <c r="L98" s="982"/>
      <c r="M98" s="982"/>
      <c r="N98" s="982"/>
      <c r="O98" s="982"/>
      <c r="P98" s="982"/>
      <c r="Q98" s="982"/>
      <c r="R98" s="982"/>
      <c r="S98" s="982"/>
      <c r="T98" s="982"/>
      <c r="U98" s="982"/>
      <c r="V98" s="982"/>
      <c r="W98" s="982"/>
      <c r="X98" s="982"/>
      <c r="Y98" s="982"/>
      <c r="Z98" s="982"/>
      <c r="AA98" s="982"/>
      <c r="AB98" s="982"/>
      <c r="AC98" s="982"/>
      <c r="AD98" s="982"/>
      <c r="AE98" s="982"/>
      <c r="AF98" s="982"/>
      <c r="AG98" s="982"/>
      <c r="AH98" s="982"/>
      <c r="AI98" s="982"/>
      <c r="AJ98" s="982"/>
      <c r="AK98" s="982"/>
      <c r="AL98" s="982"/>
      <c r="AM98" s="982"/>
      <c r="AP98"/>
      <c r="AQ98"/>
      <c r="AR98"/>
    </row>
    <row r="99" spans="1:44" s="65" customFormat="1" ht="35.25" customHeight="1">
      <c r="A99" s="71"/>
      <c r="B99" s="983" t="s">
        <v>402</v>
      </c>
      <c r="C99" s="983"/>
      <c r="D99" s="983"/>
      <c r="E99" s="983"/>
      <c r="F99" s="983"/>
      <c r="G99" s="983"/>
      <c r="H99" s="983"/>
      <c r="I99" s="983"/>
      <c r="J99" s="983"/>
      <c r="K99" s="983"/>
      <c r="L99" s="983"/>
      <c r="M99" s="983"/>
      <c r="N99" s="983"/>
      <c r="O99" s="983"/>
      <c r="P99" s="983"/>
      <c r="Q99" s="983"/>
      <c r="R99" s="983"/>
      <c r="S99" s="983"/>
      <c r="T99" s="983"/>
      <c r="U99" s="983"/>
      <c r="V99" s="983"/>
      <c r="W99" s="983"/>
      <c r="X99" s="983"/>
      <c r="Y99" s="983"/>
      <c r="Z99" s="983"/>
      <c r="AA99" s="983"/>
      <c r="AB99" s="983"/>
      <c r="AC99" s="983"/>
      <c r="AD99" s="983"/>
      <c r="AE99" s="983"/>
      <c r="AF99" s="983"/>
      <c r="AG99" s="983"/>
      <c r="AH99" s="983"/>
      <c r="AI99" s="983"/>
      <c r="AJ99" s="983"/>
      <c r="AK99" s="983"/>
      <c r="AL99" s="983"/>
      <c r="AM99" s="983"/>
    </row>
    <row r="100" spans="1:44" s="65" customFormat="1" ht="33.75" customHeight="1">
      <c r="A100" s="805" t="str">
        <f>+'Data Input'!B49</f>
        <v>‡gmvm© mvbd¬vIqvi †UBjvm© GÛ †dweªK&amp;ª bvgK e¨emv cÖwZôvbwU Av‡e`bKvixi wcZv `xN©w`b a‡i cwiPvjbv KiwQ‡jb| Av‡e`bKvixi wcZvi g„Z¨yi ci GKgvÎ Iqvwik wn‡m‡e wZwb D³ e¨emv cÖwZôvbwU cwiPvjbv Ki‡Qb|  Kvc‡oi e¨emvwU jvfRbK e¨emv| eZ©gvb evRvig~j¨ e„w× cvIqvq wZwb Zvi e¨emvwU cÖmvwiZ I mwVKfv‡e cwiPvjbv Ki‡Z cvi‡Qb bv | ZvB wZwb e¨vs‡K wmGgGmGgB Lv‡Z bM` cyuwR F‡Yi Av‡e`b K‡i‡Qb|  D³ cÖwZôv‡bi AbyKz‡j e¨vsK wewb‡qvM Ki‡j e¨vsK I D‡`¨v³v Df‡qB Avw_©Kfv‡e jvfevb n‡e| D‡`¨v³v Avw_©K w`K w`‡q ¯^”Qj Ges FY cwi‡kv‡a mvg_©¨evb| D‡`¨v³vi Av‡e`b, e¨emvwqK AwfÁZv, cÖwZôv‡bi µgweKvk BZ¨vw` we‡ePbv K‡i ‡gmvm© mvbd¬vIqvi †UBjvm© GÛ †dweªK&amp;ª Gi AbyKz‡j Kvc‡oi e¨emv cwiPvjbvi Rb¨ wmGgGmGgB Lv‡Z  1 (GK) erm‡ii ‡gqv‡` gs  70.00 (mËi) jÿ UvKv gvÎ bM` cyuwR FY gÄyixi  mycvwik Kiv n‡jv|</v>
      </c>
      <c r="B100" s="805"/>
      <c r="C100" s="805"/>
      <c r="D100" s="805"/>
      <c r="E100" s="805"/>
      <c r="F100" s="805"/>
      <c r="G100" s="805"/>
      <c r="H100" s="805"/>
      <c r="I100" s="805"/>
      <c r="J100" s="805"/>
      <c r="K100" s="805"/>
      <c r="L100" s="805"/>
      <c r="M100" s="805"/>
      <c r="N100" s="805"/>
      <c r="O100" s="805"/>
      <c r="P100" s="805"/>
      <c r="Q100" s="805"/>
      <c r="R100" s="805"/>
      <c r="S100" s="805"/>
      <c r="T100" s="805"/>
      <c r="U100" s="805"/>
      <c r="V100" s="805"/>
      <c r="W100" s="805"/>
      <c r="X100" s="805"/>
      <c r="Y100" s="805"/>
      <c r="Z100" s="805"/>
      <c r="AA100" s="805"/>
      <c r="AB100" s="805"/>
      <c r="AC100" s="805"/>
      <c r="AD100" s="805"/>
      <c r="AE100" s="805"/>
      <c r="AF100" s="805"/>
      <c r="AG100" s="805"/>
      <c r="AH100" s="805"/>
      <c r="AI100" s="805"/>
      <c r="AJ100" s="805"/>
      <c r="AK100" s="805"/>
      <c r="AL100" s="805"/>
      <c r="AM100" s="805"/>
    </row>
    <row r="101" spans="1:44" s="65" customFormat="1" ht="64.5" customHeight="1">
      <c r="A101" s="805"/>
      <c r="B101" s="805"/>
      <c r="C101" s="805"/>
      <c r="D101" s="805"/>
      <c r="E101" s="805"/>
      <c r="F101" s="805"/>
      <c r="G101" s="805"/>
      <c r="H101" s="805"/>
      <c r="I101" s="805"/>
      <c r="J101" s="805"/>
      <c r="K101" s="805"/>
      <c r="L101" s="805"/>
      <c r="M101" s="805"/>
      <c r="N101" s="805"/>
      <c r="O101" s="805"/>
      <c r="P101" s="805"/>
      <c r="Q101" s="805"/>
      <c r="R101" s="805"/>
      <c r="S101" s="805"/>
      <c r="T101" s="805"/>
      <c r="U101" s="805"/>
      <c r="V101" s="805"/>
      <c r="W101" s="805"/>
      <c r="X101" s="805"/>
      <c r="Y101" s="805"/>
      <c r="Z101" s="805"/>
      <c r="AA101" s="805"/>
      <c r="AB101" s="805"/>
      <c r="AC101" s="805"/>
      <c r="AD101" s="805"/>
      <c r="AE101" s="805"/>
      <c r="AF101" s="805"/>
      <c r="AG101" s="805"/>
      <c r="AH101" s="805"/>
      <c r="AI101" s="805"/>
      <c r="AJ101" s="805"/>
      <c r="AK101" s="805"/>
      <c r="AL101" s="805"/>
      <c r="AM101" s="805"/>
    </row>
    <row r="102" spans="1:44" s="65" customFormat="1" ht="41.25" customHeight="1">
      <c r="A102" s="805"/>
      <c r="B102" s="805"/>
      <c r="C102" s="805"/>
      <c r="D102" s="805"/>
      <c r="E102" s="805"/>
      <c r="F102" s="805"/>
      <c r="G102" s="805"/>
      <c r="H102" s="805"/>
      <c r="I102" s="805"/>
      <c r="J102" s="805"/>
      <c r="K102" s="805"/>
      <c r="L102" s="805"/>
      <c r="M102" s="805"/>
      <c r="N102" s="805"/>
      <c r="O102" s="805"/>
      <c r="P102" s="805"/>
      <c r="Q102" s="805"/>
      <c r="R102" s="805"/>
      <c r="S102" s="805"/>
      <c r="T102" s="805"/>
      <c r="U102" s="805"/>
      <c r="V102" s="805"/>
      <c r="W102" s="805"/>
      <c r="X102" s="805"/>
      <c r="Y102" s="805"/>
      <c r="Z102" s="805"/>
      <c r="AA102" s="805"/>
      <c r="AB102" s="805"/>
      <c r="AC102" s="805"/>
      <c r="AD102" s="805"/>
      <c r="AE102" s="805"/>
      <c r="AF102" s="805"/>
      <c r="AG102" s="805"/>
      <c r="AH102" s="805"/>
      <c r="AI102" s="805"/>
      <c r="AJ102" s="805"/>
      <c r="AK102" s="805"/>
      <c r="AL102" s="805"/>
      <c r="AM102" s="805"/>
    </row>
    <row r="103" spans="1:44" s="65" customFormat="1" ht="50.25" customHeight="1">
      <c r="A103" s="805"/>
      <c r="B103" s="805"/>
      <c r="C103" s="805"/>
      <c r="D103" s="805"/>
      <c r="E103" s="805"/>
      <c r="F103" s="805"/>
      <c r="G103" s="805"/>
      <c r="H103" s="805"/>
      <c r="I103" s="805"/>
      <c r="J103" s="805"/>
      <c r="K103" s="805"/>
      <c r="L103" s="805"/>
      <c r="M103" s="805"/>
      <c r="N103" s="805"/>
      <c r="O103" s="805"/>
      <c r="P103" s="805"/>
      <c r="Q103" s="805"/>
      <c r="R103" s="805"/>
      <c r="S103" s="805"/>
      <c r="T103" s="805"/>
      <c r="U103" s="805"/>
      <c r="V103" s="805"/>
      <c r="W103" s="805"/>
      <c r="X103" s="805"/>
      <c r="Y103" s="805"/>
      <c r="Z103" s="805"/>
      <c r="AA103" s="805"/>
      <c r="AB103" s="805"/>
      <c r="AC103" s="805"/>
      <c r="AD103" s="805"/>
      <c r="AE103" s="805"/>
      <c r="AF103" s="805"/>
      <c r="AG103" s="805"/>
      <c r="AH103" s="805"/>
      <c r="AI103" s="805"/>
      <c r="AJ103" s="805"/>
      <c r="AK103" s="805"/>
      <c r="AL103" s="805"/>
      <c r="AM103" s="805"/>
    </row>
    <row r="104" spans="1:44" ht="50.25" customHeight="1">
      <c r="A104" s="805"/>
      <c r="B104" s="805"/>
      <c r="C104" s="805"/>
      <c r="D104" s="805"/>
      <c r="E104" s="805"/>
      <c r="F104" s="805"/>
      <c r="G104" s="805"/>
      <c r="H104" s="805"/>
      <c r="I104" s="805"/>
      <c r="J104" s="805"/>
      <c r="K104" s="805"/>
      <c r="L104" s="805"/>
      <c r="M104" s="805"/>
      <c r="N104" s="805"/>
      <c r="O104" s="805"/>
      <c r="P104" s="805"/>
      <c r="Q104" s="805"/>
      <c r="R104" s="805"/>
      <c r="S104" s="805"/>
      <c r="T104" s="805"/>
      <c r="U104" s="805"/>
      <c r="V104" s="805"/>
      <c r="W104" s="805"/>
      <c r="X104" s="805"/>
      <c r="Y104" s="805"/>
      <c r="Z104" s="805"/>
      <c r="AA104" s="805"/>
      <c r="AB104" s="805"/>
      <c r="AC104" s="805"/>
      <c r="AD104" s="805"/>
      <c r="AE104" s="805"/>
      <c r="AF104" s="805"/>
      <c r="AG104" s="805"/>
      <c r="AH104" s="805"/>
      <c r="AI104" s="805"/>
      <c r="AJ104" s="805"/>
      <c r="AK104" s="805"/>
      <c r="AL104" s="805"/>
      <c r="AM104" s="805"/>
    </row>
    <row r="105" spans="1:44" ht="44.25" customHeight="1">
      <c r="A105" s="264"/>
      <c r="B105" s="264"/>
      <c r="C105" s="264"/>
      <c r="D105" s="264"/>
      <c r="E105" s="264"/>
      <c r="F105" s="264"/>
      <c r="G105" s="264"/>
      <c r="H105" s="264"/>
      <c r="I105" s="264"/>
      <c r="J105" s="264"/>
      <c r="K105" s="264"/>
      <c r="L105" s="264"/>
      <c r="M105" s="264"/>
      <c r="N105" s="264"/>
      <c r="O105" s="264"/>
      <c r="P105" s="264"/>
      <c r="Q105" s="264"/>
      <c r="R105" s="264"/>
      <c r="S105" s="264"/>
      <c r="T105" s="264"/>
      <c r="U105" s="264"/>
      <c r="V105" s="264"/>
      <c r="W105" s="264"/>
      <c r="X105" s="264"/>
      <c r="Y105" s="264"/>
      <c r="Z105" s="264"/>
      <c r="AA105" s="264"/>
      <c r="AB105" s="264"/>
      <c r="AC105" s="264"/>
      <c r="AD105" s="264"/>
      <c r="AE105" s="264"/>
      <c r="AF105" s="264"/>
      <c r="AG105" s="264"/>
      <c r="AH105" s="264"/>
      <c r="AI105" s="264"/>
      <c r="AJ105" s="264"/>
      <c r="AK105" s="264"/>
      <c r="AL105" s="264"/>
      <c r="AM105" s="264"/>
    </row>
    <row r="106" spans="1:44" s="188" customFormat="1" ht="49.5" customHeight="1">
      <c r="B106" s="25"/>
      <c r="C106" s="25"/>
      <c r="D106" s="25"/>
      <c r="E106" s="25"/>
      <c r="F106" s="32"/>
      <c r="G106" s="32"/>
      <c r="H106" s="32"/>
      <c r="I106" s="32"/>
      <c r="J106" s="32"/>
      <c r="K106" s="32"/>
      <c r="L106" s="32"/>
      <c r="M106" s="32"/>
      <c r="N106" s="32"/>
      <c r="O106" s="32"/>
      <c r="P106" s="32"/>
      <c r="Q106" s="32"/>
      <c r="R106" s="32"/>
      <c r="S106" s="32"/>
      <c r="T106" s="32"/>
      <c r="U106" s="42"/>
      <c r="V106" s="42"/>
      <c r="W106" s="42"/>
      <c r="X106" s="42"/>
      <c r="Y106" s="184"/>
      <c r="Z106" s="184"/>
      <c r="AA106" s="184"/>
      <c r="AB106" s="184"/>
      <c r="AC106" s="184"/>
      <c r="AD106" s="184"/>
      <c r="AE106" s="184"/>
      <c r="AF106" s="184"/>
      <c r="AG106" s="184"/>
      <c r="AH106" s="184"/>
      <c r="AI106" s="184"/>
      <c r="AJ106" s="184"/>
      <c r="AK106" s="184"/>
      <c r="AL106" s="184"/>
      <c r="AM106" s="184"/>
    </row>
    <row r="107" spans="1:44" s="91" customFormat="1" ht="27.75" customHeight="1">
      <c r="B107" s="25"/>
      <c r="C107" s="25"/>
      <c r="D107" s="25"/>
      <c r="E107" s="25"/>
      <c r="F107" s="25"/>
      <c r="G107" s="25"/>
      <c r="H107" s="25"/>
      <c r="I107" s="25"/>
      <c r="J107" s="25"/>
      <c r="K107" s="25"/>
      <c r="L107" s="25"/>
      <c r="M107" s="25"/>
      <c r="N107" s="25"/>
      <c r="O107" s="25"/>
      <c r="P107" s="25"/>
      <c r="Q107" s="25"/>
      <c r="R107" s="25"/>
      <c r="S107" s="25"/>
      <c r="T107" s="25"/>
      <c r="U107" s="267"/>
      <c r="V107" s="267"/>
      <c r="W107" s="267"/>
      <c r="X107" s="267"/>
      <c r="Y107" s="267"/>
      <c r="Z107" s="267"/>
      <c r="AA107" s="1065"/>
      <c r="AB107" s="1065"/>
      <c r="AC107" s="1065"/>
      <c r="AD107" s="1065"/>
      <c r="AE107" s="1065"/>
      <c r="AF107" s="1065"/>
      <c r="AG107" s="1065"/>
      <c r="AH107" s="1065"/>
      <c r="AI107" s="1065"/>
      <c r="AJ107" s="1065"/>
      <c r="AK107" s="1065"/>
      <c r="AL107" s="1065"/>
      <c r="AM107" s="1065"/>
    </row>
    <row r="108" spans="1:44" s="76" customFormat="1" ht="20.25" customHeight="1">
      <c r="A108" s="80" t="s">
        <v>253</v>
      </c>
      <c r="B108" s="982" t="s">
        <v>968</v>
      </c>
      <c r="C108" s="982"/>
      <c r="D108" s="982"/>
      <c r="E108" s="982"/>
      <c r="F108" s="982"/>
      <c r="G108" s="982"/>
      <c r="H108" s="982"/>
      <c r="I108" s="982"/>
      <c r="J108" s="982"/>
      <c r="K108" s="982"/>
      <c r="L108" s="982"/>
      <c r="M108" s="982"/>
      <c r="N108" s="982"/>
      <c r="O108" s="982"/>
      <c r="P108" s="982"/>
      <c r="Q108" s="982"/>
      <c r="R108" s="982"/>
      <c r="S108" s="982"/>
      <c r="T108" s="982"/>
      <c r="U108" s="982"/>
      <c r="V108" s="982"/>
      <c r="W108" s="982"/>
      <c r="X108" s="982"/>
      <c r="Y108" s="982"/>
      <c r="Z108" s="982"/>
      <c r="AA108" s="982"/>
      <c r="AB108" s="982"/>
      <c r="AC108" s="982"/>
      <c r="AD108" s="982"/>
      <c r="AE108" s="982"/>
      <c r="AF108" s="982"/>
      <c r="AG108" s="982"/>
      <c r="AH108" s="982"/>
      <c r="AI108" s="982"/>
      <c r="AJ108" s="982"/>
      <c r="AK108" s="982"/>
      <c r="AL108" s="982"/>
      <c r="AM108" s="982"/>
    </row>
    <row r="109" spans="1:44" s="65" customFormat="1" ht="37.5" customHeight="1">
      <c r="A109" s="943" t="s">
        <v>333</v>
      </c>
      <c r="B109" s="943"/>
      <c r="C109" s="943"/>
      <c r="D109" s="943"/>
      <c r="E109" s="943"/>
      <c r="F109" s="943"/>
      <c r="G109" s="943"/>
      <c r="H109" s="943"/>
      <c r="I109" s="943"/>
      <c r="J109" s="943"/>
      <c r="K109" s="943"/>
      <c r="L109" s="943"/>
      <c r="M109" s="943"/>
      <c r="N109" s="943"/>
      <c r="O109" s="1067" t="s">
        <v>334</v>
      </c>
      <c r="P109" s="1068"/>
      <c r="Q109" s="1068"/>
      <c r="R109" s="1068"/>
      <c r="S109" s="1068"/>
      <c r="T109" s="1068"/>
      <c r="U109" s="1068"/>
      <c r="V109" s="1068"/>
      <c r="W109" s="1068"/>
      <c r="X109" s="1068"/>
      <c r="Y109" s="1068"/>
      <c r="Z109" s="1069"/>
      <c r="AA109" s="943" t="s">
        <v>335</v>
      </c>
      <c r="AB109" s="943"/>
      <c r="AC109" s="943"/>
      <c r="AD109" s="943"/>
      <c r="AE109" s="943"/>
      <c r="AF109" s="943"/>
      <c r="AG109" s="943"/>
      <c r="AH109" s="943"/>
      <c r="AI109" s="943"/>
      <c r="AJ109" s="943"/>
      <c r="AK109" s="943"/>
      <c r="AL109" s="943"/>
      <c r="AM109" s="943"/>
    </row>
    <row r="110" spans="1:44" s="65" customFormat="1" ht="36" customHeight="1">
      <c r="A110" s="963" t="s">
        <v>336</v>
      </c>
      <c r="B110" s="963"/>
      <c r="C110" s="963"/>
      <c r="D110" s="963"/>
      <c r="E110" s="963"/>
      <c r="F110" s="963"/>
      <c r="G110" s="963"/>
      <c r="H110" s="963"/>
      <c r="I110" s="963"/>
      <c r="J110" s="963"/>
      <c r="K110" s="963"/>
      <c r="L110" s="963"/>
      <c r="M110" s="963"/>
      <c r="N110" s="963"/>
      <c r="O110" s="963" t="s">
        <v>336</v>
      </c>
      <c r="P110" s="963"/>
      <c r="Q110" s="963"/>
      <c r="R110" s="963"/>
      <c r="S110" s="963"/>
      <c r="T110" s="963"/>
      <c r="U110" s="963"/>
      <c r="V110" s="963"/>
      <c r="W110" s="963"/>
      <c r="X110" s="963"/>
      <c r="Y110" s="963"/>
      <c r="Z110" s="963"/>
      <c r="AA110" s="963" t="s">
        <v>336</v>
      </c>
      <c r="AB110" s="963"/>
      <c r="AC110" s="963"/>
      <c r="AD110" s="963"/>
      <c r="AE110" s="963"/>
      <c r="AF110" s="963"/>
      <c r="AG110" s="963"/>
      <c r="AH110" s="963"/>
      <c r="AI110" s="963"/>
      <c r="AJ110" s="963"/>
      <c r="AK110" s="963"/>
      <c r="AL110" s="963"/>
      <c r="AM110" s="963"/>
    </row>
    <row r="111" spans="1:44" s="65" customFormat="1" ht="36" customHeight="1">
      <c r="A111" s="941" t="s">
        <v>337</v>
      </c>
      <c r="B111" s="941"/>
      <c r="C111" s="941"/>
      <c r="D111" s="941"/>
      <c r="E111" s="941"/>
      <c r="F111" s="941"/>
      <c r="G111" s="941"/>
      <c r="H111" s="941"/>
      <c r="I111" s="941"/>
      <c r="J111" s="941"/>
      <c r="K111" s="941"/>
      <c r="L111" s="941"/>
      <c r="M111" s="941"/>
      <c r="N111" s="941"/>
      <c r="O111" s="941" t="s">
        <v>337</v>
      </c>
      <c r="P111" s="941"/>
      <c r="Q111" s="941"/>
      <c r="R111" s="941"/>
      <c r="S111" s="941"/>
      <c r="T111" s="941"/>
      <c r="U111" s="941"/>
      <c r="V111" s="941"/>
      <c r="W111" s="941"/>
      <c r="X111" s="941"/>
      <c r="Y111" s="941"/>
      <c r="Z111" s="941"/>
      <c r="AA111" s="941" t="s">
        <v>337</v>
      </c>
      <c r="AB111" s="941"/>
      <c r="AC111" s="941"/>
      <c r="AD111" s="941"/>
      <c r="AE111" s="941"/>
      <c r="AF111" s="941"/>
      <c r="AG111" s="941"/>
      <c r="AH111" s="941"/>
      <c r="AI111" s="941"/>
      <c r="AJ111" s="941"/>
      <c r="AK111" s="941"/>
      <c r="AL111" s="941"/>
      <c r="AM111" s="941"/>
    </row>
    <row r="112" spans="1:44" s="65" customFormat="1" ht="25.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row>
    <row r="113" spans="1:39" s="65" customFormat="1" ht="13.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row>
    <row r="114" spans="1:39" s="65" customFormat="1" ht="15.7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row>
    <row r="115" spans="1:39" s="65" customFormat="1" ht="23.2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row>
    <row r="116" spans="1:39" s="65" customFormat="1" ht="26.25" customHeight="1">
      <c r="A116" s="1066" t="s">
        <v>637</v>
      </c>
      <c r="B116" s="1066"/>
      <c r="C116" s="1066"/>
      <c r="D116" s="1066"/>
      <c r="E116" s="1066"/>
      <c r="F116" s="1066"/>
      <c r="G116" s="1066"/>
      <c r="H116" s="1066"/>
      <c r="I116" s="1066"/>
      <c r="J116" s="1066"/>
      <c r="K116" s="1066"/>
      <c r="L116" s="1066"/>
      <c r="M116" s="1066"/>
      <c r="N116" s="1066"/>
      <c r="O116" s="1066"/>
      <c r="P116" s="1066"/>
      <c r="Q116" s="1066"/>
      <c r="R116" s="1066"/>
      <c r="S116" s="1066"/>
      <c r="T116" s="1066"/>
      <c r="U116" s="1066"/>
      <c r="V116" s="1066"/>
      <c r="W116" s="1066"/>
      <c r="X116" s="1066"/>
      <c r="Y116" s="1066"/>
      <c r="Z116" s="1066"/>
      <c r="AA116" s="1066"/>
      <c r="AB116" s="1066"/>
      <c r="AC116" s="1066"/>
      <c r="AD116" s="1066"/>
      <c r="AE116" s="1066"/>
      <c r="AF116" s="1066"/>
      <c r="AG116" s="1066"/>
      <c r="AH116" s="1066"/>
      <c r="AI116" s="1066"/>
      <c r="AJ116" s="1066"/>
      <c r="AK116" s="1066"/>
      <c r="AL116" s="1066"/>
      <c r="AM116" s="1066"/>
    </row>
    <row r="117" spans="1:39" s="65" customFormat="1" ht="20.25" customHeight="1">
      <c r="A117" s="70"/>
      <c r="B117" s="71"/>
      <c r="C117" s="71"/>
      <c r="D117" s="71"/>
      <c r="E117" s="71"/>
      <c r="F117" s="71"/>
      <c r="G117" s="71"/>
      <c r="H117" s="71"/>
      <c r="I117" s="71"/>
      <c r="J117" s="71"/>
      <c r="K117" s="71"/>
      <c r="L117" s="71"/>
      <c r="M117" s="71"/>
      <c r="N117" s="71"/>
      <c r="O117" s="71"/>
      <c r="P117" s="71"/>
      <c r="Q117" s="71"/>
      <c r="R117" s="71"/>
      <c r="S117" s="71"/>
      <c r="T117" s="71"/>
      <c r="U117" s="71"/>
      <c r="V117" s="71"/>
      <c r="W117" s="71"/>
      <c r="X117" s="71"/>
      <c r="Y117" s="71"/>
      <c r="Z117" s="71"/>
      <c r="AA117" s="71"/>
      <c r="AB117" s="71"/>
      <c r="AC117" s="71"/>
      <c r="AD117" s="71"/>
      <c r="AE117" s="71"/>
      <c r="AF117" s="71"/>
      <c r="AG117" s="71"/>
      <c r="AH117" s="71"/>
      <c r="AI117" s="71"/>
      <c r="AJ117" s="71"/>
      <c r="AK117" s="71"/>
      <c r="AL117" s="71"/>
      <c r="AM117" s="71"/>
    </row>
    <row r="118" spans="1:39" ht="12.75" customHeight="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row>
    <row r="119" spans="1:39" ht="15.75" customHeight="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row>
    <row r="120" spans="1:39" s="76" customFormat="1" ht="20.25" customHeight="1">
      <c r="A120" s="109" t="s">
        <v>254</v>
      </c>
      <c r="B120" s="1086" t="s">
        <v>369</v>
      </c>
      <c r="C120" s="1086"/>
      <c r="D120" s="1086"/>
      <c r="E120" s="1086"/>
      <c r="F120" s="1086"/>
      <c r="G120" s="1086"/>
      <c r="H120" s="1086"/>
      <c r="I120" s="1086"/>
      <c r="J120" s="1086"/>
      <c r="K120" s="1086"/>
      <c r="L120" s="1086"/>
      <c r="M120" s="1086"/>
      <c r="N120" s="1086"/>
      <c r="O120" s="1086"/>
      <c r="P120" s="1086"/>
      <c r="Q120" s="1086"/>
      <c r="R120" s="1086"/>
      <c r="S120" s="1086"/>
      <c r="T120" s="1086"/>
      <c r="U120" s="1086"/>
      <c r="V120" s="1086"/>
      <c r="W120" s="1086"/>
      <c r="X120" s="1086"/>
      <c r="Y120" s="1086"/>
      <c r="Z120" s="1086"/>
      <c r="AA120" s="1086"/>
      <c r="AB120" s="1086"/>
      <c r="AC120" s="1086"/>
      <c r="AD120" s="1086"/>
      <c r="AE120" s="1086"/>
      <c r="AF120" s="1086"/>
      <c r="AG120" s="1086"/>
      <c r="AH120" s="1086"/>
      <c r="AI120" s="1086"/>
      <c r="AJ120" s="1086"/>
      <c r="AK120" s="1086"/>
      <c r="AL120" s="1086"/>
      <c r="AM120" s="1086"/>
    </row>
    <row r="121" spans="1:39" s="65" customFormat="1" ht="20.25" customHeight="1">
      <c r="A121" s="1082" t="s">
        <v>338</v>
      </c>
      <c r="B121" s="1083"/>
      <c r="C121" s="1083"/>
      <c r="D121" s="1083"/>
      <c r="E121" s="1083"/>
      <c r="F121" s="1083"/>
      <c r="G121" s="1083"/>
      <c r="H121" s="1083"/>
      <c r="I121" s="1083"/>
      <c r="J121" s="1083"/>
      <c r="K121" s="1083"/>
      <c r="L121" s="1084"/>
      <c r="M121" s="970" t="s">
        <v>339</v>
      </c>
      <c r="N121" s="970"/>
      <c r="O121" s="970"/>
      <c r="P121" s="970"/>
      <c r="Q121" s="970"/>
      <c r="R121" s="970"/>
      <c r="S121" s="970"/>
      <c r="T121" s="970"/>
      <c r="U121" s="970"/>
      <c r="V121" s="970"/>
      <c r="W121" s="970" t="s">
        <v>340</v>
      </c>
      <c r="X121" s="970"/>
      <c r="Y121" s="970"/>
      <c r="Z121" s="970"/>
      <c r="AA121" s="970"/>
      <c r="AB121" s="970"/>
      <c r="AC121" s="970"/>
      <c r="AD121" s="970"/>
      <c r="AE121" s="970"/>
      <c r="AF121" s="970"/>
      <c r="AG121" s="970"/>
      <c r="AH121" s="970"/>
      <c r="AI121" s="970"/>
      <c r="AJ121" s="970"/>
      <c r="AK121" s="970"/>
      <c r="AL121" s="970"/>
      <c r="AM121" s="970"/>
    </row>
    <row r="122" spans="1:39" s="65" customFormat="1" ht="27.75" customHeight="1">
      <c r="A122" s="707" t="s">
        <v>276</v>
      </c>
      <c r="B122" s="975" t="s">
        <v>1116</v>
      </c>
      <c r="C122" s="975"/>
      <c r="D122" s="975"/>
      <c r="E122" s="975"/>
      <c r="F122" s="975"/>
      <c r="G122" s="975"/>
      <c r="H122" s="975"/>
      <c r="I122" s="975"/>
      <c r="J122" s="975"/>
      <c r="K122" s="975"/>
      <c r="L122" s="975"/>
      <c r="M122" s="978">
        <f>+'Data Input'!D11</f>
        <v>500000</v>
      </c>
      <c r="N122" s="978"/>
      <c r="O122" s="978"/>
      <c r="P122" s="978"/>
      <c r="Q122" s="978"/>
      <c r="R122" s="978"/>
      <c r="S122" s="978"/>
      <c r="T122" s="978"/>
      <c r="U122" s="978"/>
      <c r="V122" s="978"/>
      <c r="W122" s="1057" t="str">
        <f>"FY cÖ`v‡bi ZvwiL n‡Z cÖwZ "&amp;'Data Input'!G18&amp;" gvm ("&amp;'Data Input'!G18*30&amp;" w`b) AšÍi mgš^qmn GK eQ‡ii g‡a¨ my`-Avm‡j cwi‡kva‡hvM¨/ bevqb‡hvM¨|"</f>
        <v>FY cÖ`v‡bi ZvwiL n‡Z cÖwZ 2 gvm (60 w`b) AšÍi mgš^qmn GK eQ‡ii g‡a¨ my`-Avm‡j cwi‡kva‡hvM¨/ bevqb‡hvM¨|</v>
      </c>
      <c r="X122" s="1058"/>
      <c r="Y122" s="1058"/>
      <c r="Z122" s="1058"/>
      <c r="AA122" s="1058"/>
      <c r="AB122" s="1058"/>
      <c r="AC122" s="1058"/>
      <c r="AD122" s="1058"/>
      <c r="AE122" s="1058"/>
      <c r="AF122" s="1058"/>
      <c r="AG122" s="1058"/>
      <c r="AH122" s="1058"/>
      <c r="AI122" s="1058"/>
      <c r="AJ122" s="1058"/>
      <c r="AK122" s="1058"/>
      <c r="AL122" s="1058"/>
      <c r="AM122" s="1059"/>
    </row>
    <row r="123" spans="1:39" s="65" customFormat="1" ht="18" customHeight="1">
      <c r="A123" s="88" t="s">
        <v>56</v>
      </c>
      <c r="B123" s="963"/>
      <c r="C123" s="963"/>
      <c r="D123" s="963"/>
      <c r="E123" s="963"/>
      <c r="F123" s="963"/>
      <c r="G123" s="963"/>
      <c r="H123" s="963"/>
      <c r="I123" s="963"/>
      <c r="J123" s="963"/>
      <c r="K123" s="963"/>
      <c r="L123" s="963"/>
      <c r="M123" s="976"/>
      <c r="N123" s="976"/>
      <c r="O123" s="976"/>
      <c r="P123" s="976"/>
      <c r="Q123" s="976"/>
      <c r="R123" s="976"/>
      <c r="S123" s="976"/>
      <c r="T123" s="976"/>
      <c r="U123" s="976"/>
      <c r="V123" s="976"/>
      <c r="W123" s="1060"/>
      <c r="X123" s="805"/>
      <c r="Y123" s="805"/>
      <c r="Z123" s="805"/>
      <c r="AA123" s="805"/>
      <c r="AB123" s="805"/>
      <c r="AC123" s="805"/>
      <c r="AD123" s="805"/>
      <c r="AE123" s="805"/>
      <c r="AF123" s="805"/>
      <c r="AG123" s="805"/>
      <c r="AH123" s="805"/>
      <c r="AI123" s="805"/>
      <c r="AJ123" s="805"/>
      <c r="AK123" s="805"/>
      <c r="AL123" s="805"/>
      <c r="AM123" s="1061"/>
    </row>
    <row r="124" spans="1:39" s="65" customFormat="1" ht="18" customHeight="1">
      <c r="A124" s="88" t="s">
        <v>229</v>
      </c>
      <c r="B124" s="963"/>
      <c r="C124" s="963"/>
      <c r="D124" s="963"/>
      <c r="E124" s="963"/>
      <c r="F124" s="963"/>
      <c r="G124" s="963"/>
      <c r="H124" s="963"/>
      <c r="I124" s="963"/>
      <c r="J124" s="963"/>
      <c r="K124" s="963"/>
      <c r="L124" s="963"/>
      <c r="M124" s="976"/>
      <c r="N124" s="976"/>
      <c r="O124" s="976"/>
      <c r="P124" s="976"/>
      <c r="Q124" s="976"/>
      <c r="R124" s="976"/>
      <c r="S124" s="976"/>
      <c r="T124" s="976"/>
      <c r="U124" s="976"/>
      <c r="V124" s="976"/>
      <c r="W124" s="1060"/>
      <c r="X124" s="805"/>
      <c r="Y124" s="805"/>
      <c r="Z124" s="805"/>
      <c r="AA124" s="805"/>
      <c r="AB124" s="805"/>
      <c r="AC124" s="805"/>
      <c r="AD124" s="805"/>
      <c r="AE124" s="805"/>
      <c r="AF124" s="805"/>
      <c r="AG124" s="805"/>
      <c r="AH124" s="805"/>
      <c r="AI124" s="805"/>
      <c r="AJ124" s="805"/>
      <c r="AK124" s="805"/>
      <c r="AL124" s="805"/>
      <c r="AM124" s="1061"/>
    </row>
    <row r="125" spans="1:39" s="65" customFormat="1" ht="18" customHeight="1">
      <c r="A125" s="88" t="s">
        <v>232</v>
      </c>
      <c r="B125" s="974"/>
      <c r="C125" s="974"/>
      <c r="D125" s="974"/>
      <c r="E125" s="974"/>
      <c r="F125" s="974"/>
      <c r="G125" s="974"/>
      <c r="H125" s="974"/>
      <c r="I125" s="974"/>
      <c r="J125" s="974"/>
      <c r="K125" s="974"/>
      <c r="L125" s="974"/>
      <c r="M125" s="976"/>
      <c r="N125" s="976"/>
      <c r="O125" s="976"/>
      <c r="P125" s="976"/>
      <c r="Q125" s="976"/>
      <c r="R125" s="976"/>
      <c r="S125" s="976"/>
      <c r="T125" s="976"/>
      <c r="U125" s="976"/>
      <c r="V125" s="976"/>
      <c r="W125" s="1060"/>
      <c r="X125" s="805"/>
      <c r="Y125" s="805"/>
      <c r="Z125" s="805"/>
      <c r="AA125" s="805"/>
      <c r="AB125" s="805"/>
      <c r="AC125" s="805"/>
      <c r="AD125" s="805"/>
      <c r="AE125" s="805"/>
      <c r="AF125" s="805"/>
      <c r="AG125" s="805"/>
      <c r="AH125" s="805"/>
      <c r="AI125" s="805"/>
      <c r="AJ125" s="805"/>
      <c r="AK125" s="805"/>
      <c r="AL125" s="805"/>
      <c r="AM125" s="1061"/>
    </row>
    <row r="126" spans="1:39" s="65" customFormat="1" ht="18" customHeight="1">
      <c r="A126" s="88" t="s">
        <v>237</v>
      </c>
      <c r="B126" s="963"/>
      <c r="C126" s="963"/>
      <c r="D126" s="963"/>
      <c r="E126" s="963"/>
      <c r="F126" s="963"/>
      <c r="G126" s="963"/>
      <c r="H126" s="963"/>
      <c r="I126" s="963"/>
      <c r="J126" s="963"/>
      <c r="K126" s="963"/>
      <c r="L126" s="963"/>
      <c r="M126" s="977"/>
      <c r="N126" s="977"/>
      <c r="O126" s="977"/>
      <c r="P126" s="977"/>
      <c r="Q126" s="977"/>
      <c r="R126" s="977"/>
      <c r="S126" s="977"/>
      <c r="T126" s="977"/>
      <c r="U126" s="977"/>
      <c r="V126" s="977"/>
      <c r="W126" s="1060"/>
      <c r="X126" s="805"/>
      <c r="Y126" s="805"/>
      <c r="Z126" s="805"/>
      <c r="AA126" s="805"/>
      <c r="AB126" s="805"/>
      <c r="AC126" s="805"/>
      <c r="AD126" s="805"/>
      <c r="AE126" s="805"/>
      <c r="AF126" s="805"/>
      <c r="AG126" s="805"/>
      <c r="AH126" s="805"/>
      <c r="AI126" s="805"/>
      <c r="AJ126" s="805"/>
      <c r="AK126" s="805"/>
      <c r="AL126" s="805"/>
      <c r="AM126" s="1061"/>
    </row>
    <row r="127" spans="1:39" s="65" customFormat="1" ht="21" customHeight="1">
      <c r="A127" s="75"/>
      <c r="B127" s="994" t="s">
        <v>307</v>
      </c>
      <c r="C127" s="994"/>
      <c r="D127" s="994"/>
      <c r="E127" s="994"/>
      <c r="F127" s="994"/>
      <c r="G127" s="994"/>
      <c r="H127" s="994"/>
      <c r="I127" s="994"/>
      <c r="J127" s="994"/>
      <c r="K127" s="994"/>
      <c r="L127" s="994"/>
      <c r="M127" s="977">
        <f>SUM(M122:V126)</f>
        <v>500000</v>
      </c>
      <c r="N127" s="977"/>
      <c r="O127" s="977"/>
      <c r="P127" s="977"/>
      <c r="Q127" s="977"/>
      <c r="R127" s="977"/>
      <c r="S127" s="977"/>
      <c r="T127" s="977"/>
      <c r="U127" s="977"/>
      <c r="V127" s="977"/>
      <c r="W127" s="1062"/>
      <c r="X127" s="1063"/>
      <c r="Y127" s="1063"/>
      <c r="Z127" s="1063"/>
      <c r="AA127" s="1063"/>
      <c r="AB127" s="1063"/>
      <c r="AC127" s="1063"/>
      <c r="AD127" s="1063"/>
      <c r="AE127" s="1063"/>
      <c r="AF127" s="1063"/>
      <c r="AG127" s="1063"/>
      <c r="AH127" s="1063"/>
      <c r="AI127" s="1063"/>
      <c r="AJ127" s="1063"/>
      <c r="AK127" s="1063"/>
      <c r="AL127" s="1063"/>
      <c r="AM127" s="1064"/>
    </row>
    <row r="128" spans="1:39" s="65" customFormat="1" ht="21" customHeight="1">
      <c r="A128" s="74"/>
      <c r="B128" s="74"/>
      <c r="C128" s="74"/>
      <c r="D128" s="74"/>
      <c r="E128" s="74"/>
      <c r="F128" s="74"/>
      <c r="G128" s="74"/>
      <c r="H128" s="74"/>
      <c r="I128" s="74"/>
      <c r="J128" s="74"/>
      <c r="K128" s="74"/>
      <c r="L128" s="74"/>
      <c r="M128" s="288"/>
      <c r="N128" s="288"/>
      <c r="O128" s="288"/>
      <c r="P128" s="288"/>
      <c r="Q128" s="288"/>
      <c r="R128" s="288"/>
      <c r="S128" s="288"/>
      <c r="T128" s="288"/>
      <c r="U128" s="288"/>
      <c r="V128" s="288"/>
      <c r="W128" s="264"/>
      <c r="X128" s="264"/>
      <c r="Y128" s="264"/>
      <c r="Z128" s="264"/>
      <c r="AA128" s="264"/>
      <c r="AB128" s="264"/>
      <c r="AC128" s="264"/>
      <c r="AD128" s="264"/>
      <c r="AE128" s="264"/>
      <c r="AF128" s="264"/>
      <c r="AG128" s="264"/>
      <c r="AH128" s="264"/>
      <c r="AI128" s="264"/>
      <c r="AJ128" s="264"/>
      <c r="AK128" s="264"/>
      <c r="AL128" s="264"/>
      <c r="AM128" s="264"/>
    </row>
    <row r="129" spans="1:61" s="65" customFormat="1" ht="20.25" customHeight="1">
      <c r="A129" s="74"/>
      <c r="C129" s="71"/>
      <c r="D129" s="71"/>
      <c r="E129" s="71"/>
      <c r="F129" s="71"/>
      <c r="G129" s="71"/>
      <c r="H129" s="71"/>
      <c r="I129" s="71"/>
      <c r="J129" s="71"/>
      <c r="K129" s="71"/>
      <c r="L129" s="71"/>
      <c r="M129" s="71"/>
      <c r="N129" s="71"/>
      <c r="O129" s="71"/>
      <c r="P129" s="71"/>
      <c r="Q129" s="71"/>
      <c r="R129" s="71"/>
      <c r="S129" s="71"/>
      <c r="T129" s="71"/>
      <c r="U129" s="71"/>
      <c r="V129" s="71"/>
      <c r="W129" s="5" t="s">
        <v>341</v>
      </c>
    </row>
    <row r="130" spans="1:61" s="65" customFormat="1" ht="20.25" customHeight="1">
      <c r="A130" s="74"/>
      <c r="C130" s="71"/>
      <c r="D130" s="71"/>
      <c r="E130" s="71"/>
      <c r="F130" s="71"/>
      <c r="G130" s="71"/>
      <c r="H130" s="71"/>
      <c r="I130" s="71"/>
      <c r="J130" s="71"/>
      <c r="K130" s="71"/>
      <c r="L130" s="71"/>
      <c r="M130" s="71"/>
      <c r="N130" s="71"/>
      <c r="O130" s="71"/>
      <c r="P130" s="71"/>
      <c r="Q130" s="71"/>
      <c r="R130" s="71"/>
      <c r="S130" s="71"/>
      <c r="T130" s="71"/>
      <c r="U130" s="71"/>
      <c r="V130" s="71"/>
      <c r="W130" s="5" t="s">
        <v>372</v>
      </c>
    </row>
    <row r="131" spans="1:61" s="65" customFormat="1" ht="20.25" customHeight="1">
      <c r="A131" s="70"/>
      <c r="B131" s="71"/>
      <c r="C131" s="71"/>
      <c r="D131" s="71"/>
      <c r="E131" s="71"/>
      <c r="F131" s="71"/>
      <c r="G131" s="71"/>
      <c r="H131" s="71"/>
      <c r="I131" s="71"/>
      <c r="J131" s="71"/>
      <c r="K131" s="71"/>
      <c r="L131" s="71"/>
      <c r="M131" s="71"/>
      <c r="N131" s="71"/>
      <c r="O131" s="71"/>
      <c r="P131" s="71"/>
      <c r="Q131" s="71"/>
      <c r="R131" s="71"/>
      <c r="S131" s="71"/>
      <c r="T131" s="71"/>
      <c r="U131" s="71"/>
      <c r="V131" s="71"/>
      <c r="W131" s="5" t="s">
        <v>371</v>
      </c>
    </row>
    <row r="132" spans="1:61" s="65" customFormat="1" ht="27" customHeight="1">
      <c r="A132" s="70"/>
      <c r="B132" s="71"/>
      <c r="C132" s="71"/>
      <c r="D132" s="71"/>
      <c r="E132" s="71"/>
      <c r="F132" s="71"/>
      <c r="G132" s="71"/>
      <c r="H132" s="71"/>
      <c r="I132" s="71"/>
      <c r="J132" s="71"/>
      <c r="K132" s="71"/>
      <c r="L132" s="71"/>
      <c r="M132" s="71"/>
      <c r="N132" s="71"/>
      <c r="O132" s="71"/>
      <c r="P132" s="71"/>
      <c r="Q132" s="71"/>
      <c r="R132" s="71"/>
      <c r="S132" s="71"/>
      <c r="T132" s="71"/>
      <c r="U132" s="71"/>
      <c r="V132" s="71"/>
      <c r="W132" s="5" t="s">
        <v>370</v>
      </c>
    </row>
    <row r="133" spans="1:61" s="76" customFormat="1" ht="20.25" customHeight="1">
      <c r="A133" s="80" t="s">
        <v>186</v>
      </c>
      <c r="B133" s="982" t="s">
        <v>342</v>
      </c>
      <c r="C133" s="982"/>
      <c r="D133" s="982"/>
      <c r="E133" s="982"/>
      <c r="F133" s="982"/>
      <c r="G133" s="982"/>
      <c r="H133" s="982"/>
      <c r="I133" s="982"/>
      <c r="J133" s="982"/>
      <c r="K133" s="982"/>
      <c r="L133" s="982"/>
      <c r="M133" s="982"/>
      <c r="N133" s="982"/>
      <c r="O133" s="982"/>
      <c r="P133" s="982"/>
      <c r="Q133" s="982"/>
      <c r="R133" s="982"/>
      <c r="S133" s="982"/>
      <c r="T133" s="982"/>
      <c r="U133" s="982"/>
      <c r="V133" s="982"/>
      <c r="W133" s="982"/>
      <c r="X133" s="982"/>
      <c r="Y133" s="982"/>
      <c r="Z133" s="982"/>
      <c r="AA133" s="982"/>
      <c r="AB133" s="982"/>
      <c r="AC133" s="982"/>
      <c r="AD133" s="982"/>
      <c r="AE133" s="982"/>
      <c r="AF133" s="982"/>
      <c r="AG133" s="982"/>
      <c r="AH133" s="982"/>
      <c r="AI133" s="982"/>
      <c r="AJ133" s="982"/>
      <c r="AK133" s="982"/>
      <c r="AL133" s="982"/>
      <c r="AM133" s="982"/>
    </row>
    <row r="134" spans="1:61" s="76" customFormat="1" ht="5.25" customHeight="1">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c r="AK134" s="80"/>
      <c r="AL134" s="80"/>
      <c r="AM134" s="80"/>
    </row>
    <row r="135" spans="1:61" s="90" customFormat="1" ht="20.25" customHeight="1">
      <c r="A135" s="89"/>
      <c r="B135" s="995" t="s">
        <v>1188</v>
      </c>
      <c r="C135" s="995"/>
      <c r="D135" s="995"/>
      <c r="E135" s="995"/>
      <c r="F135" s="995"/>
      <c r="G135" s="995"/>
      <c r="H135" s="995"/>
      <c r="I135" s="995"/>
      <c r="J135" s="995"/>
      <c r="K135" s="995"/>
      <c r="L135" s="995"/>
      <c r="M135" s="995"/>
      <c r="N135" s="995"/>
      <c r="O135" s="995"/>
      <c r="P135" s="995"/>
      <c r="Q135" s="995"/>
      <c r="R135" s="995"/>
      <c r="S135" s="995"/>
      <c r="T135" s="995"/>
      <c r="U135" s="995"/>
      <c r="V135" s="995"/>
      <c r="W135" s="995"/>
      <c r="X135" s="995"/>
      <c r="Y135" s="995"/>
      <c r="Z135" s="995"/>
      <c r="AA135" s="995"/>
      <c r="AB135" s="995"/>
      <c r="AC135" s="995"/>
      <c r="AD135" s="995"/>
      <c r="AE135" s="995"/>
      <c r="AF135" s="995"/>
      <c r="AG135" s="995"/>
      <c r="AH135" s="995"/>
      <c r="AI135" s="995"/>
      <c r="AJ135" s="995"/>
      <c r="AK135" s="995"/>
      <c r="AL135" s="995"/>
      <c r="AM135" s="995"/>
    </row>
    <row r="136" spans="1:61" s="90" customFormat="1" ht="24.75" customHeight="1">
      <c r="A136" s="89"/>
      <c r="B136" s="997" t="s">
        <v>236</v>
      </c>
      <c r="C136" s="997"/>
      <c r="D136" s="996" t="s">
        <v>663</v>
      </c>
      <c r="E136" s="996"/>
      <c r="F136" s="996"/>
      <c r="G136" s="996"/>
      <c r="H136" s="996"/>
      <c r="I136" s="996"/>
      <c r="J136" s="996"/>
      <c r="K136" s="996"/>
      <c r="L136" s="996"/>
      <c r="M136" s="996"/>
      <c r="N136" s="996"/>
      <c r="O136" s="996"/>
      <c r="P136" s="996"/>
      <c r="Q136" s="996"/>
      <c r="R136" s="996"/>
      <c r="S136" s="996"/>
      <c r="T136" s="996"/>
      <c r="U136" s="996"/>
      <c r="V136" s="996"/>
      <c r="W136" s="996"/>
      <c r="X136" s="996"/>
      <c r="Y136" s="996"/>
      <c r="Z136" s="996"/>
      <c r="AA136" s="996"/>
      <c r="AB136" s="996"/>
      <c r="AC136" s="996"/>
      <c r="AD136" s="996"/>
      <c r="AE136" s="996"/>
      <c r="AF136" s="996"/>
      <c r="AG136" s="996"/>
      <c r="AH136" s="996"/>
      <c r="AI136" s="996"/>
      <c r="AJ136" s="996"/>
      <c r="AK136" s="996"/>
      <c r="AL136" s="996"/>
      <c r="AM136" s="990"/>
      <c r="AN136" s="990"/>
    </row>
    <row r="137" spans="1:61" s="263" customFormat="1" ht="45" customHeight="1">
      <c r="B137" s="989" t="s">
        <v>527</v>
      </c>
      <c r="C137" s="989"/>
      <c r="D137" s="998" t="s">
        <v>664</v>
      </c>
      <c r="E137" s="998"/>
      <c r="F137" s="998"/>
      <c r="G137" s="998"/>
      <c r="H137" s="998"/>
      <c r="I137" s="998"/>
      <c r="J137" s="998"/>
      <c r="K137" s="998"/>
      <c r="L137" s="998"/>
      <c r="M137" s="998"/>
      <c r="N137" s="998"/>
      <c r="O137" s="998"/>
      <c r="P137" s="998"/>
      <c r="Q137" s="998"/>
      <c r="R137" s="998"/>
      <c r="S137" s="998"/>
      <c r="T137" s="998"/>
      <c r="U137" s="998"/>
      <c r="V137" s="998"/>
      <c r="W137" s="998"/>
      <c r="X137" s="998"/>
      <c r="Y137" s="998"/>
      <c r="Z137" s="998"/>
      <c r="AA137" s="998"/>
      <c r="AB137" s="998"/>
      <c r="AC137" s="998"/>
      <c r="AD137" s="998"/>
      <c r="AE137" s="998"/>
      <c r="AF137" s="998"/>
      <c r="AG137" s="998"/>
      <c r="AH137" s="998"/>
      <c r="AI137" s="998"/>
      <c r="AJ137" s="998"/>
      <c r="AK137" s="998"/>
      <c r="AL137" s="998"/>
      <c r="AM137" s="990"/>
      <c r="AN137" s="990"/>
    </row>
    <row r="138" spans="1:61" s="90" customFormat="1" ht="30.75" customHeight="1">
      <c r="A138" s="89"/>
      <c r="B138" s="992" t="s">
        <v>528</v>
      </c>
      <c r="C138" s="993"/>
      <c r="D138" s="996" t="s">
        <v>665</v>
      </c>
      <c r="E138" s="996"/>
      <c r="F138" s="996"/>
      <c r="G138" s="996"/>
      <c r="H138" s="996"/>
      <c r="I138" s="996"/>
      <c r="J138" s="996"/>
      <c r="K138" s="996"/>
      <c r="L138" s="996"/>
      <c r="M138" s="996"/>
      <c r="N138" s="996"/>
      <c r="O138" s="996"/>
      <c r="P138" s="996"/>
      <c r="Q138" s="996"/>
      <c r="R138" s="996"/>
      <c r="S138" s="996"/>
      <c r="T138" s="996"/>
      <c r="U138" s="996"/>
      <c r="V138" s="996"/>
      <c r="W138" s="996"/>
      <c r="X138" s="996"/>
      <c r="Y138" s="996"/>
      <c r="Z138" s="996"/>
      <c r="AA138" s="996"/>
      <c r="AB138" s="996"/>
      <c r="AC138" s="996"/>
      <c r="AD138" s="996"/>
      <c r="AE138" s="996"/>
      <c r="AF138" s="996"/>
      <c r="AG138" s="996"/>
      <c r="AH138" s="996"/>
      <c r="AI138" s="996"/>
      <c r="AJ138" s="996"/>
      <c r="AK138" s="996"/>
      <c r="AL138" s="996"/>
      <c r="AM138" s="990"/>
      <c r="AN138" s="990"/>
    </row>
    <row r="139" spans="1:61" s="90" customFormat="1" ht="21" customHeight="1">
      <c r="A139" s="89"/>
      <c r="B139" s="997" t="s">
        <v>529</v>
      </c>
      <c r="C139" s="997"/>
      <c r="D139" s="996" t="s">
        <v>1145</v>
      </c>
      <c r="E139" s="996"/>
      <c r="F139" s="996"/>
      <c r="G139" s="996"/>
      <c r="H139" s="996"/>
      <c r="I139" s="996"/>
      <c r="J139" s="996"/>
      <c r="K139" s="996"/>
      <c r="L139" s="996"/>
      <c r="M139" s="996"/>
      <c r="N139" s="996"/>
      <c r="O139" s="996"/>
      <c r="P139" s="996"/>
      <c r="Q139" s="996"/>
      <c r="R139" s="996"/>
      <c r="S139" s="996"/>
      <c r="T139" s="996"/>
      <c r="U139" s="996"/>
      <c r="V139" s="996"/>
      <c r="W139" s="996"/>
      <c r="X139" s="996"/>
      <c r="Y139" s="996"/>
      <c r="Z139" s="996"/>
      <c r="AA139" s="996"/>
      <c r="AB139" s="996"/>
      <c r="AC139" s="996"/>
      <c r="AD139" s="996"/>
      <c r="AE139" s="996"/>
      <c r="AF139" s="996"/>
      <c r="AG139" s="996"/>
      <c r="AH139" s="996"/>
      <c r="AI139" s="996"/>
      <c r="AJ139" s="996"/>
      <c r="AK139" s="996"/>
      <c r="AL139" s="996"/>
      <c r="AM139" s="990"/>
      <c r="AN139" s="990"/>
      <c r="AO139" s="12"/>
      <c r="AP139" s="12"/>
      <c r="AQ139" s="12"/>
      <c r="AR139" s="12"/>
      <c r="AS139" s="12"/>
      <c r="AT139" s="12"/>
      <c r="AU139" s="12"/>
      <c r="AV139" s="12"/>
      <c r="AW139" s="12"/>
      <c r="AX139" s="12"/>
      <c r="AY139" s="12"/>
      <c r="AZ139" s="12"/>
      <c r="BA139" s="12"/>
      <c r="BB139" s="12"/>
      <c r="BC139" s="12"/>
      <c r="BD139" s="12"/>
      <c r="BE139" s="12"/>
      <c r="BF139" s="12"/>
      <c r="BG139" s="12"/>
      <c r="BH139" s="12"/>
      <c r="BI139" s="12"/>
    </row>
    <row r="140" spans="1:61" s="65" customFormat="1">
      <c r="A140" s="74"/>
      <c r="B140" s="997" t="s">
        <v>1143</v>
      </c>
      <c r="C140" s="997"/>
      <c r="D140" s="996" t="s">
        <v>1144</v>
      </c>
      <c r="E140" s="996"/>
      <c r="F140" s="996"/>
      <c r="G140" s="996"/>
      <c r="H140" s="996"/>
      <c r="I140" s="996"/>
      <c r="J140" s="996"/>
      <c r="K140" s="996"/>
      <c r="L140" s="996"/>
      <c r="M140" s="996"/>
      <c r="N140" s="996"/>
      <c r="O140" s="996"/>
      <c r="P140" s="996"/>
      <c r="Q140" s="996"/>
      <c r="R140" s="996"/>
      <c r="S140" s="996"/>
      <c r="T140" s="996"/>
      <c r="U140" s="996"/>
      <c r="V140" s="996"/>
      <c r="W140" s="996"/>
      <c r="X140" s="996"/>
      <c r="Y140" s="996"/>
      <c r="Z140" s="996"/>
      <c r="AA140" s="996"/>
      <c r="AB140" s="996"/>
      <c r="AC140" s="996"/>
      <c r="AD140" s="996"/>
      <c r="AE140" s="996"/>
      <c r="AF140" s="996"/>
      <c r="AG140" s="996"/>
      <c r="AH140" s="996"/>
      <c r="AI140" s="996"/>
      <c r="AJ140" s="996"/>
      <c r="AK140" s="996"/>
      <c r="AL140" s="996"/>
    </row>
    <row r="141" spans="1:61" s="65" customFormat="1">
      <c r="A141" s="74"/>
      <c r="B141" s="721"/>
      <c r="C141" s="721"/>
      <c r="D141" s="24"/>
      <c r="E141" s="24"/>
      <c r="F141" s="24"/>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row>
    <row r="142" spans="1:61" s="65" customFormat="1" ht="21" customHeight="1">
      <c r="A142" s="74"/>
      <c r="C142" s="71"/>
      <c r="D142" s="71"/>
      <c r="E142" s="71"/>
      <c r="F142" s="71"/>
      <c r="G142" s="71"/>
      <c r="H142" s="71"/>
      <c r="I142" s="71"/>
      <c r="J142" s="71"/>
      <c r="K142" s="71"/>
      <c r="L142" s="71"/>
      <c r="M142" s="71"/>
      <c r="N142" s="71"/>
      <c r="O142" s="71"/>
      <c r="P142" s="71"/>
      <c r="Q142" s="71"/>
      <c r="R142" s="71"/>
      <c r="S142" s="71"/>
      <c r="T142" s="71"/>
      <c r="U142" s="71"/>
      <c r="AA142" s="1000" t="s">
        <v>955</v>
      </c>
      <c r="AB142" s="1000"/>
      <c r="AC142" s="1000"/>
      <c r="AD142" s="1000"/>
      <c r="AE142" s="66"/>
      <c r="AF142" s="66"/>
      <c r="AG142" s="66"/>
      <c r="AH142" s="66"/>
      <c r="AI142" s="66"/>
      <c r="AJ142" s="66"/>
      <c r="AK142" s="66"/>
      <c r="AL142" s="66"/>
      <c r="AM142" s="66"/>
      <c r="AN142" s="66"/>
    </row>
    <row r="143" spans="1:61" s="65" customFormat="1" ht="21" customHeight="1">
      <c r="A143" s="74"/>
      <c r="C143" s="71"/>
      <c r="D143" s="71"/>
      <c r="E143" s="71"/>
      <c r="F143" s="71"/>
      <c r="G143" s="71"/>
      <c r="H143" s="71"/>
      <c r="I143" s="71"/>
      <c r="J143" s="71"/>
      <c r="K143" s="71"/>
      <c r="L143" s="71"/>
      <c r="M143" s="71"/>
      <c r="N143" s="71"/>
      <c r="O143" s="71"/>
      <c r="P143" s="71"/>
      <c r="Q143" s="71"/>
      <c r="R143" s="71"/>
      <c r="S143" s="71"/>
      <c r="T143" s="71"/>
      <c r="U143" s="71"/>
      <c r="AA143" s="1001" t="s">
        <v>372</v>
      </c>
      <c r="AB143" s="1001"/>
      <c r="AC143" s="1001"/>
      <c r="AD143" s="1001"/>
      <c r="AE143" s="66"/>
      <c r="AF143" s="66"/>
      <c r="AG143" s="66"/>
      <c r="AH143" s="66"/>
      <c r="AI143" s="66"/>
      <c r="AJ143" s="66"/>
      <c r="AK143" s="66"/>
      <c r="AL143" s="66"/>
      <c r="AM143" s="66"/>
      <c r="AN143" s="66"/>
    </row>
    <row r="144" spans="1:61" s="65" customFormat="1" ht="22.5" customHeight="1">
      <c r="A144" s="74"/>
      <c r="C144" s="71"/>
      <c r="D144" s="71"/>
      <c r="E144" s="71"/>
      <c r="F144" s="71"/>
      <c r="G144" s="71"/>
      <c r="H144" s="71"/>
      <c r="I144" s="71"/>
      <c r="J144" s="71"/>
      <c r="K144" s="71"/>
      <c r="L144" s="71"/>
      <c r="M144" s="71"/>
      <c r="N144" s="71"/>
      <c r="O144" s="71"/>
      <c r="P144" s="71"/>
      <c r="Q144" s="71"/>
      <c r="R144" s="71"/>
      <c r="S144" s="71"/>
      <c r="T144" s="71"/>
      <c r="U144" s="71"/>
      <c r="AA144" s="1000" t="s">
        <v>370</v>
      </c>
      <c r="AB144" s="1000"/>
      <c r="AC144" s="1000"/>
      <c r="AD144" s="1000"/>
      <c r="AE144" s="66"/>
      <c r="AF144" s="66"/>
      <c r="AG144" s="66"/>
      <c r="AH144" s="66"/>
      <c r="AI144" s="66"/>
      <c r="AJ144" s="66"/>
      <c r="AK144" s="66"/>
      <c r="AL144" s="66"/>
      <c r="AM144" s="66"/>
      <c r="AN144" s="66"/>
    </row>
    <row r="145" spans="1:45" s="65" customFormat="1" ht="24.75" customHeight="1">
      <c r="A145" s="5"/>
      <c r="B145" s="725" t="s">
        <v>379</v>
      </c>
      <c r="C145" s="726"/>
      <c r="D145" s="726"/>
      <c r="E145" s="726"/>
      <c r="F145" s="726"/>
      <c r="G145" s="726"/>
      <c r="H145" s="726"/>
      <c r="I145" s="726"/>
      <c r="J145" s="726"/>
      <c r="K145" s="726"/>
      <c r="L145" s="726"/>
      <c r="M145" s="726"/>
      <c r="N145" s="726"/>
      <c r="O145" s="726"/>
      <c r="P145" s="726"/>
      <c r="Q145" s="726"/>
      <c r="R145" s="726"/>
      <c r="S145" s="726"/>
      <c r="T145" s="726"/>
      <c r="U145" s="726"/>
      <c r="V145" s="727"/>
      <c r="W145" s="726"/>
      <c r="X145" s="727"/>
      <c r="Y145" s="727"/>
      <c r="Z145" s="727"/>
      <c r="AA145" s="727"/>
      <c r="AB145" s="727"/>
      <c r="AC145" s="727"/>
      <c r="AD145" s="727"/>
      <c r="AE145" s="728"/>
      <c r="AF145" s="728"/>
      <c r="AG145" s="728"/>
      <c r="AH145" s="728"/>
      <c r="AI145" s="728"/>
      <c r="AJ145" s="728"/>
      <c r="AK145" s="728"/>
      <c r="AL145" s="728"/>
      <c r="AM145" s="728"/>
      <c r="AN145" s="728"/>
    </row>
    <row r="146" spans="1:45" s="65" customFormat="1" ht="28.5" customHeight="1">
      <c r="B146" s="722" t="s">
        <v>380</v>
      </c>
      <c r="C146" s="723"/>
      <c r="D146" s="723"/>
      <c r="E146" s="723"/>
      <c r="F146" s="723"/>
      <c r="G146" s="723"/>
      <c r="H146" s="723"/>
      <c r="I146" s="723"/>
      <c r="J146" s="723"/>
      <c r="K146" s="723"/>
      <c r="L146" s="723"/>
      <c r="M146" s="723"/>
      <c r="N146" s="723"/>
      <c r="O146" s="723"/>
      <c r="P146" s="723"/>
      <c r="Q146" s="723"/>
      <c r="R146" s="723"/>
      <c r="S146" s="723"/>
      <c r="T146" s="723"/>
      <c r="U146" s="723"/>
      <c r="V146" s="723"/>
      <c r="W146" s="723"/>
      <c r="X146" s="724"/>
      <c r="Y146" s="724"/>
      <c r="Z146" s="724"/>
      <c r="AA146" s="724"/>
      <c r="AB146" s="724"/>
      <c r="AC146" s="724"/>
      <c r="AD146" s="724"/>
      <c r="AE146" s="724"/>
      <c r="AF146" s="724"/>
      <c r="AG146" s="724"/>
      <c r="AH146" s="724"/>
      <c r="AI146" s="724"/>
      <c r="AJ146" s="724"/>
      <c r="AK146" s="724"/>
      <c r="AL146" s="724"/>
      <c r="AM146" s="724"/>
      <c r="AN146" s="724"/>
    </row>
    <row r="147" spans="1:45" s="65" customFormat="1" ht="20.25" customHeight="1">
      <c r="B147" s="5"/>
      <c r="C147" s="71"/>
      <c r="D147" s="71"/>
      <c r="E147" s="71"/>
      <c r="F147" s="71"/>
      <c r="G147" s="71"/>
      <c r="H147" s="71"/>
      <c r="I147" s="71"/>
      <c r="J147" s="71"/>
      <c r="K147" s="71"/>
      <c r="L147" s="71"/>
      <c r="M147" s="71"/>
      <c r="N147" s="71"/>
      <c r="O147" s="71"/>
      <c r="P147" s="71"/>
      <c r="Q147" s="71"/>
      <c r="R147" s="71"/>
      <c r="S147" s="71"/>
      <c r="T147" s="71"/>
      <c r="U147" s="71"/>
      <c r="V147" s="71"/>
      <c r="W147" s="71"/>
    </row>
    <row r="148" spans="1:45" s="76" customFormat="1" ht="19.5" customHeight="1">
      <c r="A148" s="80" t="s">
        <v>187</v>
      </c>
      <c r="B148" s="982" t="s">
        <v>373</v>
      </c>
      <c r="C148" s="982"/>
      <c r="D148" s="982"/>
      <c r="E148" s="982"/>
      <c r="F148" s="982"/>
      <c r="G148" s="982"/>
      <c r="H148" s="982"/>
      <c r="I148" s="982"/>
      <c r="J148" s="982"/>
      <c r="K148" s="982"/>
      <c r="L148" s="982"/>
      <c r="M148" s="982"/>
      <c r="N148" s="982"/>
      <c r="O148" s="982"/>
      <c r="P148" s="982"/>
      <c r="Q148" s="982"/>
      <c r="R148" s="982"/>
      <c r="S148" s="982"/>
      <c r="T148" s="982"/>
      <c r="U148" s="982"/>
      <c r="V148" s="982"/>
      <c r="W148" s="982"/>
      <c r="X148" s="982"/>
      <c r="Y148" s="982"/>
      <c r="Z148" s="982"/>
      <c r="AA148" s="982"/>
      <c r="AB148" s="982"/>
      <c r="AC148" s="982"/>
      <c r="AD148" s="982"/>
      <c r="AE148" s="982"/>
      <c r="AF148" s="982"/>
      <c r="AG148" s="982"/>
      <c r="AH148" s="982"/>
      <c r="AI148" s="982"/>
      <c r="AJ148" s="982"/>
      <c r="AK148" s="982"/>
      <c r="AL148" s="982"/>
      <c r="AM148" s="982"/>
    </row>
    <row r="149" spans="1:45" ht="9.75" customHeight="1">
      <c r="A149" s="74"/>
      <c r="B149" s="1"/>
      <c r="C149" s="1"/>
      <c r="D149" s="1"/>
      <c r="E149" s="1"/>
      <c r="F149" s="1"/>
      <c r="G149" s="1"/>
      <c r="H149" s="1"/>
      <c r="I149" s="1"/>
      <c r="J149" s="1"/>
      <c r="K149" s="1"/>
      <c r="L149" s="1"/>
      <c r="M149" s="1"/>
      <c r="N149" s="1"/>
      <c r="O149" s="1"/>
      <c r="P149" s="1"/>
      <c r="Q149" s="1"/>
      <c r="R149" s="1"/>
      <c r="S149" s="1"/>
      <c r="T149" s="1"/>
      <c r="U149" s="1"/>
      <c r="V149" s="1"/>
      <c r="W149" s="1"/>
    </row>
    <row r="150" spans="1:45" ht="20.25" customHeight="1">
      <c r="A150" s="74"/>
      <c r="B150" s="729"/>
      <c r="C150" s="729"/>
      <c r="D150" s="729"/>
      <c r="E150" s="729"/>
      <c r="F150" s="729"/>
      <c r="G150" s="729"/>
      <c r="H150" s="729"/>
      <c r="I150" s="729"/>
      <c r="J150" s="729"/>
      <c r="K150" s="729"/>
      <c r="L150" s="729"/>
      <c r="M150" s="729"/>
      <c r="N150" s="729"/>
      <c r="O150" s="729"/>
      <c r="P150" s="729"/>
      <c r="Q150" s="729"/>
      <c r="R150" s="729"/>
      <c r="S150" s="729"/>
      <c r="T150" s="729"/>
      <c r="U150" s="729"/>
      <c r="V150" s="729"/>
      <c r="W150" s="729"/>
      <c r="X150" s="21"/>
      <c r="Y150" s="21"/>
      <c r="Z150" s="21"/>
      <c r="AA150" s="21"/>
      <c r="AB150" s="21"/>
      <c r="AC150" s="21"/>
      <c r="AD150" s="21"/>
      <c r="AE150" s="21"/>
      <c r="AF150" s="21"/>
      <c r="AG150" s="21"/>
      <c r="AH150" s="21"/>
      <c r="AI150" s="21"/>
      <c r="AJ150" s="21"/>
      <c r="AK150" s="21"/>
      <c r="AL150" s="21"/>
      <c r="AM150" s="21"/>
      <c r="AN150" s="21"/>
    </row>
    <row r="151" spans="1:45" ht="20.25" customHeight="1">
      <c r="A151" s="70"/>
      <c r="B151" s="1"/>
      <c r="C151" s="1"/>
      <c r="D151" s="1"/>
      <c r="E151" s="1"/>
      <c r="F151" s="1"/>
      <c r="G151" s="1"/>
      <c r="H151" s="1"/>
      <c r="I151" s="1"/>
      <c r="J151" s="1"/>
      <c r="K151" s="1"/>
      <c r="L151" s="1"/>
      <c r="M151" s="1"/>
      <c r="N151" s="1"/>
      <c r="O151" s="1"/>
      <c r="P151" s="1"/>
      <c r="Q151" s="1"/>
      <c r="R151" s="1"/>
      <c r="S151" s="1"/>
      <c r="T151" s="1"/>
      <c r="U151" s="1"/>
      <c r="V151" s="1"/>
      <c r="W151" s="1"/>
    </row>
    <row r="152" spans="1:45" s="76" customFormat="1" ht="20.25" customHeight="1">
      <c r="A152" s="80" t="s">
        <v>188</v>
      </c>
      <c r="B152" s="982" t="s">
        <v>374</v>
      </c>
      <c r="C152" s="982"/>
      <c r="D152" s="982"/>
      <c r="E152" s="982"/>
      <c r="F152" s="982"/>
      <c r="G152" s="982"/>
      <c r="H152" s="982"/>
      <c r="I152" s="982"/>
      <c r="J152" s="982"/>
      <c r="K152" s="982"/>
      <c r="L152" s="982"/>
      <c r="M152" s="982"/>
      <c r="N152" s="982"/>
      <c r="O152" s="982"/>
      <c r="P152" s="982"/>
      <c r="Q152" s="982"/>
      <c r="R152" s="982"/>
      <c r="S152" s="982"/>
      <c r="T152" s="982"/>
      <c r="U152" s="982"/>
      <c r="V152" s="982"/>
      <c r="W152" s="982"/>
      <c r="X152" s="982"/>
      <c r="Y152" s="982"/>
      <c r="Z152" s="982"/>
      <c r="AA152" s="982"/>
      <c r="AB152" s="982"/>
      <c r="AC152" s="982"/>
      <c r="AD152" s="982"/>
      <c r="AE152" s="982"/>
      <c r="AF152" s="982"/>
      <c r="AG152" s="982"/>
      <c r="AH152" s="982"/>
      <c r="AI152" s="982"/>
      <c r="AJ152" s="982"/>
      <c r="AK152" s="982"/>
      <c r="AL152" s="982"/>
      <c r="AM152" s="982"/>
      <c r="AP152"/>
      <c r="AQ152"/>
      <c r="AR152"/>
      <c r="AS152"/>
    </row>
    <row r="153" spans="1:45" ht="20.25" customHeight="1">
      <c r="A153" s="805" t="str">
        <f>+'Data Input'!B64</f>
        <v>Av‡e`bKvix†K ‡gmvm© mvbd¬vIqvi †UBjvm© GÛ †dweªK&amp;ª bvgK Kvc‡oi  e¨emv cwiPvjbvi Rb¨ wmGgGmGgB Lv‡Z 1 (GK) erm‡ii ‡gqv‡` gs  70.00 (mËi) jÿ UvKv gvÎ bM` cyuwR FY gÄyixi  mycvwik Kiv n‡jv|</v>
      </c>
      <c r="B153" s="805"/>
      <c r="C153" s="805"/>
      <c r="D153" s="805"/>
      <c r="E153" s="805"/>
      <c r="F153" s="805"/>
      <c r="G153" s="805"/>
      <c r="H153" s="805"/>
      <c r="I153" s="805"/>
      <c r="J153" s="805"/>
      <c r="K153" s="805"/>
      <c r="L153" s="805"/>
      <c r="M153" s="805"/>
      <c r="N153" s="805"/>
      <c r="O153" s="805"/>
      <c r="P153" s="805"/>
      <c r="Q153" s="805"/>
      <c r="R153" s="805"/>
      <c r="S153" s="805"/>
      <c r="T153" s="805"/>
      <c r="U153" s="805"/>
      <c r="V153" s="805"/>
      <c r="W153" s="805"/>
      <c r="X153" s="805"/>
      <c r="Y153" s="805"/>
      <c r="Z153" s="805"/>
      <c r="AA153" s="805"/>
      <c r="AB153" s="805"/>
      <c r="AC153" s="805"/>
      <c r="AD153" s="805"/>
      <c r="AE153" s="805"/>
      <c r="AF153" s="805"/>
      <c r="AG153" s="805"/>
      <c r="AH153" s="805"/>
      <c r="AI153" s="805"/>
      <c r="AJ153" s="805"/>
      <c r="AK153" s="805"/>
      <c r="AL153" s="805"/>
      <c r="AM153" s="805"/>
    </row>
    <row r="154" spans="1:45" s="65" customFormat="1" ht="61.5" customHeight="1">
      <c r="A154" s="805"/>
      <c r="B154" s="805"/>
      <c r="C154" s="805"/>
      <c r="D154" s="805"/>
      <c r="E154" s="805"/>
      <c r="F154" s="805"/>
      <c r="G154" s="805"/>
      <c r="H154" s="805"/>
      <c r="I154" s="805"/>
      <c r="J154" s="805"/>
      <c r="K154" s="805"/>
      <c r="L154" s="805"/>
      <c r="M154" s="805"/>
      <c r="N154" s="805"/>
      <c r="O154" s="805"/>
      <c r="P154" s="805"/>
      <c r="Q154" s="805"/>
      <c r="R154" s="805"/>
      <c r="S154" s="805"/>
      <c r="T154" s="805"/>
      <c r="U154" s="805"/>
      <c r="V154" s="805"/>
      <c r="W154" s="805"/>
      <c r="X154" s="805"/>
      <c r="Y154" s="805"/>
      <c r="Z154" s="805"/>
      <c r="AA154" s="805"/>
      <c r="AB154" s="805"/>
      <c r="AC154" s="805"/>
      <c r="AD154" s="805"/>
      <c r="AE154" s="805"/>
      <c r="AF154" s="805"/>
      <c r="AG154" s="805"/>
      <c r="AH154" s="805"/>
      <c r="AI154" s="805"/>
      <c r="AJ154" s="805"/>
      <c r="AK154" s="805"/>
      <c r="AL154" s="805"/>
      <c r="AM154" s="805"/>
      <c r="AP154"/>
      <c r="AQ154"/>
      <c r="AR154"/>
      <c r="AS154"/>
    </row>
    <row r="155" spans="1:45" s="65" customFormat="1" ht="20.25" customHeight="1">
      <c r="A155" s="64"/>
      <c r="B155" s="64"/>
      <c r="C155" s="64"/>
      <c r="D155" s="64"/>
      <c r="E155" s="64"/>
      <c r="F155" s="64"/>
      <c r="G155" s="64"/>
      <c r="H155" s="64"/>
      <c r="I155" s="64"/>
      <c r="J155" s="64"/>
      <c r="K155" s="64"/>
      <c r="L155" s="64"/>
      <c r="M155" s="64"/>
      <c r="N155" s="64"/>
      <c r="O155" s="64"/>
      <c r="P155" s="64"/>
      <c r="Q155" s="64"/>
      <c r="R155" s="64"/>
      <c r="S155" s="64"/>
      <c r="T155" s="64"/>
      <c r="U155" s="64"/>
      <c r="V155" s="64"/>
      <c r="W155" s="64"/>
      <c r="X155" s="64"/>
      <c r="Y155" s="64"/>
      <c r="Z155" s="64"/>
      <c r="AA155" s="64"/>
      <c r="AB155" s="952" t="s">
        <v>955</v>
      </c>
      <c r="AC155" s="952"/>
      <c r="AD155" s="952"/>
      <c r="AE155" s="952"/>
      <c r="AF155" s="64"/>
      <c r="AG155" s="64"/>
      <c r="AH155" s="64"/>
      <c r="AI155" s="64"/>
      <c r="AJ155" s="64"/>
      <c r="AK155" s="64"/>
      <c r="AL155" s="64"/>
      <c r="AM155" s="64"/>
    </row>
    <row r="156" spans="1:45" s="65" customFormat="1" ht="19.5" customHeight="1">
      <c r="A156" s="64"/>
      <c r="R156" s="64"/>
      <c r="S156" s="64"/>
      <c r="T156" s="64"/>
      <c r="U156" s="64"/>
      <c r="V156" s="64"/>
      <c r="W156" s="64"/>
      <c r="X156" s="64"/>
      <c r="Y156" s="64"/>
      <c r="Z156" s="64"/>
      <c r="AA156" s="64"/>
      <c r="AB156" s="1054" t="s">
        <v>372</v>
      </c>
      <c r="AC156" s="1054"/>
      <c r="AD156" s="1054"/>
      <c r="AE156" s="1054"/>
      <c r="AF156" s="64"/>
      <c r="AG156" s="64"/>
      <c r="AH156" s="64"/>
      <c r="AI156" s="64"/>
      <c r="AJ156" s="64"/>
      <c r="AK156" s="64"/>
      <c r="AL156" s="64"/>
      <c r="AM156" s="64"/>
    </row>
    <row r="157" spans="1:45" s="65" customFormat="1" ht="16.5" customHeight="1">
      <c r="A157" s="64"/>
      <c r="B157" s="64" t="s">
        <v>954</v>
      </c>
      <c r="C157" s="64"/>
      <c r="D157" s="64"/>
      <c r="E157" s="64"/>
      <c r="F157" s="64"/>
      <c r="G157" s="64"/>
      <c r="H157" s="64"/>
      <c r="I157" s="64"/>
      <c r="J157" s="64"/>
      <c r="K157" s="64"/>
      <c r="L157" s="64"/>
      <c r="M157" s="64"/>
      <c r="N157" s="64"/>
      <c r="O157" s="64"/>
      <c r="P157" s="64"/>
      <c r="Q157" s="64"/>
      <c r="R157" s="64"/>
      <c r="S157" s="64"/>
      <c r="T157" s="64"/>
      <c r="U157" s="64"/>
      <c r="V157" s="64"/>
      <c r="W157" s="64"/>
      <c r="X157" s="64"/>
      <c r="Y157" s="64"/>
      <c r="Z157" s="64"/>
      <c r="AA157" s="64"/>
      <c r="AB157" s="952" t="s">
        <v>371</v>
      </c>
      <c r="AC157" s="952"/>
      <c r="AD157" s="952"/>
      <c r="AE157" s="952"/>
      <c r="AF157" s="64"/>
      <c r="AG157" s="64"/>
      <c r="AH157" s="64"/>
      <c r="AI157" s="64"/>
      <c r="AJ157" s="64"/>
      <c r="AK157" s="64"/>
      <c r="AL157" s="64"/>
      <c r="AM157" s="64"/>
    </row>
    <row r="158" spans="1:45" s="65" customFormat="1" ht="18" customHeight="1">
      <c r="A158" s="70"/>
      <c r="B158" s="64" t="s">
        <v>370</v>
      </c>
      <c r="C158" s="64"/>
      <c r="D158" s="64"/>
      <c r="E158" s="1055"/>
      <c r="F158" s="1055"/>
      <c r="G158" s="1055"/>
      <c r="H158" s="1055"/>
      <c r="I158" s="1055"/>
      <c r="J158" s="1055"/>
      <c r="K158" s="1055"/>
      <c r="L158" s="1055"/>
      <c r="M158" s="1055"/>
      <c r="N158" s="1055"/>
      <c r="O158" s="1055"/>
      <c r="P158" s="1055"/>
      <c r="Q158" s="71"/>
      <c r="R158" s="71"/>
      <c r="S158" s="71"/>
      <c r="T158" s="71"/>
      <c r="U158" s="71"/>
      <c r="V158" s="71"/>
      <c r="W158" s="71"/>
    </row>
    <row r="159" spans="1:45" s="65" customFormat="1" ht="21" customHeight="1">
      <c r="A159" s="70"/>
      <c r="B159" s="64"/>
      <c r="C159" s="64"/>
      <c r="D159" s="64"/>
      <c r="E159" s="64"/>
      <c r="F159" s="64"/>
      <c r="G159" s="64"/>
      <c r="H159" s="64"/>
      <c r="I159" s="64"/>
      <c r="J159" s="64"/>
      <c r="K159" s="64"/>
      <c r="L159" s="64"/>
      <c r="M159" s="64"/>
      <c r="N159" s="64"/>
      <c r="O159" s="64"/>
      <c r="P159" s="64"/>
      <c r="Q159" s="71"/>
      <c r="R159" s="71"/>
      <c r="S159" s="71"/>
      <c r="T159" s="71"/>
      <c r="U159" s="71"/>
      <c r="V159" s="71"/>
      <c r="W159" s="71"/>
    </row>
    <row r="160" spans="1:45" s="65" customFormat="1" ht="27.75" customHeight="1">
      <c r="A160" s="70"/>
      <c r="B160" s="64"/>
      <c r="C160" s="64"/>
      <c r="D160" s="64"/>
      <c r="E160" s="64"/>
      <c r="F160" s="64"/>
      <c r="G160" s="64"/>
      <c r="H160" s="64"/>
      <c r="I160" s="64"/>
      <c r="J160" s="64"/>
      <c r="K160" s="64"/>
      <c r="L160" s="64"/>
      <c r="M160" s="64"/>
      <c r="N160" s="64"/>
      <c r="O160" s="64"/>
      <c r="P160" s="64"/>
      <c r="Q160" s="71"/>
      <c r="R160" s="71"/>
      <c r="S160" s="71"/>
      <c r="T160" s="71"/>
      <c r="U160" s="71"/>
      <c r="V160" s="71"/>
      <c r="W160" s="71"/>
    </row>
    <row r="161" spans="1:39" s="65" customFormat="1" ht="27.75" customHeight="1">
      <c r="A161" s="70"/>
      <c r="B161" s="64"/>
      <c r="C161" s="64"/>
      <c r="D161" s="64"/>
      <c r="E161" s="64"/>
      <c r="F161" s="64"/>
      <c r="G161" s="64"/>
      <c r="H161" s="64"/>
      <c r="I161" s="64"/>
      <c r="J161" s="64"/>
      <c r="K161" s="64"/>
      <c r="L161" s="64"/>
      <c r="M161" s="64"/>
      <c r="N161" s="64"/>
      <c r="O161" s="64"/>
      <c r="P161" s="64"/>
      <c r="Q161" s="71"/>
      <c r="R161" s="71"/>
      <c r="S161" s="71"/>
      <c r="T161" s="71"/>
      <c r="U161" s="71"/>
      <c r="V161" s="71"/>
      <c r="W161" s="71"/>
    </row>
    <row r="162" spans="1:39" s="65" customFormat="1" ht="27.75" customHeight="1">
      <c r="A162" s="70"/>
      <c r="B162" s="64"/>
      <c r="C162" s="64"/>
      <c r="D162" s="64"/>
      <c r="E162" s="64"/>
      <c r="F162" s="64"/>
      <c r="G162" s="64"/>
      <c r="H162" s="64"/>
      <c r="I162" s="64"/>
      <c r="J162" s="64"/>
      <c r="K162" s="64"/>
      <c r="L162" s="64"/>
      <c r="M162" s="64"/>
      <c r="N162" s="64"/>
      <c r="O162" s="64"/>
      <c r="P162" s="64"/>
      <c r="Q162" s="71"/>
      <c r="R162" s="71"/>
      <c r="S162" s="71"/>
      <c r="T162" s="71"/>
      <c r="U162" s="71"/>
      <c r="V162" s="71"/>
      <c r="W162" s="71"/>
    </row>
    <row r="163" spans="1:39" ht="20.25" customHeight="1">
      <c r="A163" s="1046" t="s">
        <v>378</v>
      </c>
      <c r="B163" s="1046"/>
      <c r="C163" s="1046"/>
      <c r="D163" s="1046"/>
      <c r="E163" s="1046"/>
      <c r="F163" s="1046"/>
      <c r="G163" s="1046"/>
      <c r="H163" s="1046"/>
      <c r="I163" s="1046"/>
      <c r="J163" s="1046"/>
      <c r="K163" s="1046"/>
      <c r="L163" s="1046"/>
      <c r="M163" s="1046"/>
      <c r="N163" s="1046"/>
      <c r="O163" s="1046"/>
      <c r="P163" s="1046"/>
      <c r="Q163" s="1046"/>
      <c r="R163" s="1046"/>
      <c r="S163" s="1046"/>
      <c r="T163" s="1046"/>
      <c r="U163" s="1046"/>
      <c r="V163" s="1046"/>
      <c r="W163" s="1046"/>
      <c r="X163" s="1046"/>
      <c r="Y163" s="1046"/>
      <c r="Z163" s="1046"/>
      <c r="AA163" s="1046"/>
      <c r="AB163" s="1046"/>
      <c r="AC163" s="1046"/>
      <c r="AD163" s="1046"/>
      <c r="AE163" s="1046"/>
      <c r="AF163" s="1046"/>
      <c r="AG163" s="1046"/>
      <c r="AH163" s="1046"/>
      <c r="AI163" s="1046"/>
      <c r="AJ163" s="1046"/>
      <c r="AK163" s="1046"/>
      <c r="AL163" s="1046"/>
      <c r="AM163" s="1047"/>
    </row>
    <row r="164" spans="1:39" ht="20.25" customHeight="1">
      <c r="A164" s="1052" t="s">
        <v>343</v>
      </c>
      <c r="B164" s="1052"/>
      <c r="C164" s="1052"/>
      <c r="D164" s="1052"/>
      <c r="E164" s="1052"/>
      <c r="F164" s="1052"/>
      <c r="G164" s="1052"/>
      <c r="H164" s="1052"/>
      <c r="I164" s="1052"/>
      <c r="J164" s="1052"/>
      <c r="K164" s="1052"/>
      <c r="L164" s="1052"/>
      <c r="M164" s="1052"/>
      <c r="N164" s="1052"/>
      <c r="O164" s="1052"/>
      <c r="P164" s="1052"/>
      <c r="Q164" s="1052"/>
      <c r="R164" s="1052"/>
      <c r="S164" s="1052"/>
      <c r="T164" s="1052"/>
      <c r="U164" s="1052"/>
      <c r="V164" s="1052"/>
      <c r="W164" s="1052"/>
      <c r="X164" s="1052"/>
      <c r="Y164" s="1052"/>
      <c r="Z164" s="1052"/>
      <c r="AA164" s="1052"/>
      <c r="AB164" s="1052"/>
      <c r="AC164" s="1052"/>
      <c r="AD164" s="1052"/>
      <c r="AE164" s="1052"/>
      <c r="AF164" s="1052"/>
      <c r="AG164" s="1052"/>
      <c r="AH164" s="1052"/>
      <c r="AI164" s="1052"/>
      <c r="AJ164" s="1052"/>
      <c r="AK164" s="1052"/>
      <c r="AL164" s="1052"/>
      <c r="AM164" s="1052"/>
    </row>
    <row r="165" spans="1:39" s="91" customFormat="1" ht="20.25" customHeight="1">
      <c r="A165" s="999" t="s">
        <v>344</v>
      </c>
      <c r="B165" s="999"/>
      <c r="C165" s="999"/>
      <c r="D165" s="999"/>
      <c r="E165" s="999"/>
      <c r="F165" s="999"/>
      <c r="G165" s="999"/>
      <c r="H165" s="1049" t="s">
        <v>345</v>
      </c>
      <c r="I165" s="1050"/>
      <c r="J165" s="1050"/>
      <c r="K165" s="1050"/>
      <c r="L165" s="1050"/>
      <c r="M165" s="1050"/>
      <c r="N165" s="1050"/>
      <c r="O165" s="1050"/>
      <c r="P165" s="1050"/>
      <c r="Q165" s="1050"/>
      <c r="R165" s="1051"/>
      <c r="S165" s="999" t="s">
        <v>346</v>
      </c>
      <c r="T165" s="999"/>
      <c r="U165" s="999"/>
      <c r="V165" s="999"/>
      <c r="W165" s="999"/>
      <c r="X165" s="999"/>
      <c r="Y165" s="1056" t="s">
        <v>347</v>
      </c>
      <c r="Z165" s="1056"/>
      <c r="AA165" s="1056"/>
      <c r="AB165" s="1056"/>
      <c r="AC165" s="1056"/>
      <c r="AD165" s="999" t="s">
        <v>349</v>
      </c>
      <c r="AE165" s="999"/>
      <c r="AF165" s="999"/>
      <c r="AG165" s="999"/>
      <c r="AH165" s="999"/>
      <c r="AI165" s="999" t="s">
        <v>65</v>
      </c>
      <c r="AJ165" s="999"/>
      <c r="AK165" s="999"/>
      <c r="AL165" s="999"/>
      <c r="AM165" s="999"/>
    </row>
    <row r="166" spans="1:39" s="91" customFormat="1" ht="20.25" customHeight="1">
      <c r="A166" s="999"/>
      <c r="B166" s="999"/>
      <c r="C166" s="999"/>
      <c r="D166" s="999"/>
      <c r="E166" s="999"/>
      <c r="F166" s="999"/>
      <c r="G166" s="999"/>
      <c r="H166" s="999" t="s">
        <v>350</v>
      </c>
      <c r="I166" s="999"/>
      <c r="J166" s="999"/>
      <c r="K166" s="999"/>
      <c r="L166" s="999"/>
      <c r="M166" s="999" t="s">
        <v>351</v>
      </c>
      <c r="N166" s="999"/>
      <c r="O166" s="999"/>
      <c r="P166" s="999"/>
      <c r="Q166" s="999"/>
      <c r="R166" s="999"/>
      <c r="S166" s="999"/>
      <c r="T166" s="999"/>
      <c r="U166" s="999"/>
      <c r="V166" s="999"/>
      <c r="W166" s="999"/>
      <c r="X166" s="999"/>
      <c r="Y166" s="1045" t="s">
        <v>348</v>
      </c>
      <c r="Z166" s="1045"/>
      <c r="AA166" s="1045"/>
      <c r="AB166" s="1045"/>
      <c r="AC166" s="1045"/>
      <c r="AD166" s="999"/>
      <c r="AE166" s="999"/>
      <c r="AF166" s="999"/>
      <c r="AG166" s="999"/>
      <c r="AH166" s="999"/>
      <c r="AI166" s="999"/>
      <c r="AJ166" s="999"/>
      <c r="AK166" s="999"/>
      <c r="AL166" s="999"/>
      <c r="AM166" s="999"/>
    </row>
    <row r="167" spans="1:39" s="91" customFormat="1" ht="20.25" customHeight="1">
      <c r="A167" s="999">
        <v>1</v>
      </c>
      <c r="B167" s="999"/>
      <c r="C167" s="999"/>
      <c r="D167" s="999"/>
      <c r="E167" s="999"/>
      <c r="F167" s="999"/>
      <c r="G167" s="999"/>
      <c r="H167" s="999">
        <v>2</v>
      </c>
      <c r="I167" s="999"/>
      <c r="J167" s="999"/>
      <c r="K167" s="999"/>
      <c r="L167" s="999"/>
      <c r="M167" s="999">
        <v>3</v>
      </c>
      <c r="N167" s="999"/>
      <c r="O167" s="999"/>
      <c r="P167" s="999"/>
      <c r="Q167" s="999"/>
      <c r="R167" s="999"/>
      <c r="S167" s="999">
        <v>4</v>
      </c>
      <c r="T167" s="999"/>
      <c r="U167" s="999"/>
      <c r="V167" s="999"/>
      <c r="W167" s="999"/>
      <c r="X167" s="999"/>
      <c r="Y167" s="999">
        <v>5</v>
      </c>
      <c r="Z167" s="999"/>
      <c r="AA167" s="999"/>
      <c r="AB167" s="999"/>
      <c r="AC167" s="999"/>
      <c r="AD167" s="999">
        <v>6</v>
      </c>
      <c r="AE167" s="999"/>
      <c r="AF167" s="999"/>
      <c r="AG167" s="999"/>
      <c r="AH167" s="999"/>
      <c r="AI167" s="999">
        <v>7</v>
      </c>
      <c r="AJ167" s="999"/>
      <c r="AK167" s="999"/>
      <c r="AL167" s="999"/>
      <c r="AM167" s="999"/>
    </row>
    <row r="168" spans="1:39" s="91" customFormat="1" ht="20.25" customHeight="1">
      <c r="A168" s="1038" t="s">
        <v>352</v>
      </c>
      <c r="B168" s="1038"/>
      <c r="C168" s="1038"/>
      <c r="D168" s="1038"/>
      <c r="E168" s="1038"/>
      <c r="F168" s="1038"/>
      <c r="G168" s="1038"/>
      <c r="H168" s="1040"/>
      <c r="I168" s="1040"/>
      <c r="J168" s="1040"/>
      <c r="K168" s="1040"/>
      <c r="L168" s="1040"/>
      <c r="M168" s="1042"/>
      <c r="N168" s="1042"/>
      <c r="O168" s="1042"/>
      <c r="P168" s="1042"/>
      <c r="Q168" s="1042"/>
      <c r="R168" s="1042"/>
      <c r="S168" s="1042"/>
      <c r="T168" s="1042"/>
      <c r="U168" s="1042"/>
      <c r="V168" s="1042"/>
      <c r="W168" s="1042"/>
      <c r="X168" s="1042"/>
      <c r="Y168" s="991"/>
      <c r="Z168" s="991"/>
      <c r="AA168" s="991"/>
      <c r="AB168" s="991"/>
      <c r="AC168" s="991"/>
      <c r="AD168" s="1048"/>
      <c r="AE168" s="1048"/>
      <c r="AF168" s="1048"/>
      <c r="AG168" s="1048"/>
      <c r="AH168" s="1048"/>
      <c r="AI168" s="991"/>
      <c r="AJ168" s="991"/>
      <c r="AK168" s="991"/>
      <c r="AL168" s="991"/>
      <c r="AM168" s="991"/>
    </row>
    <row r="169" spans="1:39" s="91" customFormat="1" ht="32.25" customHeight="1">
      <c r="A169" s="1037" t="s">
        <v>353</v>
      </c>
      <c r="B169" s="1037"/>
      <c r="C169" s="1037"/>
      <c r="D169" s="1037"/>
      <c r="E169" s="1037"/>
      <c r="F169" s="1037"/>
      <c r="G169" s="1037"/>
      <c r="H169" s="1035"/>
      <c r="I169" s="1035"/>
      <c r="J169" s="1035"/>
      <c r="K169" s="1035"/>
      <c r="L169" s="1035"/>
      <c r="M169" s="1034"/>
      <c r="N169" s="1034"/>
      <c r="O169" s="1034"/>
      <c r="P169" s="1034"/>
      <c r="Q169" s="1034"/>
      <c r="R169" s="1034"/>
      <c r="S169" s="1034"/>
      <c r="T169" s="1034"/>
      <c r="U169" s="1034"/>
      <c r="V169" s="1034"/>
      <c r="W169" s="1034"/>
      <c r="X169" s="1034"/>
      <c r="Y169" s="1024"/>
      <c r="Z169" s="1024"/>
      <c r="AA169" s="1024"/>
      <c r="AB169" s="1024"/>
      <c r="AC169" s="1024"/>
      <c r="AD169" s="1024"/>
      <c r="AE169" s="1024"/>
      <c r="AF169" s="1024"/>
      <c r="AG169" s="1024"/>
      <c r="AH169" s="1024"/>
      <c r="AI169" s="1024"/>
      <c r="AJ169" s="1024"/>
      <c r="AK169" s="1024"/>
      <c r="AL169" s="1024"/>
      <c r="AM169" s="1024"/>
    </row>
    <row r="170" spans="1:39" s="91" customFormat="1" ht="56.25" customHeight="1">
      <c r="A170" s="1037"/>
      <c r="B170" s="1037"/>
      <c r="C170" s="1037"/>
      <c r="D170" s="1037"/>
      <c r="E170" s="1037"/>
      <c r="F170" s="1037"/>
      <c r="G170" s="1037"/>
      <c r="H170" s="1035"/>
      <c r="I170" s="1035"/>
      <c r="J170" s="1035"/>
      <c r="K170" s="1035"/>
      <c r="L170" s="1035"/>
      <c r="M170" s="1034"/>
      <c r="N170" s="1034"/>
      <c r="O170" s="1034"/>
      <c r="P170" s="1034"/>
      <c r="Q170" s="1034"/>
      <c r="R170" s="1034"/>
      <c r="S170" s="1034"/>
      <c r="T170" s="1034"/>
      <c r="U170" s="1034"/>
      <c r="V170" s="1034"/>
      <c r="W170" s="1034"/>
      <c r="X170" s="1034"/>
      <c r="Y170" s="1024"/>
      <c r="Z170" s="1024"/>
      <c r="AA170" s="1024"/>
      <c r="AB170" s="1024"/>
      <c r="AC170" s="1024"/>
      <c r="AD170" s="1024"/>
      <c r="AE170" s="1024"/>
      <c r="AF170" s="1024"/>
      <c r="AG170" s="1024"/>
      <c r="AH170" s="1024"/>
      <c r="AI170" s="1024"/>
      <c r="AJ170" s="1024"/>
      <c r="AK170" s="1024"/>
      <c r="AL170" s="1024"/>
      <c r="AM170" s="1024"/>
    </row>
    <row r="171" spans="1:39" s="91" customFormat="1" ht="20.25" customHeight="1">
      <c r="A171" s="1039" t="s">
        <v>307</v>
      </c>
      <c r="B171" s="1039"/>
      <c r="C171" s="1039"/>
      <c r="D171" s="1039"/>
      <c r="E171" s="1039"/>
      <c r="F171" s="1039"/>
      <c r="G171" s="1039"/>
      <c r="H171" s="1041"/>
      <c r="I171" s="1041"/>
      <c r="J171" s="1041"/>
      <c r="K171" s="1041"/>
      <c r="L171" s="1041"/>
      <c r="M171" s="1025"/>
      <c r="N171" s="1025"/>
      <c r="O171" s="1025"/>
      <c r="P171" s="1025"/>
      <c r="Q171" s="1025"/>
      <c r="R171" s="1025"/>
      <c r="S171" s="1022"/>
      <c r="T171" s="1022"/>
      <c r="U171" s="1022"/>
      <c r="V171" s="1022"/>
      <c r="W171" s="1022"/>
      <c r="X171" s="1022"/>
      <c r="Y171" s="1029"/>
      <c r="Z171" s="1029"/>
      <c r="AA171" s="1029"/>
      <c r="AB171" s="1029"/>
      <c r="AC171" s="1029"/>
      <c r="AD171" s="1027"/>
      <c r="AE171" s="1027"/>
      <c r="AF171" s="1027"/>
      <c r="AG171" s="1027"/>
      <c r="AH171" s="1027"/>
      <c r="AI171" s="1029"/>
      <c r="AJ171" s="1029"/>
      <c r="AK171" s="1029"/>
      <c r="AL171" s="1029"/>
      <c r="AM171" s="1029"/>
    </row>
    <row r="172" spans="1:39" s="91" customFormat="1" ht="39" customHeight="1">
      <c r="A172" s="1038" t="s">
        <v>354</v>
      </c>
      <c r="B172" s="1038"/>
      <c r="C172" s="1038"/>
      <c r="D172" s="1038"/>
      <c r="E172" s="1038"/>
      <c r="F172" s="1038"/>
      <c r="G172" s="1038"/>
      <c r="H172" s="1040"/>
      <c r="I172" s="1040"/>
      <c r="J172" s="1040"/>
      <c r="K172" s="1040"/>
      <c r="L172" s="1040"/>
      <c r="M172" s="1042"/>
      <c r="N172" s="1042"/>
      <c r="O172" s="1042"/>
      <c r="P172" s="1042"/>
      <c r="Q172" s="1042"/>
      <c r="R172" s="1042"/>
      <c r="S172" s="1042"/>
      <c r="T172" s="1042"/>
      <c r="U172" s="1042"/>
      <c r="V172" s="1042"/>
      <c r="W172" s="1042"/>
      <c r="X172" s="1042"/>
      <c r="Y172" s="991"/>
      <c r="Z172" s="991"/>
      <c r="AA172" s="991"/>
      <c r="AB172" s="991"/>
      <c r="AC172" s="991"/>
      <c r="AD172" s="991"/>
      <c r="AE172" s="991"/>
      <c r="AF172" s="991"/>
      <c r="AG172" s="991"/>
      <c r="AH172" s="991"/>
      <c r="AI172" s="991"/>
      <c r="AJ172" s="991"/>
      <c r="AK172" s="991"/>
      <c r="AL172" s="991"/>
      <c r="AM172" s="991"/>
    </row>
    <row r="173" spans="1:39" s="91" customFormat="1" ht="39.75" customHeight="1">
      <c r="A173" s="1037"/>
      <c r="B173" s="1037"/>
      <c r="C173" s="1037"/>
      <c r="D173" s="1037"/>
      <c r="E173" s="1037"/>
      <c r="F173" s="1037"/>
      <c r="G173" s="1037"/>
      <c r="H173" s="1036"/>
      <c r="I173" s="1036"/>
      <c r="J173" s="1036"/>
      <c r="K173" s="1036"/>
      <c r="L173" s="1036"/>
      <c r="M173" s="1033"/>
      <c r="N173" s="1033"/>
      <c r="O173" s="1033"/>
      <c r="P173" s="1033"/>
      <c r="Q173" s="1033"/>
      <c r="R173" s="1033"/>
      <c r="S173" s="1030"/>
      <c r="T173" s="1031"/>
      <c r="U173" s="1031"/>
      <c r="V173" s="1031"/>
      <c r="W173" s="1031"/>
      <c r="X173" s="1032"/>
      <c r="Y173" s="1024"/>
      <c r="Z173" s="1024"/>
      <c r="AA173" s="1024"/>
      <c r="AB173" s="1024"/>
      <c r="AC173" s="1024"/>
      <c r="AD173" s="1024"/>
      <c r="AE173" s="1024"/>
      <c r="AF173" s="1024"/>
      <c r="AG173" s="1024"/>
      <c r="AH173" s="1024"/>
      <c r="AI173" s="1024"/>
      <c r="AJ173" s="1024"/>
      <c r="AK173" s="1024"/>
      <c r="AL173" s="1024"/>
      <c r="AM173" s="1024"/>
    </row>
    <row r="174" spans="1:39" s="91" customFormat="1" ht="34.5" customHeight="1">
      <c r="A174" s="1037"/>
      <c r="B174" s="1037"/>
      <c r="C174" s="1037"/>
      <c r="D174" s="1037"/>
      <c r="E174" s="1037"/>
      <c r="F174" s="1037"/>
      <c r="G174" s="1037"/>
      <c r="H174" s="1036"/>
      <c r="I174" s="1036"/>
      <c r="J174" s="1036"/>
      <c r="K174" s="1036"/>
      <c r="L174" s="1036"/>
      <c r="M174" s="1033"/>
      <c r="N174" s="1033"/>
      <c r="O174" s="1033"/>
      <c r="P174" s="1033"/>
      <c r="Q174" s="1033"/>
      <c r="R174" s="1033"/>
      <c r="S174" s="1033"/>
      <c r="T174" s="1033"/>
      <c r="U174" s="1033"/>
      <c r="V174" s="1033"/>
      <c r="W174" s="1033"/>
      <c r="X174" s="1033"/>
      <c r="Y174" s="1024"/>
      <c r="Z174" s="1024"/>
      <c r="AA174" s="1024"/>
      <c r="AB174" s="1024"/>
      <c r="AC174" s="1024"/>
      <c r="AD174" s="1024"/>
      <c r="AE174" s="1024"/>
      <c r="AF174" s="1024"/>
      <c r="AG174" s="1024"/>
      <c r="AH174" s="1024"/>
      <c r="AI174" s="1024"/>
      <c r="AJ174" s="1024"/>
      <c r="AK174" s="1024"/>
      <c r="AL174" s="1024"/>
      <c r="AM174" s="1024"/>
    </row>
    <row r="175" spans="1:39" s="91" customFormat="1" ht="20.25" customHeight="1">
      <c r="A175" s="1039" t="s">
        <v>307</v>
      </c>
      <c r="B175" s="1039"/>
      <c r="C175" s="1039"/>
      <c r="D175" s="1039"/>
      <c r="E175" s="1039"/>
      <c r="F175" s="1039"/>
      <c r="G175" s="1039"/>
      <c r="H175" s="1041"/>
      <c r="I175" s="1041"/>
      <c r="J175" s="1041"/>
      <c r="K175" s="1041"/>
      <c r="L175" s="1041"/>
      <c r="M175" s="1025"/>
      <c r="N175" s="1025"/>
      <c r="O175" s="1025"/>
      <c r="P175" s="1025"/>
      <c r="Q175" s="1025"/>
      <c r="R175" s="1025"/>
      <c r="S175" s="1022"/>
      <c r="T175" s="1022"/>
      <c r="U175" s="1022"/>
      <c r="V175" s="1022"/>
      <c r="W175" s="1022"/>
      <c r="X175" s="1022"/>
      <c r="Y175" s="1029"/>
      <c r="Z175" s="1029"/>
      <c r="AA175" s="1029"/>
      <c r="AB175" s="1029"/>
      <c r="AC175" s="1029"/>
      <c r="AD175" s="1027"/>
      <c r="AE175" s="1027"/>
      <c r="AF175" s="1027"/>
      <c r="AG175" s="1027"/>
      <c r="AH175" s="1027"/>
      <c r="AI175" s="1029"/>
      <c r="AJ175" s="1029"/>
      <c r="AK175" s="1029"/>
      <c r="AL175" s="1029"/>
      <c r="AM175" s="1029"/>
    </row>
    <row r="176" spans="1:39" s="92" customFormat="1" ht="60.75" customHeight="1">
      <c r="A176" s="1044" t="s">
        <v>375</v>
      </c>
      <c r="B176" s="1044"/>
      <c r="C176" s="1044"/>
      <c r="D176" s="1044"/>
      <c r="E176" s="1044"/>
      <c r="F176" s="1044"/>
      <c r="G176" s="1044"/>
      <c r="H176" s="1028"/>
      <c r="I176" s="1028"/>
      <c r="J176" s="1028"/>
      <c r="K176" s="1028"/>
      <c r="L176" s="1028"/>
      <c r="M176" s="1023"/>
      <c r="N176" s="1023"/>
      <c r="O176" s="1023"/>
      <c r="P176" s="1023"/>
      <c r="Q176" s="1023"/>
      <c r="R176" s="1023"/>
      <c r="S176" s="1023"/>
      <c r="T176" s="1023"/>
      <c r="U176" s="1023"/>
      <c r="V176" s="1023"/>
      <c r="W176" s="1023"/>
      <c r="X176" s="1023"/>
      <c r="Y176" s="1028"/>
      <c r="Z176" s="1028"/>
      <c r="AA176" s="1028"/>
      <c r="AB176" s="1028"/>
      <c r="AC176" s="1028"/>
      <c r="AD176" s="1028"/>
      <c r="AE176" s="1028"/>
      <c r="AF176" s="1028"/>
      <c r="AG176" s="1028"/>
      <c r="AH176" s="1028"/>
      <c r="AI176" s="1028"/>
      <c r="AJ176" s="1028"/>
      <c r="AK176" s="1028"/>
      <c r="AL176" s="1028"/>
      <c r="AM176" s="1028"/>
    </row>
    <row r="177" spans="1:39" s="91" customFormat="1" ht="32.25" customHeight="1">
      <c r="A177" s="1037" t="s">
        <v>376</v>
      </c>
      <c r="B177" s="1037"/>
      <c r="C177" s="1037"/>
      <c r="D177" s="1037"/>
      <c r="E177" s="1037"/>
      <c r="F177" s="1037"/>
      <c r="G177" s="1037"/>
      <c r="H177" s="1035"/>
      <c r="I177" s="1035"/>
      <c r="J177" s="1035"/>
      <c r="K177" s="1035"/>
      <c r="L177" s="1035"/>
      <c r="M177" s="1034"/>
      <c r="N177" s="1034"/>
      <c r="O177" s="1034"/>
      <c r="P177" s="1034"/>
      <c r="Q177" s="1034"/>
      <c r="R177" s="1034"/>
      <c r="S177" s="1034"/>
      <c r="T177" s="1034"/>
      <c r="U177" s="1034"/>
      <c r="V177" s="1034"/>
      <c r="W177" s="1034"/>
      <c r="X177" s="1034"/>
      <c r="Y177" s="1024"/>
      <c r="Z177" s="1024"/>
      <c r="AA177" s="1024"/>
      <c r="AB177" s="1024"/>
      <c r="AC177" s="1024"/>
      <c r="AD177" s="1024"/>
      <c r="AE177" s="1024"/>
      <c r="AF177" s="1024"/>
      <c r="AG177" s="1024"/>
      <c r="AH177" s="1024"/>
      <c r="AI177" s="1024"/>
      <c r="AJ177" s="1024"/>
      <c r="AK177" s="1024"/>
      <c r="AL177" s="1024"/>
      <c r="AM177" s="1024"/>
    </row>
    <row r="178" spans="1:39" s="91" customFormat="1" ht="20.25" customHeight="1">
      <c r="A178" s="1043" t="s">
        <v>377</v>
      </c>
      <c r="B178" s="1043"/>
      <c r="C178" s="1043"/>
      <c r="D178" s="1043"/>
      <c r="E178" s="1043"/>
      <c r="F178" s="1043"/>
      <c r="G178" s="1043"/>
      <c r="H178" s="1041"/>
      <c r="I178" s="1041"/>
      <c r="J178" s="1041"/>
      <c r="K178" s="1041"/>
      <c r="L178" s="1041"/>
      <c r="M178" s="1025"/>
      <c r="N178" s="1025"/>
      <c r="O178" s="1025"/>
      <c r="P178" s="1025"/>
      <c r="Q178" s="1025"/>
      <c r="R178" s="1025"/>
      <c r="S178" s="1022"/>
      <c r="T178" s="1022"/>
      <c r="U178" s="1022"/>
      <c r="V178" s="1022"/>
      <c r="W178" s="1022"/>
      <c r="X178" s="1022"/>
      <c r="Y178" s="1029"/>
      <c r="Z178" s="1029"/>
      <c r="AA178" s="1029"/>
      <c r="AB178" s="1029"/>
      <c r="AC178" s="1029"/>
      <c r="AD178" s="1027"/>
      <c r="AE178" s="1027"/>
      <c r="AF178" s="1027"/>
      <c r="AG178" s="1027"/>
      <c r="AH178" s="1027"/>
      <c r="AI178" s="1029"/>
      <c r="AJ178" s="1029"/>
      <c r="AK178" s="1029"/>
      <c r="AL178" s="1029"/>
      <c r="AM178" s="1029"/>
    </row>
    <row r="179" spans="1:39" ht="20.25" customHeight="1">
      <c r="A179" s="30"/>
      <c r="B179" s="1"/>
      <c r="C179" s="1"/>
      <c r="D179" s="1"/>
      <c r="E179" s="1"/>
      <c r="F179" s="1"/>
      <c r="G179" s="1"/>
      <c r="H179" s="1"/>
      <c r="I179" s="1"/>
      <c r="J179" s="1"/>
      <c r="K179" s="1"/>
      <c r="L179" s="1"/>
      <c r="M179" s="1"/>
      <c r="N179" s="1"/>
      <c r="O179" s="1"/>
      <c r="P179" s="1"/>
      <c r="Q179" s="1"/>
      <c r="R179" s="1"/>
      <c r="S179" s="1"/>
      <c r="T179" s="1"/>
      <c r="U179" s="1"/>
      <c r="V179" s="1"/>
      <c r="W179" s="1"/>
      <c r="X179" s="1"/>
    </row>
    <row r="180" spans="1:39" s="76" customFormat="1" ht="20.25" customHeight="1">
      <c r="A180" s="93"/>
      <c r="B180" s="93" t="s">
        <v>969</v>
      </c>
      <c r="C180" s="78"/>
      <c r="D180" s="78"/>
      <c r="E180" s="78"/>
      <c r="F180" s="78"/>
      <c r="G180" s="78"/>
      <c r="H180" s="78"/>
      <c r="I180" s="78"/>
      <c r="J180" s="78"/>
      <c r="K180" s="78"/>
      <c r="L180" s="78"/>
      <c r="M180" s="78"/>
      <c r="N180" s="78"/>
      <c r="O180" s="78"/>
      <c r="P180" s="78"/>
      <c r="Q180" s="78"/>
      <c r="R180" s="78"/>
      <c r="S180" s="78"/>
      <c r="T180" s="78"/>
      <c r="U180" s="78"/>
      <c r="V180" s="78"/>
      <c r="W180" s="78"/>
      <c r="X180" s="78"/>
    </row>
    <row r="181" spans="1:39" ht="20.25" customHeight="1">
      <c r="A181" s="12"/>
      <c r="B181" s="12"/>
      <c r="C181" s="1"/>
      <c r="D181" s="1"/>
      <c r="E181" s="1"/>
      <c r="F181" s="1"/>
      <c r="G181" s="1"/>
      <c r="H181" s="1"/>
      <c r="I181" s="1"/>
      <c r="J181" s="1"/>
      <c r="K181" s="1"/>
      <c r="L181" s="1"/>
      <c r="M181" s="1"/>
      <c r="N181" s="1"/>
      <c r="O181" s="1"/>
      <c r="P181" s="1026"/>
      <c r="Q181" s="1026"/>
      <c r="R181" s="1026"/>
      <c r="S181" s="1026"/>
      <c r="T181" s="1026"/>
      <c r="U181" s="1026"/>
      <c r="V181" s="1026"/>
      <c r="W181" s="1026"/>
      <c r="X181" s="1026"/>
      <c r="Y181" s="1026"/>
      <c r="Z181" s="1026"/>
      <c r="AA181" s="1026"/>
      <c r="AB181" s="1026"/>
      <c r="AC181" s="1026"/>
      <c r="AD181" s="1026"/>
      <c r="AE181" s="1026"/>
      <c r="AF181" s="1026"/>
      <c r="AG181" s="1026"/>
      <c r="AH181" s="1026"/>
      <c r="AI181" s="1026"/>
      <c r="AJ181" s="1026"/>
      <c r="AK181" s="1026"/>
      <c r="AL181" s="1026"/>
      <c r="AM181" s="1026"/>
    </row>
    <row r="182" spans="1:39" s="65" customFormat="1" ht="35.25" customHeight="1">
      <c r="A182" s="5"/>
      <c r="B182" s="5" t="s">
        <v>970</v>
      </c>
      <c r="C182" s="71"/>
      <c r="D182" s="71"/>
      <c r="E182" s="71"/>
      <c r="F182" s="71"/>
      <c r="G182" s="71"/>
      <c r="H182" s="71"/>
      <c r="I182" s="71"/>
      <c r="J182" s="71"/>
      <c r="K182" s="71"/>
      <c r="L182" s="71"/>
      <c r="M182" s="71"/>
      <c r="N182" s="71"/>
      <c r="O182" s="71"/>
      <c r="P182" s="1018"/>
      <c r="Q182" s="1019"/>
      <c r="R182" s="1019"/>
      <c r="S182" s="1019"/>
      <c r="T182" s="1019"/>
      <c r="U182" s="1019"/>
      <c r="V182" s="1019"/>
      <c r="W182" s="1019"/>
      <c r="X182" s="1019"/>
      <c r="Y182" s="1019"/>
      <c r="Z182" s="1019"/>
      <c r="AA182" s="1019"/>
      <c r="AB182" s="1019"/>
      <c r="AC182" s="1019"/>
      <c r="AD182" s="1019"/>
      <c r="AE182" s="1019"/>
      <c r="AF182" s="1019"/>
      <c r="AG182" s="1019"/>
      <c r="AH182" s="1019"/>
      <c r="AI182" s="1019"/>
      <c r="AJ182" s="1019"/>
      <c r="AK182" s="1019"/>
      <c r="AL182" s="1019"/>
      <c r="AM182" s="1019"/>
    </row>
    <row r="183" spans="1:39" s="65" customFormat="1" ht="35.25" customHeight="1">
      <c r="A183" s="5"/>
      <c r="B183" s="5" t="s">
        <v>971</v>
      </c>
      <c r="C183" s="71"/>
      <c r="D183" s="71"/>
      <c r="E183" s="71"/>
      <c r="F183" s="71"/>
      <c r="G183" s="71"/>
      <c r="H183" s="71"/>
      <c r="I183" s="71"/>
      <c r="J183" s="71"/>
      <c r="K183" s="71"/>
      <c r="L183" s="71"/>
      <c r="M183" s="71"/>
      <c r="N183" s="71"/>
      <c r="O183" s="71"/>
      <c r="P183" s="1020" t="str">
        <f>IF(P182="","",P182)</f>
        <v/>
      </c>
      <c r="Q183" s="1021"/>
      <c r="R183" s="1021"/>
      <c r="S183" s="1021"/>
      <c r="T183" s="1021"/>
      <c r="U183" s="1021"/>
      <c r="V183" s="1021"/>
      <c r="W183" s="1021"/>
      <c r="X183" s="1021"/>
      <c r="Y183" s="1021"/>
      <c r="Z183" s="1021"/>
      <c r="AA183" s="1021"/>
      <c r="AB183" s="1021"/>
      <c r="AC183" s="1021"/>
      <c r="AD183" s="1021"/>
      <c r="AE183" s="1021"/>
      <c r="AF183" s="1021"/>
      <c r="AG183" s="1021"/>
      <c r="AH183" s="1021"/>
      <c r="AI183" s="1021"/>
      <c r="AJ183" s="1021"/>
      <c r="AK183" s="1021"/>
      <c r="AL183" s="1021"/>
      <c r="AM183" s="1021"/>
    </row>
    <row r="184" spans="1:39" s="65" customFormat="1" ht="35.25" customHeight="1">
      <c r="A184" s="5"/>
      <c r="B184" s="5" t="s">
        <v>972</v>
      </c>
      <c r="C184" s="71"/>
      <c r="D184" s="71"/>
      <c r="E184" s="71"/>
      <c r="F184" s="71"/>
      <c r="G184" s="71"/>
      <c r="H184" s="71"/>
      <c r="I184" s="71"/>
      <c r="J184" s="71"/>
      <c r="K184" s="71"/>
      <c r="L184" s="71"/>
      <c r="M184" s="71"/>
      <c r="N184" s="71"/>
      <c r="O184" s="71"/>
      <c r="P184" s="1020">
        <v>45684</v>
      </c>
      <c r="Q184" s="1021"/>
      <c r="R184" s="1021"/>
      <c r="S184" s="1021"/>
      <c r="T184" s="1021"/>
      <c r="U184" s="1021"/>
      <c r="V184" s="1021"/>
      <c r="W184" s="1021"/>
      <c r="X184" s="1021"/>
      <c r="Y184" s="1021"/>
      <c r="Z184" s="1021"/>
      <c r="AA184" s="1021"/>
      <c r="AB184" s="1021"/>
      <c r="AC184" s="1021"/>
      <c r="AD184" s="1021"/>
      <c r="AE184" s="1021"/>
      <c r="AF184" s="1021"/>
      <c r="AG184" s="1021"/>
      <c r="AH184" s="1021"/>
      <c r="AI184" s="1021"/>
      <c r="AJ184" s="1021"/>
      <c r="AK184" s="1021"/>
      <c r="AL184" s="1021"/>
      <c r="AM184" s="1021"/>
    </row>
    <row r="185" spans="1:39" s="65" customFormat="1" ht="35.25" customHeight="1">
      <c r="A185" s="5"/>
      <c r="B185" s="5" t="s">
        <v>973</v>
      </c>
      <c r="C185" s="71"/>
      <c r="D185" s="71"/>
      <c r="E185" s="71"/>
      <c r="F185" s="71"/>
      <c r="G185" s="71"/>
      <c r="H185" s="71"/>
      <c r="I185" s="71"/>
      <c r="J185" s="71"/>
      <c r="K185" s="71"/>
      <c r="L185" s="71"/>
      <c r="M185" s="71"/>
      <c r="N185" s="71"/>
      <c r="O185" s="71"/>
      <c r="P185" s="1018"/>
      <c r="Q185" s="1019"/>
      <c r="R185" s="1019"/>
      <c r="S185" s="1019"/>
      <c r="T185" s="1019"/>
      <c r="U185" s="1019"/>
      <c r="V185" s="1019"/>
      <c r="W185" s="1019"/>
      <c r="X185" s="1019"/>
      <c r="Y185" s="1019"/>
      <c r="Z185" s="1019"/>
      <c r="AA185" s="1019"/>
      <c r="AB185" s="1019"/>
      <c r="AC185" s="1019"/>
      <c r="AD185" s="1019"/>
      <c r="AE185" s="1019"/>
      <c r="AF185" s="1019"/>
      <c r="AG185" s="1019"/>
      <c r="AH185" s="1019"/>
      <c r="AI185" s="1019"/>
      <c r="AJ185" s="1019"/>
      <c r="AK185" s="1019"/>
      <c r="AL185" s="1019"/>
      <c r="AM185" s="1019"/>
    </row>
    <row r="186" spans="1:39" s="65" customFormat="1" ht="35.25" customHeight="1">
      <c r="A186" s="66"/>
      <c r="B186" s="5" t="s">
        <v>974</v>
      </c>
      <c r="C186" s="71"/>
      <c r="D186" s="71"/>
      <c r="E186" s="71"/>
      <c r="F186" s="71"/>
      <c r="G186" s="71"/>
      <c r="H186" s="71"/>
      <c r="I186" s="71"/>
      <c r="J186" s="71"/>
      <c r="K186" s="71"/>
      <c r="L186" s="71"/>
      <c r="M186" s="71"/>
      <c r="N186" s="71"/>
      <c r="O186" s="71"/>
      <c r="P186" s="1020"/>
      <c r="Q186" s="1021"/>
      <c r="R186" s="1021"/>
      <c r="S186" s="1021"/>
      <c r="T186" s="1021"/>
      <c r="U186" s="1021"/>
      <c r="V186" s="1021"/>
      <c r="W186" s="1021"/>
      <c r="X186" s="1021"/>
      <c r="Y186" s="1021"/>
      <c r="Z186" s="1021"/>
      <c r="AA186" s="1021"/>
      <c r="AB186" s="1021"/>
      <c r="AC186" s="1021"/>
      <c r="AD186" s="1021"/>
      <c r="AE186" s="1021"/>
      <c r="AF186" s="1021"/>
      <c r="AG186" s="1021"/>
      <c r="AH186" s="1021"/>
      <c r="AI186" s="1021"/>
      <c r="AJ186" s="1021"/>
      <c r="AK186" s="1021"/>
      <c r="AL186" s="1021"/>
      <c r="AM186" s="1021"/>
    </row>
    <row r="187" spans="1:39" s="65" customFormat="1" ht="35.25" customHeight="1">
      <c r="A187" s="66"/>
      <c r="B187" s="5"/>
      <c r="C187" s="71"/>
      <c r="D187" s="71"/>
      <c r="E187" s="71"/>
      <c r="F187" s="71"/>
      <c r="G187" s="71"/>
      <c r="H187" s="71"/>
      <c r="I187" s="71"/>
      <c r="J187" s="71"/>
      <c r="K187" s="71"/>
      <c r="L187" s="71"/>
      <c r="M187" s="71"/>
      <c r="N187" s="71"/>
      <c r="O187" s="71"/>
      <c r="P187" s="71"/>
      <c r="Q187" s="71"/>
      <c r="R187" s="71"/>
      <c r="S187" s="71"/>
      <c r="T187" s="71"/>
      <c r="U187" s="71"/>
      <c r="V187" s="71"/>
      <c r="W187" s="71"/>
      <c r="X187" s="71"/>
    </row>
    <row r="188" spans="1:39" s="65" customFormat="1" ht="20.25" customHeight="1">
      <c r="A188" s="66"/>
      <c r="B188" s="5"/>
      <c r="C188" s="71"/>
      <c r="D188" s="71"/>
      <c r="E188" s="71"/>
      <c r="F188" s="71"/>
      <c r="G188" s="71"/>
      <c r="H188" s="71"/>
      <c r="I188" s="71"/>
      <c r="J188" s="71"/>
      <c r="K188" s="71"/>
      <c r="L188" s="71"/>
      <c r="M188" s="71"/>
      <c r="N188" s="71"/>
      <c r="O188" s="71"/>
      <c r="P188" s="71"/>
      <c r="Q188" s="71"/>
      <c r="R188" s="71"/>
      <c r="S188" s="71"/>
      <c r="T188" s="71"/>
      <c r="U188" s="71"/>
      <c r="V188" s="71"/>
      <c r="W188" s="71"/>
      <c r="X188" s="71"/>
    </row>
    <row r="189" spans="1:39" ht="20.25" customHeight="1">
      <c r="A189" s="12"/>
      <c r="B189" s="30" t="s">
        <v>355</v>
      </c>
      <c r="C189" s="1"/>
      <c r="D189" s="1"/>
      <c r="E189" s="1"/>
      <c r="F189" s="1"/>
      <c r="G189" s="1"/>
      <c r="H189" s="1"/>
      <c r="I189" s="1"/>
      <c r="J189" s="1"/>
      <c r="K189" s="1"/>
      <c r="L189" s="1"/>
      <c r="M189" s="1"/>
      <c r="N189" s="1"/>
      <c r="O189" s="1"/>
      <c r="P189" s="1"/>
      <c r="Q189" s="1"/>
      <c r="R189" s="1"/>
      <c r="S189" s="1"/>
      <c r="T189" s="1"/>
      <c r="U189" s="1"/>
      <c r="V189" s="1"/>
      <c r="W189" s="1"/>
      <c r="X189" s="1"/>
    </row>
    <row r="201" spans="1:39" ht="20.25" customHeight="1">
      <c r="A201" s="72"/>
      <c r="B201" s="72"/>
      <c r="C201" s="72"/>
      <c r="D201" s="72"/>
      <c r="E201" s="72"/>
      <c r="F201" s="72"/>
      <c r="G201" s="72"/>
      <c r="H201" s="72"/>
      <c r="I201" s="72"/>
      <c r="J201" s="72"/>
      <c r="K201" s="72"/>
      <c r="L201" s="72"/>
      <c r="M201" s="72"/>
      <c r="N201" s="72"/>
      <c r="O201" s="72"/>
      <c r="P201" s="72"/>
      <c r="Q201" s="72"/>
      <c r="R201" s="72"/>
      <c r="S201" s="72"/>
      <c r="T201" s="72"/>
      <c r="U201" s="72"/>
      <c r="V201" s="72"/>
      <c r="W201" s="72"/>
      <c r="X201" s="72"/>
      <c r="Y201" s="72"/>
      <c r="Z201" s="72"/>
      <c r="AA201" s="72"/>
      <c r="AB201" s="72"/>
      <c r="AC201" s="72"/>
      <c r="AD201" s="72"/>
      <c r="AE201" s="72"/>
      <c r="AF201" s="72"/>
      <c r="AG201" s="72"/>
      <c r="AH201" s="72"/>
      <c r="AI201" s="72"/>
      <c r="AJ201" s="72"/>
      <c r="AK201" s="72"/>
      <c r="AL201" s="72"/>
      <c r="AM201" s="72"/>
    </row>
    <row r="202" spans="1:39" ht="20.25" customHeight="1">
      <c r="A202" s="72"/>
      <c r="B202" s="72"/>
      <c r="C202" s="72"/>
      <c r="D202" s="72"/>
      <c r="E202" s="72"/>
      <c r="F202" s="72"/>
      <c r="G202" s="72"/>
      <c r="H202" s="72"/>
      <c r="I202" s="72"/>
      <c r="J202" s="72"/>
      <c r="K202" s="72"/>
      <c r="L202" s="72"/>
      <c r="M202" s="72"/>
      <c r="N202" s="72"/>
      <c r="O202" s="72"/>
      <c r="P202" s="72"/>
      <c r="Q202" s="72"/>
      <c r="R202" s="72"/>
      <c r="S202" s="72"/>
      <c r="T202" s="72"/>
      <c r="U202" s="72"/>
      <c r="V202" s="72"/>
      <c r="W202" s="72"/>
      <c r="X202" s="72"/>
      <c r="Y202" s="72"/>
      <c r="Z202" s="72"/>
      <c r="AA202" s="72"/>
      <c r="AB202" s="72"/>
      <c r="AC202" s="72"/>
      <c r="AD202" s="72"/>
      <c r="AE202" s="72"/>
      <c r="AF202" s="72"/>
      <c r="AG202" s="72"/>
      <c r="AH202" s="72"/>
      <c r="AI202" s="72"/>
      <c r="AJ202" s="72"/>
      <c r="AK202" s="72"/>
      <c r="AL202" s="72"/>
      <c r="AM202" s="72"/>
    </row>
    <row r="203" spans="1:39" ht="20.25" customHeight="1">
      <c r="A203" s="72"/>
      <c r="B203" s="72"/>
      <c r="C203" s="72"/>
      <c r="D203" s="72"/>
      <c r="E203" s="72"/>
      <c r="F203" s="72"/>
      <c r="G203" s="72"/>
      <c r="H203" s="72"/>
      <c r="I203" s="72"/>
      <c r="J203" s="72"/>
      <c r="K203" s="72"/>
      <c r="L203" s="72"/>
      <c r="M203" s="72"/>
      <c r="N203" s="72"/>
      <c r="O203" s="72"/>
      <c r="P203" s="72"/>
      <c r="Q203" s="72"/>
      <c r="R203" s="72"/>
      <c r="S203" s="72"/>
      <c r="T203" s="72"/>
      <c r="U203" s="72"/>
      <c r="V203" s="72"/>
      <c r="W203" s="72"/>
      <c r="X203" s="72"/>
      <c r="Y203" s="72"/>
      <c r="Z203" s="72"/>
      <c r="AA203" s="72"/>
      <c r="AB203" s="72"/>
      <c r="AC203" s="72"/>
      <c r="AD203" s="72"/>
      <c r="AE203" s="72"/>
      <c r="AF203" s="72"/>
      <c r="AG203" s="72"/>
      <c r="AH203" s="72"/>
      <c r="AI203" s="72"/>
      <c r="AJ203" s="72"/>
      <c r="AK203" s="72"/>
      <c r="AL203" s="72"/>
      <c r="AM203" s="72"/>
    </row>
    <row r="204" spans="1:39" ht="20.25" customHeight="1">
      <c r="A204" s="72"/>
      <c r="B204" s="72"/>
      <c r="C204" s="72"/>
      <c r="D204" s="72"/>
      <c r="E204" s="72"/>
      <c r="F204" s="72"/>
      <c r="G204" s="72"/>
      <c r="H204" s="72"/>
      <c r="I204" s="72"/>
      <c r="J204" s="72"/>
      <c r="K204" s="72"/>
      <c r="L204" s="72"/>
      <c r="M204" s="72"/>
      <c r="N204" s="72"/>
      <c r="O204" s="72"/>
      <c r="P204" s="72"/>
      <c r="Q204" s="72"/>
      <c r="R204" s="72"/>
      <c r="S204" s="72"/>
      <c r="T204" s="72"/>
      <c r="U204" s="72"/>
      <c r="V204" s="72"/>
      <c r="W204" s="72"/>
      <c r="X204" s="72"/>
      <c r="Y204" s="72"/>
      <c r="Z204" s="72"/>
      <c r="AA204" s="72"/>
      <c r="AB204" s="72"/>
      <c r="AC204" s="72"/>
      <c r="AD204" s="72"/>
      <c r="AE204" s="72"/>
      <c r="AF204" s="72"/>
      <c r="AG204" s="72"/>
      <c r="AH204" s="72"/>
      <c r="AI204" s="72"/>
      <c r="AJ204" s="72"/>
      <c r="AK204" s="72"/>
      <c r="AL204" s="72"/>
      <c r="AM204" s="72"/>
    </row>
    <row r="205" spans="1:39" ht="20.25" customHeight="1">
      <c r="A205" s="72"/>
      <c r="B205" s="72"/>
      <c r="C205" s="72"/>
      <c r="D205" s="72"/>
      <c r="E205" s="72"/>
      <c r="F205" s="72"/>
      <c r="G205" s="72"/>
      <c r="H205" s="72"/>
      <c r="I205" s="72"/>
      <c r="J205" s="72"/>
      <c r="K205" s="72"/>
      <c r="L205" s="72"/>
      <c r="M205" s="72"/>
      <c r="N205" s="72"/>
      <c r="O205" s="72"/>
      <c r="P205" s="72"/>
      <c r="Q205" s="72"/>
      <c r="R205" s="72"/>
      <c r="S205" s="72"/>
      <c r="T205" s="72"/>
      <c r="U205" s="72"/>
      <c r="V205" s="72"/>
      <c r="W205" s="72"/>
      <c r="X205" s="72"/>
      <c r="Y205" s="72"/>
      <c r="Z205" s="72"/>
      <c r="AA205" s="72"/>
      <c r="AB205" s="72"/>
      <c r="AC205" s="72"/>
      <c r="AD205" s="72"/>
      <c r="AE205" s="72"/>
      <c r="AF205" s="72"/>
      <c r="AG205" s="72"/>
      <c r="AH205" s="72"/>
      <c r="AI205" s="72"/>
      <c r="AJ205" s="72"/>
      <c r="AK205" s="72"/>
      <c r="AL205" s="72"/>
      <c r="AM205" s="72"/>
    </row>
    <row r="206" spans="1:39" ht="20.25" customHeight="1">
      <c r="A206" s="72"/>
      <c r="B206" s="72"/>
      <c r="C206" s="72"/>
      <c r="D206" s="72"/>
      <c r="E206" s="72"/>
      <c r="F206" s="72"/>
      <c r="G206" s="72"/>
      <c r="H206" s="72"/>
      <c r="I206" s="72"/>
      <c r="J206" s="72"/>
      <c r="K206" s="72"/>
      <c r="L206" s="72"/>
      <c r="M206" s="72"/>
      <c r="N206" s="72"/>
      <c r="O206" s="72"/>
      <c r="P206" s="72"/>
      <c r="Q206" s="72"/>
      <c r="R206" s="72"/>
      <c r="S206" s="72"/>
      <c r="T206" s="72"/>
      <c r="U206" s="72"/>
      <c r="V206" s="72"/>
      <c r="W206" s="72"/>
      <c r="X206" s="72"/>
      <c r="Y206" s="72"/>
      <c r="Z206" s="72"/>
      <c r="AA206" s="72"/>
      <c r="AB206" s="72"/>
      <c r="AC206" s="72"/>
      <c r="AD206" s="72"/>
      <c r="AE206" s="72"/>
      <c r="AF206" s="72"/>
      <c r="AG206" s="72"/>
      <c r="AH206" s="72"/>
      <c r="AI206" s="72"/>
      <c r="AJ206" s="72"/>
      <c r="AK206" s="72"/>
      <c r="AL206" s="72"/>
      <c r="AM206" s="72"/>
    </row>
    <row r="207" spans="1:39" ht="20.25" customHeight="1">
      <c r="A207" s="72"/>
      <c r="B207" s="72"/>
      <c r="C207" s="72"/>
      <c r="D207" s="72"/>
      <c r="E207" s="72"/>
      <c r="F207" s="72"/>
      <c r="G207" s="72"/>
      <c r="H207" s="72"/>
      <c r="I207" s="72"/>
      <c r="J207" s="72"/>
      <c r="K207" s="72"/>
      <c r="L207" s="72"/>
      <c r="M207" s="72"/>
      <c r="N207" s="72"/>
      <c r="O207" s="72"/>
      <c r="P207" s="72"/>
      <c r="Q207" s="72"/>
      <c r="R207" s="72"/>
      <c r="S207" s="72"/>
      <c r="T207" s="72"/>
      <c r="U207" s="72"/>
      <c r="V207" s="72"/>
      <c r="W207" s="72"/>
      <c r="X207" s="72"/>
      <c r="Y207" s="72"/>
      <c r="Z207" s="72"/>
      <c r="AA207" s="72"/>
      <c r="AB207" s="72"/>
      <c r="AC207" s="72"/>
      <c r="AD207" s="72"/>
      <c r="AE207" s="72"/>
      <c r="AF207" s="72"/>
      <c r="AG207" s="72"/>
      <c r="AH207" s="72"/>
      <c r="AI207" s="72"/>
      <c r="AJ207" s="72"/>
      <c r="AK207" s="72"/>
      <c r="AL207" s="72"/>
      <c r="AM207" s="72"/>
    </row>
    <row r="208" spans="1:39" ht="20.25" customHeight="1">
      <c r="A208" s="72"/>
      <c r="B208" s="72"/>
      <c r="C208" s="72"/>
      <c r="D208" s="72"/>
      <c r="E208" s="72"/>
      <c r="F208" s="72"/>
      <c r="G208" s="72"/>
      <c r="H208" s="72"/>
      <c r="I208" s="72"/>
      <c r="J208" s="72"/>
      <c r="K208" s="72"/>
      <c r="L208" s="72"/>
      <c r="M208" s="72"/>
      <c r="N208" s="72"/>
      <c r="O208" s="72"/>
      <c r="P208" s="72"/>
      <c r="Q208" s="72"/>
      <c r="R208" s="72"/>
      <c r="S208" s="72"/>
      <c r="T208" s="72"/>
      <c r="U208" s="72"/>
      <c r="V208" s="72"/>
      <c r="W208" s="72"/>
      <c r="X208" s="72"/>
      <c r="Y208" s="72"/>
      <c r="Z208" s="72"/>
      <c r="AA208" s="72"/>
      <c r="AB208" s="72"/>
      <c r="AC208" s="72"/>
      <c r="AD208" s="72"/>
      <c r="AE208" s="72"/>
      <c r="AF208" s="72"/>
      <c r="AG208" s="72"/>
      <c r="AH208" s="72"/>
      <c r="AI208" s="72"/>
      <c r="AJ208" s="72"/>
      <c r="AK208" s="72"/>
      <c r="AL208" s="72"/>
      <c r="AM208" s="72"/>
    </row>
    <row r="209" spans="1:39" ht="20.25" customHeight="1">
      <c r="A209" s="72"/>
      <c r="B209" s="72"/>
      <c r="C209" s="72"/>
      <c r="D209" s="72"/>
      <c r="E209" s="72"/>
      <c r="F209" s="72"/>
      <c r="G209" s="72"/>
      <c r="H209" s="72"/>
      <c r="I209" s="72"/>
      <c r="J209" s="72"/>
      <c r="K209" s="72"/>
      <c r="L209" s="72"/>
      <c r="M209" s="72"/>
      <c r="N209" s="72"/>
      <c r="O209" s="72"/>
      <c r="P209" s="72"/>
      <c r="Q209" s="72"/>
      <c r="R209" s="72"/>
      <c r="S209" s="72"/>
      <c r="T209" s="72"/>
      <c r="U209" s="72"/>
      <c r="V209" s="72"/>
      <c r="W209" s="72"/>
      <c r="X209" s="72"/>
      <c r="Y209" s="72"/>
      <c r="Z209" s="72"/>
      <c r="AA209" s="72"/>
      <c r="AB209" s="72"/>
      <c r="AC209" s="72"/>
      <c r="AD209" s="72"/>
      <c r="AE209" s="72"/>
      <c r="AF209" s="72"/>
      <c r="AG209" s="72"/>
      <c r="AH209" s="72"/>
      <c r="AI209" s="72"/>
      <c r="AJ209" s="72"/>
      <c r="AK209" s="72"/>
      <c r="AL209" s="72"/>
      <c r="AM209" s="72"/>
    </row>
    <row r="210" spans="1:39" ht="20.25" customHeight="1">
      <c r="A210" s="72"/>
      <c r="B210" s="72"/>
      <c r="C210" s="72"/>
      <c r="D210" s="72"/>
      <c r="E210" s="72"/>
      <c r="F210" s="72"/>
      <c r="G210" s="72"/>
      <c r="H210" s="72"/>
      <c r="I210" s="72"/>
      <c r="J210" s="72"/>
      <c r="K210" s="72"/>
      <c r="L210" s="72"/>
      <c r="M210" s="72"/>
      <c r="N210" s="72"/>
      <c r="O210" s="72"/>
      <c r="P210" s="72"/>
      <c r="Q210" s="72"/>
      <c r="R210" s="72"/>
      <c r="S210" s="72"/>
      <c r="T210" s="72"/>
      <c r="U210" s="72"/>
      <c r="V210" s="72"/>
      <c r="W210" s="72"/>
      <c r="X210" s="72"/>
      <c r="Y210" s="72"/>
      <c r="Z210" s="72"/>
      <c r="AA210" s="72"/>
      <c r="AB210" s="72"/>
      <c r="AC210" s="72"/>
      <c r="AD210" s="72"/>
      <c r="AE210" s="72"/>
      <c r="AF210" s="72"/>
      <c r="AG210" s="72"/>
      <c r="AH210" s="72"/>
      <c r="AI210" s="72"/>
      <c r="AJ210" s="72"/>
      <c r="AK210" s="72"/>
      <c r="AL210" s="72"/>
      <c r="AM210" s="72"/>
    </row>
    <row r="211" spans="1:39" ht="20.25" customHeight="1">
      <c r="A211" s="72"/>
      <c r="B211" s="72"/>
      <c r="C211" s="72"/>
      <c r="D211" s="72"/>
      <c r="E211" s="72"/>
      <c r="F211" s="72"/>
      <c r="G211" s="72"/>
      <c r="H211" s="72"/>
      <c r="I211" s="72"/>
      <c r="J211" s="72"/>
      <c r="K211" s="72"/>
      <c r="L211" s="72"/>
      <c r="M211" s="72"/>
      <c r="N211" s="72"/>
      <c r="O211" s="72"/>
      <c r="P211" s="72"/>
      <c r="Q211" s="72"/>
      <c r="R211" s="72"/>
      <c r="S211" s="72"/>
      <c r="T211" s="72"/>
      <c r="U211" s="72"/>
      <c r="V211" s="72"/>
      <c r="W211" s="72"/>
      <c r="X211" s="72"/>
      <c r="Y211" s="72"/>
      <c r="Z211" s="72"/>
      <c r="AA211" s="72"/>
      <c r="AB211" s="72"/>
      <c r="AC211" s="72"/>
      <c r="AD211" s="72"/>
      <c r="AE211" s="72"/>
      <c r="AF211" s="72"/>
      <c r="AG211" s="72"/>
      <c r="AH211" s="72"/>
      <c r="AI211" s="72"/>
      <c r="AJ211" s="72"/>
      <c r="AK211" s="72"/>
      <c r="AL211" s="72"/>
      <c r="AM211" s="72"/>
    </row>
    <row r="212" spans="1:39" ht="20.25" customHeight="1">
      <c r="A212" s="72"/>
      <c r="B212" s="72"/>
      <c r="C212" s="72"/>
      <c r="D212" s="72"/>
      <c r="E212" s="72"/>
      <c r="F212" s="72"/>
      <c r="G212" s="72"/>
      <c r="H212" s="72"/>
      <c r="I212" s="72"/>
      <c r="J212" s="72"/>
      <c r="K212" s="72"/>
      <c r="L212" s="72"/>
      <c r="M212" s="72"/>
      <c r="N212" s="72"/>
      <c r="O212" s="72"/>
      <c r="P212" s="72"/>
      <c r="Q212" s="72"/>
      <c r="R212" s="72"/>
      <c r="S212" s="72"/>
      <c r="T212" s="72"/>
      <c r="U212" s="72"/>
      <c r="V212" s="72"/>
      <c r="W212" s="72"/>
      <c r="X212" s="72"/>
      <c r="Y212" s="72"/>
      <c r="Z212" s="72"/>
      <c r="AA212" s="72"/>
      <c r="AB212" s="72"/>
      <c r="AC212" s="72"/>
      <c r="AD212" s="72"/>
      <c r="AE212" s="72"/>
      <c r="AF212" s="72"/>
      <c r="AG212" s="72"/>
      <c r="AH212" s="72"/>
      <c r="AI212" s="72"/>
      <c r="AJ212" s="72"/>
      <c r="AK212" s="72"/>
      <c r="AL212" s="72"/>
      <c r="AM212" s="72"/>
    </row>
    <row r="213" spans="1:39" ht="20.25" customHeight="1">
      <c r="A213" s="72"/>
      <c r="B213" s="72"/>
      <c r="C213" s="72"/>
      <c r="D213" s="72"/>
      <c r="E213" s="72"/>
      <c r="F213" s="72"/>
      <c r="G213" s="72"/>
      <c r="H213" s="72"/>
      <c r="I213" s="72"/>
      <c r="J213" s="72"/>
      <c r="K213" s="72"/>
      <c r="L213" s="72"/>
      <c r="M213" s="72"/>
      <c r="N213" s="72"/>
      <c r="O213" s="72"/>
      <c r="P213" s="72"/>
      <c r="Q213" s="72"/>
      <c r="R213" s="72"/>
      <c r="S213" s="72"/>
      <c r="T213" s="72"/>
      <c r="U213" s="72"/>
      <c r="V213" s="72"/>
      <c r="W213" s="72"/>
      <c r="X213" s="72"/>
      <c r="Y213" s="72"/>
      <c r="Z213" s="72"/>
      <c r="AA213" s="72"/>
      <c r="AB213" s="72"/>
      <c r="AC213" s="72"/>
      <c r="AD213" s="72"/>
      <c r="AE213" s="72"/>
      <c r="AF213" s="72"/>
      <c r="AG213" s="72"/>
      <c r="AH213" s="72"/>
      <c r="AI213" s="72"/>
      <c r="AJ213" s="72"/>
      <c r="AK213" s="72"/>
      <c r="AL213" s="72"/>
      <c r="AM213" s="72"/>
    </row>
    <row r="214" spans="1:39" ht="20.25" customHeight="1">
      <c r="A214" s="72"/>
      <c r="B214" s="72"/>
      <c r="C214" s="72"/>
      <c r="D214" s="72"/>
      <c r="E214" s="72"/>
      <c r="F214" s="72"/>
      <c r="G214" s="72"/>
      <c r="H214" s="72"/>
      <c r="I214" s="72"/>
      <c r="J214" s="72"/>
      <c r="K214" s="72"/>
      <c r="L214" s="72"/>
      <c r="M214" s="72"/>
      <c r="N214" s="72"/>
      <c r="O214" s="72"/>
      <c r="P214" s="72"/>
      <c r="Q214" s="72"/>
      <c r="R214" s="72"/>
      <c r="S214" s="72"/>
      <c r="T214" s="72"/>
      <c r="U214" s="72"/>
      <c r="V214" s="72"/>
      <c r="W214" s="72"/>
      <c r="X214" s="72"/>
      <c r="Y214" s="72"/>
      <c r="Z214" s="72"/>
      <c r="AA214" s="72"/>
      <c r="AB214" s="72"/>
      <c r="AC214" s="72"/>
      <c r="AD214" s="72"/>
      <c r="AE214" s="72"/>
      <c r="AF214" s="72"/>
      <c r="AG214" s="72"/>
      <c r="AH214" s="72"/>
      <c r="AI214" s="72"/>
      <c r="AJ214" s="72"/>
      <c r="AK214" s="72"/>
      <c r="AL214" s="72"/>
      <c r="AM214" s="72"/>
    </row>
    <row r="215" spans="1:39" ht="20.25" customHeight="1">
      <c r="A215" s="72"/>
      <c r="B215" s="72"/>
      <c r="C215" s="72"/>
      <c r="D215" s="72"/>
      <c r="E215" s="72"/>
      <c r="F215" s="72"/>
      <c r="G215" s="72"/>
      <c r="H215" s="72"/>
      <c r="I215" s="72"/>
      <c r="J215" s="72"/>
      <c r="K215" s="72"/>
      <c r="L215" s="72"/>
      <c r="M215" s="72"/>
      <c r="N215" s="72"/>
      <c r="O215" s="72"/>
      <c r="P215" s="72"/>
      <c r="Q215" s="72"/>
      <c r="R215" s="72"/>
      <c r="S215" s="72"/>
      <c r="T215" s="72"/>
      <c r="U215" s="72"/>
      <c r="V215" s="72"/>
      <c r="W215" s="72"/>
      <c r="X215" s="72"/>
      <c r="Y215" s="72"/>
      <c r="Z215" s="72"/>
      <c r="AA215" s="72"/>
      <c r="AB215" s="72"/>
      <c r="AC215" s="72"/>
      <c r="AD215" s="72"/>
      <c r="AE215" s="72"/>
      <c r="AF215" s="72"/>
      <c r="AG215" s="72"/>
      <c r="AH215" s="72"/>
      <c r="AI215" s="72"/>
      <c r="AJ215" s="72"/>
      <c r="AK215" s="72"/>
      <c r="AL215" s="72"/>
      <c r="AM215" s="72"/>
    </row>
    <row r="216" spans="1:39" ht="20.25" customHeight="1">
      <c r="A216" s="72"/>
      <c r="B216" s="72"/>
      <c r="C216" s="72"/>
      <c r="D216" s="72"/>
      <c r="E216" s="72"/>
      <c r="F216" s="72"/>
      <c r="G216" s="72"/>
      <c r="H216" s="72"/>
      <c r="I216" s="72"/>
      <c r="J216" s="72"/>
      <c r="K216" s="72"/>
      <c r="L216" s="72"/>
      <c r="M216" s="72"/>
      <c r="N216" s="72"/>
      <c r="O216" s="72"/>
      <c r="P216" s="72"/>
      <c r="Q216" s="72"/>
      <c r="R216" s="72"/>
      <c r="S216" s="72"/>
      <c r="T216" s="72"/>
      <c r="U216" s="72"/>
      <c r="V216" s="72"/>
      <c r="W216" s="72"/>
      <c r="X216" s="72"/>
      <c r="Y216" s="72"/>
      <c r="Z216" s="72"/>
      <c r="AA216" s="72"/>
      <c r="AB216" s="72"/>
      <c r="AC216" s="72"/>
      <c r="AD216" s="72"/>
      <c r="AE216" s="72"/>
      <c r="AF216" s="72"/>
      <c r="AG216" s="72"/>
      <c r="AH216" s="72"/>
      <c r="AI216" s="72"/>
      <c r="AJ216" s="72"/>
      <c r="AK216" s="72"/>
      <c r="AL216" s="72"/>
      <c r="AM216" s="72"/>
    </row>
    <row r="217" spans="1:39" ht="20.25" customHeight="1">
      <c r="A217" s="72"/>
      <c r="B217" s="72"/>
      <c r="C217" s="72"/>
      <c r="D217" s="72"/>
      <c r="E217" s="72"/>
      <c r="F217" s="72"/>
      <c r="G217" s="72"/>
      <c r="H217" s="72"/>
      <c r="I217" s="72"/>
      <c r="J217" s="72"/>
      <c r="K217" s="72"/>
      <c r="L217" s="72"/>
      <c r="M217" s="72"/>
      <c r="N217" s="72"/>
      <c r="O217" s="72"/>
      <c r="P217" s="72"/>
      <c r="Q217" s="72"/>
      <c r="R217" s="72"/>
      <c r="S217" s="72"/>
      <c r="T217" s="72"/>
      <c r="U217" s="72"/>
      <c r="V217" s="72"/>
      <c r="W217" s="72"/>
      <c r="X217" s="72"/>
      <c r="Y217" s="72"/>
      <c r="Z217" s="72"/>
      <c r="AA217" s="72"/>
      <c r="AB217" s="72"/>
      <c r="AC217" s="72"/>
      <c r="AD217" s="72"/>
      <c r="AE217" s="72"/>
      <c r="AF217" s="72"/>
      <c r="AG217" s="72"/>
      <c r="AH217" s="72"/>
      <c r="AI217" s="72"/>
      <c r="AJ217" s="72"/>
      <c r="AK217" s="72"/>
      <c r="AL217" s="72"/>
      <c r="AM217" s="72"/>
    </row>
    <row r="218" spans="1:39" ht="20.25" customHeight="1">
      <c r="A218" s="72"/>
      <c r="B218" s="72"/>
      <c r="C218" s="72"/>
      <c r="D218" s="72"/>
      <c r="E218" s="72"/>
      <c r="F218" s="72"/>
      <c r="G218" s="72"/>
      <c r="H218" s="72"/>
      <c r="I218" s="72"/>
      <c r="J218" s="72"/>
      <c r="K218" s="72"/>
      <c r="L218" s="72"/>
      <c r="M218" s="72"/>
      <c r="N218" s="72"/>
      <c r="O218" s="72"/>
      <c r="P218" s="72"/>
      <c r="Q218" s="72"/>
      <c r="R218" s="72"/>
      <c r="S218" s="72"/>
      <c r="T218" s="72"/>
      <c r="U218" s="72"/>
      <c r="V218" s="72"/>
      <c r="W218" s="72"/>
      <c r="X218" s="72"/>
      <c r="Y218" s="72"/>
      <c r="Z218" s="72"/>
      <c r="AA218" s="72"/>
      <c r="AB218" s="72"/>
      <c r="AC218" s="72"/>
      <c r="AD218" s="72"/>
      <c r="AE218" s="72"/>
      <c r="AF218" s="72"/>
      <c r="AG218" s="72"/>
      <c r="AH218" s="72"/>
      <c r="AI218" s="72"/>
      <c r="AJ218" s="72"/>
      <c r="AK218" s="72"/>
      <c r="AL218" s="72"/>
      <c r="AM218" s="72"/>
    </row>
    <row r="219" spans="1:39" ht="20.25" customHeight="1">
      <c r="A219" s="72"/>
      <c r="B219" s="72"/>
      <c r="C219" s="72"/>
      <c r="D219" s="72"/>
      <c r="E219" s="72"/>
      <c r="F219" s="72"/>
      <c r="G219" s="72"/>
      <c r="H219" s="72"/>
      <c r="I219" s="72"/>
      <c r="J219" s="72"/>
      <c r="K219" s="72"/>
      <c r="L219" s="72"/>
      <c r="M219" s="72"/>
      <c r="N219" s="72"/>
      <c r="O219" s="72"/>
      <c r="P219" s="72"/>
      <c r="Q219" s="72"/>
      <c r="R219" s="72"/>
      <c r="S219" s="72"/>
      <c r="T219" s="72"/>
      <c r="U219" s="72"/>
      <c r="V219" s="72"/>
      <c r="W219" s="72"/>
      <c r="X219" s="72"/>
      <c r="Y219" s="72"/>
      <c r="Z219" s="72"/>
      <c r="AA219" s="72"/>
      <c r="AB219" s="72"/>
      <c r="AC219" s="72"/>
      <c r="AD219" s="72"/>
      <c r="AE219" s="72"/>
      <c r="AF219" s="72"/>
      <c r="AG219" s="72"/>
      <c r="AH219" s="72"/>
      <c r="AI219" s="72"/>
      <c r="AJ219" s="72"/>
      <c r="AK219" s="72"/>
      <c r="AL219" s="72"/>
      <c r="AM219" s="72"/>
    </row>
    <row r="220" spans="1:39" ht="20.25" customHeight="1">
      <c r="A220" s="72"/>
      <c r="B220" s="72"/>
      <c r="C220" s="72"/>
      <c r="D220" s="72"/>
      <c r="E220" s="72"/>
      <c r="F220" s="72"/>
      <c r="G220" s="72"/>
      <c r="H220" s="72"/>
      <c r="I220" s="72"/>
      <c r="J220" s="72"/>
      <c r="K220" s="72"/>
      <c r="L220" s="72"/>
      <c r="M220" s="72"/>
      <c r="N220" s="72"/>
      <c r="O220" s="72"/>
      <c r="P220" s="72"/>
      <c r="Q220" s="72"/>
      <c r="R220" s="72"/>
      <c r="S220" s="72"/>
      <c r="T220" s="72"/>
      <c r="U220" s="72"/>
      <c r="V220" s="72"/>
      <c r="W220" s="72"/>
      <c r="X220" s="72"/>
      <c r="Y220" s="72"/>
      <c r="Z220" s="72"/>
      <c r="AA220" s="72"/>
      <c r="AB220" s="72"/>
      <c r="AC220" s="72"/>
      <c r="AD220" s="72"/>
      <c r="AE220" s="72"/>
      <c r="AF220" s="72"/>
      <c r="AG220" s="72"/>
      <c r="AH220" s="72"/>
      <c r="AI220" s="72"/>
      <c r="AJ220" s="72"/>
      <c r="AK220" s="72"/>
      <c r="AL220" s="72"/>
      <c r="AM220" s="72"/>
    </row>
    <row r="221" spans="1:39" ht="20.25" customHeight="1">
      <c r="A221" s="72"/>
      <c r="B221" s="72"/>
      <c r="C221" s="72"/>
      <c r="D221" s="72"/>
      <c r="E221" s="72"/>
      <c r="F221" s="72"/>
      <c r="G221" s="72"/>
      <c r="H221" s="72"/>
      <c r="I221" s="72"/>
      <c r="J221" s="72"/>
      <c r="K221" s="72"/>
      <c r="L221" s="72"/>
      <c r="M221" s="72"/>
      <c r="N221" s="72"/>
      <c r="O221" s="72"/>
      <c r="P221" s="72"/>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row>
    <row r="222" spans="1:39" ht="20.25" customHeight="1">
      <c r="A222" s="72"/>
      <c r="B222" s="72"/>
      <c r="C222" s="72"/>
      <c r="D222" s="72"/>
      <c r="E222" s="72"/>
      <c r="F222" s="72"/>
      <c r="G222" s="72"/>
      <c r="H222" s="72"/>
      <c r="I222" s="72"/>
      <c r="J222" s="72"/>
      <c r="K222" s="72"/>
      <c r="L222" s="72"/>
      <c r="M222" s="72"/>
      <c r="N222" s="72"/>
      <c r="O222" s="72"/>
      <c r="P222" s="72"/>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row>
    <row r="223" spans="1:39" ht="20.25" customHeight="1">
      <c r="A223" s="72"/>
      <c r="B223" s="72"/>
      <c r="C223" s="72"/>
      <c r="D223" s="72"/>
      <c r="E223" s="72"/>
      <c r="F223" s="72"/>
      <c r="G223" s="72"/>
      <c r="H223" s="72"/>
      <c r="I223" s="72"/>
      <c r="J223" s="72"/>
      <c r="K223" s="72"/>
      <c r="L223" s="72"/>
      <c r="M223" s="72"/>
      <c r="N223" s="72"/>
      <c r="O223" s="72"/>
      <c r="P223" s="72"/>
      <c r="Q223" s="72"/>
      <c r="R223" s="72"/>
      <c r="S223" s="72"/>
      <c r="T223" s="72"/>
      <c r="U223" s="72"/>
      <c r="V223" s="72"/>
      <c r="W223" s="72"/>
      <c r="X223" s="72"/>
      <c r="Y223" s="72"/>
      <c r="Z223" s="72"/>
      <c r="AA223" s="72"/>
      <c r="AB223" s="72"/>
      <c r="AC223" s="72"/>
      <c r="AD223" s="72"/>
      <c r="AE223" s="72"/>
      <c r="AF223" s="72"/>
      <c r="AG223" s="72"/>
      <c r="AH223" s="72"/>
      <c r="AI223" s="72"/>
      <c r="AJ223" s="72"/>
      <c r="AK223" s="72"/>
      <c r="AL223" s="72"/>
      <c r="AM223" s="72"/>
    </row>
    <row r="224" spans="1:39" ht="20.25" customHeight="1">
      <c r="A224" s="72"/>
      <c r="B224" s="72"/>
      <c r="C224" s="72"/>
      <c r="D224" s="72"/>
      <c r="E224" s="72"/>
      <c r="F224" s="72"/>
      <c r="G224" s="72"/>
      <c r="H224" s="72"/>
      <c r="I224" s="72"/>
      <c r="J224" s="72"/>
      <c r="K224" s="72"/>
      <c r="L224" s="72"/>
      <c r="M224" s="72"/>
      <c r="N224" s="72"/>
      <c r="O224" s="72"/>
      <c r="P224" s="72"/>
      <c r="Q224" s="72"/>
      <c r="R224" s="72"/>
      <c r="S224" s="72"/>
      <c r="T224" s="72"/>
      <c r="U224" s="72"/>
      <c r="V224" s="72"/>
      <c r="W224" s="72"/>
      <c r="X224" s="72"/>
      <c r="Y224" s="72"/>
      <c r="Z224" s="72"/>
      <c r="AA224" s="72"/>
      <c r="AB224" s="72"/>
      <c r="AC224" s="72"/>
      <c r="AD224" s="72"/>
      <c r="AE224" s="72"/>
      <c r="AF224" s="72"/>
      <c r="AG224" s="72"/>
      <c r="AH224" s="72"/>
      <c r="AI224" s="72"/>
      <c r="AJ224" s="72"/>
      <c r="AK224" s="72"/>
      <c r="AL224" s="72"/>
      <c r="AM224" s="72"/>
    </row>
    <row r="225" spans="1:39" ht="20.25" customHeight="1">
      <c r="A225" s="72"/>
      <c r="B225" s="72"/>
      <c r="C225" s="72"/>
      <c r="D225" s="72"/>
      <c r="E225" s="72"/>
      <c r="F225" s="72"/>
      <c r="G225" s="72"/>
      <c r="H225" s="72"/>
      <c r="I225" s="72"/>
      <c r="J225" s="72"/>
      <c r="K225" s="72"/>
      <c r="L225" s="72"/>
      <c r="M225" s="72"/>
      <c r="N225" s="72"/>
      <c r="O225" s="72"/>
      <c r="P225" s="72"/>
      <c r="Q225" s="72"/>
      <c r="R225" s="72"/>
      <c r="S225" s="72"/>
      <c r="T225" s="72"/>
      <c r="U225" s="72"/>
      <c r="V225" s="72"/>
      <c r="W225" s="72"/>
      <c r="X225" s="72"/>
      <c r="Y225" s="72"/>
      <c r="Z225" s="72"/>
      <c r="AA225" s="72"/>
      <c r="AB225" s="72"/>
      <c r="AC225" s="72"/>
      <c r="AD225" s="72"/>
      <c r="AE225" s="72"/>
      <c r="AF225" s="72"/>
      <c r="AG225" s="72"/>
      <c r="AH225" s="72"/>
      <c r="AI225" s="72"/>
      <c r="AJ225" s="72"/>
      <c r="AK225" s="72"/>
      <c r="AL225" s="72"/>
      <c r="AM225" s="72"/>
    </row>
    <row r="226" spans="1:39" ht="20.25" customHeight="1">
      <c r="A226" s="72"/>
      <c r="B226" s="72"/>
      <c r="C226" s="72"/>
      <c r="D226" s="72"/>
      <c r="E226" s="72"/>
      <c r="F226" s="72"/>
      <c r="G226" s="72"/>
      <c r="H226" s="72"/>
      <c r="I226" s="72"/>
      <c r="J226" s="72"/>
      <c r="K226" s="72"/>
      <c r="L226" s="72"/>
      <c r="M226" s="72"/>
      <c r="N226" s="72"/>
      <c r="O226" s="72"/>
      <c r="P226" s="72"/>
      <c r="Q226" s="72"/>
      <c r="R226" s="72"/>
      <c r="S226" s="72"/>
      <c r="T226" s="72"/>
      <c r="U226" s="72"/>
      <c r="V226" s="72"/>
      <c r="W226" s="72"/>
      <c r="X226" s="72"/>
      <c r="Y226" s="72"/>
      <c r="Z226" s="72"/>
      <c r="AA226" s="72"/>
      <c r="AB226" s="72"/>
      <c r="AC226" s="72"/>
      <c r="AD226" s="72"/>
      <c r="AE226" s="72"/>
      <c r="AF226" s="72"/>
      <c r="AG226" s="72"/>
      <c r="AH226" s="72"/>
      <c r="AI226" s="72"/>
      <c r="AJ226" s="72"/>
      <c r="AK226" s="72"/>
      <c r="AL226" s="72"/>
      <c r="AM226" s="72"/>
    </row>
    <row r="227" spans="1:39" ht="20.25" customHeight="1">
      <c r="A227" s="72"/>
      <c r="B227" s="72"/>
      <c r="C227" s="72"/>
      <c r="D227" s="72"/>
      <c r="E227" s="72"/>
      <c r="F227" s="72"/>
      <c r="G227" s="72"/>
      <c r="H227" s="72"/>
      <c r="I227" s="72"/>
      <c r="J227" s="72"/>
      <c r="K227" s="72"/>
      <c r="L227" s="72"/>
      <c r="M227" s="72"/>
      <c r="N227" s="72"/>
      <c r="O227" s="72"/>
      <c r="P227" s="72"/>
      <c r="Q227" s="72"/>
      <c r="R227" s="72"/>
      <c r="S227" s="72"/>
      <c r="T227" s="72"/>
      <c r="U227" s="72"/>
      <c r="V227" s="72"/>
      <c r="W227" s="72"/>
      <c r="X227" s="72"/>
      <c r="Y227" s="72"/>
      <c r="Z227" s="72"/>
      <c r="AA227" s="72"/>
      <c r="AB227" s="72"/>
      <c r="AC227" s="72"/>
      <c r="AD227" s="72"/>
      <c r="AE227" s="72"/>
      <c r="AF227" s="72"/>
      <c r="AG227" s="72"/>
      <c r="AH227" s="72"/>
      <c r="AI227" s="72"/>
      <c r="AJ227" s="72"/>
      <c r="AK227" s="72"/>
      <c r="AL227" s="72"/>
      <c r="AM227" s="72"/>
    </row>
  </sheetData>
  <sheetProtection formatCells="0" formatColumns="0" formatRows="0" insertColumns="0" insertRows="0" deleteColumns="0" deleteRows="0" autoFilter="0"/>
  <protectedRanges>
    <protectedRange sqref="AO58:AO64" name="Range4"/>
    <protectedRange sqref="D33:M33 R33:U33 K51:T54 K81:Q81 T81:W81 Z81:AF81 X88:AM96 G62:P64 E158:P162 A81:H81 AD51:AM54" name="Range1" securityDescriptor="O:WDG:WDD:(A;;CC;;;WD)"/>
    <protectedRange sqref="AP56:AS57 A57:AM58 AO51:AP54" name="Range2" securityDescriptor="O:WDG:WDD:(A;;CC;;;WD)"/>
    <protectedRange sqref="P182:AM182 P185:AM185" name="Range3" securityDescriptor="O:WDG:WDD:(A;;CC;;;WD)"/>
  </protectedRanges>
  <mergeCells count="399">
    <mergeCell ref="A52:J52"/>
    <mergeCell ref="AD51:AM51"/>
    <mergeCell ref="B34:AM37"/>
    <mergeCell ref="D33:M33"/>
    <mergeCell ref="B56:G56"/>
    <mergeCell ref="A55:AC55"/>
    <mergeCell ref="AD50:AM50"/>
    <mergeCell ref="K52:T52"/>
    <mergeCell ref="R33:U33"/>
    <mergeCell ref="B38:AM39"/>
    <mergeCell ref="V33:AM33"/>
    <mergeCell ref="AD52:AM52"/>
    <mergeCell ref="E41:V41"/>
    <mergeCell ref="C49:AM49"/>
    <mergeCell ref="C48:AM48"/>
    <mergeCell ref="A51:J51"/>
    <mergeCell ref="AH55:AM55"/>
    <mergeCell ref="AD53:AM53"/>
    <mergeCell ref="K54:T54"/>
    <mergeCell ref="U54:AC54"/>
    <mergeCell ref="K50:T50"/>
    <mergeCell ref="A50:J50"/>
    <mergeCell ref="H56:AM56"/>
    <mergeCell ref="I70:N70"/>
    <mergeCell ref="E69:H69"/>
    <mergeCell ref="E70:H70"/>
    <mergeCell ref="A63:F63"/>
    <mergeCell ref="A62:F62"/>
    <mergeCell ref="A53:J53"/>
    <mergeCell ref="K51:T51"/>
    <mergeCell ref="K63:P63"/>
    <mergeCell ref="S69:X69"/>
    <mergeCell ref="A64:F64"/>
    <mergeCell ref="K66:P66"/>
    <mergeCell ref="R66:S66"/>
    <mergeCell ref="U64:X64"/>
    <mergeCell ref="A65:F65"/>
    <mergeCell ref="S70:X70"/>
    <mergeCell ref="Q65:T65"/>
    <mergeCell ref="K64:P64"/>
    <mergeCell ref="K65:P65"/>
    <mergeCell ref="C67:AM67"/>
    <mergeCell ref="B68:AM68"/>
    <mergeCell ref="Y66:AB66"/>
    <mergeCell ref="AJ65:AM65"/>
    <mergeCell ref="AG60:AM60"/>
    <mergeCell ref="AJ63:AM63"/>
    <mergeCell ref="BU66:BW66"/>
    <mergeCell ref="AG61:AI61"/>
    <mergeCell ref="AG64:AI64"/>
    <mergeCell ref="G63:J63"/>
    <mergeCell ref="AG63:AI63"/>
    <mergeCell ref="AC62:AF62"/>
    <mergeCell ref="AC63:AF63"/>
    <mergeCell ref="AJ61:AM61"/>
    <mergeCell ref="Y61:AB61"/>
    <mergeCell ref="AJ64:AM64"/>
    <mergeCell ref="U65:X65"/>
    <mergeCell ref="AC65:AF65"/>
    <mergeCell ref="Y65:AB65"/>
    <mergeCell ref="AC64:AF64"/>
    <mergeCell ref="K62:P62"/>
    <mergeCell ref="AJ62:AM62"/>
    <mergeCell ref="AG65:AI65"/>
    <mergeCell ref="AG66:AI66"/>
    <mergeCell ref="A66:J66"/>
    <mergeCell ref="AO66:AX66"/>
    <mergeCell ref="AY66:BD66"/>
    <mergeCell ref="Q62:T62"/>
    <mergeCell ref="BF66:BG66"/>
    <mergeCell ref="BI66:BL66"/>
    <mergeCell ref="BM66:BP66"/>
    <mergeCell ref="BQ66:BT66"/>
    <mergeCell ref="AV59:AY59"/>
    <mergeCell ref="A58:W58"/>
    <mergeCell ref="X58:Z58"/>
    <mergeCell ref="AA58:AG58"/>
    <mergeCell ref="AO58:AR58"/>
    <mergeCell ref="BX66:CA66"/>
    <mergeCell ref="E42:I42"/>
    <mergeCell ref="AC66:AF66"/>
    <mergeCell ref="AG62:AI62"/>
    <mergeCell ref="Y62:AB62"/>
    <mergeCell ref="A60:F61"/>
    <mergeCell ref="G60:J61"/>
    <mergeCell ref="Y60:AF60"/>
    <mergeCell ref="K53:T53"/>
    <mergeCell ref="A54:J54"/>
    <mergeCell ref="AO49:AO50"/>
    <mergeCell ref="AP49:AP50"/>
    <mergeCell ref="U50:AC50"/>
    <mergeCell ref="U51:AC51"/>
    <mergeCell ref="U52:AC52"/>
    <mergeCell ref="AV56:AY56"/>
    <mergeCell ref="AV57:AY57"/>
    <mergeCell ref="AP56:AS56"/>
    <mergeCell ref="AC61:AF61"/>
    <mergeCell ref="A121:L121"/>
    <mergeCell ref="X90:AM91"/>
    <mergeCell ref="X94:AM95"/>
    <mergeCell ref="A100:AM104"/>
    <mergeCell ref="B90:W91"/>
    <mergeCell ref="B92:W93"/>
    <mergeCell ref="A110:N110"/>
    <mergeCell ref="A111:N111"/>
    <mergeCell ref="O111:Z111"/>
    <mergeCell ref="A92:A93"/>
    <mergeCell ref="A94:A95"/>
    <mergeCell ref="X92:AM93"/>
    <mergeCell ref="B96:W96"/>
    <mergeCell ref="AA109:AM109"/>
    <mergeCell ref="B108:AM108"/>
    <mergeCell ref="AA111:AM111"/>
    <mergeCell ref="B120:AM120"/>
    <mergeCell ref="A109:N109"/>
    <mergeCell ref="A69:D69"/>
    <mergeCell ref="A70:D70"/>
    <mergeCell ref="O69:R69"/>
    <mergeCell ref="O70:R70"/>
    <mergeCell ref="W121:AM121"/>
    <mergeCell ref="AA110:AM110"/>
    <mergeCell ref="A116:AM116"/>
    <mergeCell ref="O109:Z109"/>
    <mergeCell ref="AF83:AL83"/>
    <mergeCell ref="B83:G83"/>
    <mergeCell ref="P83:U83"/>
    <mergeCell ref="Y63:AB63"/>
    <mergeCell ref="Q64:T64"/>
    <mergeCell ref="Q63:T63"/>
    <mergeCell ref="G64:J64"/>
    <mergeCell ref="I69:N69"/>
    <mergeCell ref="F74:I74"/>
    <mergeCell ref="G71:J71"/>
    <mergeCell ref="AG70:AM70"/>
    <mergeCell ref="Y69:AF69"/>
    <mergeCell ref="Y64:AB64"/>
    <mergeCell ref="Y70:AF70"/>
    <mergeCell ref="AG69:AM69"/>
    <mergeCell ref="U66:X66"/>
    <mergeCell ref="G65:J65"/>
    <mergeCell ref="R81:S81"/>
    <mergeCell ref="J74:N74"/>
    <mergeCell ref="AG71:AL71"/>
    <mergeCell ref="Z73:AM73"/>
    <mergeCell ref="B77:AM77"/>
    <mergeCell ref="M168:R168"/>
    <mergeCell ref="AB156:AE156"/>
    <mergeCell ref="AB74:AH74"/>
    <mergeCell ref="B140:C140"/>
    <mergeCell ref="B139:C139"/>
    <mergeCell ref="E158:P158"/>
    <mergeCell ref="AB157:AE157"/>
    <mergeCell ref="B152:AM152"/>
    <mergeCell ref="AD165:AH166"/>
    <mergeCell ref="AD167:AH167"/>
    <mergeCell ref="Y167:AC167"/>
    <mergeCell ref="AB155:AE155"/>
    <mergeCell ref="A153:AM154"/>
    <mergeCell ref="Y165:AC165"/>
    <mergeCell ref="M127:V127"/>
    <mergeCell ref="W122:AM127"/>
    <mergeCell ref="M121:V121"/>
    <mergeCell ref="O110:Z110"/>
    <mergeCell ref="AA107:AM107"/>
    <mergeCell ref="H168:L168"/>
    <mergeCell ref="A167:G167"/>
    <mergeCell ref="A168:G168"/>
    <mergeCell ref="Y166:AC166"/>
    <mergeCell ref="A163:AM163"/>
    <mergeCell ref="Y168:AC168"/>
    <mergeCell ref="AI167:AM167"/>
    <mergeCell ref="S168:X168"/>
    <mergeCell ref="A169:G169"/>
    <mergeCell ref="M169:R169"/>
    <mergeCell ref="AI169:AM169"/>
    <mergeCell ref="AD169:AH169"/>
    <mergeCell ref="AD168:AH168"/>
    <mergeCell ref="H165:R165"/>
    <mergeCell ref="M167:R167"/>
    <mergeCell ref="A165:G166"/>
    <mergeCell ref="H166:L166"/>
    <mergeCell ref="H167:L167"/>
    <mergeCell ref="A164:AM164"/>
    <mergeCell ref="AI165:AM166"/>
    <mergeCell ref="M166:R166"/>
    <mergeCell ref="S167:X167"/>
    <mergeCell ref="P182:AM182"/>
    <mergeCell ref="A178:G178"/>
    <mergeCell ref="H177:L177"/>
    <mergeCell ref="A175:G175"/>
    <mergeCell ref="A176:G176"/>
    <mergeCell ref="A177:G177"/>
    <mergeCell ref="H175:L175"/>
    <mergeCell ref="H176:L176"/>
    <mergeCell ref="M177:R177"/>
    <mergeCell ref="H178:L178"/>
    <mergeCell ref="M175:R175"/>
    <mergeCell ref="M176:R176"/>
    <mergeCell ref="S177:X177"/>
    <mergeCell ref="AI177:AM177"/>
    <mergeCell ref="Y175:AC175"/>
    <mergeCell ref="Y176:AC176"/>
    <mergeCell ref="AI170:AM170"/>
    <mergeCell ref="AI172:AM172"/>
    <mergeCell ref="M170:R170"/>
    <mergeCell ref="Y170:AC170"/>
    <mergeCell ref="S170:X170"/>
    <mergeCell ref="H172:L172"/>
    <mergeCell ref="M173:R173"/>
    <mergeCell ref="H171:L171"/>
    <mergeCell ref="Y171:AC171"/>
    <mergeCell ref="Y172:AC172"/>
    <mergeCell ref="AI171:AM171"/>
    <mergeCell ref="M172:R172"/>
    <mergeCell ref="S172:X172"/>
    <mergeCell ref="AD171:AH171"/>
    <mergeCell ref="M171:R171"/>
    <mergeCell ref="S171:X171"/>
    <mergeCell ref="AD170:AH170"/>
    <mergeCell ref="M174:R174"/>
    <mergeCell ref="S169:X169"/>
    <mergeCell ref="H169:L169"/>
    <mergeCell ref="H173:L173"/>
    <mergeCell ref="H170:L170"/>
    <mergeCell ref="Y169:AC169"/>
    <mergeCell ref="AD172:AH172"/>
    <mergeCell ref="AD174:AH174"/>
    <mergeCell ref="A174:G174"/>
    <mergeCell ref="A173:G173"/>
    <mergeCell ref="S174:X174"/>
    <mergeCell ref="A172:G172"/>
    <mergeCell ref="A170:G170"/>
    <mergeCell ref="H174:L174"/>
    <mergeCell ref="A171:G171"/>
    <mergeCell ref="P185:AM185"/>
    <mergeCell ref="P186:AM186"/>
    <mergeCell ref="S175:X175"/>
    <mergeCell ref="S176:X176"/>
    <mergeCell ref="S178:X178"/>
    <mergeCell ref="Y173:AC173"/>
    <mergeCell ref="M178:R178"/>
    <mergeCell ref="P184:AM184"/>
    <mergeCell ref="P183:AM183"/>
    <mergeCell ref="Y174:AC174"/>
    <mergeCell ref="P181:AM181"/>
    <mergeCell ref="AD178:AH178"/>
    <mergeCell ref="AD175:AH175"/>
    <mergeCell ref="AD176:AH176"/>
    <mergeCell ref="AD177:AH177"/>
    <mergeCell ref="AI178:AM178"/>
    <mergeCell ref="AI176:AM176"/>
    <mergeCell ref="AI174:AM174"/>
    <mergeCell ref="Y178:AC178"/>
    <mergeCell ref="Y177:AC177"/>
    <mergeCell ref="S173:X173"/>
    <mergeCell ref="AD173:AH173"/>
    <mergeCell ref="AI173:AM173"/>
    <mergeCell ref="AI175:AM175"/>
    <mergeCell ref="AA142:AD142"/>
    <mergeCell ref="AA143:AD143"/>
    <mergeCell ref="AA144:AD144"/>
    <mergeCell ref="B148:AM148"/>
    <mergeCell ref="M124:V124"/>
    <mergeCell ref="B123:L123"/>
    <mergeCell ref="AG1:AM1"/>
    <mergeCell ref="F6:X6"/>
    <mergeCell ref="Y6:AM6"/>
    <mergeCell ref="B16:D16"/>
    <mergeCell ref="E16:H16"/>
    <mergeCell ref="I16:M16"/>
    <mergeCell ref="V16:AM16"/>
    <mergeCell ref="B13:AM13"/>
    <mergeCell ref="L15:Q15"/>
    <mergeCell ref="A6:D6"/>
    <mergeCell ref="F7:AM7"/>
    <mergeCell ref="A9:D9"/>
    <mergeCell ref="A2:AM2"/>
    <mergeCell ref="A3:AM3"/>
    <mergeCell ref="A7:D7"/>
    <mergeCell ref="T80:W80"/>
    <mergeCell ref="K81:Q81"/>
    <mergeCell ref="R80:S80"/>
    <mergeCell ref="A90:A91"/>
    <mergeCell ref="X96:AM96"/>
    <mergeCell ref="Z81:AF81"/>
    <mergeCell ref="I80:Q80"/>
    <mergeCell ref="A81:H81"/>
    <mergeCell ref="A80:H80"/>
    <mergeCell ref="B137:C137"/>
    <mergeCell ref="AM139:AN139"/>
    <mergeCell ref="AI168:AM168"/>
    <mergeCell ref="B138:C138"/>
    <mergeCell ref="B127:L127"/>
    <mergeCell ref="M123:V123"/>
    <mergeCell ref="B135:AM135"/>
    <mergeCell ref="AM138:AN138"/>
    <mergeCell ref="D136:AL136"/>
    <mergeCell ref="B136:C136"/>
    <mergeCell ref="AM136:AN136"/>
    <mergeCell ref="AM137:AN137"/>
    <mergeCell ref="D137:AL137"/>
    <mergeCell ref="D138:AL138"/>
    <mergeCell ref="B133:AM133"/>
    <mergeCell ref="D139:AL139"/>
    <mergeCell ref="D140:AL140"/>
    <mergeCell ref="S165:X166"/>
    <mergeCell ref="X74:AA74"/>
    <mergeCell ref="AI75:AM75"/>
    <mergeCell ref="A71:F71"/>
    <mergeCell ref="Y71:AF71"/>
    <mergeCell ref="AI74:AM74"/>
    <mergeCell ref="K71:R71"/>
    <mergeCell ref="B125:L125"/>
    <mergeCell ref="B126:L126"/>
    <mergeCell ref="B122:L122"/>
    <mergeCell ref="M125:V125"/>
    <mergeCell ref="M126:V126"/>
    <mergeCell ref="B124:L124"/>
    <mergeCell ref="A74:E74"/>
    <mergeCell ref="O74:R74"/>
    <mergeCell ref="A78:AM78"/>
    <mergeCell ref="M122:V122"/>
    <mergeCell ref="X88:AM89"/>
    <mergeCell ref="B88:W89"/>
    <mergeCell ref="A79:AM79"/>
    <mergeCell ref="B98:AM98"/>
    <mergeCell ref="B99:AM99"/>
    <mergeCell ref="A88:A89"/>
    <mergeCell ref="B87:AM87"/>
    <mergeCell ref="B94:W95"/>
    <mergeCell ref="A8:D8"/>
    <mergeCell ref="F8:Q8"/>
    <mergeCell ref="E23:H23"/>
    <mergeCell ref="I23:M23"/>
    <mergeCell ref="B15:J15"/>
    <mergeCell ref="T23:U23"/>
    <mergeCell ref="S74:W74"/>
    <mergeCell ref="I81:J81"/>
    <mergeCell ref="F75:I75"/>
    <mergeCell ref="J75:N75"/>
    <mergeCell ref="O75:R75"/>
    <mergeCell ref="S75:W75"/>
    <mergeCell ref="S71:X71"/>
    <mergeCell ref="C72:AM72"/>
    <mergeCell ref="T81:W81"/>
    <mergeCell ref="X75:AA75"/>
    <mergeCell ref="AB75:AH75"/>
    <mergeCell ref="A75:E75"/>
    <mergeCell ref="E73:U73"/>
    <mergeCell ref="X81:Y81"/>
    <mergeCell ref="AG81:AH81"/>
    <mergeCell ref="AI81:AM81"/>
    <mergeCell ref="X80:AF80"/>
    <mergeCell ref="AG80:AM80"/>
    <mergeCell ref="Z8:AD8"/>
    <mergeCell ref="AE8:AM8"/>
    <mergeCell ref="Q9:R9"/>
    <mergeCell ref="S9:Y9"/>
    <mergeCell ref="Z9:AD9"/>
    <mergeCell ref="AE9:AM9"/>
    <mergeCell ref="F10:O10"/>
    <mergeCell ref="Q10:R10"/>
    <mergeCell ref="AE10:AM10"/>
    <mergeCell ref="S10:X10"/>
    <mergeCell ref="Y10:AD10"/>
    <mergeCell ref="A57:AM57"/>
    <mergeCell ref="U53:AC53"/>
    <mergeCell ref="K60:P61"/>
    <mergeCell ref="Q61:T61"/>
    <mergeCell ref="U61:X61"/>
    <mergeCell ref="U62:X62"/>
    <mergeCell ref="U63:X63"/>
    <mergeCell ref="Q60:X60"/>
    <mergeCell ref="AD54:AM54"/>
    <mergeCell ref="AD55:AG55"/>
    <mergeCell ref="G62:J62"/>
    <mergeCell ref="S17:U19"/>
    <mergeCell ref="R20:R22"/>
    <mergeCell ref="S20:U22"/>
    <mergeCell ref="B20:D22"/>
    <mergeCell ref="E20:H22"/>
    <mergeCell ref="I20:M22"/>
    <mergeCell ref="N20:Q22"/>
    <mergeCell ref="F9:P9"/>
    <mergeCell ref="A32:AM32"/>
    <mergeCell ref="V24:AM24"/>
    <mergeCell ref="I17:M19"/>
    <mergeCell ref="N17:Q19"/>
    <mergeCell ref="E17:H19"/>
    <mergeCell ref="B17:D19"/>
    <mergeCell ref="R17:R19"/>
    <mergeCell ref="A10:D10"/>
    <mergeCell ref="V17:AM23"/>
    <mergeCell ref="R16:U16"/>
    <mergeCell ref="N16:Q16"/>
    <mergeCell ref="N23:Q23"/>
    <mergeCell ref="R24:U24"/>
    <mergeCell ref="B24:Q24"/>
    <mergeCell ref="B23:D23"/>
  </mergeCells>
  <dataValidations disablePrompts="1" count="2">
    <dataValidation type="list" allowBlank="1" showInputMessage="1" showErrorMessage="1" sqref="AP57:AS57" xr:uid="{00000000-0002-0000-0400-000000000000}">
      <formula1>$AO$51:$AO$54</formula1>
    </dataValidation>
    <dataValidation type="list" allowBlank="1" showInputMessage="1" showErrorMessage="1" sqref="AP56:AS56" xr:uid="{00000000-0002-0000-0400-000001000000}">
      <formula1>"নির্ধারিত মূল্যায়ন ফ্যাক্টর, সাব-রেজিষ্ট্রি অফিসে রক্ষিত সর্বনিম্ন মৌজা রেট, মূল্যায়ন কমিটি কর্তৃক বর্তমান বাজার মূল্য"</formula1>
    </dataValidation>
  </dataValidations>
  <pageMargins left="0.31496062992125984" right="0.11811023622047245" top="0.39370078740157483" bottom="0.39370078740157483" header="0.31496062992125984" footer="0.31496062992125984"/>
  <pageSetup paperSize="9" scale="85" fitToHeight="0" orientation="portrait" blackAndWhite="1" r:id="rId1"/>
  <headerFooter differentFirst="1">
    <oddHeader>&amp;C&amp;"SutonnyMJ,Regular"( c„ôv &amp;P )</oddHeader>
    <oddFooter>&amp;L&amp;Z&amp;F&amp;R&amp;"SutonnyMJ,Regular"evsjv‡`k K…wl e¨vsK, c„ôv &amp;P &amp;"-,Regular"of&amp;"SutonnyMJ,Regular" &amp;N</oddFooter>
    <firstFooter>&amp;L&amp;Z&amp;F&amp;R&amp;"SutonnyMJ,Regular"evsjv‡`k K…wl e¨vsK, c„ôv &amp;P &amp;"-,Regular"of&amp;"SutonnyMJ,Regular" &amp;N</firstFooter>
  </headerFooter>
  <rowBreaks count="3" manualBreakCount="3">
    <brk id="43" max="39" man="1"/>
    <brk id="82" max="39" man="1"/>
    <brk id="159" max="39" man="1"/>
  </rowBreaks>
  <drawing r:id="rId2"/>
  <legacyDrawing r:id="rId3"/>
  <mc:AlternateContent xmlns:mc="http://schemas.openxmlformats.org/markup-compatibility/2006">
    <mc:Choice Requires="x14">
      <controls>
        <mc:AlternateContent xmlns:mc="http://schemas.openxmlformats.org/markup-compatibility/2006">
          <mc:Choice Requires="x14">
            <control shapeId="323585" r:id="rId4" name="Button 1">
              <controlPr defaultSize="0" print="0" autoFill="0" autoPict="0" macro="[0]!Button4_Click">
                <anchor moveWithCells="1" sizeWithCells="1">
                  <from>
                    <xdr:col>41</xdr:col>
                    <xdr:colOff>66675</xdr:colOff>
                    <xdr:row>1</xdr:row>
                    <xdr:rowOff>0</xdr:rowOff>
                  </from>
                  <to>
                    <xdr:col>42</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5" id="{052FE47F-BA1A-48C6-B649-6FE2561E7C6A}">
            <xm:f>'Data Input'!#REF!="no"</xm:f>
            <x14:dxf>
              <font>
                <color theme="0"/>
              </font>
              <fill>
                <patternFill>
                  <bgColor theme="0"/>
                </patternFill>
              </fill>
              <border>
                <left/>
                <right/>
                <bottom/>
                <vertical/>
                <horizontal/>
              </border>
            </x14:dxf>
          </x14:cfRule>
          <x14:cfRule type="expression" priority="116" id="{0BC991C6-3F91-45B1-8ED4-18BBDB9B30AA}">
            <xm:f>'Data Input'!#REF!="yes"</xm:f>
            <x14:dxf>
              <border>
                <left style="thin">
                  <color theme="7" tint="0.39994506668294322"/>
                </left>
                <right style="thin">
                  <color theme="7" tint="0.39994506668294322"/>
                </right>
                <top style="thin">
                  <color theme="7" tint="0.39994506668294322"/>
                </top>
                <bottom style="thin">
                  <color theme="7" tint="0.39994506668294322"/>
                </bottom>
                <vertical/>
                <horizontal/>
              </border>
            </x14:dxf>
          </x14:cfRule>
          <xm:sqref>A66:K66 Q66:R66 T66:AM66</xm:sqref>
        </x14:conditionalFormatting>
        <x14:conditionalFormatting xmlns:xm="http://schemas.microsoft.com/office/excel/2006/main">
          <x14:cfRule type="expression" priority="126" id="{8A74E530-AA80-4123-B644-9CC7E3D018BE}">
            <xm:f>'Data Input'!#REF!="yes"</xm:f>
            <x14:dxf>
              <font>
                <color theme="1"/>
              </font>
              <fill>
                <patternFill>
                  <bgColor theme="0"/>
                </patternFill>
              </fill>
            </x14:dxf>
          </x14:cfRule>
          <xm:sqref>E42</xm:sqref>
        </x14:conditionalFormatting>
        <x14:conditionalFormatting xmlns:xm="http://schemas.microsoft.com/office/excel/2006/main">
          <x14:cfRule type="expression" priority="128" id="{DA07076A-6222-47A6-BD01-B106D22C0060}">
            <xm:f>'Data Input'!#REF!="no"</xm:f>
            <x14:dxf>
              <font>
                <color theme="0"/>
              </font>
              <fill>
                <patternFill>
                  <bgColor theme="0"/>
                </patternFill>
              </fill>
            </x14:dxf>
          </x14:cfRule>
          <xm:sqref>D33</xm:sqref>
        </x14:conditionalFormatting>
        <x14:conditionalFormatting xmlns:xm="http://schemas.microsoft.com/office/excel/2006/main">
          <x14:cfRule type="expression" priority="1" id="{7A7B06EB-20D5-48E5-B685-1807AD547EE7}">
            <xm:f>'Data Input'!#REF!="no"</xm:f>
            <x14:dxf>
              <font>
                <color theme="0"/>
              </font>
              <fill>
                <patternFill>
                  <bgColor theme="0"/>
                </patternFill>
              </fill>
              <border>
                <left/>
                <right/>
                <bottom/>
                <vertical/>
                <horizontal/>
              </border>
            </x14:dxf>
          </x14:cfRule>
          <x14:cfRule type="expression" priority="2" id="{756BB5DC-860D-4579-8E6E-8A621B97B665}">
            <xm:f>'Data Input'!#REF!="yes"</xm:f>
            <x14:dxf>
              <border>
                <left style="thin">
                  <color theme="7" tint="0.39994506668294322"/>
                </left>
                <right style="thin">
                  <color theme="7" tint="0.39994506668294322"/>
                </right>
                <top style="thin">
                  <color theme="7" tint="0.39994506668294322"/>
                </top>
                <bottom style="thin">
                  <color theme="7" tint="0.39994506668294322"/>
                </bottom>
                <vertical/>
                <horizontal/>
              </border>
            </x14:dxf>
          </x14:cfRule>
          <xm:sqref>AO66:AY66 BE66:BF66 BH66:CA66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400-000002000000}">
          <x14:formula1>
            <xm:f>'Data Input'!$J$4:$J$47</xm:f>
          </x14:formula1>
          <xm:sqref>AO51:AO54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92D050"/>
  </sheetPr>
  <dimension ref="A1:AU185"/>
  <sheetViews>
    <sheetView view="pageBreakPreview" topLeftCell="A2" zoomScaleSheetLayoutView="100" workbookViewId="0">
      <selection activeCell="A9" sqref="A9"/>
    </sheetView>
  </sheetViews>
  <sheetFormatPr defaultColWidth="9.140625" defaultRowHeight="15"/>
  <cols>
    <col min="1" max="1" width="4.7109375" style="1" customWidth="1"/>
    <col min="2" max="2" width="4.5703125" style="1" customWidth="1"/>
    <col min="3" max="3" width="12.28515625" style="1" customWidth="1"/>
    <col min="4" max="4" width="13.42578125" style="1" customWidth="1"/>
    <col min="5" max="5" width="4.7109375" style="1" customWidth="1"/>
    <col min="6" max="6" width="4.140625" style="1" customWidth="1"/>
    <col min="7" max="7" width="2.42578125" style="1" customWidth="1"/>
    <col min="8" max="8" width="9.85546875" style="1" customWidth="1"/>
    <col min="9" max="9" width="4.28515625" style="1" customWidth="1"/>
    <col min="10" max="10" width="9.28515625" style="1" customWidth="1"/>
    <col min="11" max="11" width="3.28515625" style="1" customWidth="1"/>
    <col min="12" max="12" width="13" style="1" customWidth="1"/>
    <col min="13" max="13" width="12.42578125" style="1" customWidth="1"/>
    <col min="14" max="14" width="4.7109375" style="1" customWidth="1"/>
    <col min="15" max="15" width="9.28515625" style="1" customWidth="1"/>
    <col min="16" max="16" width="6" style="1" customWidth="1"/>
    <col min="17" max="18" width="3.42578125" style="1" customWidth="1"/>
    <col min="19" max="19" width="8.140625" style="1" customWidth="1"/>
    <col min="20" max="16384" width="9.140625" style="1"/>
  </cols>
  <sheetData>
    <row r="1" spans="1:15">
      <c r="A1" s="1214"/>
      <c r="B1" s="1214"/>
      <c r="C1" s="1214"/>
      <c r="D1" s="1214"/>
      <c r="E1" s="1214"/>
      <c r="F1" s="1214"/>
      <c r="G1" s="1214"/>
      <c r="H1" s="1214"/>
      <c r="I1" s="1214"/>
      <c r="J1" s="1214"/>
      <c r="K1" s="1214"/>
      <c r="L1" s="1214"/>
      <c r="M1" s="1214"/>
    </row>
    <row r="2" spans="1:15">
      <c r="A2" s="1214"/>
      <c r="B2" s="1214"/>
      <c r="C2" s="1214"/>
      <c r="D2" s="1214"/>
      <c r="E2" s="1214"/>
      <c r="F2" s="1214"/>
      <c r="G2" s="1214"/>
      <c r="H2" s="1214"/>
      <c r="I2" s="1214"/>
      <c r="J2" s="1214"/>
      <c r="K2" s="1214"/>
      <c r="L2" s="1214"/>
      <c r="M2" s="1214"/>
    </row>
    <row r="3" spans="1:15">
      <c r="A3" s="1214"/>
      <c r="B3" s="1214"/>
      <c r="C3" s="1214"/>
      <c r="D3" s="1214"/>
      <c r="E3" s="1214"/>
      <c r="F3" s="1214"/>
      <c r="G3" s="1214"/>
      <c r="H3" s="1214"/>
      <c r="I3" s="1214"/>
      <c r="J3" s="1214"/>
      <c r="K3" s="1214"/>
      <c r="L3" s="1214"/>
      <c r="M3" s="1214"/>
    </row>
    <row r="4" spans="1:15" ht="32.25" customHeight="1">
      <c r="A4" s="1236"/>
      <c r="B4" s="1236"/>
      <c r="C4" s="1236"/>
      <c r="D4" s="1236"/>
      <c r="E4" s="1236"/>
      <c r="F4" s="1236"/>
      <c r="G4" s="1236"/>
      <c r="H4" s="1236"/>
      <c r="I4" s="1236"/>
      <c r="J4" s="1236"/>
      <c r="K4" s="1236"/>
      <c r="L4" s="1236"/>
      <c r="M4" s="1236"/>
      <c r="O4" s="7"/>
    </row>
    <row r="5" spans="1:15" ht="19.5">
      <c r="A5" s="1237"/>
      <c r="B5" s="1237"/>
      <c r="C5" s="1237"/>
      <c r="D5" s="1237"/>
      <c r="E5" s="1237"/>
      <c r="F5" s="1237"/>
      <c r="G5" s="1237"/>
      <c r="H5" s="1237"/>
      <c r="I5" s="1237"/>
      <c r="J5" s="1237"/>
      <c r="K5" s="1237"/>
      <c r="L5" s="1237"/>
      <c r="M5" s="1237"/>
      <c r="O5" s="8"/>
    </row>
    <row r="6" spans="1:15" ht="38.25" customHeight="1">
      <c r="A6" s="1238" t="str">
        <f>'Data Input'!D8</f>
        <v>‡gmvm© mvbd¬vIqvi †UBjvm© GÛ †dweªK&amp;ª</v>
      </c>
      <c r="B6" s="1238"/>
      <c r="C6" s="1238"/>
      <c r="D6" s="1238"/>
      <c r="E6" s="1238"/>
      <c r="F6" s="1238"/>
      <c r="G6" s="1238"/>
      <c r="H6" s="1238"/>
      <c r="I6" s="1238"/>
      <c r="J6" s="1238"/>
      <c r="K6" s="1238"/>
      <c r="L6" s="1238"/>
      <c r="M6" s="1238"/>
      <c r="O6" s="437"/>
    </row>
    <row r="7" spans="1:15" ht="38.25" customHeight="1">
      <c r="A7" s="1239" t="str">
        <f>'Data Input'!D10</f>
        <v>gyw` cY¨ e¨emv</v>
      </c>
      <c r="B7" s="1239"/>
      <c r="C7" s="1239"/>
      <c r="D7" s="1239"/>
      <c r="E7" s="1239"/>
      <c r="F7" s="1239"/>
      <c r="G7" s="1239"/>
      <c r="H7" s="1239"/>
      <c r="I7" s="1239"/>
      <c r="J7" s="1239"/>
      <c r="K7" s="1239"/>
      <c r="L7" s="1239"/>
      <c r="M7" s="1239"/>
      <c r="O7" s="437"/>
    </row>
    <row r="8" spans="1:15" ht="38.25" customHeight="1">
      <c r="A8" s="1240" t="str">
        <f>+'Data Input'!D9</f>
        <v>`vcv B`ªvKcyi, dZzjøv, bvivqYMÄ</v>
      </c>
      <c r="B8" s="1240"/>
      <c r="C8" s="1240"/>
      <c r="D8" s="1240"/>
      <c r="E8" s="1240"/>
      <c r="F8" s="1240"/>
      <c r="G8" s="1240"/>
      <c r="H8" s="1240"/>
      <c r="I8" s="1240"/>
      <c r="J8" s="1240"/>
      <c r="K8" s="1240"/>
      <c r="L8" s="1240"/>
      <c r="M8" s="1240"/>
      <c r="O8" s="437"/>
    </row>
    <row r="9" spans="1:15" ht="38.25" customHeight="1">
      <c r="A9" s="437"/>
      <c r="B9" s="437"/>
      <c r="C9" s="437"/>
      <c r="D9" s="437"/>
      <c r="E9" s="437"/>
      <c r="F9" s="437"/>
      <c r="G9" s="437"/>
      <c r="H9" s="437"/>
      <c r="I9" s="437"/>
      <c r="J9" s="437"/>
      <c r="K9" s="437"/>
      <c r="L9" s="437"/>
      <c r="M9" s="437"/>
      <c r="O9" s="437"/>
    </row>
    <row r="10" spans="1:15" ht="38.25" customHeight="1">
      <c r="A10" s="437"/>
      <c r="B10" s="437"/>
      <c r="C10" s="437"/>
      <c r="D10" s="437"/>
      <c r="E10" s="437"/>
      <c r="F10" s="437"/>
      <c r="G10" s="437"/>
      <c r="H10" s="437"/>
      <c r="I10" s="437"/>
      <c r="J10" s="437"/>
      <c r="K10" s="437"/>
      <c r="L10" s="437"/>
      <c r="M10" s="437"/>
      <c r="O10" s="437"/>
    </row>
    <row r="11" spans="1:15" ht="38.25" customHeight="1">
      <c r="A11" s="1218" t="s">
        <v>1063</v>
      </c>
      <c r="B11" s="1218"/>
      <c r="C11" s="1218"/>
      <c r="D11" s="1218"/>
      <c r="E11" s="1218"/>
      <c r="F11" s="1218"/>
      <c r="G11" s="1218"/>
      <c r="H11" s="1218"/>
      <c r="I11" s="1218"/>
      <c r="J11" s="1218"/>
      <c r="K11" s="1218"/>
      <c r="L11" s="1218"/>
      <c r="M11" s="1218"/>
      <c r="O11" s="437"/>
    </row>
    <row r="12" spans="1:15" ht="38.25" customHeight="1">
      <c r="A12" s="437"/>
      <c r="B12" s="437"/>
      <c r="C12" s="437"/>
      <c r="D12" s="437"/>
      <c r="E12" s="437"/>
      <c r="F12" s="437"/>
      <c r="G12" s="437"/>
      <c r="H12" s="437"/>
      <c r="I12" s="437"/>
      <c r="J12" s="437"/>
      <c r="K12" s="437"/>
      <c r="L12" s="437"/>
      <c r="M12" s="437"/>
      <c r="O12" s="437"/>
    </row>
    <row r="13" spans="1:15" ht="21" customHeight="1">
      <c r="A13" s="437"/>
      <c r="B13" s="437"/>
      <c r="C13" s="437"/>
      <c r="D13" s="437"/>
      <c r="E13" s="437"/>
      <c r="F13" s="437"/>
      <c r="G13" s="437"/>
      <c r="H13" s="437"/>
      <c r="I13" s="437"/>
      <c r="J13" s="437"/>
      <c r="K13" s="437"/>
      <c r="L13" s="437"/>
      <c r="M13" s="437"/>
      <c r="O13" s="437"/>
    </row>
    <row r="14" spans="1:15" ht="38.25" customHeight="1">
      <c r="A14" s="1217" t="str">
        <f>'Data Input'!B12</f>
        <v>‡cÖvcvBUi</v>
      </c>
      <c r="B14" s="1217"/>
      <c r="C14" s="1217"/>
      <c r="D14" s="1217"/>
      <c r="E14" s="1217"/>
      <c r="F14" s="1217"/>
      <c r="G14" s="1217"/>
      <c r="H14" s="1217"/>
      <c r="I14" s="1217"/>
      <c r="J14" s="1217"/>
      <c r="K14" s="1217"/>
      <c r="L14" s="1217"/>
      <c r="M14" s="1217"/>
      <c r="O14" s="437"/>
    </row>
    <row r="15" spans="1:15" ht="31.5">
      <c r="A15" s="1215" t="str">
        <f>'Data Input'!D12</f>
        <v>‡gvt Rwb</v>
      </c>
      <c r="B15" s="1216"/>
      <c r="C15" s="1216"/>
      <c r="D15" s="1216"/>
      <c r="E15" s="1216"/>
      <c r="F15" s="1216"/>
      <c r="G15" s="1216"/>
      <c r="H15" s="1216"/>
      <c r="I15" s="1216"/>
      <c r="J15" s="1216"/>
      <c r="K15" s="1216"/>
      <c r="L15" s="1216"/>
      <c r="M15" s="1216"/>
      <c r="O15" s="9"/>
    </row>
    <row r="16" spans="1:15" ht="21" customHeight="1">
      <c r="A16" s="1217"/>
      <c r="B16" s="1217"/>
      <c r="C16" s="1217"/>
      <c r="D16" s="1217"/>
      <c r="E16" s="1217"/>
      <c r="F16" s="1217"/>
      <c r="G16" s="1217"/>
      <c r="H16" s="1217"/>
      <c r="I16" s="1217"/>
      <c r="J16" s="1217"/>
      <c r="K16" s="1217"/>
      <c r="L16" s="1217"/>
      <c r="M16" s="1217"/>
      <c r="O16" s="11"/>
    </row>
    <row r="17" spans="1:34" ht="15" customHeight="1">
      <c r="A17" s="1217"/>
      <c r="B17" s="1217"/>
      <c r="C17" s="1217"/>
      <c r="D17" s="1217"/>
      <c r="E17" s="1217"/>
      <c r="F17" s="1217"/>
      <c r="G17" s="1217"/>
      <c r="H17" s="1217"/>
      <c r="I17" s="1217"/>
      <c r="J17" s="1217"/>
      <c r="K17" s="1217"/>
      <c r="L17" s="1217"/>
      <c r="M17" s="1217"/>
      <c r="O17" s="11"/>
    </row>
    <row r="18" spans="1:34" ht="24.75" customHeight="1">
      <c r="O18" s="11"/>
    </row>
    <row r="19" spans="1:34" ht="18" customHeight="1">
      <c r="O19" s="11"/>
    </row>
    <row r="20" spans="1:34" ht="22.5" customHeight="1">
      <c r="O20" s="11"/>
    </row>
    <row r="21" spans="1:34" ht="19.5">
      <c r="A21" s="1214"/>
      <c r="B21" s="1214"/>
      <c r="C21" s="1214"/>
      <c r="D21" s="1214"/>
      <c r="E21" s="1214"/>
      <c r="F21" s="1214"/>
      <c r="G21" s="1214"/>
      <c r="H21" s="1214"/>
      <c r="I21" s="1214"/>
      <c r="J21" s="1214"/>
      <c r="K21" s="1214"/>
      <c r="L21" s="1214"/>
      <c r="M21" s="1214"/>
      <c r="O21" s="8"/>
    </row>
    <row r="22" spans="1:34" ht="19.5" customHeight="1">
      <c r="A22" s="1214"/>
      <c r="B22" s="1214"/>
      <c r="C22" s="1214"/>
      <c r="D22" s="1214"/>
      <c r="E22" s="1214"/>
      <c r="F22" s="1214"/>
      <c r="G22" s="1214"/>
      <c r="H22" s="1214"/>
      <c r="I22" s="1214"/>
      <c r="J22" s="1214"/>
      <c r="K22" s="1214"/>
      <c r="L22" s="1214"/>
      <c r="M22" s="1214"/>
      <c r="O22" s="8"/>
    </row>
    <row r="23" spans="1:34" ht="34.5" customHeight="1">
      <c r="O23" s="11"/>
      <c r="U23" s="1242" t="s">
        <v>0</v>
      </c>
      <c r="V23" s="1242"/>
      <c r="W23" s="1242"/>
      <c r="X23" s="1242"/>
      <c r="Y23" s="1242"/>
      <c r="Z23" s="1242"/>
      <c r="AA23" s="1242"/>
      <c r="AB23" s="1242"/>
      <c r="AC23" s="1242"/>
      <c r="AD23" s="1242"/>
      <c r="AE23" s="1242"/>
      <c r="AF23" s="1242"/>
      <c r="AG23" s="1242"/>
      <c r="AH23" s="1242"/>
    </row>
    <row r="24" spans="1:34" ht="27.75" customHeight="1">
      <c r="O24" s="438"/>
      <c r="U24" s="1243" t="str">
        <f>+'Data Input'!D2</f>
        <v>wmw×iMÄ kvLv, bvivqYMÄ</v>
      </c>
      <c r="V24" s="1243"/>
      <c r="W24" s="1243"/>
      <c r="X24" s="1243"/>
      <c r="Y24" s="1243"/>
      <c r="Z24" s="1243"/>
      <c r="AA24" s="1243"/>
      <c r="AB24" s="1243"/>
      <c r="AC24" s="1243"/>
      <c r="AD24" s="1243"/>
      <c r="AE24" s="1243"/>
      <c r="AF24" s="1243"/>
      <c r="AG24" s="1243"/>
      <c r="AH24" s="1243"/>
    </row>
    <row r="25" spans="1:34" ht="54.75" customHeight="1">
      <c r="B25" s="1233" t="str">
        <f>L46</f>
        <v>`vcv B`ªvKcyi, dZzjøv, bvivqYMÄ-1430, dZzjøv,  bvivqYMÄ</v>
      </c>
      <c r="C25" s="1233"/>
      <c r="D25" s="1233"/>
      <c r="E25" s="1233"/>
      <c r="F25" s="1233"/>
      <c r="G25" s="1233"/>
      <c r="H25" s="1233"/>
      <c r="I25" s="1233"/>
      <c r="J25" s="1233"/>
      <c r="K25" s="1233"/>
      <c r="L25" s="1233"/>
      <c r="M25" s="1233"/>
      <c r="O25" s="10"/>
      <c r="U25" s="1244" t="str">
        <f>+"A_© eQi t "&amp;"2022-23"</f>
        <v>A_© eQi t 2022-23</v>
      </c>
      <c r="V25" s="1244"/>
      <c r="W25" s="1244"/>
      <c r="X25" s="1244"/>
      <c r="Y25" s="1244"/>
      <c r="Z25" s="1244"/>
      <c r="AA25" s="1244"/>
      <c r="AB25" s="1244"/>
      <c r="AC25" s="1244"/>
      <c r="AD25" s="1244"/>
      <c r="AE25" s="1244"/>
      <c r="AF25" s="1244"/>
      <c r="AG25" s="1244"/>
      <c r="AH25" s="1244"/>
    </row>
    <row r="26" spans="1:34" ht="15.75" customHeight="1">
      <c r="B26" s="1219" t="str">
        <f>"‡gvevBj bst +88 "&amp;'Data Input'!D16</f>
        <v>‡gvevBj bst +88 01923-401539</v>
      </c>
      <c r="C26" s="1219"/>
      <c r="D26" s="1219"/>
      <c r="E26" s="1219"/>
      <c r="F26" s="1219"/>
      <c r="G26" s="1219"/>
      <c r="H26" s="1219"/>
      <c r="I26" s="1219"/>
      <c r="J26" s="1219"/>
      <c r="K26" s="1219"/>
      <c r="L26" s="1219"/>
      <c r="M26" s="1219"/>
      <c r="N26" s="1219"/>
      <c r="U26" s="1214"/>
      <c r="V26" s="1214"/>
      <c r="W26" s="1214"/>
      <c r="X26" s="1214"/>
      <c r="Y26" s="1214"/>
      <c r="Z26" s="1214"/>
      <c r="AA26" s="1214"/>
      <c r="AB26" s="1214"/>
      <c r="AC26" s="1214"/>
      <c r="AD26" s="1214"/>
      <c r="AE26" s="1214"/>
      <c r="AF26" s="1214"/>
      <c r="AG26" s="1214"/>
      <c r="AH26" s="1214"/>
    </row>
    <row r="27" spans="1:34" ht="24.75" customHeight="1">
      <c r="U27"/>
      <c r="V27"/>
      <c r="W27"/>
      <c r="X27"/>
      <c r="Y27"/>
      <c r="Z27"/>
      <c r="AA27"/>
      <c r="AB27"/>
      <c r="AC27"/>
      <c r="AD27"/>
      <c r="AE27"/>
      <c r="AF27"/>
      <c r="AG27"/>
      <c r="AH27"/>
    </row>
    <row r="28" spans="1:34" ht="19.5">
      <c r="N28" s="66"/>
      <c r="O28" s="66"/>
      <c r="P28" s="66"/>
      <c r="Q28" s="66"/>
      <c r="R28" s="66"/>
      <c r="S28" s="66"/>
      <c r="T28" s="66"/>
      <c r="U28" s="804" t="s">
        <v>492</v>
      </c>
      <c r="V28" s="804"/>
      <c r="W28" s="804"/>
      <c r="X28" s="804"/>
      <c r="Y28" s="804"/>
      <c r="Z28" s="804"/>
      <c r="AA28" s="804"/>
      <c r="AB28" s="66"/>
      <c r="AC28" s="804" t="s">
        <v>534</v>
      </c>
      <c r="AD28" s="804"/>
      <c r="AF28" s="804" t="s">
        <v>162</v>
      </c>
      <c r="AG28" s="804"/>
      <c r="AH28" s="804"/>
    </row>
    <row r="29" spans="1:34" ht="19.5" customHeight="1">
      <c r="N29" s="66"/>
      <c r="O29" s="66"/>
      <c r="P29" s="66"/>
      <c r="Q29" s="66"/>
      <c r="R29" s="66"/>
      <c r="S29" s="66"/>
      <c r="T29" s="66"/>
      <c r="U29" s="804" t="str">
        <f>+'Data Input'!D8</f>
        <v>‡gmvm© mvbd¬vIqvi †UBjvm© GÛ †dweªK&amp;ª</v>
      </c>
      <c r="V29" s="804"/>
      <c r="W29" s="804"/>
      <c r="X29" s="804"/>
      <c r="Y29" s="804"/>
      <c r="Z29" s="804"/>
      <c r="AA29" s="804"/>
      <c r="AB29" s="123"/>
      <c r="AC29" s="804" t="s">
        <v>0</v>
      </c>
      <c r="AD29" s="804"/>
      <c r="AE29" s="66"/>
      <c r="AF29" s="804" t="s">
        <v>0</v>
      </c>
      <c r="AG29" s="804"/>
      <c r="AH29" s="804"/>
    </row>
    <row r="30" spans="1:34" ht="19.5">
      <c r="N30" s="66"/>
      <c r="O30" s="66"/>
      <c r="P30" s="66"/>
      <c r="Q30" s="66"/>
      <c r="R30" s="66"/>
      <c r="S30" s="66"/>
      <c r="T30" s="66"/>
      <c r="U30" s="1241" t="str">
        <f>A15</f>
        <v>‡gvt Rwb</v>
      </c>
      <c r="V30" s="1241"/>
      <c r="W30" s="1241"/>
      <c r="X30" s="1241"/>
      <c r="Y30" s="1241"/>
      <c r="Z30" s="1241"/>
      <c r="AA30" s="1241"/>
      <c r="AB30" s="123"/>
      <c r="AC30" s="804" t="str">
        <f>+'Data Input'!$D$2</f>
        <v>wmw×iMÄ kvLv, bvivqYMÄ</v>
      </c>
      <c r="AD30" s="804"/>
      <c r="AE30" s="66"/>
      <c r="AF30" s="1234" t="str">
        <f>AC30</f>
        <v>wmw×iMÄ kvLv, bvivqYMÄ</v>
      </c>
      <c r="AG30" s="1234"/>
      <c r="AH30" s="1234"/>
    </row>
    <row r="32" spans="1:34" ht="8.25" customHeight="1">
      <c r="A32" s="1234"/>
      <c r="B32" s="1234"/>
      <c r="C32" s="1234"/>
      <c r="D32" s="1234"/>
      <c r="E32" s="1234"/>
      <c r="F32" s="1234"/>
      <c r="G32" s="1234"/>
      <c r="H32" s="1234"/>
      <c r="I32" s="1234"/>
      <c r="J32" s="1234"/>
      <c r="K32" s="1234"/>
      <c r="L32" s="1234"/>
      <c r="M32" s="1234"/>
    </row>
    <row r="33" spans="1:20" ht="20.25" customHeight="1">
      <c r="A33" s="665"/>
      <c r="B33" s="665"/>
      <c r="C33" s="665"/>
      <c r="D33" s="665"/>
      <c r="E33" s="665"/>
      <c r="F33" s="665"/>
      <c r="G33" s="665"/>
      <c r="H33" s="665"/>
      <c r="I33" s="665"/>
      <c r="J33" s="665"/>
      <c r="K33" s="665"/>
      <c r="L33" s="665"/>
      <c r="M33" s="665"/>
    </row>
    <row r="34" spans="1:20" ht="20.25" customHeight="1">
      <c r="A34" s="1345" t="str">
        <f>A6</f>
        <v>‡gmvm© mvbd¬vIqvi †UBjvm© GÛ †dweªK&amp;ª</v>
      </c>
      <c r="B34" s="1345"/>
      <c r="C34" s="1345"/>
      <c r="D34" s="1345"/>
      <c r="E34" s="1345"/>
      <c r="F34" s="1345"/>
      <c r="G34" s="1345"/>
      <c r="H34" s="1345"/>
      <c r="I34" s="1345"/>
      <c r="J34" s="1345"/>
      <c r="K34" s="1345"/>
      <c r="L34" s="1345"/>
      <c r="M34" s="1345"/>
      <c r="N34" s="1345"/>
    </row>
    <row r="35" spans="1:20" ht="20.25" customHeight="1">
      <c r="A35" s="804" t="str">
        <f>"‡cÖvcvBUi "&amp;A15</f>
        <v>‡cÖvcvBUi ‡gvt Rwb</v>
      </c>
      <c r="B35" s="804"/>
      <c r="C35" s="804"/>
      <c r="D35" s="804"/>
      <c r="E35" s="804"/>
      <c r="F35" s="804"/>
      <c r="G35" s="804"/>
      <c r="H35" s="804"/>
      <c r="I35" s="804"/>
      <c r="J35" s="804"/>
      <c r="K35" s="804"/>
      <c r="L35" s="804"/>
      <c r="M35" s="804"/>
      <c r="N35" s="804"/>
    </row>
    <row r="36" spans="1:20" ht="20.25" customHeight="1">
      <c r="A36" s="804" t="str">
        <f>A8</f>
        <v>`vcv B`ªvKcyi, dZzjøv, bvivqYMÄ</v>
      </c>
      <c r="B36" s="804"/>
      <c r="C36" s="804"/>
      <c r="D36" s="804"/>
      <c r="E36" s="804"/>
      <c r="F36" s="804"/>
      <c r="G36" s="804"/>
      <c r="H36" s="804"/>
      <c r="I36" s="804"/>
      <c r="J36" s="804"/>
      <c r="K36" s="804"/>
      <c r="L36" s="804"/>
      <c r="M36" s="804"/>
      <c r="N36" s="804"/>
    </row>
    <row r="37" spans="1:20" ht="20.25" customHeight="1">
      <c r="A37" s="665"/>
      <c r="B37" s="665"/>
      <c r="C37" s="665"/>
      <c r="D37" s="665"/>
      <c r="E37" s="665"/>
      <c r="F37" s="665"/>
      <c r="G37" s="665"/>
      <c r="H37" s="665"/>
      <c r="I37" s="665"/>
      <c r="J37" s="665"/>
      <c r="K37" s="665"/>
      <c r="L37" s="665"/>
      <c r="M37" s="665"/>
    </row>
    <row r="38" spans="1:20" ht="20.25" customHeight="1">
      <c r="A38" s="1066" t="s">
        <v>1147</v>
      </c>
      <c r="B38" s="1066"/>
      <c r="C38" s="1066"/>
      <c r="D38" s="1066"/>
      <c r="E38" s="1066"/>
      <c r="F38" s="1066"/>
      <c r="G38" s="1066"/>
      <c r="H38" s="1066"/>
      <c r="I38" s="1066"/>
      <c r="J38" s="1066"/>
      <c r="K38" s="1066"/>
      <c r="L38" s="1066"/>
      <c r="M38" s="1066"/>
      <c r="N38" s="1066"/>
    </row>
    <row r="39" spans="1:20" ht="19.5" customHeight="1">
      <c r="A39" s="441" t="s">
        <v>760</v>
      </c>
      <c r="B39" s="1137" t="s">
        <v>876</v>
      </c>
      <c r="C39" s="1137"/>
      <c r="D39" s="1137"/>
      <c r="E39" s="1137"/>
      <c r="F39" s="1137"/>
      <c r="G39" s="184" t="s">
        <v>1</v>
      </c>
      <c r="H39" s="1137" t="str">
        <f>+'Data Input'!D8</f>
        <v>‡gmvm© mvbd¬vIqvi †UBjvm© GÛ †dweªK&amp;ª</v>
      </c>
      <c r="I39" s="1137"/>
      <c r="J39" s="1137"/>
      <c r="K39" s="1137"/>
      <c r="L39" s="1137"/>
      <c r="M39" s="1137"/>
    </row>
    <row r="40" spans="1:20" ht="19.5" customHeight="1">
      <c r="A40" s="441" t="s">
        <v>762</v>
      </c>
      <c r="B40" s="1137" t="s">
        <v>877</v>
      </c>
      <c r="C40" s="1137"/>
      <c r="D40" s="1137"/>
      <c r="E40" s="1137"/>
      <c r="F40" s="1137"/>
      <c r="G40" s="1232" t="s">
        <v>1</v>
      </c>
      <c r="H40" s="1349" t="str">
        <f>'Data Input'!D23&amp;" †Rjvi "&amp;'Data Input'!D21&amp;" _vbvi evsjv‡`k K…wl e¨vsK, "&amp;'Data Input'!D2&amp;" n‡Z "&amp;T40&amp;" wKtwgt `~‡i "&amp;'Data Input'!D9&amp;" Gi †K›`ª¯’‡j Aew¯’Z|"</f>
        <v>bvivqYMÄ †Rjvi dZzjøv _vbvi evsjv‡`k K…wl e¨vsK, wmw×iMÄ kvLv, bvivqYMÄ n‡Z 2 wKtwgt `~‡i `vcv B`ªvKcyi, dZzjøv, bvivqYMÄ Gi †K›`ª¯’‡j Aew¯’Z|</v>
      </c>
      <c r="I40" s="1349"/>
      <c r="J40" s="1349"/>
      <c r="K40" s="1349"/>
      <c r="L40" s="1349"/>
      <c r="M40" s="1349"/>
      <c r="O40" s="87" t="s">
        <v>1016</v>
      </c>
      <c r="T40" s="435">
        <v>2</v>
      </c>
    </row>
    <row r="41" spans="1:20" ht="19.5" customHeight="1">
      <c r="A41" s="441"/>
      <c r="B41" s="42"/>
      <c r="C41" s="42"/>
      <c r="D41" s="42"/>
      <c r="E41" s="42"/>
      <c r="F41" s="42"/>
      <c r="G41" s="1232"/>
      <c r="H41" s="1349"/>
      <c r="I41" s="1349"/>
      <c r="J41" s="1349"/>
      <c r="K41" s="1349"/>
      <c r="L41" s="1349"/>
      <c r="M41" s="1349"/>
    </row>
    <row r="42" spans="1:20" ht="36" customHeight="1">
      <c r="A42" s="441"/>
      <c r="B42" s="42"/>
      <c r="C42" s="42"/>
      <c r="D42" s="42"/>
      <c r="E42" s="42"/>
      <c r="F42" s="42"/>
      <c r="G42" s="1232"/>
      <c r="H42" s="1349"/>
      <c r="I42" s="1349"/>
      <c r="J42" s="1349"/>
      <c r="K42" s="1349"/>
      <c r="L42" s="1349"/>
      <c r="M42" s="1349"/>
    </row>
    <row r="43" spans="1:20" ht="6.75" customHeight="1">
      <c r="A43" s="441"/>
      <c r="B43" s="42"/>
      <c r="C43" s="42"/>
      <c r="D43" s="42"/>
      <c r="E43" s="42"/>
      <c r="F43" s="42"/>
      <c r="G43" s="184"/>
      <c r="H43" s="42"/>
      <c r="I43" s="42"/>
      <c r="J43" s="42"/>
      <c r="K43" s="42"/>
      <c r="L43" s="42"/>
      <c r="M43" s="42"/>
    </row>
    <row r="44" spans="1:20" ht="18" customHeight="1">
      <c r="A44" s="1245" t="s">
        <v>880</v>
      </c>
      <c r="B44" s="1211" t="s">
        <v>763</v>
      </c>
      <c r="C44" s="1211"/>
      <c r="D44" s="1211"/>
      <c r="E44" s="1211"/>
      <c r="F44" s="1211"/>
      <c r="G44" s="184" t="s">
        <v>1</v>
      </c>
      <c r="H44" s="1220"/>
      <c r="I44" s="1220"/>
      <c r="J44" s="1220"/>
      <c r="K44" s="1220"/>
      <c r="L44" s="1220"/>
      <c r="M44" s="1220"/>
    </row>
    <row r="45" spans="1:20" ht="18" customHeight="1">
      <c r="A45" s="1245"/>
      <c r="B45" s="589" t="s">
        <v>3</v>
      </c>
      <c r="C45" s="999" t="s">
        <v>26</v>
      </c>
      <c r="D45" s="999"/>
      <c r="E45" s="1235" t="s">
        <v>878</v>
      </c>
      <c r="F45" s="1235"/>
      <c r="G45" s="1235" t="s">
        <v>879</v>
      </c>
      <c r="H45" s="1235"/>
      <c r="I45" s="1235"/>
      <c r="J45" s="1235"/>
      <c r="K45" s="1235"/>
      <c r="L45" s="1235" t="s">
        <v>58</v>
      </c>
      <c r="M45" s="1235"/>
      <c r="N45" s="1235"/>
    </row>
    <row r="46" spans="1:20" ht="68.25" customHeight="1">
      <c r="A46" s="1245"/>
      <c r="B46" s="439"/>
      <c r="C46" s="1201" t="str">
        <f>'Data Input'!D12</f>
        <v>‡gvt Rwb</v>
      </c>
      <c r="D46" s="1202"/>
      <c r="E46" s="1203">
        <v>26</v>
      </c>
      <c r="F46" s="1204"/>
      <c r="G46" s="1205" t="str">
        <f>'Data Input'!B13&amp;'Data Input'!C13&amp;" "&amp;'Data Input'!D13&amp;",  "&amp;'Data Input'!B14&amp;'Data Input'!C14&amp;" "&amp;'Data Input'!D14</f>
        <v>wcZv/¯^vgxi bvgt g„Z †gvt Bw`ªm Avjx,  gvZvi bvgt gvmvt Avgexqv LvZzb</v>
      </c>
      <c r="H46" s="1206"/>
      <c r="I46" s="1206"/>
      <c r="J46" s="1206"/>
      <c r="K46" s="1207"/>
      <c r="L46" s="1206" t="str">
        <f>'Data Input'!D18&amp;", "&amp;+'Data Input'!D19&amp;", "&amp;+ 'Data Input'!D20&amp;", "&amp;'Data Input'!D21&amp;",  "&amp;'Data Input'!D23</f>
        <v>`vcv B`ªvKcyi, dZzjøv, bvivqYMÄ-1430, dZzjøv,  bvivqYMÄ</v>
      </c>
      <c r="M46" s="1206"/>
      <c r="N46" s="1207"/>
    </row>
    <row r="47" spans="1:20" ht="63" customHeight="1">
      <c r="A47" s="1245"/>
      <c r="B47" s="440"/>
      <c r="C47" s="1225"/>
      <c r="D47" s="1226"/>
      <c r="E47" s="1227"/>
      <c r="F47" s="1228"/>
      <c r="G47" s="1229"/>
      <c r="H47" s="1226"/>
      <c r="I47" s="1226"/>
      <c r="J47" s="1226"/>
      <c r="K47" s="1230"/>
      <c r="L47" s="1231"/>
      <c r="M47" s="1231"/>
      <c r="N47" s="600"/>
    </row>
    <row r="48" spans="1:20" ht="18" customHeight="1">
      <c r="A48" s="441" t="s">
        <v>91</v>
      </c>
      <c r="B48" s="1224" t="s">
        <v>881</v>
      </c>
      <c r="C48" s="1224"/>
      <c r="D48" s="1224"/>
      <c r="E48" s="42"/>
      <c r="F48" s="42"/>
      <c r="G48" s="184" t="s">
        <v>1</v>
      </c>
      <c r="H48" s="1137" t="s">
        <v>767</v>
      </c>
      <c r="I48" s="1137"/>
      <c r="J48" s="1137"/>
      <c r="K48" s="1137"/>
      <c r="L48" s="1137"/>
      <c r="M48" s="1137"/>
    </row>
    <row r="49" spans="1:40" ht="18" customHeight="1">
      <c r="A49" s="441" t="s">
        <v>764</v>
      </c>
      <c r="B49" s="1224" t="s">
        <v>882</v>
      </c>
      <c r="C49" s="1224"/>
      <c r="D49" s="1224"/>
      <c r="E49" s="42"/>
      <c r="F49" s="42"/>
      <c r="G49" s="184" t="s">
        <v>1</v>
      </c>
      <c r="H49" s="1137"/>
      <c r="I49" s="1137"/>
      <c r="J49" s="1137"/>
      <c r="K49" s="1137"/>
      <c r="L49" s="1137"/>
      <c r="M49" s="1137"/>
    </row>
    <row r="50" spans="1:40" ht="18" customHeight="1">
      <c r="A50" s="592" t="s">
        <v>766</v>
      </c>
      <c r="B50" s="1262" t="s">
        <v>883</v>
      </c>
      <c r="C50" s="1262"/>
      <c r="D50" s="1262"/>
      <c r="E50" s="42"/>
      <c r="F50" s="42"/>
      <c r="G50" s="184" t="s">
        <v>1</v>
      </c>
      <c r="H50" s="1136" t="s">
        <v>1121</v>
      </c>
      <c r="I50" s="1136"/>
      <c r="J50" s="1136"/>
      <c r="K50" s="1136"/>
      <c r="L50" s="1136"/>
      <c r="M50" s="1136"/>
      <c r="N50" s="1136"/>
      <c r="O50" s="593"/>
    </row>
    <row r="51" spans="1:40" ht="18" customHeight="1">
      <c r="A51" s="441"/>
      <c r="B51" s="591"/>
      <c r="C51" s="591"/>
      <c r="D51" s="591"/>
      <c r="E51" s="42"/>
      <c r="F51" s="42"/>
      <c r="G51" s="184"/>
      <c r="H51" s="1136"/>
      <c r="I51" s="1136"/>
      <c r="J51" s="1136"/>
      <c r="K51" s="1136"/>
      <c r="L51" s="1136"/>
      <c r="M51" s="1136"/>
      <c r="N51" s="1136"/>
    </row>
    <row r="52" spans="1:40" ht="18" customHeight="1">
      <c r="A52" s="441" t="s">
        <v>768</v>
      </c>
      <c r="B52" s="1137" t="s">
        <v>776</v>
      </c>
      <c r="C52" s="1137"/>
      <c r="D52" s="1137"/>
      <c r="E52" s="1137"/>
      <c r="F52" s="1137"/>
      <c r="G52" s="184" t="s">
        <v>1</v>
      </c>
      <c r="H52" s="1135" t="s">
        <v>1030</v>
      </c>
      <c r="I52" s="1135"/>
      <c r="J52" s="1135"/>
      <c r="K52" s="1135"/>
      <c r="L52" s="1135"/>
      <c r="M52" s="1135"/>
      <c r="N52" s="1135"/>
    </row>
    <row r="53" spans="1:40" ht="18" customHeight="1">
      <c r="A53" s="441" t="s">
        <v>770</v>
      </c>
      <c r="B53" s="1224" t="s">
        <v>1075</v>
      </c>
      <c r="C53" s="1224"/>
      <c r="D53" s="1224"/>
      <c r="E53" s="42"/>
      <c r="F53" s="42"/>
      <c r="G53" s="184" t="s">
        <v>1</v>
      </c>
      <c r="H53" s="658">
        <f>L55+L56</f>
        <v>120</v>
      </c>
      <c r="I53" s="42" t="s">
        <v>1029</v>
      </c>
      <c r="J53" s="42"/>
      <c r="K53" s="42"/>
      <c r="L53" s="42"/>
      <c r="M53" s="42"/>
      <c r="N53" s="42"/>
      <c r="O53" s="42"/>
    </row>
    <row r="54" spans="1:40" ht="18" customHeight="1">
      <c r="A54" s="441" t="s">
        <v>772</v>
      </c>
      <c r="B54" s="1224" t="s">
        <v>884</v>
      </c>
      <c r="C54" s="1224"/>
      <c r="D54" s="1224"/>
      <c r="E54" s="42"/>
      <c r="F54" s="42"/>
      <c r="G54" s="184" t="s">
        <v>1</v>
      </c>
      <c r="H54" s="598"/>
      <c r="I54" s="598"/>
      <c r="J54" s="598"/>
      <c r="K54" s="598"/>
      <c r="L54" s="598"/>
      <c r="M54" s="598"/>
    </row>
    <row r="55" spans="1:40" ht="18" customHeight="1">
      <c r="A55" s="441"/>
      <c r="B55" s="591"/>
      <c r="C55" s="591"/>
      <c r="D55" s="591"/>
      <c r="E55" s="42"/>
      <c r="F55" s="42"/>
      <c r="G55" s="184"/>
      <c r="H55" s="184" t="s">
        <v>103</v>
      </c>
      <c r="I55" s="1221" t="s">
        <v>885</v>
      </c>
      <c r="J55" s="1221"/>
      <c r="K55" s="42" t="s">
        <v>886</v>
      </c>
      <c r="L55" s="657">
        <v>70</v>
      </c>
      <c r="M55" s="42" t="s">
        <v>1029</v>
      </c>
      <c r="AB55" s="441"/>
      <c r="AC55" s="591"/>
      <c r="AD55" s="591"/>
      <c r="AE55" s="591"/>
      <c r="AF55" s="587"/>
      <c r="AG55" s="587"/>
      <c r="AH55" s="590"/>
      <c r="AI55" s="594"/>
      <c r="AJ55" s="595"/>
      <c r="AK55" s="595"/>
      <c r="AL55" s="595"/>
      <c r="AM55" s="595"/>
      <c r="AN55" s="595"/>
    </row>
    <row r="56" spans="1:40" ht="18" customHeight="1">
      <c r="A56" s="441"/>
      <c r="B56" s="591"/>
      <c r="C56" s="591"/>
      <c r="D56" s="591"/>
      <c r="E56" s="42"/>
      <c r="F56" s="42"/>
      <c r="G56" s="184"/>
      <c r="H56" s="184" t="s">
        <v>116</v>
      </c>
      <c r="I56" s="1221" t="s">
        <v>887</v>
      </c>
      <c r="J56" s="1221"/>
      <c r="K56" s="42" t="s">
        <v>886</v>
      </c>
      <c r="L56" s="657">
        <v>50</v>
      </c>
      <c r="M56" s="42" t="s">
        <v>1029</v>
      </c>
      <c r="AB56" s="441"/>
      <c r="AC56" s="591"/>
      <c r="AD56" s="591"/>
      <c r="AE56" s="591"/>
      <c r="AF56" s="586"/>
      <c r="AG56" s="586"/>
      <c r="AH56" s="38"/>
      <c r="AI56" s="594"/>
      <c r="AJ56" s="595"/>
      <c r="AK56" s="595"/>
      <c r="AL56" s="595"/>
      <c r="AM56" s="595"/>
      <c r="AN56" s="595"/>
    </row>
    <row r="57" spans="1:40" ht="18" customHeight="1">
      <c r="A57" s="441" t="s">
        <v>775</v>
      </c>
      <c r="B57" s="1224" t="s">
        <v>888</v>
      </c>
      <c r="C57" s="1224"/>
      <c r="D57" s="1224"/>
      <c r="E57" s="42"/>
      <c r="F57" s="42"/>
      <c r="G57" s="184"/>
      <c r="H57" s="1222">
        <f>L55/(L55+L56)*100</f>
        <v>58.333333333333336</v>
      </c>
      <c r="I57" s="1222"/>
      <c r="J57" s="1222"/>
      <c r="K57" s="597" t="s">
        <v>1</v>
      </c>
      <c r="L57" s="1223">
        <f>L56/(L55+L56)*100</f>
        <v>41.666666666666671</v>
      </c>
      <c r="M57" s="1223"/>
      <c r="AB57" s="434" t="s">
        <v>768</v>
      </c>
      <c r="AC57" s="1254" t="s">
        <v>769</v>
      </c>
      <c r="AD57" s="1255"/>
      <c r="AE57" s="1255"/>
      <c r="AF57" s="1255"/>
      <c r="AG57" s="1255"/>
      <c r="AH57" s="38" t="s">
        <v>1</v>
      </c>
      <c r="AI57" s="1254" t="e">
        <f ca="1">'Data Input'!D11&amp;"/- ("&amp;ConvertCurrencyToBangla('Data Input'!D11)&amp;" )"</f>
        <v>#NAME?</v>
      </c>
      <c r="AJ57" s="1255"/>
      <c r="AK57" s="1255"/>
      <c r="AL57" s="1255"/>
      <c r="AM57" s="1255"/>
      <c r="AN57" s="1256"/>
    </row>
    <row r="58" spans="1:40" ht="27.75" customHeight="1">
      <c r="A58" s="441" t="s">
        <v>777</v>
      </c>
      <c r="B58" s="1208" t="s">
        <v>889</v>
      </c>
      <c r="C58" s="1208"/>
      <c r="D58" s="1208"/>
      <c r="E58" s="1208"/>
      <c r="F58" s="1208"/>
      <c r="G58" s="1232" t="s">
        <v>1</v>
      </c>
      <c r="H58" s="1136" t="s">
        <v>1148</v>
      </c>
      <c r="I58" s="1136"/>
      <c r="J58" s="1136"/>
      <c r="K58" s="1136"/>
      <c r="L58" s="1136"/>
      <c r="M58" s="1136"/>
      <c r="N58" s="593"/>
      <c r="O58" s="593"/>
      <c r="AB58" s="815" t="s">
        <v>770</v>
      </c>
      <c r="AC58" s="1205" t="s">
        <v>771</v>
      </c>
      <c r="AD58" s="1206"/>
      <c r="AE58" s="1206"/>
      <c r="AF58" s="1206"/>
      <c r="AG58" s="1206"/>
      <c r="AH58" s="1259" t="s">
        <v>1</v>
      </c>
    </row>
    <row r="59" spans="1:40" ht="43.5" customHeight="1">
      <c r="A59" s="441"/>
      <c r="B59" s="591"/>
      <c r="C59" s="591"/>
      <c r="D59" s="591"/>
      <c r="E59" s="42"/>
      <c r="F59" s="42"/>
      <c r="G59" s="1232"/>
      <c r="H59" s="1136"/>
      <c r="I59" s="1136"/>
      <c r="J59" s="1136"/>
      <c r="K59" s="1136"/>
      <c r="L59" s="1136"/>
      <c r="M59" s="1136"/>
      <c r="N59" s="593"/>
      <c r="O59" s="593"/>
      <c r="AB59" s="1257"/>
      <c r="AC59" s="1258"/>
      <c r="AD59" s="1224"/>
      <c r="AE59" s="1224"/>
      <c r="AF59" s="1224"/>
      <c r="AG59" s="1224"/>
      <c r="AH59" s="1260"/>
    </row>
    <row r="60" spans="1:40" ht="18" customHeight="1">
      <c r="A60" s="441" t="s">
        <v>779</v>
      </c>
      <c r="B60" s="1211" t="s">
        <v>890</v>
      </c>
      <c r="C60" s="1211"/>
      <c r="D60" s="1211"/>
      <c r="E60" s="42"/>
      <c r="F60" s="42"/>
      <c r="G60" s="184" t="s">
        <v>1</v>
      </c>
      <c r="H60" s="1347" t="s">
        <v>1122</v>
      </c>
      <c r="I60" s="1347"/>
      <c r="J60" s="1347"/>
      <c r="K60" s="1347"/>
      <c r="L60" s="1347"/>
      <c r="M60" s="1347"/>
      <c r="AB60" s="1246"/>
      <c r="AC60" s="1247"/>
      <c r="AD60" s="1231"/>
      <c r="AE60" s="1231"/>
      <c r="AF60" s="1231"/>
      <c r="AG60" s="1231"/>
      <c r="AH60" s="1261"/>
    </row>
    <row r="61" spans="1:40" ht="18" customHeight="1">
      <c r="A61" s="599" t="s">
        <v>782</v>
      </c>
      <c r="B61" s="1263" t="s">
        <v>765</v>
      </c>
      <c r="C61" s="1263"/>
      <c r="D61" s="1263"/>
      <c r="E61" s="1263"/>
      <c r="F61" s="1263"/>
      <c r="G61" s="184" t="s">
        <v>1</v>
      </c>
      <c r="H61" s="1348" t="s">
        <v>1142</v>
      </c>
      <c r="I61" s="1348"/>
      <c r="J61" s="1348"/>
      <c r="K61" s="1348"/>
      <c r="L61" s="1348"/>
      <c r="M61" s="1348"/>
      <c r="N61" s="1348"/>
      <c r="AB61" s="815" t="s">
        <v>772</v>
      </c>
      <c r="AC61" s="1205" t="s">
        <v>773</v>
      </c>
      <c r="AD61" s="1206"/>
      <c r="AE61" s="1206"/>
      <c r="AF61" s="1206"/>
      <c r="AG61" s="1206"/>
      <c r="AH61" s="439" t="s">
        <v>1</v>
      </c>
      <c r="AI61" s="1248" t="s">
        <v>774</v>
      </c>
      <c r="AJ61" s="1249"/>
      <c r="AK61" s="1249"/>
      <c r="AL61" s="1249"/>
      <c r="AM61" s="1249"/>
      <c r="AN61" s="1250"/>
    </row>
    <row r="62" spans="1:40" ht="18" customHeight="1">
      <c r="A62" s="441" t="s">
        <v>891</v>
      </c>
      <c r="B62" s="1211" t="s">
        <v>892</v>
      </c>
      <c r="C62" s="1211"/>
      <c r="D62" s="1211"/>
      <c r="E62" s="42"/>
      <c r="F62" s="42"/>
      <c r="G62" s="184" t="s">
        <v>1</v>
      </c>
      <c r="H62" s="1212" t="s">
        <v>1123</v>
      </c>
      <c r="I62" s="1212"/>
      <c r="J62" s="1212"/>
      <c r="K62" s="1212"/>
      <c r="L62" s="1212"/>
      <c r="M62" s="1212"/>
      <c r="N62" s="596"/>
      <c r="O62" s="596"/>
      <c r="AB62" s="1246"/>
      <c r="AC62" s="1247"/>
      <c r="AD62" s="1231"/>
      <c r="AE62" s="1231"/>
      <c r="AF62" s="1231"/>
      <c r="AG62" s="1231"/>
      <c r="AH62" s="440"/>
      <c r="AI62" s="1251"/>
      <c r="AJ62" s="1252"/>
      <c r="AK62" s="1252"/>
      <c r="AL62" s="1252"/>
      <c r="AM62" s="1252"/>
      <c r="AN62" s="1253"/>
    </row>
    <row r="63" spans="1:40" ht="18" customHeight="1">
      <c r="A63" s="441" t="s">
        <v>893</v>
      </c>
      <c r="B63" s="1211" t="s">
        <v>894</v>
      </c>
      <c r="C63" s="1211"/>
      <c r="D63" s="1211"/>
      <c r="E63" s="42"/>
      <c r="F63" s="42"/>
      <c r="G63" s="184" t="s">
        <v>1</v>
      </c>
      <c r="H63" s="1212" t="s">
        <v>1149</v>
      </c>
      <c r="I63" s="1212"/>
      <c r="J63" s="1212"/>
      <c r="K63" s="1212"/>
      <c r="L63" s="1212"/>
      <c r="M63" s="1212"/>
      <c r="N63" s="596"/>
      <c r="O63" s="596"/>
      <c r="AB63" s="391" t="s">
        <v>775</v>
      </c>
    </row>
    <row r="64" spans="1:40" ht="18" customHeight="1">
      <c r="A64" s="441" t="s">
        <v>895</v>
      </c>
      <c r="B64" s="1211" t="s">
        <v>210</v>
      </c>
      <c r="C64" s="1211"/>
      <c r="D64" s="1211"/>
      <c r="E64" s="42"/>
      <c r="F64" s="42"/>
      <c r="G64" s="184" t="s">
        <v>1</v>
      </c>
      <c r="H64" s="1213">
        <v>0.13</v>
      </c>
      <c r="I64" s="1213"/>
      <c r="J64" s="1213"/>
      <c r="K64" s="1213"/>
      <c r="L64" s="1213"/>
      <c r="M64" s="1213"/>
      <c r="N64" s="596"/>
      <c r="O64" s="596"/>
      <c r="AB64" s="815" t="s">
        <v>777</v>
      </c>
      <c r="AC64" s="1205" t="s">
        <v>778</v>
      </c>
      <c r="AD64" s="1206"/>
      <c r="AE64" s="1206"/>
      <c r="AF64" s="1206"/>
      <c r="AG64" s="1206"/>
      <c r="AH64" s="439" t="s">
        <v>1</v>
      </c>
      <c r="AI64" s="1248" t="str">
        <f>"D‡`¨v³vMY `xN© w`b hver `ÿZv I mybv‡gi mwnZ cvwievwiKfv‡e "&amp;'Data Input'!C10&amp;" cwiPvjbv K‡i Avm‡Qb| "</f>
        <v xml:space="preserve">D‡`¨v³vMY `xN© w`b hver `ÿZv I mybv‡gi mwnZ cvwievwiKfv‡e t cwiPvjbv K‡i Avm‡Qb| </v>
      </c>
      <c r="AJ64" s="1249"/>
      <c r="AK64" s="1249"/>
      <c r="AL64" s="1249"/>
      <c r="AM64" s="1249"/>
      <c r="AN64" s="1250"/>
    </row>
    <row r="65" spans="1:47" ht="18" customHeight="1">
      <c r="A65" s="441" t="s">
        <v>896</v>
      </c>
      <c r="B65" s="1211" t="s">
        <v>897</v>
      </c>
      <c r="C65" s="1211"/>
      <c r="D65" s="1211"/>
      <c r="E65" s="1211"/>
      <c r="F65" s="1211"/>
      <c r="G65" s="184" t="s">
        <v>1</v>
      </c>
      <c r="H65" s="1136" t="s">
        <v>900</v>
      </c>
      <c r="I65" s="1136"/>
      <c r="J65" s="1136"/>
      <c r="K65" s="1136"/>
      <c r="L65" s="1136"/>
      <c r="M65" s="1136"/>
      <c r="N65" s="1136"/>
      <c r="O65" s="593"/>
      <c r="AB65" s="1246"/>
      <c r="AC65" s="1247"/>
      <c r="AD65" s="1231"/>
      <c r="AE65" s="1231"/>
      <c r="AF65" s="1231"/>
      <c r="AG65" s="1231"/>
      <c r="AH65" s="440"/>
      <c r="AI65" s="1251"/>
      <c r="AJ65" s="1252"/>
      <c r="AK65" s="1252"/>
      <c r="AL65" s="1252"/>
      <c r="AM65" s="1252"/>
      <c r="AN65" s="1253"/>
    </row>
    <row r="66" spans="1:47" ht="18" customHeight="1">
      <c r="A66" s="441" t="s">
        <v>898</v>
      </c>
      <c r="B66" s="1211" t="s">
        <v>899</v>
      </c>
      <c r="C66" s="1211"/>
      <c r="D66" s="1211"/>
      <c r="E66" s="42"/>
      <c r="F66" s="42"/>
      <c r="G66" s="184" t="s">
        <v>1</v>
      </c>
      <c r="H66" s="1212" t="s">
        <v>901</v>
      </c>
      <c r="I66" s="1212"/>
      <c r="J66" s="1212"/>
      <c r="K66" s="1212"/>
      <c r="L66" s="1212"/>
      <c r="M66" s="1212"/>
      <c r="N66" s="593"/>
      <c r="O66" s="593"/>
      <c r="AB66" s="815" t="s">
        <v>779</v>
      </c>
      <c r="AC66" s="1205" t="s">
        <v>780</v>
      </c>
      <c r="AD66" s="1206"/>
      <c r="AE66" s="1206"/>
      <c r="AF66" s="1206"/>
      <c r="AG66" s="1207"/>
      <c r="AH66" s="439" t="s">
        <v>1</v>
      </c>
      <c r="AI66" s="1268" t="s">
        <v>781</v>
      </c>
      <c r="AJ66" s="1269"/>
      <c r="AK66" s="1269"/>
      <c r="AL66" s="1269"/>
      <c r="AM66" s="1269"/>
      <c r="AN66" s="1270"/>
    </row>
    <row r="67" spans="1:47" ht="18" customHeight="1">
      <c r="A67" s="441"/>
      <c r="B67" s="601"/>
      <c r="C67" s="601"/>
      <c r="D67" s="601"/>
      <c r="E67" s="42"/>
      <c r="F67" s="42"/>
      <c r="G67" s="184"/>
      <c r="H67" s="598"/>
      <c r="I67" s="598"/>
      <c r="J67" s="598"/>
      <c r="K67" s="598"/>
      <c r="L67" s="598"/>
      <c r="M67" s="598"/>
      <c r="N67" s="593"/>
      <c r="O67" s="593"/>
      <c r="AB67" s="1246"/>
      <c r="AC67" s="1247"/>
      <c r="AD67" s="1231"/>
      <c r="AE67" s="1231"/>
      <c r="AF67" s="1231"/>
      <c r="AG67" s="1267"/>
      <c r="AH67" s="440"/>
      <c r="AI67" s="1271"/>
      <c r="AJ67" s="1272"/>
      <c r="AK67" s="1272"/>
      <c r="AL67" s="1272"/>
      <c r="AM67" s="1272"/>
      <c r="AN67" s="1273"/>
    </row>
    <row r="68" spans="1:47" ht="18" customHeight="1">
      <c r="A68" s="441"/>
      <c r="B68" s="601"/>
      <c r="C68" s="601"/>
      <c r="D68" s="601"/>
      <c r="E68" s="42"/>
      <c r="F68" s="42"/>
      <c r="G68" s="184"/>
      <c r="H68" s="598"/>
      <c r="I68" s="598"/>
      <c r="J68" s="598"/>
      <c r="K68" s="598"/>
      <c r="L68" s="598"/>
      <c r="M68" s="598"/>
      <c r="N68" s="593"/>
      <c r="O68" s="593"/>
      <c r="AB68" s="815" t="s">
        <v>782</v>
      </c>
      <c r="AC68" s="1205" t="s">
        <v>783</v>
      </c>
      <c r="AD68" s="1206"/>
      <c r="AE68" s="1206"/>
      <c r="AF68" s="1206"/>
      <c r="AG68" s="1207"/>
      <c r="AH68" s="439" t="s">
        <v>1</v>
      </c>
      <c r="AI68" s="1269" t="str">
        <f>'Data Input'!D23&amp;" †Rjvmn mgMÖ evsjv‡`k| e¨emvqwU DËg †hvMv‡hvM e¨e¯’vq ¯’vwcZ| GLvb n‡Z Ab¨ ‡h‡Kvb ¯’v‡b moKc‡_ `ªæZZvi mv‡_ "&amp;'Data Input'!D10&amp;" mieivn Kiv hvq| "</f>
        <v xml:space="preserve">bvivqYMÄ †Rjvmn mgMÖ evsjv‡`k| e¨emvqwU DËg †hvMv‡hvM e¨e¯’vq ¯’vwcZ| GLvb n‡Z Ab¨ ‡h‡Kvb ¯’v‡b moKc‡_ `ªæZZvi mv‡_ gyw` cY¨ e¨emv mieivn Kiv hvq| </v>
      </c>
      <c r="AJ68" s="1269"/>
      <c r="AK68" s="1269"/>
      <c r="AL68" s="1269"/>
      <c r="AM68" s="1269"/>
      <c r="AN68" s="1270"/>
    </row>
    <row r="69" spans="1:47" ht="18" customHeight="1">
      <c r="A69" s="441"/>
      <c r="B69" s="601"/>
      <c r="C69" s="601"/>
      <c r="D69" s="601"/>
      <c r="E69" s="42"/>
      <c r="F69" s="42"/>
      <c r="G69" s="184"/>
      <c r="H69" s="598"/>
      <c r="I69" s="598"/>
      <c r="J69" s="598"/>
      <c r="K69" s="598"/>
      <c r="L69" s="598"/>
      <c r="M69" s="598"/>
      <c r="N69" s="593"/>
      <c r="O69" s="593"/>
      <c r="AB69" s="1246"/>
      <c r="AC69" s="1247"/>
      <c r="AD69" s="1231"/>
      <c r="AE69" s="1231"/>
      <c r="AF69" s="1231"/>
      <c r="AG69" s="1267"/>
      <c r="AH69" s="440"/>
      <c r="AI69" s="1272"/>
      <c r="AJ69" s="1272"/>
      <c r="AK69" s="1272"/>
      <c r="AL69" s="1272"/>
      <c r="AM69" s="1272"/>
      <c r="AN69" s="1273"/>
    </row>
    <row r="70" spans="1:47" ht="18" customHeight="1">
      <c r="A70" s="441"/>
      <c r="B70" s="601"/>
      <c r="C70" s="601"/>
      <c r="D70" s="601"/>
      <c r="E70" s="42"/>
      <c r="F70" s="42"/>
      <c r="G70" s="184"/>
      <c r="H70" s="598"/>
      <c r="I70" s="598"/>
      <c r="J70" s="598"/>
      <c r="K70" s="598"/>
      <c r="L70" s="598"/>
      <c r="M70" s="598"/>
      <c r="N70" s="593"/>
      <c r="O70" s="593"/>
      <c r="AB70" s="441"/>
      <c r="AC70" s="442"/>
      <c r="AD70" s="442"/>
      <c r="AE70" s="442"/>
      <c r="AF70" s="442"/>
      <c r="AG70" s="442"/>
      <c r="AH70" s="42"/>
      <c r="AI70" s="443"/>
      <c r="AJ70" s="443"/>
      <c r="AK70" s="443"/>
      <c r="AL70" s="443"/>
      <c r="AM70" s="443"/>
      <c r="AN70" s="443"/>
    </row>
    <row r="71" spans="1:47" ht="12" customHeight="1">
      <c r="A71" s="441"/>
      <c r="B71" s="601"/>
      <c r="C71" s="601"/>
      <c r="D71" s="601"/>
      <c r="E71" s="42"/>
      <c r="F71" s="42"/>
      <c r="G71" s="184"/>
      <c r="H71" s="598"/>
      <c r="I71" s="598"/>
      <c r="J71" s="598"/>
      <c r="K71" s="598"/>
      <c r="L71" s="598"/>
      <c r="M71" s="598"/>
      <c r="N71" s="593"/>
      <c r="O71" s="593"/>
      <c r="AB71" s="1264" t="s">
        <v>784</v>
      </c>
      <c r="AC71" s="1264"/>
      <c r="AD71" s="1264"/>
      <c r="AE71" s="1264"/>
      <c r="AF71" s="1264"/>
      <c r="AG71" s="1264"/>
      <c r="AH71" s="1264"/>
      <c r="AI71" s="1264"/>
      <c r="AJ71" s="1264"/>
      <c r="AK71" s="1264"/>
      <c r="AL71" s="1264"/>
      <c r="AM71" s="1264"/>
      <c r="AN71" s="1264"/>
    </row>
    <row r="72" spans="1:47" ht="18" customHeight="1">
      <c r="A72" s="1170" t="s">
        <v>903</v>
      </c>
      <c r="B72" s="1170"/>
      <c r="C72" s="1170"/>
      <c r="D72" s="1170"/>
      <c r="E72" s="1170"/>
      <c r="F72" s="1170"/>
      <c r="G72" s="1170"/>
      <c r="H72" s="1170"/>
      <c r="I72" s="1170"/>
      <c r="J72" s="1170"/>
      <c r="K72" s="1170"/>
      <c r="L72" s="1170"/>
      <c r="M72" s="1170"/>
      <c r="N72" s="602"/>
      <c r="AB72" s="1265" t="s">
        <v>785</v>
      </c>
      <c r="AC72" s="1265"/>
      <c r="AD72" s="1265"/>
      <c r="AE72" s="1265"/>
      <c r="AF72" s="1265"/>
      <c r="AG72" s="1265"/>
      <c r="AH72" s="1265"/>
      <c r="AI72" s="1265"/>
      <c r="AJ72" s="1265"/>
      <c r="AK72" s="1265"/>
      <c r="AL72" s="1265"/>
      <c r="AM72" s="1265"/>
      <c r="AN72" s="1265"/>
    </row>
    <row r="73" spans="1:47" ht="18" customHeight="1">
      <c r="A73" s="720"/>
      <c r="B73" s="720"/>
      <c r="C73" s="720"/>
      <c r="D73" s="720"/>
      <c r="E73" s="720"/>
      <c r="F73" s="720"/>
      <c r="G73" s="720"/>
      <c r="H73" s="720"/>
      <c r="I73" s="720"/>
      <c r="J73" s="720"/>
      <c r="K73" s="720"/>
      <c r="L73" s="720"/>
      <c r="M73" s="720"/>
      <c r="N73" s="602"/>
      <c r="AB73" s="717"/>
      <c r="AC73" s="717"/>
      <c r="AD73" s="717"/>
      <c r="AE73" s="717"/>
      <c r="AF73" s="717"/>
      <c r="AG73" s="717"/>
      <c r="AH73" s="717"/>
      <c r="AI73" s="717"/>
      <c r="AJ73" s="717"/>
      <c r="AK73" s="717"/>
      <c r="AL73" s="717"/>
      <c r="AM73" s="717"/>
      <c r="AN73" s="717"/>
    </row>
    <row r="74" spans="1:47" ht="18" customHeight="1">
      <c r="A74" s="603"/>
      <c r="B74" s="603"/>
      <c r="C74" s="603"/>
      <c r="D74" s="603"/>
      <c r="E74" s="603"/>
      <c r="F74" s="603"/>
      <c r="G74" s="603"/>
      <c r="H74" s="603"/>
      <c r="I74" s="603"/>
      <c r="J74" s="603"/>
      <c r="K74" s="603"/>
      <c r="L74" s="603"/>
      <c r="M74" s="3" t="s">
        <v>904</v>
      </c>
      <c r="N74" s="602"/>
      <c r="AB74" s="1266" t="s">
        <v>786</v>
      </c>
      <c r="AC74" s="1266"/>
      <c r="AD74" s="1266"/>
      <c r="AE74" s="1266"/>
      <c r="AF74" s="1266"/>
      <c r="AG74" s="1266"/>
      <c r="AH74" s="1266"/>
      <c r="AI74" s="1266"/>
      <c r="AJ74" s="1266"/>
      <c r="AK74" s="1266"/>
      <c r="AL74" s="1266"/>
      <c r="AM74" s="1266"/>
      <c r="AN74" s="1266"/>
    </row>
    <row r="75" spans="1:47" ht="40.5" customHeight="1">
      <c r="A75" s="1151" t="s">
        <v>3</v>
      </c>
      <c r="B75" s="1151"/>
      <c r="C75" s="1151" t="s">
        <v>4</v>
      </c>
      <c r="D75" s="1151"/>
      <c r="E75" s="1149" t="s">
        <v>787</v>
      </c>
      <c r="F75" s="1149"/>
      <c r="G75" s="1150"/>
      <c r="H75" s="444" t="s">
        <v>5</v>
      </c>
      <c r="I75" s="1148" t="s">
        <v>788</v>
      </c>
      <c r="J75" s="1149"/>
      <c r="K75" s="1150"/>
      <c r="L75" s="1148" t="s">
        <v>789</v>
      </c>
      <c r="M75" s="1150"/>
      <c r="N75" s="602"/>
      <c r="O75" s="4"/>
      <c r="P75" s="4"/>
      <c r="Q75" s="4"/>
      <c r="R75" s="4"/>
      <c r="S75" s="4"/>
      <c r="T75" s="4"/>
      <c r="U75" s="4"/>
      <c r="V75" s="4"/>
      <c r="W75" s="4"/>
      <c r="X75" s="4"/>
      <c r="Y75" s="4"/>
      <c r="Z75" s="4"/>
      <c r="AB75" s="444" t="s">
        <v>3</v>
      </c>
      <c r="AC75" s="1151" t="s">
        <v>4</v>
      </c>
      <c r="AD75" s="1151"/>
      <c r="AE75" s="1151"/>
      <c r="AF75" s="1151"/>
      <c r="AG75" s="1151"/>
      <c r="AH75" s="1151" t="s">
        <v>787</v>
      </c>
      <c r="AI75" s="1151"/>
      <c r="AJ75" s="444" t="s">
        <v>5</v>
      </c>
      <c r="AK75" s="1148" t="s">
        <v>788</v>
      </c>
      <c r="AL75" s="1150"/>
      <c r="AM75" s="1148" t="s">
        <v>789</v>
      </c>
      <c r="AN75" s="1150"/>
      <c r="AO75" s="4"/>
      <c r="AP75" s="4"/>
      <c r="AQ75" s="4"/>
      <c r="AR75" s="4"/>
      <c r="AS75" s="4"/>
      <c r="AT75" s="4"/>
      <c r="AU75" s="4"/>
    </row>
    <row r="76" spans="1:47" ht="18" customHeight="1">
      <c r="A76" s="1146">
        <f>IF(E76="","",_xlfn.AGGREGATE(3,5,$E$76:E76))</f>
        <v>1</v>
      </c>
      <c r="B76" s="1147"/>
      <c r="C76" s="1169" t="s">
        <v>1124</v>
      </c>
      <c r="D76" s="1169"/>
      <c r="E76" s="1209">
        <v>8000</v>
      </c>
      <c r="F76" s="1209"/>
      <c r="G76" s="1210"/>
      <c r="H76" s="651">
        <v>800</v>
      </c>
      <c r="I76" s="1194">
        <f>IFERROR(IF(H76&gt;0,E76*H76,""),"")</f>
        <v>6400000</v>
      </c>
      <c r="J76" s="1195"/>
      <c r="K76" s="1196"/>
      <c r="L76" s="1197">
        <f>IFERROR(IF(U76="yes",+I76*6,I76),"")</f>
        <v>38400000</v>
      </c>
      <c r="M76" s="1198"/>
      <c r="N76" s="602"/>
      <c r="P76" s="1199" t="str">
        <f>IF(H76="","","µq wK 1 P‡µi?")</f>
        <v>µq wK 1 P‡µi?</v>
      </c>
      <c r="Q76" s="1199"/>
      <c r="R76" s="1199"/>
      <c r="S76" s="1199"/>
      <c r="T76" s="604"/>
      <c r="U76" s="447" t="s">
        <v>790</v>
      </c>
      <c r="V76" s="447"/>
      <c r="W76" s="447"/>
      <c r="X76" s="447"/>
      <c r="Y76" s="447"/>
      <c r="AB76" s="445" t="s">
        <v>300</v>
      </c>
      <c r="AC76" s="1274" t="str">
        <f>IF('Data Input'!F3="","",'Data Input'!F3)</f>
        <v/>
      </c>
      <c r="AD76" s="1274"/>
      <c r="AE76" s="1274"/>
      <c r="AF76" s="1274"/>
      <c r="AG76" s="1274"/>
      <c r="AH76" s="1200" t="str">
        <f>IF(+'Data Input'!H3="","",'Data Input'!H3)</f>
        <v/>
      </c>
      <c r="AI76" s="1200"/>
      <c r="AJ76" s="446" t="str">
        <f>IF(+'Data Input'!G3="","",'Data Input'!G3)</f>
        <v/>
      </c>
      <c r="AK76" s="1275" t="str">
        <f>IFERROR(IF(AJ76&gt;0,AH76*AJ76/100000,""),"")</f>
        <v/>
      </c>
      <c r="AL76" s="1276"/>
      <c r="AM76" s="1275" t="str">
        <f>IFERROR(IF(AT76="yes",+AK76*6,AK76),"")</f>
        <v/>
      </c>
      <c r="AN76" s="1276"/>
      <c r="AP76" s="1199" t="str">
        <f>IF(AJ76="","","µq wK 1 P‡µi?")</f>
        <v/>
      </c>
      <c r="AQ76" s="1199"/>
      <c r="AR76" s="1199"/>
      <c r="AS76" s="1199"/>
      <c r="AT76" s="447" t="s">
        <v>790</v>
      </c>
    </row>
    <row r="77" spans="1:47" ht="18" customHeight="1">
      <c r="A77" s="1146">
        <f>IF(E77="","",_xlfn.AGGREGATE(3,5,$E$76:E77))</f>
        <v>2</v>
      </c>
      <c r="B77" s="1147"/>
      <c r="C77" s="1169" t="s">
        <v>1125</v>
      </c>
      <c r="D77" s="1169"/>
      <c r="E77" s="1191">
        <v>7000</v>
      </c>
      <c r="F77" s="1192"/>
      <c r="G77" s="1193"/>
      <c r="H77" s="651">
        <v>600</v>
      </c>
      <c r="I77" s="1194">
        <f t="shared" ref="I77:I79" si="0">IFERROR(IF(H77&gt;0,E77*H77,""),"")</f>
        <v>4200000</v>
      </c>
      <c r="J77" s="1195"/>
      <c r="K77" s="1196"/>
      <c r="L77" s="1197">
        <f t="shared" ref="L77:L79" si="1">IFERROR(IF(U77="yes",+I77*6,I77),"")</f>
        <v>25200000</v>
      </c>
      <c r="M77" s="1198"/>
      <c r="N77" s="602"/>
      <c r="P77" s="1199" t="str">
        <f t="shared" ref="P77:P79" si="2">IF(H77="","","µq wK 1 P‡µi?")</f>
        <v>µq wK 1 P‡µi?</v>
      </c>
      <c r="Q77" s="1199"/>
      <c r="R77" s="1199"/>
      <c r="S77" s="1199"/>
      <c r="T77" s="604"/>
      <c r="U77" s="447" t="s">
        <v>790</v>
      </c>
      <c r="V77" s="447"/>
      <c r="W77" s="447"/>
      <c r="X77" s="447"/>
      <c r="Y77" s="447"/>
      <c r="AB77" s="448" t="s">
        <v>301</v>
      </c>
      <c r="AC77" s="1274" t="str">
        <f>IF('Data Input'!F4="","",'Data Input'!F4)</f>
        <v/>
      </c>
      <c r="AD77" s="1274"/>
      <c r="AE77" s="1274"/>
      <c r="AF77" s="1274"/>
      <c r="AG77" s="1274"/>
      <c r="AH77" s="1200" t="str">
        <f>IF(+'Data Input'!H4="","",'Data Input'!H4)</f>
        <v/>
      </c>
      <c r="AI77" s="1200"/>
      <c r="AJ77" s="446" t="str">
        <f>IF(+'Data Input'!G4="","",'Data Input'!G4)</f>
        <v/>
      </c>
      <c r="AK77" s="1275" t="str">
        <f t="shared" ref="AK77:AK79" si="3">IFERROR(IF(AJ77&gt;0,AH77*AJ77/100000,""),"")</f>
        <v/>
      </c>
      <c r="AL77" s="1276"/>
      <c r="AM77" s="1275" t="str">
        <f t="shared" ref="AM77:AM79" si="4">IFERROR(IF(AT77="yes",+AK77*6,AK77),"")</f>
        <v/>
      </c>
      <c r="AN77" s="1276"/>
      <c r="AP77" s="1199" t="str">
        <f t="shared" ref="AP77:AP79" si="5">IF(AJ77="","","µq wK 1 P‡µi?")</f>
        <v/>
      </c>
      <c r="AQ77" s="1199"/>
      <c r="AR77" s="1199"/>
      <c r="AS77" s="1199"/>
      <c r="AT77" s="447" t="s">
        <v>790</v>
      </c>
    </row>
    <row r="78" spans="1:47" ht="18" customHeight="1">
      <c r="A78" s="1158">
        <f>IF(E78="","",_xlfn.AGGREGATE(3,5,$E$76:E78))</f>
        <v>3</v>
      </c>
      <c r="B78" s="1158"/>
      <c r="C78" s="1169" t="s">
        <v>1126</v>
      </c>
      <c r="D78" s="1169"/>
      <c r="E78" s="1191">
        <v>2000</v>
      </c>
      <c r="F78" s="1192"/>
      <c r="G78" s="1193"/>
      <c r="H78" s="651">
        <v>400</v>
      </c>
      <c r="I78" s="1194">
        <f t="shared" si="0"/>
        <v>800000</v>
      </c>
      <c r="J78" s="1195"/>
      <c r="K78" s="1196"/>
      <c r="L78" s="1197">
        <f t="shared" si="1"/>
        <v>4800000</v>
      </c>
      <c r="M78" s="1198"/>
      <c r="N78" s="602"/>
      <c r="P78" s="1199" t="str">
        <f t="shared" si="2"/>
        <v>µq wK 1 P‡µi?</v>
      </c>
      <c r="Q78" s="1199"/>
      <c r="R78" s="1199"/>
      <c r="S78" s="1199"/>
      <c r="T78" s="604"/>
      <c r="U78" s="447" t="s">
        <v>790</v>
      </c>
      <c r="V78" s="447"/>
      <c r="W78" s="447"/>
      <c r="X78" s="447"/>
      <c r="Y78" s="447"/>
      <c r="AB78" s="448" t="s">
        <v>302</v>
      </c>
      <c r="AC78" s="1274" t="str">
        <f>IF('Data Input'!F5="","",'Data Input'!F5)</f>
        <v/>
      </c>
      <c r="AD78" s="1274"/>
      <c r="AE78" s="1274"/>
      <c r="AF78" s="1274"/>
      <c r="AG78" s="1274"/>
      <c r="AH78" s="1200" t="str">
        <f>IF(+'Data Input'!H5="","",'Data Input'!H5)</f>
        <v/>
      </c>
      <c r="AI78" s="1200"/>
      <c r="AJ78" s="446" t="str">
        <f>IF(+'Data Input'!G5="","",'Data Input'!G5)</f>
        <v/>
      </c>
      <c r="AK78" s="1275" t="str">
        <f t="shared" si="3"/>
        <v/>
      </c>
      <c r="AL78" s="1276"/>
      <c r="AM78" s="1275" t="str">
        <f t="shared" si="4"/>
        <v/>
      </c>
      <c r="AN78" s="1276"/>
      <c r="AP78" s="1199" t="str">
        <f t="shared" si="5"/>
        <v/>
      </c>
      <c r="AQ78" s="1199"/>
      <c r="AR78" s="1199"/>
      <c r="AS78" s="1199"/>
      <c r="AT78" s="447" t="s">
        <v>790</v>
      </c>
    </row>
    <row r="79" spans="1:47" ht="18" customHeight="1">
      <c r="A79" s="1158">
        <f>IF(E79="","",_xlfn.AGGREGATE(3,5,$E$76:E79))</f>
        <v>4</v>
      </c>
      <c r="B79" s="1158"/>
      <c r="C79" s="1159" t="s">
        <v>1127</v>
      </c>
      <c r="D79" s="1160"/>
      <c r="E79" s="1191">
        <v>2000</v>
      </c>
      <c r="F79" s="1192"/>
      <c r="G79" s="1193"/>
      <c r="H79" s="651">
        <v>300</v>
      </c>
      <c r="I79" s="1194">
        <f t="shared" si="0"/>
        <v>600000</v>
      </c>
      <c r="J79" s="1195"/>
      <c r="K79" s="1196"/>
      <c r="L79" s="1197">
        <f t="shared" si="1"/>
        <v>3600000</v>
      </c>
      <c r="M79" s="1198"/>
      <c r="N79" s="602"/>
      <c r="P79" s="1199" t="str">
        <f t="shared" si="2"/>
        <v>µq wK 1 P‡µi?</v>
      </c>
      <c r="Q79" s="1199"/>
      <c r="R79" s="1199"/>
      <c r="S79" s="1199"/>
      <c r="T79" s="604"/>
      <c r="U79" s="447" t="s">
        <v>790</v>
      </c>
      <c r="V79" s="447"/>
      <c r="W79" s="447"/>
      <c r="X79" s="447"/>
      <c r="Y79" s="447"/>
      <c r="AB79" s="448" t="s">
        <v>303</v>
      </c>
      <c r="AC79" s="1274" t="str">
        <f>IF('Data Input'!F8="","",'Data Input'!F8)</f>
        <v/>
      </c>
      <c r="AD79" s="1274"/>
      <c r="AE79" s="1274"/>
      <c r="AF79" s="1274"/>
      <c r="AG79" s="1274"/>
      <c r="AH79" s="1200" t="str">
        <f>IF(+'Data Input'!H8="","",'Data Input'!H8)</f>
        <v/>
      </c>
      <c r="AI79" s="1200"/>
      <c r="AJ79" s="446" t="str">
        <f>IF(+'Data Input'!G8="","",'Data Input'!G8)</f>
        <v/>
      </c>
      <c r="AK79" s="1275" t="str">
        <f t="shared" si="3"/>
        <v/>
      </c>
      <c r="AL79" s="1276"/>
      <c r="AM79" s="1275" t="str">
        <f t="shared" si="4"/>
        <v/>
      </c>
      <c r="AN79" s="1276"/>
      <c r="AP79" s="1199" t="str">
        <f t="shared" si="5"/>
        <v/>
      </c>
      <c r="AQ79" s="1199"/>
      <c r="AR79" s="1199"/>
      <c r="AS79" s="1199"/>
      <c r="AT79" s="447" t="s">
        <v>790</v>
      </c>
    </row>
    <row r="80" spans="1:47" ht="18" customHeight="1">
      <c r="A80" s="1200" t="s">
        <v>807</v>
      </c>
      <c r="B80" s="1200"/>
      <c r="C80" s="1200"/>
      <c r="D80" s="1200"/>
      <c r="E80" s="1140"/>
      <c r="F80" s="1140"/>
      <c r="G80" s="1140"/>
      <c r="H80" s="1140"/>
      <c r="I80" s="1141">
        <f>SUM(I76:J79)</f>
        <v>12000000</v>
      </c>
      <c r="J80" s="1142"/>
      <c r="K80" s="1143"/>
      <c r="L80" s="1141">
        <f>SUM(L76:M79)</f>
        <v>72000000</v>
      </c>
      <c r="M80" s="1143"/>
      <c r="N80" s="602"/>
      <c r="P80" s="1333">
        <f>H53*100000-I80</f>
        <v>0</v>
      </c>
      <c r="Q80" s="1333"/>
      <c r="R80" s="1333"/>
      <c r="S80" s="1333"/>
      <c r="AB80" s="1265" t="s">
        <v>791</v>
      </c>
      <c r="AC80" s="1265"/>
      <c r="AD80" s="1265"/>
      <c r="AE80" s="1265"/>
      <c r="AF80" s="1265"/>
      <c r="AG80" s="1265"/>
      <c r="AH80" s="1265"/>
      <c r="AI80" s="1265"/>
      <c r="AJ80" s="1265"/>
      <c r="AK80" s="1265"/>
      <c r="AL80" s="1265"/>
      <c r="AM80" s="1265"/>
      <c r="AN80" s="1265"/>
    </row>
    <row r="81" spans="1:47" ht="18" customHeight="1">
      <c r="A81" s="3"/>
      <c r="B81" s="3"/>
      <c r="C81" s="3"/>
      <c r="D81" s="3"/>
      <c r="E81" s="3"/>
      <c r="F81" s="3"/>
      <c r="G81" s="3"/>
      <c r="H81" s="3"/>
      <c r="I81" s="3"/>
      <c r="J81" s="3"/>
      <c r="K81" s="3"/>
      <c r="L81" s="3"/>
      <c r="M81" s="3"/>
      <c r="N81" s="602"/>
      <c r="P81" s="716"/>
      <c r="Q81" s="716"/>
      <c r="R81" s="716"/>
      <c r="S81" s="716"/>
      <c r="AB81" s="717"/>
      <c r="AC81" s="717"/>
      <c r="AD81" s="717"/>
      <c r="AE81" s="717"/>
      <c r="AF81" s="717"/>
      <c r="AG81" s="717"/>
      <c r="AH81" s="717"/>
      <c r="AI81" s="717"/>
      <c r="AJ81" s="717"/>
      <c r="AK81" s="717"/>
      <c r="AL81" s="717"/>
      <c r="AM81" s="717"/>
      <c r="AN81" s="717"/>
    </row>
    <row r="82" spans="1:47" ht="13.5" customHeight="1">
      <c r="A82" s="3"/>
      <c r="B82" s="3"/>
      <c r="C82" s="3"/>
      <c r="D82" s="3"/>
      <c r="E82" s="3"/>
      <c r="F82" s="3"/>
      <c r="G82" s="3"/>
      <c r="H82" s="3"/>
      <c r="I82" s="3"/>
      <c r="J82" s="3"/>
      <c r="K82" s="3"/>
      <c r="L82" s="3"/>
      <c r="M82" s="3"/>
      <c r="N82" s="602"/>
      <c r="O82" s="3"/>
      <c r="AB82" s="449">
        <v>1</v>
      </c>
      <c r="AC82" s="1277" t="s">
        <v>795</v>
      </c>
      <c r="AD82" s="1278"/>
      <c r="AE82" s="1278"/>
      <c r="AF82" s="1278"/>
      <c r="AG82" s="1278"/>
      <c r="AH82" s="1278"/>
      <c r="AI82" s="1278"/>
      <c r="AJ82" s="1279"/>
      <c r="AK82" s="1280"/>
      <c r="AL82" s="1281"/>
      <c r="AM82" s="1280">
        <f t="shared" ref="AM82:AM87" si="6">IFERROR(+AK82*6,"")</f>
        <v>0</v>
      </c>
      <c r="AN82" s="1281"/>
    </row>
    <row r="83" spans="1:47" ht="18" customHeight="1">
      <c r="A83" s="1190" t="s">
        <v>905</v>
      </c>
      <c r="B83" s="1190"/>
      <c r="C83" s="1190"/>
      <c r="D83" s="1190"/>
      <c r="E83" s="1190"/>
      <c r="F83" s="1190"/>
      <c r="G83" s="1190"/>
      <c r="H83" s="1190"/>
      <c r="I83" s="1190"/>
      <c r="J83" s="1190"/>
      <c r="K83" s="1190"/>
      <c r="L83" s="1190"/>
      <c r="M83" s="1190"/>
      <c r="N83" s="602"/>
      <c r="O83" s="3"/>
      <c r="AB83" s="449">
        <v>2</v>
      </c>
      <c r="AC83" s="1277" t="s">
        <v>755</v>
      </c>
      <c r="AD83" s="1278"/>
      <c r="AE83" s="1278"/>
      <c r="AF83" s="1278"/>
      <c r="AG83" s="1278"/>
      <c r="AH83" s="1278"/>
      <c r="AI83" s="1278"/>
      <c r="AJ83" s="1279"/>
      <c r="AK83" s="1280">
        <v>0.12</v>
      </c>
      <c r="AL83" s="1281"/>
      <c r="AM83" s="1280">
        <f t="shared" si="6"/>
        <v>0.72</v>
      </c>
      <c r="AN83" s="1281"/>
    </row>
    <row r="84" spans="1:47" ht="18" customHeight="1">
      <c r="A84" s="3"/>
      <c r="B84" s="3"/>
      <c r="C84" s="605"/>
      <c r="D84" s="605"/>
      <c r="E84" s="605"/>
      <c r="F84" s="605"/>
      <c r="G84" s="605"/>
      <c r="H84" s="605"/>
      <c r="I84" s="605"/>
      <c r="J84" s="605"/>
      <c r="K84" s="605"/>
      <c r="L84" s="605"/>
      <c r="M84" s="605"/>
      <c r="N84" s="602"/>
      <c r="O84" s="3"/>
      <c r="AB84" s="449">
        <v>3</v>
      </c>
      <c r="AC84" s="1277" t="s">
        <v>796</v>
      </c>
      <c r="AD84" s="1278"/>
      <c r="AE84" s="1278"/>
      <c r="AF84" s="1278"/>
      <c r="AG84" s="1278"/>
      <c r="AH84" s="1278"/>
      <c r="AI84" s="1278"/>
      <c r="AJ84" s="1279"/>
      <c r="AK84" s="1280">
        <v>0.02</v>
      </c>
      <c r="AL84" s="1281"/>
      <c r="AM84" s="1280">
        <f t="shared" si="6"/>
        <v>0.12</v>
      </c>
      <c r="AN84" s="1281"/>
    </row>
    <row r="85" spans="1:47" ht="18" customHeight="1">
      <c r="A85" s="1148" t="s">
        <v>3</v>
      </c>
      <c r="B85" s="1150"/>
      <c r="C85" s="1151" t="s">
        <v>4</v>
      </c>
      <c r="D85" s="1151"/>
      <c r="E85" s="1151"/>
      <c r="F85" s="1013" t="s">
        <v>906</v>
      </c>
      <c r="G85" s="1014"/>
      <c r="H85" s="1014"/>
      <c r="I85" s="1015"/>
      <c r="J85" s="1149" t="s">
        <v>907</v>
      </c>
      <c r="K85" s="1149"/>
      <c r="L85" s="1149"/>
      <c r="M85" s="1150"/>
      <c r="N85" s="602"/>
      <c r="O85" s="3"/>
      <c r="AB85" s="449">
        <v>4</v>
      </c>
      <c r="AC85" s="1277" t="s">
        <v>797</v>
      </c>
      <c r="AD85" s="1278"/>
      <c r="AE85" s="1278"/>
      <c r="AF85" s="1278"/>
      <c r="AG85" s="1278"/>
      <c r="AH85" s="1278"/>
      <c r="AI85" s="1278"/>
      <c r="AJ85" s="1279"/>
      <c r="AK85" s="1280">
        <v>0.02</v>
      </c>
      <c r="AL85" s="1281"/>
      <c r="AM85" s="1280">
        <f t="shared" si="6"/>
        <v>0.12</v>
      </c>
      <c r="AN85" s="1281"/>
    </row>
    <row r="86" spans="1:47" ht="18" customHeight="1">
      <c r="A86" s="1152" t="s">
        <v>300</v>
      </c>
      <c r="B86" s="1152"/>
      <c r="C86" s="1186" t="s">
        <v>10</v>
      </c>
      <c r="D86" s="1186"/>
      <c r="E86" s="1186"/>
      <c r="F86" s="1187" t="s">
        <v>908</v>
      </c>
      <c r="G86" s="1188"/>
      <c r="H86" s="1188"/>
      <c r="I86" s="1189"/>
      <c r="J86" s="1187">
        <v>6800000</v>
      </c>
      <c r="K86" s="1188"/>
      <c r="L86" s="1188"/>
      <c r="M86" s="1189"/>
      <c r="N86" s="602"/>
      <c r="O86" s="3"/>
      <c r="AB86" s="449">
        <v>5</v>
      </c>
      <c r="AC86" s="1277" t="s">
        <v>798</v>
      </c>
      <c r="AD86" s="1278"/>
      <c r="AE86" s="1278"/>
      <c r="AF86" s="1278"/>
      <c r="AG86" s="1278"/>
      <c r="AH86" s="1278"/>
      <c r="AI86" s="1278"/>
      <c r="AJ86" s="1279"/>
      <c r="AK86" s="1280">
        <v>0.12</v>
      </c>
      <c r="AL86" s="1281"/>
      <c r="AM86" s="1280">
        <f t="shared" si="6"/>
        <v>0.72</v>
      </c>
      <c r="AN86" s="1281"/>
    </row>
    <row r="87" spans="1:47" ht="18" customHeight="1">
      <c r="A87" s="1152" t="s">
        <v>301</v>
      </c>
      <c r="B87" s="1152"/>
      <c r="C87" s="1186" t="s">
        <v>1128</v>
      </c>
      <c r="D87" s="1186"/>
      <c r="E87" s="1186"/>
      <c r="F87" s="1187" t="s">
        <v>909</v>
      </c>
      <c r="G87" s="1188"/>
      <c r="H87" s="1188"/>
      <c r="I87" s="1189"/>
      <c r="J87" s="1187">
        <v>3200000</v>
      </c>
      <c r="K87" s="1188"/>
      <c r="L87" s="1188"/>
      <c r="M87" s="1189"/>
      <c r="N87" s="602"/>
      <c r="O87" s="3"/>
      <c r="AB87" s="449">
        <v>6</v>
      </c>
      <c r="AC87" s="1277" t="s">
        <v>799</v>
      </c>
      <c r="AD87" s="1278"/>
      <c r="AE87" s="1278"/>
      <c r="AF87" s="1278"/>
      <c r="AG87" s="1278"/>
      <c r="AH87" s="1278"/>
      <c r="AI87" s="1278"/>
      <c r="AJ87" s="1279"/>
      <c r="AK87" s="1280">
        <v>0.12</v>
      </c>
      <c r="AL87" s="1281"/>
      <c r="AM87" s="1280">
        <f t="shared" si="6"/>
        <v>0.72</v>
      </c>
      <c r="AN87" s="1281"/>
    </row>
    <row r="88" spans="1:47" ht="18" customHeight="1">
      <c r="A88" s="1152" t="s">
        <v>302</v>
      </c>
      <c r="B88" s="1152"/>
      <c r="C88" s="1186" t="s">
        <v>910</v>
      </c>
      <c r="D88" s="1186"/>
      <c r="E88" s="1186"/>
      <c r="F88" s="1187" t="s">
        <v>909</v>
      </c>
      <c r="G88" s="1188"/>
      <c r="H88" s="1188"/>
      <c r="I88" s="1189"/>
      <c r="J88" s="1188">
        <v>1500000</v>
      </c>
      <c r="K88" s="1188"/>
      <c r="L88" s="1188"/>
      <c r="M88" s="1189"/>
      <c r="N88" s="602"/>
      <c r="O88" s="3"/>
      <c r="AB88" s="962" t="s">
        <v>7</v>
      </c>
      <c r="AC88" s="962"/>
      <c r="AD88" s="962"/>
      <c r="AE88" s="962"/>
      <c r="AF88" s="962"/>
      <c r="AG88" s="962"/>
      <c r="AH88" s="962"/>
      <c r="AI88" s="962"/>
      <c r="AJ88" s="962"/>
      <c r="AK88" s="1282">
        <f>SUM(AK82:AL87)</f>
        <v>0.39999999999999997</v>
      </c>
      <c r="AL88" s="1283"/>
      <c r="AM88" s="1282">
        <f>SUM(AM82:AN87)</f>
        <v>2.4</v>
      </c>
      <c r="AN88" s="1283"/>
    </row>
    <row r="89" spans="1:47" ht="18" customHeight="1">
      <c r="A89" s="1152" t="s">
        <v>303</v>
      </c>
      <c r="B89" s="1152"/>
      <c r="C89" s="1186" t="s">
        <v>140</v>
      </c>
      <c r="D89" s="1186"/>
      <c r="E89" s="1186"/>
      <c r="F89" s="1187" t="s">
        <v>908</v>
      </c>
      <c r="G89" s="1188"/>
      <c r="H89" s="1188"/>
      <c r="I89" s="1189"/>
      <c r="J89" s="1188">
        <v>500000</v>
      </c>
      <c r="K89" s="1188"/>
      <c r="L89" s="1188"/>
      <c r="M89" s="1189"/>
      <c r="N89" s="602"/>
      <c r="O89" s="3"/>
      <c r="AB89"/>
      <c r="AC89"/>
      <c r="AD89"/>
      <c r="AE89"/>
      <c r="AF89"/>
      <c r="AG89"/>
      <c r="AH89"/>
      <c r="AJ89"/>
      <c r="AK89"/>
      <c r="AL89"/>
      <c r="AM89"/>
      <c r="AN89"/>
      <c r="AO89"/>
      <c r="AP89"/>
      <c r="AQ89"/>
      <c r="AR89"/>
      <c r="AS89"/>
      <c r="AT89"/>
      <c r="AU89"/>
    </row>
    <row r="90" spans="1:47" ht="18" customHeight="1">
      <c r="A90" s="1181" t="s">
        <v>807</v>
      </c>
      <c r="B90" s="1182"/>
      <c r="C90" s="1182"/>
      <c r="D90" s="1182"/>
      <c r="E90" s="1182"/>
      <c r="F90" s="1182"/>
      <c r="G90" s="1182"/>
      <c r="H90" s="1182"/>
      <c r="I90" s="1183"/>
      <c r="J90" s="1149">
        <f>J86+J87+J88+J89</f>
        <v>12000000</v>
      </c>
      <c r="K90" s="1149"/>
      <c r="L90" s="1149"/>
      <c r="M90" s="1150"/>
      <c r="N90" s="606"/>
      <c r="O90" s="3"/>
      <c r="P90" s="1334">
        <f>I80-J90</f>
        <v>0</v>
      </c>
      <c r="Q90" s="1334"/>
      <c r="R90" s="1334"/>
      <c r="S90" s="1334"/>
      <c r="T90" s="652"/>
      <c r="AB90" s="1265" t="s">
        <v>800</v>
      </c>
      <c r="AC90" s="1265"/>
      <c r="AD90" s="1265"/>
      <c r="AE90" s="1265"/>
      <c r="AF90" s="1265"/>
      <c r="AG90" s="1265"/>
      <c r="AH90" s="1265"/>
      <c r="AI90" s="1265"/>
      <c r="AJ90" s="1265"/>
      <c r="AK90" s="1265"/>
      <c r="AL90" s="1265"/>
      <c r="AM90" s="1265"/>
      <c r="AN90" s="1265"/>
    </row>
    <row r="91" spans="1:47" ht="14.25" customHeight="1">
      <c r="A91" s="3"/>
      <c r="B91" s="3"/>
      <c r="C91" s="3"/>
      <c r="D91" s="3"/>
      <c r="E91" s="3"/>
      <c r="F91" s="3"/>
      <c r="G91" s="3"/>
      <c r="H91" s="3"/>
      <c r="I91" s="3"/>
      <c r="J91" s="3"/>
      <c r="K91" s="3"/>
      <c r="L91" s="3"/>
      <c r="M91" s="3"/>
      <c r="N91" s="602"/>
      <c r="O91" s="3"/>
      <c r="AB91" s="444" t="s">
        <v>3</v>
      </c>
      <c r="AC91" s="1151" t="s">
        <v>4</v>
      </c>
      <c r="AD91" s="1151"/>
      <c r="AE91" s="1151"/>
      <c r="AF91" s="1151"/>
      <c r="AG91" s="1151"/>
      <c r="AH91" s="1151"/>
      <c r="AI91" s="1151"/>
      <c r="AJ91" s="1151"/>
      <c r="AK91" s="1148" t="s">
        <v>793</v>
      </c>
      <c r="AL91" s="1150"/>
      <c r="AM91" s="1148" t="s">
        <v>794</v>
      </c>
      <c r="AN91" s="1150"/>
      <c r="AO91" s="4"/>
      <c r="AP91" s="4"/>
      <c r="AQ91" s="4"/>
      <c r="AR91" s="4"/>
      <c r="AS91" s="4"/>
      <c r="AT91" s="4"/>
      <c r="AU91" s="4"/>
    </row>
    <row r="92" spans="1:47" ht="10.5" customHeight="1">
      <c r="A92" s="3"/>
      <c r="B92" s="3"/>
      <c r="C92" s="3"/>
      <c r="D92" s="3"/>
      <c r="E92" s="3"/>
      <c r="F92" s="3"/>
      <c r="G92" s="3"/>
      <c r="H92" s="3"/>
      <c r="I92" s="3"/>
      <c r="J92" s="3"/>
      <c r="K92" s="3"/>
      <c r="L92" s="3"/>
      <c r="M92" s="3"/>
      <c r="N92" s="602"/>
      <c r="O92" s="3"/>
      <c r="AB92" s="449">
        <v>1</v>
      </c>
      <c r="AC92" s="1179" t="s">
        <v>801</v>
      </c>
      <c r="AD92" s="1179"/>
      <c r="AE92" s="1179"/>
      <c r="AF92" s="1179"/>
      <c r="AG92" s="1179"/>
      <c r="AH92" s="1179"/>
      <c r="AI92" s="1179"/>
      <c r="AJ92" s="1179"/>
      <c r="AK92" s="1280">
        <v>0.01</v>
      </c>
      <c r="AL92" s="1281"/>
      <c r="AM92" s="1280">
        <f>+AK92*6</f>
        <v>0.06</v>
      </c>
      <c r="AN92" s="1281"/>
    </row>
    <row r="93" spans="1:47" ht="18" customHeight="1">
      <c r="A93" s="1144" t="s">
        <v>911</v>
      </c>
      <c r="B93" s="1144"/>
      <c r="C93" s="1144"/>
      <c r="D93" s="1144"/>
      <c r="E93" s="607"/>
      <c r="F93" s="607"/>
      <c r="G93" s="607"/>
      <c r="H93" s="607"/>
      <c r="I93" s="607"/>
      <c r="J93" s="607"/>
      <c r="K93" s="607"/>
      <c r="L93" s="607"/>
      <c r="M93" s="607"/>
      <c r="N93" s="602"/>
      <c r="O93" s="3"/>
      <c r="AB93" s="449">
        <v>3</v>
      </c>
      <c r="AC93" s="1179" t="s">
        <v>802</v>
      </c>
      <c r="AD93" s="1179"/>
      <c r="AE93" s="1179"/>
      <c r="AF93" s="1179"/>
      <c r="AG93" s="1179"/>
      <c r="AH93" s="1179"/>
      <c r="AI93" s="1179"/>
      <c r="AJ93" s="1179"/>
      <c r="AK93" s="1280">
        <v>0.02</v>
      </c>
      <c r="AL93" s="1281"/>
      <c r="AM93" s="1280">
        <f>+AK93*6</f>
        <v>0.12</v>
      </c>
      <c r="AN93" s="1281"/>
    </row>
    <row r="94" spans="1:47" ht="18" customHeight="1">
      <c r="C94" s="66" t="s">
        <v>912</v>
      </c>
      <c r="D94" s="66"/>
      <c r="E94" s="1184">
        <f>H57/100</f>
        <v>0.58333333333333337</v>
      </c>
      <c r="F94" s="1184"/>
      <c r="G94" s="608" t="s">
        <v>1</v>
      </c>
      <c r="H94" s="659">
        <f>L55</f>
        <v>70</v>
      </c>
      <c r="I94" s="659" t="s">
        <v>1029</v>
      </c>
      <c r="J94" s="659"/>
      <c r="K94" s="659"/>
      <c r="L94" s="659"/>
      <c r="M94" s="659"/>
      <c r="N94" s="602"/>
      <c r="O94" s="3"/>
      <c r="AB94" s="449">
        <v>4</v>
      </c>
      <c r="AC94" s="1179" t="s">
        <v>803</v>
      </c>
      <c r="AD94" s="1179"/>
      <c r="AE94" s="1179"/>
      <c r="AF94" s="1179"/>
      <c r="AG94" s="1179"/>
      <c r="AH94" s="1179"/>
      <c r="AI94" s="1179"/>
      <c r="AJ94" s="1179"/>
      <c r="AK94" s="1280">
        <v>0.01</v>
      </c>
      <c r="AL94" s="1281"/>
      <c r="AM94" s="1280">
        <f>+AK94*6</f>
        <v>0.06</v>
      </c>
      <c r="AN94" s="1281"/>
    </row>
    <row r="95" spans="1:47" ht="18" customHeight="1">
      <c r="C95" s="66" t="s">
        <v>913</v>
      </c>
      <c r="D95" s="66"/>
      <c r="E95" s="1184">
        <f>L57/100</f>
        <v>0.41666666666666674</v>
      </c>
      <c r="F95" s="1184"/>
      <c r="G95" s="608" t="s">
        <v>1</v>
      </c>
      <c r="H95" s="659">
        <f>L56</f>
        <v>50</v>
      </c>
      <c r="I95" s="659" t="s">
        <v>1029</v>
      </c>
      <c r="J95" s="659"/>
      <c r="K95" s="659"/>
      <c r="L95" s="659"/>
      <c r="M95" s="659"/>
      <c r="N95" s="602"/>
      <c r="O95" s="3"/>
      <c r="AB95" s="449">
        <v>5</v>
      </c>
      <c r="AC95" s="1179" t="s">
        <v>758</v>
      </c>
      <c r="AD95" s="1179"/>
      <c r="AE95" s="1179"/>
      <c r="AF95" s="1179"/>
      <c r="AG95" s="1179"/>
      <c r="AH95" s="1179"/>
      <c r="AI95" s="1179"/>
      <c r="AJ95" s="1179"/>
      <c r="AK95" s="1280">
        <v>0.01</v>
      </c>
      <c r="AL95" s="1281"/>
      <c r="AM95" s="1280">
        <f>+AK95*6</f>
        <v>0.06</v>
      </c>
      <c r="AN95" s="1281"/>
    </row>
    <row r="96" spans="1:47" ht="18" customHeight="1">
      <c r="C96" s="983" t="s">
        <v>914</v>
      </c>
      <c r="D96" s="983"/>
      <c r="E96" s="983"/>
      <c r="F96" s="983"/>
      <c r="G96" s="608" t="s">
        <v>1</v>
      </c>
      <c r="H96" s="609">
        <f>H94/(H94+H95)*100</f>
        <v>58.333333333333336</v>
      </c>
      <c r="I96" s="610" t="s">
        <v>1</v>
      </c>
      <c r="J96" s="611">
        <f>H95/(H94+H95)*100</f>
        <v>41.666666666666671</v>
      </c>
      <c r="K96" s="612"/>
      <c r="L96" s="613"/>
      <c r="M96" s="613"/>
      <c r="N96" s="602"/>
      <c r="O96" s="3"/>
      <c r="AB96" s="962" t="s">
        <v>7</v>
      </c>
      <c r="AC96" s="962"/>
      <c r="AD96" s="962"/>
      <c r="AE96" s="962"/>
      <c r="AF96" s="962"/>
      <c r="AG96" s="962"/>
      <c r="AH96" s="962"/>
      <c r="AI96" s="962"/>
      <c r="AJ96" s="962"/>
      <c r="AK96" s="1282">
        <f>SUM(AK92:AL95)</f>
        <v>0.05</v>
      </c>
      <c r="AL96" s="1283"/>
      <c r="AM96" s="1282">
        <f>SUM(AM92:AN95)</f>
        <v>0.3</v>
      </c>
      <c r="AN96" s="1283"/>
    </row>
    <row r="97" spans="1:47" ht="18" customHeight="1">
      <c r="C97" s="1185" t="s">
        <v>915</v>
      </c>
      <c r="D97" s="1185"/>
      <c r="E97" s="1185"/>
      <c r="F97" s="1185"/>
      <c r="G97" s="608" t="s">
        <v>1</v>
      </c>
      <c r="H97" s="621">
        <v>60</v>
      </c>
      <c r="I97" s="614" t="s">
        <v>916</v>
      </c>
      <c r="J97" s="614"/>
      <c r="K97" s="615"/>
      <c r="L97" s="608"/>
      <c r="M97" s="608"/>
      <c r="N97" s="602"/>
      <c r="O97" s="3"/>
      <c r="AB97"/>
      <c r="AC97"/>
      <c r="AD97"/>
      <c r="AE97"/>
      <c r="AF97"/>
      <c r="AG97"/>
      <c r="AH97"/>
      <c r="AI97"/>
      <c r="AJ97"/>
      <c r="AK97"/>
      <c r="AL97"/>
      <c r="AM97"/>
      <c r="AN97"/>
      <c r="AO97"/>
      <c r="AP97"/>
      <c r="AQ97"/>
      <c r="AR97"/>
      <c r="AS97"/>
      <c r="AT97"/>
      <c r="AU97"/>
    </row>
    <row r="98" spans="1:47" ht="9.75" customHeight="1">
      <c r="A98" s="3"/>
      <c r="B98" s="3"/>
      <c r="C98" s="3"/>
      <c r="D98" s="3"/>
      <c r="E98" s="3"/>
      <c r="F98" s="3"/>
      <c r="G98" s="3"/>
      <c r="H98" s="3"/>
      <c r="I98" s="3"/>
      <c r="J98" s="3"/>
      <c r="K98" s="3"/>
      <c r="L98" s="3"/>
      <c r="M98" s="3"/>
      <c r="N98" s="602"/>
      <c r="O98" s="3"/>
      <c r="AB98" s="1284" t="s">
        <v>804</v>
      </c>
      <c r="AC98" s="1284"/>
      <c r="AD98" s="1284"/>
      <c r="AE98" s="1284"/>
      <c r="AF98" s="1284"/>
      <c r="AG98" s="1284"/>
      <c r="AH98" s="1284"/>
      <c r="AI98" s="1284"/>
      <c r="AJ98" s="1284"/>
      <c r="AK98" s="1284"/>
      <c r="AL98" s="1284"/>
      <c r="AM98" s="1284"/>
      <c r="AN98" s="1284"/>
    </row>
    <row r="99" spans="1:47" ht="9.75" customHeight="1">
      <c r="A99" s="3"/>
      <c r="B99" s="3"/>
      <c r="C99" s="3"/>
      <c r="D99" s="3"/>
      <c r="E99" s="3"/>
      <c r="F99" s="3"/>
      <c r="G99" s="3"/>
      <c r="H99" s="3"/>
      <c r="I99" s="3"/>
      <c r="J99" s="3"/>
      <c r="K99" s="3"/>
      <c r="L99" s="3"/>
      <c r="M99" s="3"/>
      <c r="N99" s="602"/>
      <c r="O99" s="3"/>
      <c r="AB99" s="444" t="s">
        <v>3</v>
      </c>
      <c r="AC99" s="1148" t="s">
        <v>4</v>
      </c>
      <c r="AD99" s="1149"/>
      <c r="AE99" s="1149"/>
      <c r="AF99" s="1149"/>
      <c r="AG99" s="1149"/>
      <c r="AH99" s="1149"/>
      <c r="AI99" s="1149"/>
      <c r="AJ99" s="1150"/>
      <c r="AK99" s="1148" t="s">
        <v>793</v>
      </c>
      <c r="AL99" s="1150"/>
      <c r="AM99" s="1148" t="s">
        <v>794</v>
      </c>
      <c r="AN99" s="1150"/>
      <c r="AO99" s="4"/>
      <c r="AP99" s="4"/>
      <c r="AQ99" s="4"/>
      <c r="AR99" s="4"/>
      <c r="AS99" s="4"/>
      <c r="AT99" s="4"/>
      <c r="AU99" s="4"/>
    </row>
    <row r="100" spans="1:47" ht="18" customHeight="1">
      <c r="A100" s="3"/>
      <c r="B100" s="3"/>
      <c r="C100" s="3"/>
      <c r="D100" s="3"/>
      <c r="E100" s="3"/>
      <c r="F100" s="3"/>
      <c r="G100" s="3"/>
      <c r="H100" s="3"/>
      <c r="I100" s="3"/>
      <c r="J100" s="3"/>
      <c r="K100" s="3"/>
      <c r="L100" s="3"/>
      <c r="M100" s="3"/>
      <c r="N100" s="602"/>
      <c r="O100" s="3"/>
      <c r="AB100" s="450"/>
      <c r="AC100" s="666"/>
      <c r="AD100" s="668"/>
      <c r="AE100" s="668"/>
      <c r="AF100" s="668"/>
      <c r="AG100" s="667"/>
      <c r="AH100" s="666"/>
      <c r="AI100" s="667"/>
      <c r="AJ100" s="444"/>
      <c r="AK100" s="666"/>
      <c r="AL100" s="667"/>
      <c r="AM100" s="666"/>
      <c r="AN100" s="667"/>
      <c r="AP100" s="669"/>
      <c r="AQ100" s="669"/>
      <c r="AR100" s="669"/>
      <c r="AS100" s="669"/>
      <c r="AT100" s="680"/>
    </row>
    <row r="101" spans="1:47" ht="18" customHeight="1">
      <c r="A101" s="3"/>
      <c r="B101" s="3"/>
      <c r="C101" s="3"/>
      <c r="D101" s="3"/>
      <c r="E101" s="3"/>
      <c r="F101" s="3"/>
      <c r="G101" s="3"/>
      <c r="H101" s="3"/>
      <c r="I101" s="3"/>
      <c r="J101" s="3"/>
      <c r="K101" s="3"/>
      <c r="L101" s="3"/>
      <c r="M101" s="3"/>
      <c r="N101" s="602"/>
      <c r="O101" s="3"/>
      <c r="AB101" s="436">
        <v>1</v>
      </c>
      <c r="AC101" s="1286" t="str">
        <f>+AC76</f>
        <v/>
      </c>
      <c r="AD101" s="1287"/>
      <c r="AE101" s="1287"/>
      <c r="AF101" s="1287"/>
      <c r="AG101" s="1288"/>
      <c r="AH101" s="1289" t="str">
        <f>+AH76</f>
        <v/>
      </c>
      <c r="AI101" s="1290"/>
      <c r="AJ101" s="452" t="str">
        <f>IFERROR(+AJ76*(100%+$AT$109),"")</f>
        <v/>
      </c>
      <c r="AK101" s="1291" t="str">
        <f>IFERROR(+AH101*AJ101/100000,"")</f>
        <v/>
      </c>
      <c r="AL101" s="1292"/>
      <c r="AM101" s="1291" t="str">
        <f>IFERROR(IF(AT101="yes",+AK101*6,AK101),"")</f>
        <v/>
      </c>
      <c r="AN101" s="1292"/>
      <c r="AP101" s="1138" t="str">
        <f>IF(AJ101="","","weµq wK 1 P‡µi?")</f>
        <v/>
      </c>
      <c r="AQ101" s="1138"/>
      <c r="AR101" s="1138"/>
      <c r="AS101" s="1138"/>
      <c r="AT101" s="447" t="s">
        <v>790</v>
      </c>
    </row>
    <row r="102" spans="1:47" ht="18" customHeight="1">
      <c r="A102" s="3"/>
      <c r="B102" s="3"/>
      <c r="C102" s="3"/>
      <c r="D102" s="3"/>
      <c r="E102" s="3"/>
      <c r="F102" s="3"/>
      <c r="G102" s="3"/>
      <c r="H102" s="3"/>
      <c r="I102" s="3"/>
      <c r="J102" s="3"/>
      <c r="K102" s="3"/>
      <c r="L102" s="3"/>
      <c r="M102" s="3"/>
      <c r="N102" s="602"/>
      <c r="O102" s="3"/>
      <c r="AB102" s="436"/>
      <c r="AC102" s="670"/>
      <c r="AD102" s="671"/>
      <c r="AE102" s="671"/>
      <c r="AF102" s="671"/>
      <c r="AG102" s="672"/>
      <c r="AH102" s="673"/>
      <c r="AI102" s="674"/>
      <c r="AJ102" s="452"/>
      <c r="AK102" s="675"/>
      <c r="AL102" s="676"/>
      <c r="AM102" s="675"/>
      <c r="AN102" s="676"/>
      <c r="AP102" s="618"/>
      <c r="AQ102" s="618"/>
      <c r="AR102" s="618"/>
      <c r="AS102" s="618"/>
      <c r="AT102" s="447"/>
    </row>
    <row r="103" spans="1:47" ht="18" customHeight="1">
      <c r="A103" s="1144" t="s">
        <v>917</v>
      </c>
      <c r="B103" s="1144"/>
      <c r="C103" s="1144"/>
      <c r="D103" s="1144"/>
      <c r="E103" s="607"/>
      <c r="F103" s="607"/>
      <c r="G103" s="607"/>
      <c r="H103" s="607"/>
      <c r="I103" s="607"/>
      <c r="J103" s="607"/>
      <c r="K103" s="607"/>
      <c r="L103" s="607"/>
      <c r="M103" s="607"/>
      <c r="N103" s="602"/>
      <c r="O103" s="3"/>
      <c r="AB103" s="449">
        <v>1</v>
      </c>
      <c r="AC103" s="909" t="s">
        <v>805</v>
      </c>
      <c r="AD103" s="910"/>
      <c r="AE103" s="910"/>
      <c r="AF103" s="910"/>
      <c r="AG103" s="910"/>
      <c r="AH103" s="910"/>
      <c r="AI103" s="910"/>
      <c r="AJ103" s="911"/>
      <c r="AK103" s="1280">
        <f>+'Data Input'!D11/100000*0.06/6</f>
        <v>4.9999999999999996E-2</v>
      </c>
      <c r="AL103" s="1281"/>
      <c r="AM103" s="1280">
        <f>+IFERROR(AK103*6,"-")</f>
        <v>0.3</v>
      </c>
      <c r="AN103" s="1281"/>
    </row>
    <row r="104" spans="1:47" ht="18" customHeight="1">
      <c r="A104" s="3"/>
      <c r="B104" s="3"/>
      <c r="C104" s="3"/>
      <c r="D104" s="3"/>
      <c r="E104" s="3"/>
      <c r="F104" s="3"/>
      <c r="G104" s="3"/>
      <c r="H104" s="3"/>
      <c r="I104" s="3"/>
      <c r="J104" s="3"/>
      <c r="K104" s="3"/>
      <c r="L104" s="3"/>
      <c r="M104" s="3" t="s">
        <v>904</v>
      </c>
      <c r="N104" s="602"/>
      <c r="O104" s="3"/>
      <c r="AB104" s="449">
        <v>2</v>
      </c>
      <c r="AC104" s="909" t="s">
        <v>806</v>
      </c>
      <c r="AD104" s="910"/>
      <c r="AE104" s="910"/>
      <c r="AF104" s="910"/>
      <c r="AG104" s="910"/>
      <c r="AH104" s="910"/>
      <c r="AI104" s="910"/>
      <c r="AJ104" s="911"/>
      <c r="AK104" s="1280">
        <v>0.01</v>
      </c>
      <c r="AL104" s="1281"/>
      <c r="AM104" s="1280">
        <f>+IFERROR(AK104*6,"-")</f>
        <v>0.06</v>
      </c>
      <c r="AN104" s="1281"/>
    </row>
    <row r="105" spans="1:47" ht="18" customHeight="1">
      <c r="A105" s="1148" t="s">
        <v>3</v>
      </c>
      <c r="B105" s="1150"/>
      <c r="C105" s="1151" t="s">
        <v>918</v>
      </c>
      <c r="D105" s="1151"/>
      <c r="E105" s="1151"/>
      <c r="F105" s="1151"/>
      <c r="G105" s="1151" t="s">
        <v>919</v>
      </c>
      <c r="H105" s="1151"/>
      <c r="I105" s="1151" t="s">
        <v>920</v>
      </c>
      <c r="J105" s="1151"/>
      <c r="K105" s="1151"/>
      <c r="L105" s="1151" t="s">
        <v>307</v>
      </c>
      <c r="M105" s="1151"/>
      <c r="N105" s="602"/>
      <c r="O105" s="3"/>
      <c r="AB105" s="1087" t="s">
        <v>807</v>
      </c>
      <c r="AC105" s="935"/>
      <c r="AD105" s="935"/>
      <c r="AE105" s="935"/>
      <c r="AF105" s="935"/>
      <c r="AG105" s="935"/>
      <c r="AH105" s="935"/>
      <c r="AI105" s="935"/>
      <c r="AJ105" s="936"/>
      <c r="AK105" s="1282">
        <f>SUM(AK103:AL104)</f>
        <v>0.06</v>
      </c>
      <c r="AL105" s="1283"/>
      <c r="AM105" s="1282">
        <f>SUM(AM103:AN104)</f>
        <v>0.36</v>
      </c>
      <c r="AN105" s="1283"/>
    </row>
    <row r="106" spans="1:47" ht="18" customHeight="1">
      <c r="A106" s="1087" t="s">
        <v>103</v>
      </c>
      <c r="B106" s="936"/>
      <c r="C106" s="1179" t="s">
        <v>921</v>
      </c>
      <c r="D106" s="1179"/>
      <c r="E106" s="1179"/>
      <c r="F106" s="1179"/>
      <c r="G106" s="1180" t="s">
        <v>1129</v>
      </c>
      <c r="H106" s="1180"/>
      <c r="I106" s="1180">
        <v>18000</v>
      </c>
      <c r="J106" s="1180"/>
      <c r="K106" s="1180"/>
      <c r="L106" s="1180">
        <f>I106*4*12</f>
        <v>864000</v>
      </c>
      <c r="M106" s="1180"/>
      <c r="N106" s="602"/>
      <c r="O106" s="3"/>
      <c r="AB106" s="2"/>
      <c r="AC106" s="2"/>
      <c r="AD106" s="2"/>
      <c r="AE106" s="2"/>
      <c r="AF106" s="2"/>
      <c r="AG106" s="2"/>
      <c r="AH106" s="2"/>
      <c r="AI106" s="2"/>
      <c r="AJ106" s="2"/>
      <c r="AK106" s="2"/>
      <c r="AL106" s="2"/>
      <c r="AM106" s="2"/>
      <c r="AN106" s="2"/>
    </row>
    <row r="107" spans="1:47" ht="18" customHeight="1">
      <c r="A107" s="1087" t="s">
        <v>116</v>
      </c>
      <c r="B107" s="936"/>
      <c r="C107" s="1179" t="s">
        <v>922</v>
      </c>
      <c r="D107" s="1179"/>
      <c r="E107" s="1179"/>
      <c r="F107" s="1179"/>
      <c r="G107" s="962"/>
      <c r="H107" s="962"/>
      <c r="I107" s="962"/>
      <c r="J107" s="962"/>
      <c r="K107" s="962"/>
      <c r="L107" s="1180">
        <f>I106*4</f>
        <v>72000</v>
      </c>
      <c r="M107" s="1180"/>
      <c r="N107" s="602"/>
      <c r="O107" s="3"/>
      <c r="AB107" s="1293" t="s">
        <v>808</v>
      </c>
      <c r="AC107" s="1293"/>
      <c r="AD107" s="1293"/>
      <c r="AE107" s="1293"/>
      <c r="AF107" s="1293"/>
      <c r="AG107" s="1293"/>
      <c r="AH107" s="1293"/>
      <c r="AI107" s="1293"/>
      <c r="AJ107" s="1293"/>
      <c r="AK107" s="1293"/>
      <c r="AL107" s="1293"/>
      <c r="AM107" s="1293"/>
      <c r="AN107" s="1293"/>
    </row>
    <row r="108" spans="1:47" ht="18" customHeight="1">
      <c r="A108" s="1087" t="s">
        <v>121</v>
      </c>
      <c r="B108" s="936"/>
      <c r="C108" s="1179" t="s">
        <v>923</v>
      </c>
      <c r="D108" s="1179"/>
      <c r="E108" s="1179"/>
      <c r="F108" s="1179"/>
      <c r="G108" s="962"/>
      <c r="H108" s="962"/>
      <c r="I108" s="962"/>
      <c r="J108" s="962"/>
      <c r="K108" s="962"/>
      <c r="L108" s="1180">
        <v>96000</v>
      </c>
      <c r="M108" s="1180"/>
      <c r="N108" s="602"/>
      <c r="O108" s="3"/>
      <c r="AB108" s="1266" t="s">
        <v>809</v>
      </c>
      <c r="AC108" s="1266"/>
      <c r="AD108" s="1266"/>
      <c r="AE108" s="1266"/>
      <c r="AF108" s="1266"/>
      <c r="AG108" s="1266"/>
      <c r="AH108" s="1266"/>
      <c r="AI108" s="1266"/>
      <c r="AJ108" s="1266"/>
      <c r="AK108" s="1266"/>
      <c r="AL108" s="1266"/>
      <c r="AM108" s="1266"/>
      <c r="AN108" s="1266"/>
    </row>
    <row r="109" spans="1:47" ht="18" customHeight="1">
      <c r="A109" s="1087" t="s">
        <v>924</v>
      </c>
      <c r="B109" s="935"/>
      <c r="C109" s="935"/>
      <c r="D109" s="935"/>
      <c r="E109" s="935"/>
      <c r="F109" s="935"/>
      <c r="G109" s="935"/>
      <c r="H109" s="936"/>
      <c r="I109" s="962"/>
      <c r="J109" s="962"/>
      <c r="K109" s="962"/>
      <c r="L109" s="962">
        <f>L106+L107+L108</f>
        <v>1032000</v>
      </c>
      <c r="M109" s="962"/>
      <c r="N109" s="602"/>
      <c r="O109" s="3"/>
      <c r="AB109" s="450" t="s">
        <v>3</v>
      </c>
      <c r="AC109" s="1148" t="s">
        <v>8</v>
      </c>
      <c r="AD109" s="1149"/>
      <c r="AE109" s="1149"/>
      <c r="AF109" s="1149"/>
      <c r="AG109" s="1150"/>
      <c r="AH109" s="1148" t="str">
        <f>+AH75</f>
        <v>cwigvb
(cÖwZ BDwbU)</v>
      </c>
      <c r="AI109" s="1150"/>
      <c r="AJ109" s="444" t="s">
        <v>5</v>
      </c>
      <c r="AK109" s="1148" t="s">
        <v>810</v>
      </c>
      <c r="AL109" s="1150"/>
      <c r="AM109" s="1148" t="s">
        <v>789</v>
      </c>
      <c r="AN109" s="1150"/>
      <c r="AP109" s="1285" t="s">
        <v>811</v>
      </c>
      <c r="AQ109" s="1285"/>
      <c r="AR109" s="1285"/>
      <c r="AS109" s="1285"/>
      <c r="AT109" s="451">
        <v>0.1</v>
      </c>
    </row>
    <row r="110" spans="1:47" ht="18" customHeight="1">
      <c r="A110" s="3"/>
      <c r="B110" s="3"/>
      <c r="C110" s="3"/>
      <c r="D110" s="3"/>
      <c r="E110" s="3"/>
      <c r="F110" s="3"/>
      <c r="G110" s="3"/>
      <c r="H110" s="3"/>
      <c r="I110" s="3"/>
      <c r="J110" s="3"/>
      <c r="K110" s="3"/>
      <c r="L110" s="3"/>
      <c r="M110" s="3"/>
      <c r="N110" s="602"/>
      <c r="O110" s="3"/>
      <c r="AB110" s="450"/>
      <c r="AC110" s="666"/>
      <c r="AD110" s="668"/>
      <c r="AE110" s="668"/>
      <c r="AF110" s="668"/>
      <c r="AG110" s="667"/>
      <c r="AH110" s="666"/>
      <c r="AI110" s="667"/>
      <c r="AJ110" s="444"/>
      <c r="AK110" s="666"/>
      <c r="AL110" s="667"/>
      <c r="AM110" s="666"/>
      <c r="AN110" s="667"/>
      <c r="AP110" s="669"/>
      <c r="AQ110" s="669"/>
      <c r="AR110" s="669"/>
      <c r="AS110" s="669"/>
      <c r="AT110" s="680"/>
    </row>
    <row r="111" spans="1:47" ht="18" customHeight="1">
      <c r="A111" s="3"/>
      <c r="B111" s="3"/>
      <c r="C111" s="3"/>
      <c r="D111" s="3"/>
      <c r="E111" s="3"/>
      <c r="F111" s="3"/>
      <c r="G111" s="3"/>
      <c r="H111" s="3"/>
      <c r="I111" s="3"/>
      <c r="J111" s="3"/>
      <c r="K111" s="3"/>
      <c r="L111" s="3"/>
      <c r="M111" s="3"/>
      <c r="N111" s="602"/>
      <c r="O111" s="3"/>
      <c r="AB111" s="436"/>
      <c r="AC111" s="670"/>
      <c r="AD111" s="671"/>
      <c r="AE111" s="671"/>
      <c r="AF111" s="671"/>
      <c r="AG111" s="672"/>
      <c r="AH111" s="673"/>
      <c r="AI111" s="674"/>
      <c r="AJ111" s="452"/>
      <c r="AK111" s="675"/>
      <c r="AL111" s="676"/>
      <c r="AM111" s="675"/>
      <c r="AN111" s="676"/>
      <c r="AP111" s="618"/>
      <c r="AQ111" s="618"/>
      <c r="AR111" s="618"/>
      <c r="AS111" s="618"/>
      <c r="AT111" s="447"/>
    </row>
    <row r="112" spans="1:47" ht="18" customHeight="1">
      <c r="A112" s="1144" t="s">
        <v>925</v>
      </c>
      <c r="B112" s="1144"/>
      <c r="C112" s="1144"/>
      <c r="D112" s="1144"/>
      <c r="E112" s="607"/>
      <c r="F112" s="607"/>
      <c r="G112" s="607"/>
      <c r="H112" s="607"/>
      <c r="I112" s="607"/>
      <c r="J112" s="607"/>
      <c r="K112" s="607"/>
      <c r="L112" s="607"/>
      <c r="M112" s="607"/>
      <c r="N112" s="602"/>
      <c r="O112" s="3"/>
      <c r="AB112" s="436">
        <v>2</v>
      </c>
      <c r="AC112" s="1286" t="str">
        <f>+AC77</f>
        <v/>
      </c>
      <c r="AD112" s="1287"/>
      <c r="AE112" s="1287"/>
      <c r="AF112" s="1287"/>
      <c r="AG112" s="1288"/>
      <c r="AH112" s="1289" t="str">
        <f>+AH77</f>
        <v/>
      </c>
      <c r="AI112" s="1290"/>
      <c r="AJ112" s="452" t="str">
        <f>IFERROR(+AJ77*(100%+$AT$109),"")</f>
        <v/>
      </c>
      <c r="AK112" s="1291" t="str">
        <f t="shared" ref="AK112:AK120" si="7">IFERROR(+AH112*AJ112/100000,"")</f>
        <v/>
      </c>
      <c r="AL112" s="1292"/>
      <c r="AM112" s="1291" t="str">
        <f t="shared" ref="AM112:AM120" si="8">IFERROR(IF(AT112="yes",+AK112*6,AK112),"")</f>
        <v/>
      </c>
      <c r="AN112" s="1292"/>
      <c r="AP112" s="1138" t="str">
        <f t="shared" ref="AP112:AP120" si="9">IF(AJ112="","","weµq wK 1 P‡µi?")</f>
        <v/>
      </c>
      <c r="AQ112" s="1138"/>
      <c r="AR112" s="1138"/>
      <c r="AS112" s="1138"/>
      <c r="AT112" s="447" t="s">
        <v>790</v>
      </c>
    </row>
    <row r="113" spans="1:47" ht="18" customHeight="1">
      <c r="A113" s="3"/>
      <c r="B113" s="3"/>
      <c r="C113" s="3"/>
      <c r="D113" s="3"/>
      <c r="E113" s="3"/>
      <c r="F113" s="3"/>
      <c r="G113" s="3"/>
      <c r="H113" s="3"/>
      <c r="I113" s="3"/>
      <c r="J113" s="3"/>
      <c r="K113" s="3"/>
      <c r="L113" s="3"/>
      <c r="M113" s="3" t="s">
        <v>904</v>
      </c>
      <c r="N113" s="602"/>
      <c r="O113" s="3"/>
      <c r="AB113" s="436">
        <v>3</v>
      </c>
      <c r="AC113" s="1286" t="str">
        <f>+AC78</f>
        <v/>
      </c>
      <c r="AD113" s="1287"/>
      <c r="AE113" s="1287"/>
      <c r="AF113" s="1287"/>
      <c r="AG113" s="1288"/>
      <c r="AH113" s="1289" t="str">
        <f>+AH78</f>
        <v/>
      </c>
      <c r="AI113" s="1290"/>
      <c r="AJ113" s="452" t="str">
        <f>IFERROR(+AJ78*(100%+$AT$109),"")</f>
        <v/>
      </c>
      <c r="AK113" s="1291" t="str">
        <f t="shared" si="7"/>
        <v/>
      </c>
      <c r="AL113" s="1292"/>
      <c r="AM113" s="1291" t="str">
        <f t="shared" si="8"/>
        <v/>
      </c>
      <c r="AN113" s="1292"/>
      <c r="AP113" s="1138" t="str">
        <f t="shared" si="9"/>
        <v/>
      </c>
      <c r="AQ113" s="1138"/>
      <c r="AR113" s="1138"/>
      <c r="AS113" s="1138"/>
      <c r="AT113" s="447" t="s">
        <v>790</v>
      </c>
    </row>
    <row r="114" spans="1:47" ht="18" customHeight="1">
      <c r="A114" s="1148" t="s">
        <v>3</v>
      </c>
      <c r="B114" s="1150"/>
      <c r="C114" s="1148" t="s">
        <v>792</v>
      </c>
      <c r="D114" s="1149"/>
      <c r="E114" s="1149"/>
      <c r="F114" s="1149"/>
      <c r="G114" s="1149"/>
      <c r="H114" s="1149"/>
      <c r="I114" s="1149"/>
      <c r="J114" s="1150"/>
      <c r="K114" s="1148" t="s">
        <v>926</v>
      </c>
      <c r="L114" s="1149"/>
      <c r="M114" s="1150"/>
      <c r="N114" s="602"/>
      <c r="O114" s="3"/>
      <c r="AB114" s="436">
        <v>4</v>
      </c>
      <c r="AC114" s="1286" t="str">
        <f>+AC79</f>
        <v/>
      </c>
      <c r="AD114" s="1287"/>
      <c r="AE114" s="1287"/>
      <c r="AF114" s="1287"/>
      <c r="AG114" s="1288"/>
      <c r="AH114" s="1289" t="str">
        <f>+AH79</f>
        <v/>
      </c>
      <c r="AI114" s="1290"/>
      <c r="AJ114" s="452" t="str">
        <f>IFERROR(+AJ79*(100%+$AT$109),"")</f>
        <v/>
      </c>
      <c r="AK114" s="1291" t="str">
        <f t="shared" si="7"/>
        <v/>
      </c>
      <c r="AL114" s="1292"/>
      <c r="AM114" s="1291" t="str">
        <f t="shared" si="8"/>
        <v/>
      </c>
      <c r="AN114" s="1292"/>
      <c r="AP114" s="1138" t="str">
        <f t="shared" si="9"/>
        <v/>
      </c>
      <c r="AQ114" s="1138"/>
      <c r="AR114" s="1138"/>
      <c r="AS114" s="1138"/>
      <c r="AT114" s="447" t="s">
        <v>790</v>
      </c>
    </row>
    <row r="115" spans="1:47" ht="18" customHeight="1">
      <c r="A115" s="1087" t="s">
        <v>103</v>
      </c>
      <c r="B115" s="936"/>
      <c r="C115" s="909" t="s">
        <v>927</v>
      </c>
      <c r="D115" s="910"/>
      <c r="E115" s="910"/>
      <c r="F115" s="910"/>
      <c r="G115" s="910"/>
      <c r="H115" s="910"/>
      <c r="I115" s="910"/>
      <c r="J115" s="911"/>
      <c r="K115" s="1176">
        <v>5000</v>
      </c>
      <c r="L115" s="1177"/>
      <c r="M115" s="1178"/>
      <c r="N115" s="602"/>
      <c r="O115" s="3"/>
      <c r="AB115" s="436">
        <v>5</v>
      </c>
      <c r="AC115" s="1286" t="e">
        <f>+#REF!</f>
        <v>#REF!</v>
      </c>
      <c r="AD115" s="1287"/>
      <c r="AE115" s="1287"/>
      <c r="AF115" s="1287"/>
      <c r="AG115" s="1288"/>
      <c r="AH115" s="1289" t="e">
        <f>+#REF!</f>
        <v>#REF!</v>
      </c>
      <c r="AI115" s="1290"/>
      <c r="AJ115" s="452" t="str">
        <f>IFERROR(+#REF!*(100%+$AT$109),"")</f>
        <v/>
      </c>
      <c r="AK115" s="1291" t="str">
        <f t="shared" si="7"/>
        <v/>
      </c>
      <c r="AL115" s="1292"/>
      <c r="AM115" s="1291" t="str">
        <f t="shared" si="8"/>
        <v/>
      </c>
      <c r="AN115" s="1292"/>
      <c r="AP115" s="1138" t="str">
        <f t="shared" si="9"/>
        <v/>
      </c>
      <c r="AQ115" s="1138"/>
      <c r="AR115" s="1138"/>
      <c r="AS115" s="1138"/>
      <c r="AT115" s="447" t="s">
        <v>790</v>
      </c>
    </row>
    <row r="116" spans="1:47" ht="18" customHeight="1">
      <c r="A116" s="1087" t="s">
        <v>116</v>
      </c>
      <c r="B116" s="936"/>
      <c r="C116" s="909" t="s">
        <v>928</v>
      </c>
      <c r="D116" s="910"/>
      <c r="E116" s="910"/>
      <c r="F116" s="910"/>
      <c r="G116" s="910"/>
      <c r="H116" s="910"/>
      <c r="I116" s="910"/>
      <c r="J116" s="911"/>
      <c r="K116" s="1176">
        <v>10000</v>
      </c>
      <c r="L116" s="1177"/>
      <c r="M116" s="1178"/>
      <c r="N116" s="602"/>
      <c r="O116" s="3"/>
      <c r="AB116" s="436">
        <v>6</v>
      </c>
      <c r="AC116" s="1286" t="e">
        <f>+#REF!</f>
        <v>#REF!</v>
      </c>
      <c r="AD116" s="1287"/>
      <c r="AE116" s="1287"/>
      <c r="AF116" s="1287"/>
      <c r="AG116" s="1288"/>
      <c r="AH116" s="1289" t="e">
        <f>+#REF!</f>
        <v>#REF!</v>
      </c>
      <c r="AI116" s="1290"/>
      <c r="AJ116" s="452" t="str">
        <f>IFERROR(+#REF!*(100%+$AT$109),"")</f>
        <v/>
      </c>
      <c r="AK116" s="1291" t="str">
        <f t="shared" si="7"/>
        <v/>
      </c>
      <c r="AL116" s="1292"/>
      <c r="AM116" s="1291" t="str">
        <f t="shared" si="8"/>
        <v/>
      </c>
      <c r="AN116" s="1292"/>
      <c r="AP116" s="1138" t="str">
        <f t="shared" si="9"/>
        <v/>
      </c>
      <c r="AQ116" s="1138"/>
      <c r="AR116" s="1138"/>
      <c r="AS116" s="1138"/>
      <c r="AT116" s="447" t="s">
        <v>790</v>
      </c>
    </row>
    <row r="117" spans="1:47" ht="18" customHeight="1">
      <c r="A117" s="1087" t="s">
        <v>121</v>
      </c>
      <c r="B117" s="936"/>
      <c r="C117" s="909" t="s">
        <v>929</v>
      </c>
      <c r="D117" s="910"/>
      <c r="E117" s="910"/>
      <c r="F117" s="910"/>
      <c r="G117" s="910"/>
      <c r="H117" s="910"/>
      <c r="I117" s="910"/>
      <c r="J117" s="911"/>
      <c r="K117" s="1176">
        <v>500</v>
      </c>
      <c r="L117" s="1177"/>
      <c r="M117" s="1178"/>
      <c r="N117" s="602"/>
      <c r="O117" s="3"/>
      <c r="AB117" s="436">
        <v>7</v>
      </c>
      <c r="AC117" s="1294" t="e">
        <f>+#REF!</f>
        <v>#REF!</v>
      </c>
      <c r="AD117" s="1295"/>
      <c r="AE117" s="1295"/>
      <c r="AF117" s="1295"/>
      <c r="AG117" s="1296"/>
      <c r="AH117" s="1289" t="e">
        <f>+#REF!</f>
        <v>#REF!</v>
      </c>
      <c r="AI117" s="1290"/>
      <c r="AJ117" s="452" t="str">
        <f>IFERROR(+#REF!*(100%+$AT$109),"")</f>
        <v/>
      </c>
      <c r="AK117" s="1291" t="str">
        <f t="shared" si="7"/>
        <v/>
      </c>
      <c r="AL117" s="1292"/>
      <c r="AM117" s="1291" t="str">
        <f t="shared" si="8"/>
        <v/>
      </c>
      <c r="AN117" s="1292"/>
      <c r="AP117" s="1138" t="str">
        <f t="shared" si="9"/>
        <v/>
      </c>
      <c r="AQ117" s="1138"/>
      <c r="AR117" s="1138"/>
      <c r="AS117" s="1138"/>
      <c r="AT117" s="447" t="s">
        <v>790</v>
      </c>
    </row>
    <row r="118" spans="1:47" ht="18" customHeight="1">
      <c r="A118" s="1087" t="s">
        <v>157</v>
      </c>
      <c r="B118" s="936"/>
      <c r="C118" s="909" t="s">
        <v>18</v>
      </c>
      <c r="D118" s="910"/>
      <c r="E118" s="910"/>
      <c r="F118" s="910"/>
      <c r="G118" s="910"/>
      <c r="H118" s="910"/>
      <c r="I118" s="910"/>
      <c r="J118" s="911"/>
      <c r="K118" s="1176">
        <v>5000</v>
      </c>
      <c r="L118" s="1177"/>
      <c r="M118" s="1178"/>
      <c r="N118" s="602"/>
      <c r="O118" s="3"/>
      <c r="AB118" s="436">
        <v>8</v>
      </c>
      <c r="AC118" s="1286"/>
      <c r="AD118" s="1287"/>
      <c r="AE118" s="1287"/>
      <c r="AF118" s="1287"/>
      <c r="AG118" s="1288"/>
      <c r="AH118" s="1289" t="e">
        <f>+#REF!</f>
        <v>#REF!</v>
      </c>
      <c r="AI118" s="1290"/>
      <c r="AJ118" s="452" t="str">
        <f>IFERROR(+#REF!*(100%+$AT$109),"")</f>
        <v/>
      </c>
      <c r="AK118" s="1291" t="str">
        <f t="shared" si="7"/>
        <v/>
      </c>
      <c r="AL118" s="1292"/>
      <c r="AM118" s="1291" t="str">
        <f t="shared" si="8"/>
        <v/>
      </c>
      <c r="AN118" s="1292"/>
      <c r="AP118" s="1138" t="str">
        <f t="shared" si="9"/>
        <v/>
      </c>
      <c r="AQ118" s="1138"/>
      <c r="AR118" s="1138"/>
      <c r="AS118" s="1138"/>
      <c r="AT118" s="447" t="s">
        <v>790</v>
      </c>
    </row>
    <row r="119" spans="1:47" ht="18" customHeight="1">
      <c r="A119" s="1087" t="s">
        <v>307</v>
      </c>
      <c r="B119" s="935"/>
      <c r="C119" s="935"/>
      <c r="D119" s="935"/>
      <c r="E119" s="935"/>
      <c r="F119" s="935"/>
      <c r="G119" s="935"/>
      <c r="H119" s="935"/>
      <c r="I119" s="935"/>
      <c r="J119" s="936"/>
      <c r="K119" s="1148">
        <f>K115+K116+K117+K118</f>
        <v>20500</v>
      </c>
      <c r="L119" s="1149"/>
      <c r="M119" s="1150"/>
      <c r="N119" s="602"/>
      <c r="O119" s="3"/>
      <c r="AB119" s="436">
        <v>9</v>
      </c>
      <c r="AC119" s="1286"/>
      <c r="AD119" s="1287"/>
      <c r="AE119" s="1287"/>
      <c r="AF119" s="1287"/>
      <c r="AG119" s="1288"/>
      <c r="AH119" s="1289" t="e">
        <f>+#REF!</f>
        <v>#REF!</v>
      </c>
      <c r="AI119" s="1290"/>
      <c r="AJ119" s="452" t="str">
        <f>IFERROR(+#REF!*(100%+$AT$109),"")</f>
        <v/>
      </c>
      <c r="AK119" s="1291" t="str">
        <f t="shared" si="7"/>
        <v/>
      </c>
      <c r="AL119" s="1292"/>
      <c r="AM119" s="1291" t="str">
        <f t="shared" si="8"/>
        <v/>
      </c>
      <c r="AN119" s="1292"/>
      <c r="AP119" s="1138" t="str">
        <f t="shared" si="9"/>
        <v/>
      </c>
      <c r="AQ119" s="1138"/>
      <c r="AR119" s="1138"/>
      <c r="AS119" s="1138"/>
      <c r="AT119" s="447" t="s">
        <v>790</v>
      </c>
    </row>
    <row r="120" spans="1:47" ht="18" customHeight="1">
      <c r="A120" s="3"/>
      <c r="B120" s="3"/>
      <c r="C120" s="3"/>
      <c r="D120" s="3"/>
      <c r="E120" s="3"/>
      <c r="F120" s="3"/>
      <c r="G120" s="3"/>
      <c r="H120" s="3"/>
      <c r="I120" s="3"/>
      <c r="J120" s="3"/>
      <c r="K120" s="3"/>
      <c r="L120" s="3"/>
      <c r="M120" s="3"/>
      <c r="N120" s="602"/>
      <c r="O120" s="3"/>
      <c r="AB120" s="436">
        <v>10</v>
      </c>
      <c r="AC120" s="1286"/>
      <c r="AD120" s="1287"/>
      <c r="AE120" s="1287"/>
      <c r="AF120" s="1287"/>
      <c r="AG120" s="1288"/>
      <c r="AH120" s="1289" t="e">
        <f>+#REF!</f>
        <v>#REF!</v>
      </c>
      <c r="AI120" s="1290"/>
      <c r="AJ120" s="452" t="str">
        <f>IFERROR(+#REF!*(100%+$AT$109),"")</f>
        <v/>
      </c>
      <c r="AK120" s="1291" t="str">
        <f t="shared" si="7"/>
        <v/>
      </c>
      <c r="AL120" s="1292"/>
      <c r="AM120" s="1291" t="str">
        <f t="shared" si="8"/>
        <v/>
      </c>
      <c r="AN120" s="1292"/>
      <c r="AP120" s="1138" t="str">
        <f t="shared" si="9"/>
        <v/>
      </c>
      <c r="AQ120" s="1138"/>
      <c r="AR120" s="1138"/>
      <c r="AS120" s="1138"/>
      <c r="AT120" s="447" t="s">
        <v>790</v>
      </c>
    </row>
    <row r="121" spans="1:47" ht="18" customHeight="1">
      <c r="A121" s="1144" t="s">
        <v>930</v>
      </c>
      <c r="B121" s="1144"/>
      <c r="C121" s="1144"/>
      <c r="D121" s="1144"/>
      <c r="E121" s="607"/>
      <c r="F121" s="607"/>
      <c r="G121" s="607"/>
      <c r="H121" s="607"/>
      <c r="I121" s="607"/>
      <c r="J121" s="607"/>
      <c r="K121" s="607"/>
      <c r="L121" s="607"/>
      <c r="M121" s="607"/>
      <c r="N121" s="602"/>
      <c r="O121" s="3"/>
      <c r="AB121" s="1087" t="s">
        <v>7</v>
      </c>
      <c r="AC121" s="935"/>
      <c r="AD121" s="935"/>
      <c r="AE121" s="935"/>
      <c r="AF121" s="935"/>
      <c r="AG121" s="935"/>
      <c r="AH121" s="935"/>
      <c r="AI121" s="935"/>
      <c r="AJ121" s="936"/>
      <c r="AK121" s="1297">
        <f>SUM(AK101:AL120)</f>
        <v>0.12</v>
      </c>
      <c r="AL121" s="1298"/>
      <c r="AM121" s="1297">
        <f>SUM(AM101:AN120)</f>
        <v>0.72</v>
      </c>
      <c r="AN121" s="1298"/>
    </row>
    <row r="122" spans="1:47" ht="18" customHeight="1">
      <c r="A122" s="3"/>
      <c r="B122" s="3"/>
      <c r="C122" s="3"/>
      <c r="D122" s="3"/>
      <c r="E122" s="3"/>
      <c r="F122" s="3"/>
      <c r="G122" s="3"/>
      <c r="H122" s="3"/>
      <c r="I122" s="3"/>
      <c r="J122" s="3"/>
      <c r="K122" s="3"/>
      <c r="L122" s="1139" t="s">
        <v>212</v>
      </c>
      <c r="M122" s="1139"/>
      <c r="N122" s="602"/>
      <c r="O122" s="3"/>
      <c r="AB122" s="3"/>
      <c r="AC122" s="3"/>
      <c r="AD122" s="3"/>
      <c r="AE122" s="3"/>
      <c r="AF122" s="3"/>
      <c r="AG122" s="3"/>
      <c r="AH122" s="3"/>
      <c r="AI122" s="3"/>
      <c r="AJ122" s="3"/>
      <c r="AK122" s="453"/>
      <c r="AL122" s="453"/>
      <c r="AM122" s="453"/>
      <c r="AN122" s="453"/>
    </row>
    <row r="123" spans="1:47" ht="18" customHeight="1">
      <c r="A123" s="1148" t="s">
        <v>3</v>
      </c>
      <c r="B123" s="1150"/>
      <c r="C123" s="1148" t="s">
        <v>792</v>
      </c>
      <c r="D123" s="1149"/>
      <c r="E123" s="1150"/>
      <c r="F123" s="1151" t="s">
        <v>931</v>
      </c>
      <c r="G123" s="1151"/>
      <c r="H123" s="1151"/>
      <c r="I123" s="1151"/>
      <c r="J123" s="1151" t="s">
        <v>932</v>
      </c>
      <c r="K123" s="1151"/>
      <c r="L123" s="1151" t="s">
        <v>933</v>
      </c>
      <c r="M123" s="1151"/>
      <c r="N123" s="602"/>
      <c r="O123" s="3"/>
      <c r="AB123" s="1313" t="s">
        <v>812</v>
      </c>
      <c r="AC123" s="1313"/>
      <c r="AD123" s="1313"/>
      <c r="AE123" s="1313"/>
      <c r="AF123" s="1313"/>
      <c r="AG123" s="1313"/>
      <c r="AH123" s="1313"/>
      <c r="AI123" s="1313"/>
      <c r="AJ123" s="1313"/>
      <c r="AK123" s="1313"/>
      <c r="AL123" s="1313"/>
      <c r="AM123" s="1313"/>
      <c r="AN123" s="1313"/>
    </row>
    <row r="124" spans="1:47" ht="18" customHeight="1">
      <c r="A124" s="1087">
        <v>1</v>
      </c>
      <c r="B124" s="936"/>
      <c r="C124" s="909" t="s">
        <v>666</v>
      </c>
      <c r="D124" s="910"/>
      <c r="E124" s="911"/>
      <c r="F124" s="1172">
        <f>Q124</f>
        <v>720</v>
      </c>
      <c r="G124" s="1172"/>
      <c r="H124" s="1172"/>
      <c r="I124" s="1172"/>
      <c r="J124" s="1172">
        <f>F124</f>
        <v>720</v>
      </c>
      <c r="K124" s="1172"/>
      <c r="L124" s="1172">
        <f>J124</f>
        <v>720</v>
      </c>
      <c r="M124" s="1172"/>
      <c r="N124" s="602"/>
      <c r="O124" s="3"/>
      <c r="Q124" s="1174">
        <f>L80/100000</f>
        <v>720</v>
      </c>
      <c r="R124" s="1175"/>
      <c r="S124" s="1175"/>
      <c r="T124" s="1175"/>
      <c r="AB124" s="444" t="s">
        <v>3</v>
      </c>
      <c r="AC124" s="1151" t="s">
        <v>4</v>
      </c>
      <c r="AD124" s="1151"/>
      <c r="AE124" s="1151"/>
      <c r="AF124" s="1151"/>
      <c r="AG124" s="1151"/>
      <c r="AH124" s="1151"/>
      <c r="AI124" s="1151"/>
      <c r="AJ124" s="1148" t="s">
        <v>9</v>
      </c>
      <c r="AK124" s="1149"/>
      <c r="AL124" s="1149"/>
      <c r="AM124" s="1149"/>
      <c r="AN124" s="1150"/>
    </row>
    <row r="125" spans="1:47" ht="18" customHeight="1">
      <c r="A125" s="1087">
        <v>2</v>
      </c>
      <c r="B125" s="936"/>
      <c r="C125" s="909" t="s">
        <v>934</v>
      </c>
      <c r="D125" s="910"/>
      <c r="E125" s="911"/>
      <c r="F125" s="1172">
        <f>Q125</f>
        <v>9.36</v>
      </c>
      <c r="G125" s="1172"/>
      <c r="H125" s="1172"/>
      <c r="I125" s="1172"/>
      <c r="J125" s="1172">
        <f>F125</f>
        <v>9.36</v>
      </c>
      <c r="K125" s="1172"/>
      <c r="L125" s="1172">
        <f>J125</f>
        <v>9.36</v>
      </c>
      <c r="M125" s="1172"/>
      <c r="N125" s="602"/>
      <c r="O125" s="3"/>
      <c r="Q125" s="1175">
        <f>(L109-L108)/100000</f>
        <v>9.36</v>
      </c>
      <c r="R125" s="1175"/>
      <c r="S125" s="1175"/>
      <c r="T125" s="1175"/>
      <c r="AB125"/>
      <c r="AC125"/>
      <c r="AD125"/>
      <c r="AE125"/>
      <c r="AF125"/>
      <c r="AG125"/>
      <c r="AH125"/>
      <c r="AI125"/>
      <c r="AJ125" s="1314"/>
      <c r="AK125" s="1314"/>
      <c r="AL125" s="1314"/>
      <c r="AM125" s="1314"/>
      <c r="AN125" s="1314"/>
      <c r="AO125"/>
      <c r="AP125"/>
      <c r="AQ125"/>
      <c r="AR125"/>
      <c r="AS125"/>
      <c r="AT125"/>
      <c r="AU125"/>
    </row>
    <row r="126" spans="1:47" ht="18" customHeight="1">
      <c r="A126" s="1087">
        <v>3</v>
      </c>
      <c r="B126" s="936"/>
      <c r="C126" s="909" t="s">
        <v>935</v>
      </c>
      <c r="D126" s="910"/>
      <c r="E126" s="911"/>
      <c r="F126" s="1172">
        <f>Q126</f>
        <v>0.96</v>
      </c>
      <c r="G126" s="1172"/>
      <c r="H126" s="1172"/>
      <c r="I126" s="1172"/>
      <c r="J126" s="1172">
        <f>F126</f>
        <v>0.96</v>
      </c>
      <c r="K126" s="1172"/>
      <c r="L126" s="1172">
        <f>J126</f>
        <v>0.96</v>
      </c>
      <c r="M126" s="1172"/>
      <c r="N126" s="602"/>
      <c r="O126" s="3"/>
      <c r="Q126" s="1173">
        <f>L108/100000</f>
        <v>0.96</v>
      </c>
      <c r="R126" s="1173"/>
      <c r="S126" s="1173"/>
      <c r="T126" s="1173"/>
      <c r="AB126" s="454">
        <v>1</v>
      </c>
      <c r="AC126" s="1304" t="s">
        <v>813</v>
      </c>
      <c r="AD126" s="1305"/>
      <c r="AE126" s="1305"/>
      <c r="AF126" s="1305"/>
      <c r="AG126" s="1305"/>
      <c r="AH126" s="1305"/>
      <c r="AI126" s="1306"/>
      <c r="AJ126" s="1307">
        <f>+AM121</f>
        <v>0.72</v>
      </c>
      <c r="AK126" s="1308"/>
      <c r="AL126" s="1308"/>
      <c r="AM126" s="1308"/>
      <c r="AN126" s="1309"/>
    </row>
    <row r="127" spans="1:47" ht="18" customHeight="1">
      <c r="A127" s="1087" t="s">
        <v>307</v>
      </c>
      <c r="B127" s="935"/>
      <c r="C127" s="935"/>
      <c r="D127" s="935"/>
      <c r="E127" s="936"/>
      <c r="F127" s="1172">
        <f>F124+F125+F126</f>
        <v>730.32</v>
      </c>
      <c r="G127" s="1172"/>
      <c r="H127" s="1172"/>
      <c r="I127" s="1172"/>
      <c r="J127" s="1172">
        <f>F127</f>
        <v>730.32</v>
      </c>
      <c r="K127" s="1172"/>
      <c r="L127" s="1172">
        <f>J127</f>
        <v>730.32</v>
      </c>
      <c r="M127" s="1172"/>
      <c r="N127" s="602"/>
      <c r="AB127" s="455"/>
      <c r="AC127" s="1299" t="s">
        <v>10</v>
      </c>
      <c r="AD127" s="995"/>
      <c r="AE127" s="995"/>
      <c r="AF127" s="995"/>
      <c r="AG127" s="995"/>
      <c r="AH127" s="995"/>
      <c r="AI127" s="1300"/>
      <c r="AJ127" s="1301" t="e">
        <f>-#REF!</f>
        <v>#REF!</v>
      </c>
      <c r="AK127" s="1302"/>
      <c r="AL127" s="1302"/>
      <c r="AM127" s="1302"/>
      <c r="AN127" s="1303"/>
    </row>
    <row r="128" spans="1:47" ht="18" customHeight="1">
      <c r="N128" s="602"/>
      <c r="AB128" s="454">
        <v>2</v>
      </c>
      <c r="AC128" s="1304" t="s">
        <v>814</v>
      </c>
      <c r="AD128" s="1305"/>
      <c r="AE128" s="1305"/>
      <c r="AF128" s="1305"/>
      <c r="AG128" s="1305"/>
      <c r="AH128" s="1305"/>
      <c r="AI128" s="1306"/>
      <c r="AJ128" s="1307" t="e">
        <f>SUM(AJ126:AN127)</f>
        <v>#REF!</v>
      </c>
      <c r="AK128" s="1308"/>
      <c r="AL128" s="1308"/>
      <c r="AM128" s="1308"/>
      <c r="AN128" s="1309"/>
    </row>
    <row r="129" spans="1:47" ht="18" customHeight="1">
      <c r="A129" s="1144" t="s">
        <v>936</v>
      </c>
      <c r="B129" s="1144"/>
      <c r="C129" s="1144"/>
      <c r="D129" s="1144"/>
      <c r="E129" s="607"/>
      <c r="F129" s="607"/>
      <c r="G129" s="607"/>
      <c r="H129" s="607"/>
      <c r="I129" s="607"/>
      <c r="J129" s="607"/>
      <c r="K129" s="607"/>
      <c r="L129" s="607"/>
      <c r="M129" s="607"/>
      <c r="N129" s="602"/>
      <c r="AB129" s="455"/>
      <c r="AC129" s="1299" t="s">
        <v>815</v>
      </c>
      <c r="AD129" s="995"/>
      <c r="AE129" s="995"/>
      <c r="AF129" s="995"/>
      <c r="AG129" s="995"/>
      <c r="AH129" s="995"/>
      <c r="AI129" s="1300"/>
      <c r="AJ129" s="1310">
        <f>-AM88</f>
        <v>-2.4</v>
      </c>
      <c r="AK129" s="1311"/>
      <c r="AL129" s="1311"/>
      <c r="AM129" s="1311"/>
      <c r="AN129" s="1312"/>
    </row>
    <row r="130" spans="1:47" ht="18" customHeight="1">
      <c r="A130" s="3"/>
      <c r="B130" s="3"/>
      <c r="C130" s="3"/>
      <c r="D130" s="3"/>
      <c r="E130" s="3"/>
      <c r="F130" s="3"/>
      <c r="G130" s="3"/>
      <c r="H130" s="3"/>
      <c r="I130" s="3"/>
      <c r="J130" s="3"/>
      <c r="K130" s="3"/>
      <c r="L130" s="1139" t="s">
        <v>212</v>
      </c>
      <c r="M130" s="1139"/>
      <c r="N130" s="602"/>
      <c r="AB130" s="456"/>
      <c r="AC130" s="1322" t="s">
        <v>816</v>
      </c>
      <c r="AD130" s="1120"/>
      <c r="AE130" s="1120"/>
      <c r="AF130" s="1120"/>
      <c r="AG130" s="1120"/>
      <c r="AH130" s="1120"/>
      <c r="AI130" s="1323"/>
      <c r="AJ130" s="1301">
        <f>-AM96</f>
        <v>-0.3</v>
      </c>
      <c r="AK130" s="1302"/>
      <c r="AL130" s="1302"/>
      <c r="AM130" s="1302"/>
      <c r="AN130" s="1303"/>
    </row>
    <row r="131" spans="1:47" ht="18" customHeight="1">
      <c r="A131" s="1082" t="s">
        <v>3</v>
      </c>
      <c r="B131" s="1084"/>
      <c r="C131" s="1148" t="s">
        <v>792</v>
      </c>
      <c r="D131" s="1149"/>
      <c r="E131" s="1150"/>
      <c r="F131" s="1151" t="s">
        <v>931</v>
      </c>
      <c r="G131" s="1151"/>
      <c r="H131" s="1151"/>
      <c r="I131" s="1151"/>
      <c r="J131" s="1151" t="s">
        <v>932</v>
      </c>
      <c r="K131" s="1151"/>
      <c r="L131" s="1151" t="s">
        <v>933</v>
      </c>
      <c r="M131" s="1151"/>
      <c r="N131" s="602"/>
      <c r="AB131" s="457">
        <v>3</v>
      </c>
      <c r="AC131" s="1324" t="s">
        <v>817</v>
      </c>
      <c r="AD131" s="1325"/>
      <c r="AE131" s="1325"/>
      <c r="AF131" s="1325"/>
      <c r="AG131" s="1325"/>
      <c r="AH131" s="1325"/>
      <c r="AI131" s="1326"/>
      <c r="AJ131" s="1307" t="e">
        <f>SUM(AJ128:AN130)</f>
        <v>#REF!</v>
      </c>
      <c r="AK131" s="1308"/>
      <c r="AL131" s="1308"/>
      <c r="AM131" s="1308"/>
      <c r="AN131" s="1309"/>
    </row>
    <row r="132" spans="1:47" ht="18" customHeight="1">
      <c r="A132" s="1087">
        <v>1</v>
      </c>
      <c r="B132" s="936"/>
      <c r="C132" s="1087" t="s">
        <v>937</v>
      </c>
      <c r="D132" s="935"/>
      <c r="E132" s="936"/>
      <c r="F132" s="1172">
        <f>Q132</f>
        <v>9.1</v>
      </c>
      <c r="G132" s="1172"/>
      <c r="H132" s="1172"/>
      <c r="I132" s="1172"/>
      <c r="J132" s="1172">
        <f>F132</f>
        <v>9.1</v>
      </c>
      <c r="K132" s="962"/>
      <c r="L132" s="1172">
        <f>J132</f>
        <v>9.1</v>
      </c>
      <c r="M132" s="962"/>
      <c r="N132" s="602"/>
      <c r="Q132" s="1173">
        <f>L55*H64</f>
        <v>9.1</v>
      </c>
      <c r="R132" s="1173"/>
      <c r="S132" s="1173"/>
      <c r="T132" s="1173"/>
      <c r="U132" s="447">
        <f>L55*H64*4/12</f>
        <v>3.0333333333333332</v>
      </c>
      <c r="AB132" s="456"/>
      <c r="AC132" s="1322" t="s">
        <v>11</v>
      </c>
      <c r="AD132" s="1120"/>
      <c r="AE132" s="1120"/>
      <c r="AF132" s="1120"/>
      <c r="AG132" s="1120"/>
      <c r="AH132" s="1120"/>
      <c r="AI132" s="1323"/>
      <c r="AJ132" s="1301">
        <f>-AM105</f>
        <v>-0.36</v>
      </c>
      <c r="AK132" s="1302"/>
      <c r="AL132" s="1302"/>
      <c r="AM132" s="1302"/>
      <c r="AN132" s="1303"/>
    </row>
    <row r="133" spans="1:47" ht="18" customHeight="1">
      <c r="N133" s="602"/>
      <c r="AB133" s="444">
        <v>4</v>
      </c>
      <c r="AC133" s="1315" t="s">
        <v>12</v>
      </c>
      <c r="AD133" s="1315"/>
      <c r="AE133" s="1315"/>
      <c r="AF133" s="1315"/>
      <c r="AG133" s="1315"/>
      <c r="AH133" s="1315"/>
      <c r="AI133" s="1316"/>
      <c r="AJ133" s="1317" t="e">
        <f>SUM(AJ131:AN132)</f>
        <v>#REF!</v>
      </c>
      <c r="AK133" s="1318"/>
      <c r="AL133" s="1318"/>
      <c r="AM133" s="1318"/>
      <c r="AN133" s="1319"/>
    </row>
    <row r="134" spans="1:47" ht="18" customHeight="1">
      <c r="N134" s="602"/>
      <c r="AB134"/>
      <c r="AC134"/>
      <c r="AD134"/>
      <c r="AE134"/>
      <c r="AF134"/>
      <c r="AG134"/>
      <c r="AH134"/>
      <c r="AI134"/>
      <c r="AJ134"/>
      <c r="AK134"/>
      <c r="AL134"/>
      <c r="AM134"/>
      <c r="AN134"/>
      <c r="AO134"/>
      <c r="AP134"/>
      <c r="AQ134"/>
      <c r="AR134"/>
      <c r="AS134"/>
      <c r="AT134"/>
      <c r="AU134"/>
    </row>
    <row r="135" spans="1:47" ht="18" customHeight="1">
      <c r="A135" s="1170" t="s">
        <v>1130</v>
      </c>
      <c r="B135" s="1170"/>
      <c r="C135" s="1170"/>
      <c r="D135" s="1170"/>
      <c r="E135" s="1170"/>
      <c r="F135" s="1170"/>
      <c r="G135" s="1170"/>
      <c r="H135" s="1170"/>
      <c r="I135" s="1170"/>
      <c r="J135" s="1170"/>
      <c r="K135" s="1170"/>
      <c r="L135" s="1170"/>
      <c r="M135" s="1170"/>
      <c r="N135" s="602"/>
      <c r="AB135" s="1320" t="s">
        <v>13</v>
      </c>
      <c r="AC135" s="1320"/>
      <c r="AD135" s="1320"/>
      <c r="AE135" s="1320"/>
      <c r="AF135" s="1320"/>
      <c r="AG135" s="1320"/>
      <c r="AH135" s="1320"/>
      <c r="AI135" s="1320"/>
      <c r="AJ135" s="1320"/>
      <c r="AK135" s="1320"/>
      <c r="AL135" s="1320"/>
      <c r="AM135" s="1320"/>
      <c r="AN135" s="1320"/>
    </row>
    <row r="136" spans="1:47" ht="18" customHeight="1">
      <c r="A136" s="1171" t="s">
        <v>904</v>
      </c>
      <c r="B136" s="1171"/>
      <c r="C136" s="1171"/>
      <c r="D136" s="1171"/>
      <c r="E136" s="1171"/>
      <c r="F136" s="1171"/>
      <c r="G136" s="1171"/>
      <c r="H136" s="1171"/>
      <c r="I136" s="1171"/>
      <c r="J136" s="1171"/>
      <c r="K136" s="1171"/>
      <c r="L136" s="1171"/>
      <c r="M136" s="1171"/>
      <c r="N136" s="602"/>
      <c r="AB136"/>
      <c r="AC136"/>
      <c r="AD136"/>
      <c r="AE136"/>
      <c r="AF136"/>
      <c r="AG136"/>
      <c r="AH136"/>
      <c r="AI136"/>
      <c r="AJ136"/>
      <c r="AK136"/>
      <c r="AL136"/>
      <c r="AM136"/>
      <c r="AN136"/>
      <c r="AO136"/>
      <c r="AP136"/>
      <c r="AQ136"/>
      <c r="AR136"/>
      <c r="AS136"/>
      <c r="AT136"/>
      <c r="AU136"/>
    </row>
    <row r="137" spans="1:47" ht="18" customHeight="1">
      <c r="A137" s="1148" t="s">
        <v>3</v>
      </c>
      <c r="B137" s="1150"/>
      <c r="C137" s="1151" t="s">
        <v>4</v>
      </c>
      <c r="D137" s="1151"/>
      <c r="E137" s="1148" t="s">
        <v>787</v>
      </c>
      <c r="F137" s="1149"/>
      <c r="G137" s="1150"/>
      <c r="H137" s="444" t="s">
        <v>5</v>
      </c>
      <c r="I137" s="1148" t="s">
        <v>788</v>
      </c>
      <c r="J137" s="1149"/>
      <c r="K137" s="1150"/>
      <c r="L137" s="1148" t="s">
        <v>789</v>
      </c>
      <c r="M137" s="1150"/>
      <c r="N137" s="602"/>
      <c r="P137" s="622" t="s">
        <v>811</v>
      </c>
      <c r="Q137" s="622"/>
      <c r="R137" s="622"/>
      <c r="S137" s="623"/>
      <c r="T137" s="616">
        <v>0.1</v>
      </c>
      <c r="Z137" s="617"/>
      <c r="AB137" s="1321" t="s">
        <v>14</v>
      </c>
      <c r="AC137" s="1321"/>
      <c r="AD137" s="1321"/>
      <c r="AE137" s="1321"/>
      <c r="AF137" s="1321"/>
      <c r="AG137" s="1321"/>
      <c r="AH137" s="1321"/>
      <c r="AI137" s="1321"/>
      <c r="AJ137" s="1321"/>
      <c r="AK137" s="1321"/>
      <c r="AL137" s="1321"/>
      <c r="AM137" s="1321"/>
      <c r="AN137" s="1321"/>
    </row>
    <row r="138" spans="1:47" ht="18" customHeight="1">
      <c r="A138" s="1158">
        <f>IF(E138="","",_xlfn.AGGREGATE(3,5,$E$138:E138))</f>
        <v>1</v>
      </c>
      <c r="B138" s="1158"/>
      <c r="C138" s="1169" t="s">
        <v>1138</v>
      </c>
      <c r="D138" s="1169"/>
      <c r="E138" s="1161">
        <f>E76</f>
        <v>8000</v>
      </c>
      <c r="F138" s="1162"/>
      <c r="G138" s="1163"/>
      <c r="H138" s="653">
        <v>850</v>
      </c>
      <c r="I138" s="1164">
        <f>IFERROR(IF(H138&gt;0,E138*H138,""),"")</f>
        <v>6800000</v>
      </c>
      <c r="J138" s="1165"/>
      <c r="K138" s="1166"/>
      <c r="L138" s="1167">
        <f t="shared" ref="L138:L141" si="10">IFERROR(IF(T138="yes",+I138*6,I138),"")</f>
        <v>40800000</v>
      </c>
      <c r="M138" s="1168"/>
      <c r="O138" s="624">
        <f>H76</f>
        <v>800</v>
      </c>
      <c r="P138" s="1138" t="str">
        <f t="shared" ref="P138:P141" si="11">IF(H138="","","weµq wK 1 P‡µi?")</f>
        <v>weµq wK 1 P‡µi?</v>
      </c>
      <c r="Q138" s="1138"/>
      <c r="R138" s="1138"/>
      <c r="S138" s="1138"/>
      <c r="T138" s="447" t="s">
        <v>790</v>
      </c>
      <c r="Z138" s="618"/>
      <c r="AB138"/>
      <c r="AC138"/>
      <c r="AD138"/>
      <c r="AE138"/>
      <c r="AF138"/>
      <c r="AG138"/>
      <c r="AH138"/>
      <c r="AI138"/>
      <c r="AJ138"/>
      <c r="AK138"/>
      <c r="AL138"/>
      <c r="AM138"/>
      <c r="AN138"/>
      <c r="AO138"/>
      <c r="AP138"/>
      <c r="AQ138"/>
      <c r="AR138"/>
      <c r="AS138"/>
      <c r="AT138"/>
      <c r="AU138"/>
    </row>
    <row r="139" spans="1:47" ht="18" customHeight="1">
      <c r="A139" s="1158">
        <f>IF(E139="","",_xlfn.AGGREGATE(3,5,$E$138:E139))</f>
        <v>2</v>
      </c>
      <c r="B139" s="1158"/>
      <c r="C139" s="1169" t="s">
        <v>1139</v>
      </c>
      <c r="D139" s="1169"/>
      <c r="E139" s="1161">
        <f>E77</f>
        <v>7000</v>
      </c>
      <c r="F139" s="1162"/>
      <c r="G139" s="1163"/>
      <c r="H139" s="653">
        <v>650</v>
      </c>
      <c r="I139" s="1164">
        <f t="shared" ref="I139:I141" si="12">IFERROR(IF(H139&gt;0,E139*H139,""),"")</f>
        <v>4550000</v>
      </c>
      <c r="J139" s="1165"/>
      <c r="K139" s="1166"/>
      <c r="L139" s="1167">
        <f t="shared" si="10"/>
        <v>27300000</v>
      </c>
      <c r="M139" s="1168"/>
      <c r="O139" s="624">
        <f>H77</f>
        <v>600</v>
      </c>
      <c r="P139" s="1138" t="str">
        <f t="shared" si="11"/>
        <v>weµq wK 1 P‡µi?</v>
      </c>
      <c r="Q139" s="1138"/>
      <c r="R139" s="1138"/>
      <c r="S139" s="1138"/>
      <c r="T139" s="447" t="s">
        <v>790</v>
      </c>
      <c r="Z139" s="618"/>
      <c r="AB139" s="450" t="s">
        <v>15</v>
      </c>
      <c r="AC139" s="450" t="s">
        <v>4</v>
      </c>
      <c r="AD139" s="588"/>
      <c r="AE139" s="588"/>
      <c r="AF139" s="588"/>
      <c r="AG139" s="1148" t="s">
        <v>518</v>
      </c>
      <c r="AH139" s="1149"/>
      <c r="AI139" s="1149"/>
      <c r="AJ139" s="1149"/>
      <c r="AK139" s="1149" t="s">
        <v>9</v>
      </c>
      <c r="AL139" s="1149"/>
      <c r="AM139" s="1149"/>
      <c r="AN139" s="1150"/>
    </row>
    <row r="140" spans="1:47" ht="18" customHeight="1">
      <c r="A140" s="1158">
        <f>IF(E140="","",_xlfn.AGGREGATE(3,5,$E$138:E140))</f>
        <v>3</v>
      </c>
      <c r="B140" s="1158"/>
      <c r="C140" s="1169" t="s">
        <v>1140</v>
      </c>
      <c r="D140" s="1169"/>
      <c r="E140" s="1161">
        <f>E78</f>
        <v>2000</v>
      </c>
      <c r="F140" s="1162"/>
      <c r="G140" s="1163"/>
      <c r="H140" s="653">
        <v>450</v>
      </c>
      <c r="I140" s="1164">
        <f t="shared" si="12"/>
        <v>900000</v>
      </c>
      <c r="J140" s="1165"/>
      <c r="K140" s="1166"/>
      <c r="L140" s="1167">
        <f t="shared" si="10"/>
        <v>5400000</v>
      </c>
      <c r="M140" s="1168"/>
      <c r="O140" s="624">
        <f>H78</f>
        <v>400</v>
      </c>
      <c r="P140" s="1138" t="str">
        <f t="shared" si="11"/>
        <v>weµq wK 1 P‡µi?</v>
      </c>
      <c r="Q140" s="1138"/>
      <c r="R140" s="1138"/>
      <c r="S140" s="1138"/>
      <c r="T140" s="447" t="s">
        <v>790</v>
      </c>
      <c r="Z140" s="618"/>
      <c r="AB140" s="436">
        <v>1</v>
      </c>
      <c r="AC140" s="449" t="s">
        <v>16</v>
      </c>
      <c r="AD140" s="585"/>
      <c r="AE140" s="585"/>
      <c r="AF140" s="585"/>
      <c r="AG140" s="1330">
        <f>+'Data Input'!G15/100000</f>
        <v>0</v>
      </c>
      <c r="AH140" s="1331"/>
      <c r="AI140" s="1331"/>
      <c r="AJ140" s="1331"/>
      <c r="AK140" s="1331">
        <f>+$AG$140</f>
        <v>0</v>
      </c>
      <c r="AL140" s="1331"/>
      <c r="AM140" s="1331"/>
      <c r="AN140" s="1332"/>
    </row>
    <row r="141" spans="1:47" ht="18" customHeight="1">
      <c r="A141" s="1158">
        <f>IF(E141="","",_xlfn.AGGREGATE(3,5,$E$138:E141))</f>
        <v>4</v>
      </c>
      <c r="B141" s="1158"/>
      <c r="C141" s="1159" t="s">
        <v>1141</v>
      </c>
      <c r="D141" s="1160"/>
      <c r="E141" s="1161">
        <f>E79</f>
        <v>2000</v>
      </c>
      <c r="F141" s="1162"/>
      <c r="G141" s="1163"/>
      <c r="H141" s="653">
        <v>350</v>
      </c>
      <c r="I141" s="1164">
        <f t="shared" si="12"/>
        <v>700000</v>
      </c>
      <c r="J141" s="1165"/>
      <c r="K141" s="1166"/>
      <c r="L141" s="1167">
        <f t="shared" si="10"/>
        <v>4200000</v>
      </c>
      <c r="M141" s="1168"/>
      <c r="O141" s="624">
        <f>H79</f>
        <v>300</v>
      </c>
      <c r="P141" s="1138" t="str">
        <f t="shared" si="11"/>
        <v>weµq wK 1 P‡µi?</v>
      </c>
      <c r="Q141" s="1138"/>
      <c r="R141" s="1138"/>
      <c r="S141" s="1138"/>
      <c r="T141" s="447" t="s">
        <v>790</v>
      </c>
      <c r="Z141" s="618"/>
      <c r="AB141" s="436">
        <v>2</v>
      </c>
      <c r="AC141" s="449" t="s">
        <v>17</v>
      </c>
      <c r="AD141" s="585"/>
      <c r="AE141" s="585"/>
      <c r="AF141" s="585"/>
      <c r="AG141" s="1327">
        <f>+'Data Input'!G16/100000</f>
        <v>-5</v>
      </c>
      <c r="AH141" s="1328"/>
      <c r="AI141" s="1328"/>
      <c r="AJ141" s="1328"/>
      <c r="AK141" s="1328">
        <f>+$AG$141</f>
        <v>-5</v>
      </c>
      <c r="AL141" s="1328"/>
      <c r="AM141" s="1328"/>
      <c r="AN141" s="1329"/>
    </row>
    <row r="142" spans="1:47" ht="18" customHeight="1">
      <c r="A142" s="1140" t="s">
        <v>807</v>
      </c>
      <c r="B142" s="1140"/>
      <c r="C142" s="1140"/>
      <c r="D142" s="1140"/>
      <c r="E142" s="1140"/>
      <c r="F142" s="1140"/>
      <c r="G142" s="1140"/>
      <c r="H142" s="1140"/>
      <c r="I142" s="1141">
        <f>SUM(I138:J141)</f>
        <v>12950000</v>
      </c>
      <c r="J142" s="1142"/>
      <c r="K142" s="1143"/>
      <c r="L142" s="1141">
        <f>SUM(L138:M141)</f>
        <v>77700000</v>
      </c>
      <c r="M142" s="1143"/>
      <c r="N142" s="619"/>
      <c r="AB142" s="436">
        <v>2</v>
      </c>
      <c r="AC142" s="449" t="s">
        <v>10</v>
      </c>
      <c r="AD142" s="585"/>
      <c r="AE142" s="585"/>
      <c r="AF142" s="585"/>
      <c r="AG142" s="1327" t="e">
        <f>+#REF!</f>
        <v>#REF!</v>
      </c>
      <c r="AH142" s="1328"/>
      <c r="AI142" s="1328"/>
      <c r="AJ142" s="1328"/>
      <c r="AK142" s="1328" t="e">
        <f>+#REF!</f>
        <v>#REF!</v>
      </c>
      <c r="AL142" s="1328"/>
      <c r="AM142" s="1328"/>
      <c r="AN142" s="1329"/>
    </row>
    <row r="143" spans="1:47" ht="18" customHeight="1">
      <c r="N143" s="602"/>
      <c r="AB143" s="436">
        <v>3</v>
      </c>
      <c r="AC143" s="449" t="s">
        <v>815</v>
      </c>
      <c r="AD143" s="585"/>
      <c r="AE143" s="585"/>
      <c r="AF143" s="585"/>
      <c r="AG143" s="1327">
        <f>+AK88</f>
        <v>0.39999999999999997</v>
      </c>
      <c r="AH143" s="1328"/>
      <c r="AI143" s="1328"/>
      <c r="AJ143" s="1328"/>
      <c r="AK143" s="1328">
        <f>+AM88</f>
        <v>2.4</v>
      </c>
      <c r="AL143" s="1328"/>
      <c r="AM143" s="1328"/>
      <c r="AN143" s="1329"/>
    </row>
    <row r="144" spans="1:47" ht="18" customHeight="1">
      <c r="N144" s="602"/>
      <c r="AB144" s="436">
        <v>4</v>
      </c>
      <c r="AC144" s="449" t="s">
        <v>818</v>
      </c>
      <c r="AD144" s="585"/>
      <c r="AE144" s="585"/>
      <c r="AF144" s="585"/>
      <c r="AG144" s="1327">
        <f>+AK96</f>
        <v>0.05</v>
      </c>
      <c r="AH144" s="1328"/>
      <c r="AI144" s="1328"/>
      <c r="AJ144" s="1328"/>
      <c r="AK144" s="1328">
        <f>+AM96</f>
        <v>0.3</v>
      </c>
      <c r="AL144" s="1328"/>
      <c r="AM144" s="1328"/>
      <c r="AN144" s="1329"/>
    </row>
    <row r="145" spans="1:47" ht="18" customHeight="1">
      <c r="N145" s="602"/>
      <c r="AB145" s="436"/>
      <c r="AC145" s="449"/>
      <c r="AD145" s="585"/>
      <c r="AE145" s="585"/>
      <c r="AF145" s="585"/>
      <c r="AG145" s="677"/>
      <c r="AH145" s="678"/>
      <c r="AI145" s="678"/>
      <c r="AJ145" s="678"/>
      <c r="AK145" s="678"/>
      <c r="AL145" s="678"/>
      <c r="AM145" s="678"/>
      <c r="AN145" s="679"/>
    </row>
    <row r="146" spans="1:47" ht="18" customHeight="1">
      <c r="N146" s="602"/>
      <c r="AB146" s="436"/>
      <c r="AC146" s="449"/>
      <c r="AD146" s="585"/>
      <c r="AE146" s="585"/>
      <c r="AF146" s="585"/>
      <c r="AG146" s="677"/>
      <c r="AH146" s="678"/>
      <c r="AI146" s="678"/>
      <c r="AJ146" s="678"/>
      <c r="AK146" s="678"/>
      <c r="AL146" s="678"/>
      <c r="AM146" s="678"/>
      <c r="AN146" s="679"/>
    </row>
    <row r="147" spans="1:47" ht="18" customHeight="1">
      <c r="N147" s="602"/>
      <c r="AB147" s="436"/>
      <c r="AC147" s="449"/>
      <c r="AD147" s="585"/>
      <c r="AE147" s="585"/>
      <c r="AF147" s="585"/>
      <c r="AG147" s="677"/>
      <c r="AH147" s="678"/>
      <c r="AI147" s="678"/>
      <c r="AJ147" s="678"/>
      <c r="AK147" s="678"/>
      <c r="AL147" s="678"/>
      <c r="AM147" s="678"/>
      <c r="AN147" s="679"/>
    </row>
    <row r="148" spans="1:47" ht="18" customHeight="1">
      <c r="A148" s="1144" t="s">
        <v>938</v>
      </c>
      <c r="B148" s="1144"/>
      <c r="C148" s="1144"/>
      <c r="D148" s="1144"/>
      <c r="E148" s="607"/>
      <c r="F148" s="607"/>
      <c r="G148" s="607"/>
      <c r="H148" s="607"/>
      <c r="I148" s="607"/>
      <c r="J148" s="607"/>
      <c r="K148" s="607"/>
      <c r="L148" s="607"/>
      <c r="M148" s="607"/>
      <c r="N148" s="602"/>
      <c r="AB148" s="436">
        <v>5</v>
      </c>
      <c r="AC148" s="449" t="s">
        <v>11</v>
      </c>
      <c r="AD148" s="585"/>
      <c r="AE148" s="585"/>
      <c r="AF148" s="585"/>
      <c r="AG148" s="1327">
        <f>+AK105</f>
        <v>0.06</v>
      </c>
      <c r="AH148" s="1328"/>
      <c r="AI148" s="1328"/>
      <c r="AJ148" s="1328"/>
      <c r="AK148" s="1328">
        <f>+AM105</f>
        <v>0.36</v>
      </c>
      <c r="AL148" s="1328"/>
      <c r="AM148" s="1328"/>
      <c r="AN148" s="1329"/>
    </row>
    <row r="149" spans="1:47" ht="18" customHeight="1">
      <c r="A149" s="3"/>
      <c r="B149" s="3"/>
      <c r="C149" s="3"/>
      <c r="D149" s="3"/>
      <c r="E149" s="3"/>
      <c r="F149" s="3"/>
      <c r="G149" s="3"/>
      <c r="H149" s="3"/>
      <c r="I149" s="3"/>
      <c r="J149" s="3"/>
      <c r="K149" s="3"/>
      <c r="L149" s="1139" t="s">
        <v>212</v>
      </c>
      <c r="M149" s="1139"/>
      <c r="N149" s="602"/>
      <c r="AB149" s="436">
        <v>6</v>
      </c>
      <c r="AC149" s="449" t="s">
        <v>18</v>
      </c>
      <c r="AD149" s="585"/>
      <c r="AE149" s="585"/>
      <c r="AF149" s="585"/>
      <c r="AG149" s="1327" t="s">
        <v>6</v>
      </c>
      <c r="AH149" s="1328"/>
      <c r="AI149" s="1328"/>
      <c r="AJ149" s="1328"/>
      <c r="AK149" s="1328" t="s">
        <v>6</v>
      </c>
      <c r="AL149" s="1328"/>
      <c r="AM149" s="1328"/>
      <c r="AN149" s="1329"/>
    </row>
    <row r="150" spans="1:47" ht="18" customHeight="1">
      <c r="A150" s="1148" t="s">
        <v>3</v>
      </c>
      <c r="B150" s="1150"/>
      <c r="C150" s="1148" t="s">
        <v>792</v>
      </c>
      <c r="D150" s="1149"/>
      <c r="E150" s="1150"/>
      <c r="F150" s="1151" t="s">
        <v>931</v>
      </c>
      <c r="G150" s="1151"/>
      <c r="H150" s="1151"/>
      <c r="I150" s="1151"/>
      <c r="J150" s="1151" t="s">
        <v>932</v>
      </c>
      <c r="K150" s="1151"/>
      <c r="L150" s="1151" t="s">
        <v>933</v>
      </c>
      <c r="M150" s="1151"/>
      <c r="N150" s="602"/>
      <c r="AB150" s="436">
        <v>7</v>
      </c>
      <c r="AC150" s="450" t="s">
        <v>819</v>
      </c>
      <c r="AD150" s="588"/>
      <c r="AE150" s="588"/>
      <c r="AF150" s="588"/>
      <c r="AG150" s="1341" t="e">
        <f>SUM(AG142:AJ149)</f>
        <v>#REF!</v>
      </c>
      <c r="AH150" s="1342"/>
      <c r="AI150" s="1342"/>
      <c r="AJ150" s="1342"/>
      <c r="AK150" s="1342" t="e">
        <f>SUM(AK142:AN149)</f>
        <v>#REF!</v>
      </c>
      <c r="AL150" s="1342"/>
      <c r="AM150" s="1342"/>
      <c r="AN150" s="1343"/>
    </row>
    <row r="151" spans="1:47" ht="18" customHeight="1">
      <c r="A151" s="1152" t="s">
        <v>300</v>
      </c>
      <c r="B151" s="1152"/>
      <c r="C151" s="909" t="s">
        <v>939</v>
      </c>
      <c r="D151" s="910"/>
      <c r="E151" s="911"/>
      <c r="F151" s="1157">
        <f>Q151</f>
        <v>777</v>
      </c>
      <c r="G151" s="1157"/>
      <c r="H151" s="1157"/>
      <c r="I151" s="1157"/>
      <c r="J151" s="1157">
        <f>F151</f>
        <v>777</v>
      </c>
      <c r="K151" s="1157"/>
      <c r="L151" s="1157">
        <f>J151</f>
        <v>777</v>
      </c>
      <c r="M151" s="1157"/>
      <c r="N151" s="602"/>
      <c r="Q151" s="1132">
        <f>L142/100000</f>
        <v>777</v>
      </c>
      <c r="R151" s="1132"/>
      <c r="S151" s="1132"/>
      <c r="AB151" s="436">
        <v>8</v>
      </c>
      <c r="AC151" s="450" t="s">
        <v>19</v>
      </c>
      <c r="AD151" s="588"/>
      <c r="AE151" s="588"/>
      <c r="AF151" s="588"/>
      <c r="AG151" s="1341" t="e">
        <f>+#REF!-AG150</f>
        <v>#REF!</v>
      </c>
      <c r="AH151" s="1342"/>
      <c r="AI151" s="1342"/>
      <c r="AJ151" s="1342"/>
      <c r="AK151" s="1342" t="e">
        <f>+#REF!-AK150</f>
        <v>#REF!</v>
      </c>
      <c r="AL151" s="1342"/>
      <c r="AM151" s="1342"/>
      <c r="AN151" s="1343"/>
    </row>
    <row r="152" spans="1:47" ht="18" customHeight="1">
      <c r="A152" s="1152" t="s">
        <v>301</v>
      </c>
      <c r="B152" s="1152"/>
      <c r="C152" s="909" t="s">
        <v>815</v>
      </c>
      <c r="D152" s="910"/>
      <c r="E152" s="911"/>
      <c r="F152" s="1157">
        <f>F127</f>
        <v>730.32</v>
      </c>
      <c r="G152" s="1157"/>
      <c r="H152" s="1157"/>
      <c r="I152" s="1157"/>
      <c r="J152" s="1157">
        <f t="shared" ref="J152:J157" si="13">F152</f>
        <v>730.32</v>
      </c>
      <c r="K152" s="1157"/>
      <c r="L152" s="1157">
        <f t="shared" ref="L152:L157" si="14">J152</f>
        <v>730.32</v>
      </c>
      <c r="M152" s="1157"/>
      <c r="N152" s="602"/>
      <c r="Q152" s="1132"/>
      <c r="R152" s="1132"/>
      <c r="S152" s="1132"/>
      <c r="AB152"/>
      <c r="AC152"/>
      <c r="AD152"/>
      <c r="AE152"/>
      <c r="AF152"/>
      <c r="AG152"/>
      <c r="AH152"/>
      <c r="AI152"/>
      <c r="AJ152"/>
      <c r="AK152"/>
      <c r="AL152"/>
      <c r="AM152"/>
      <c r="AN152"/>
      <c r="AO152"/>
      <c r="AP152"/>
      <c r="AQ152"/>
      <c r="AR152"/>
      <c r="AS152"/>
      <c r="AT152"/>
      <c r="AU152"/>
    </row>
    <row r="153" spans="1:47" ht="18" customHeight="1">
      <c r="A153" s="1152" t="s">
        <v>302</v>
      </c>
      <c r="B153" s="1152"/>
      <c r="C153" s="1087" t="s">
        <v>940</v>
      </c>
      <c r="D153" s="935"/>
      <c r="E153" s="936"/>
      <c r="F153" s="1157">
        <f>F151-F152</f>
        <v>46.67999999999995</v>
      </c>
      <c r="G153" s="1157"/>
      <c r="H153" s="1157"/>
      <c r="I153" s="1157"/>
      <c r="J153" s="1157">
        <f t="shared" si="13"/>
        <v>46.67999999999995</v>
      </c>
      <c r="K153" s="1157"/>
      <c r="L153" s="1157">
        <f t="shared" si="14"/>
        <v>46.67999999999995</v>
      </c>
      <c r="M153" s="1157"/>
      <c r="N153" s="602"/>
      <c r="Q153" s="1132"/>
      <c r="R153" s="1132"/>
      <c r="S153" s="1132"/>
      <c r="AB153" s="1344" t="s">
        <v>820</v>
      </c>
      <c r="AC153" s="1344"/>
      <c r="AD153" s="1344"/>
      <c r="AE153" s="1344"/>
      <c r="AF153" s="1344"/>
      <c r="AG153" s="1344"/>
      <c r="AH153" s="1344"/>
      <c r="AI153" s="1344"/>
      <c r="AJ153" s="1344"/>
      <c r="AK153" s="1344"/>
      <c r="AL153" s="1344"/>
      <c r="AM153" s="1344"/>
      <c r="AN153" s="1344"/>
    </row>
    <row r="154" spans="1:47" ht="18" customHeight="1">
      <c r="A154" s="1152" t="s">
        <v>303</v>
      </c>
      <c r="B154" s="1152"/>
      <c r="C154" s="909" t="s">
        <v>651</v>
      </c>
      <c r="D154" s="910"/>
      <c r="E154" s="911"/>
      <c r="F154" s="1157">
        <f>Q154</f>
        <v>0.21</v>
      </c>
      <c r="G154" s="1157"/>
      <c r="H154" s="1157"/>
      <c r="I154" s="1157"/>
      <c r="J154" s="1157">
        <f t="shared" si="13"/>
        <v>0.21</v>
      </c>
      <c r="K154" s="1157"/>
      <c r="L154" s="1157">
        <f t="shared" si="14"/>
        <v>0.21</v>
      </c>
      <c r="M154" s="1157"/>
      <c r="N154" s="602"/>
      <c r="Q154" s="1132">
        <v>0.21</v>
      </c>
      <c r="R154" s="1132"/>
      <c r="S154" s="1132"/>
      <c r="AC154" s="1335" t="s">
        <v>821</v>
      </c>
      <c r="AD154" s="1336"/>
      <c r="AE154" s="1336"/>
      <c r="AF154" s="1336"/>
      <c r="AG154" s="1336"/>
      <c r="AH154" s="1336"/>
      <c r="AI154" s="1337"/>
      <c r="AJ154" s="1338" t="e">
        <f ca="1">'Data Input'!G16&amp;"/- UvKv, ("&amp;ConvertCurrencyToBangla('Data Input'!G16)&amp;" ) gvÎ|"</f>
        <v>#NAME?</v>
      </c>
      <c r="AK154" s="1338"/>
      <c r="AL154" s="1338"/>
      <c r="AM154" s="1338"/>
      <c r="AN154" s="1338"/>
    </row>
    <row r="155" spans="1:47" ht="18" customHeight="1">
      <c r="A155" s="1152" t="s">
        <v>304</v>
      </c>
      <c r="B155" s="1152"/>
      <c r="C155" s="909" t="s">
        <v>941</v>
      </c>
      <c r="D155" s="910"/>
      <c r="E155" s="911"/>
      <c r="F155" s="1157">
        <f>F153-F154</f>
        <v>46.469999999999949</v>
      </c>
      <c r="G155" s="1157"/>
      <c r="H155" s="1157"/>
      <c r="I155" s="1157"/>
      <c r="J155" s="1157">
        <f t="shared" si="13"/>
        <v>46.469999999999949</v>
      </c>
      <c r="K155" s="1157"/>
      <c r="L155" s="1157">
        <f t="shared" si="14"/>
        <v>46.469999999999949</v>
      </c>
      <c r="M155" s="1157"/>
      <c r="N155" s="602"/>
      <c r="Q155" s="1132"/>
      <c r="R155" s="1132"/>
      <c r="S155" s="1132"/>
      <c r="AC155" s="1335" t="s">
        <v>822</v>
      </c>
      <c r="AD155" s="1336"/>
      <c r="AE155" s="1336"/>
      <c r="AF155" s="1336"/>
      <c r="AG155" s="1336"/>
      <c r="AH155" s="1336"/>
      <c r="AI155" s="1337"/>
      <c r="AJ155" s="1338" t="e">
        <f ca="1">'Data Input'!G15&amp;"/- UvKv, ("&amp;ConvertCurrencyToBangla('Data Input'!G15)&amp;" ) gvÎ|"</f>
        <v>#NAME?</v>
      </c>
      <c r="AK155" s="1338"/>
      <c r="AL155" s="1338"/>
      <c r="AM155" s="1338"/>
      <c r="AN155" s="1338"/>
    </row>
    <row r="156" spans="1:47" ht="18" customHeight="1">
      <c r="A156" s="1152" t="s">
        <v>305</v>
      </c>
      <c r="B156" s="1152"/>
      <c r="C156" s="909" t="s">
        <v>11</v>
      </c>
      <c r="D156" s="910"/>
      <c r="E156" s="911"/>
      <c r="F156" s="1157">
        <f>Q156</f>
        <v>9.1</v>
      </c>
      <c r="G156" s="1157"/>
      <c r="H156" s="1157"/>
      <c r="I156" s="1157"/>
      <c r="J156" s="1157">
        <f t="shared" si="13"/>
        <v>9.1</v>
      </c>
      <c r="K156" s="1157"/>
      <c r="L156" s="1157">
        <f t="shared" si="14"/>
        <v>9.1</v>
      </c>
      <c r="M156" s="1157"/>
      <c r="N156" s="602"/>
      <c r="Q156" s="1132">
        <f>F132</f>
        <v>9.1</v>
      </c>
      <c r="R156" s="1132"/>
      <c r="S156" s="1132"/>
      <c r="AC156" s="1335" t="s">
        <v>823</v>
      </c>
      <c r="AD156" s="1336"/>
      <c r="AE156" s="1336"/>
      <c r="AF156" s="1336"/>
      <c r="AG156" s="1336"/>
      <c r="AH156" s="1336"/>
      <c r="AI156" s="1337"/>
      <c r="AJ156" s="1338" t="e">
        <f ca="1">'Data Input'!G15+'Data Input'!G16&amp;"/- UvKv, ("&amp;ConvertCurrencyToBangla('Data Input'!G15+'Data Input'!G16)&amp;" ) gvÎ|"</f>
        <v>#NAME?</v>
      </c>
      <c r="AK156" s="1338"/>
      <c r="AL156" s="1338"/>
      <c r="AM156" s="1338"/>
      <c r="AN156" s="1338"/>
    </row>
    <row r="157" spans="1:47" ht="18" customHeight="1">
      <c r="A157" s="1152" t="s">
        <v>306</v>
      </c>
      <c r="B157" s="1152"/>
      <c r="C157" s="1153" t="s">
        <v>942</v>
      </c>
      <c r="D157" s="1154"/>
      <c r="E157" s="1155"/>
      <c r="F157" s="1156">
        <f>F155-F156</f>
        <v>37.369999999999948</v>
      </c>
      <c r="G157" s="1156"/>
      <c r="H157" s="1156"/>
      <c r="I157" s="1156"/>
      <c r="J157" s="1156">
        <f t="shared" si="13"/>
        <v>37.369999999999948</v>
      </c>
      <c r="K157" s="1156"/>
      <c r="L157" s="1156">
        <f t="shared" si="14"/>
        <v>37.369999999999948</v>
      </c>
      <c r="M157" s="1156"/>
      <c r="N157" s="602"/>
      <c r="Q157" s="1132"/>
      <c r="R157" s="1132"/>
      <c r="S157" s="1132"/>
      <c r="AC157" s="1339" t="s">
        <v>824</v>
      </c>
      <c r="AD157" s="1340"/>
      <c r="AE157" s="1340"/>
      <c r="AF157" s="1340"/>
      <c r="AG157" s="1340"/>
      <c r="AH157" s="1340"/>
      <c r="AI157" s="1340"/>
      <c r="AJ157" s="458">
        <f>'Data Input'!G16/('Data Input'!G16+'Data Input'!G15)</f>
        <v>1</v>
      </c>
      <c r="AK157" s="459" t="s">
        <v>1</v>
      </c>
      <c r="AL157" s="460">
        <f>'Data Input'!G15/('Data Input'!G16+'Data Input'!G15)</f>
        <v>0</v>
      </c>
      <c r="AM157" s="459"/>
      <c r="AN157" s="461"/>
    </row>
    <row r="158" spans="1:47" ht="18" customHeight="1">
      <c r="N158" s="602"/>
      <c r="AB158" s="6"/>
    </row>
    <row r="159" spans="1:47" ht="18" customHeight="1">
      <c r="N159" s="602"/>
      <c r="AB159" s="921" t="s">
        <v>825</v>
      </c>
      <c r="AC159" s="921"/>
      <c r="AD159" s="921"/>
      <c r="AE159" s="921"/>
      <c r="AF159" s="921"/>
      <c r="AG159" s="921"/>
      <c r="AH159" s="921"/>
      <c r="AI159" s="921"/>
      <c r="AJ159" s="921"/>
      <c r="AK159" s="921"/>
      <c r="AL159" s="921"/>
      <c r="AM159" s="921"/>
      <c r="AN159" s="921"/>
    </row>
    <row r="160" spans="1:47" ht="18" customHeight="1">
      <c r="A160" s="1144" t="s">
        <v>943</v>
      </c>
      <c r="B160" s="1144"/>
      <c r="C160" s="1144"/>
      <c r="D160" s="1144"/>
      <c r="E160" s="607"/>
      <c r="F160" s="607"/>
      <c r="G160" s="607"/>
      <c r="H160" s="607"/>
      <c r="I160" s="607"/>
      <c r="J160" s="607"/>
      <c r="K160" s="607"/>
      <c r="L160" s="607"/>
      <c r="M160" s="607"/>
      <c r="N160" s="602"/>
      <c r="AB160" s="5"/>
    </row>
    <row r="161" spans="1:40" ht="18" customHeight="1">
      <c r="A161" s="3"/>
      <c r="B161" s="3"/>
      <c r="C161" s="66" t="s">
        <v>944</v>
      </c>
      <c r="D161" s="3"/>
      <c r="E161" s="3"/>
      <c r="F161" s="3"/>
      <c r="G161" s="3"/>
      <c r="H161" s="3"/>
      <c r="I161" s="3"/>
      <c r="J161" s="3"/>
      <c r="K161" s="3"/>
      <c r="L161" s="3"/>
      <c r="M161" s="3"/>
      <c r="N161" s="602"/>
      <c r="AB161" s="5"/>
    </row>
    <row r="162" spans="1:40" ht="18" customHeight="1">
      <c r="A162" s="3"/>
      <c r="B162" s="3"/>
      <c r="C162" s="3"/>
      <c r="D162" s="3"/>
      <c r="E162" s="3"/>
      <c r="F162" s="3"/>
      <c r="G162" s="3"/>
      <c r="H162" s="3"/>
      <c r="I162" s="3"/>
      <c r="J162" s="3"/>
      <c r="K162" s="3"/>
      <c r="L162" s="1139" t="s">
        <v>212</v>
      </c>
      <c r="M162" s="1139"/>
      <c r="N162" s="602"/>
      <c r="AB162" s="5"/>
    </row>
    <row r="163" spans="1:40" ht="18" customHeight="1">
      <c r="A163" s="3"/>
      <c r="B163" s="3"/>
      <c r="C163" s="1148" t="s">
        <v>792</v>
      </c>
      <c r="D163" s="1149"/>
      <c r="E163" s="1150"/>
      <c r="F163" s="1151" t="s">
        <v>931</v>
      </c>
      <c r="G163" s="1151"/>
      <c r="H163" s="1151"/>
      <c r="I163" s="1151"/>
      <c r="J163" s="1151" t="s">
        <v>932</v>
      </c>
      <c r="K163" s="1151"/>
      <c r="L163" s="1151" t="s">
        <v>933</v>
      </c>
      <c r="M163" s="1151"/>
      <c r="N163" s="602"/>
      <c r="AC163" s="921" t="s">
        <v>20</v>
      </c>
      <c r="AD163" s="921"/>
      <c r="AE163" s="921"/>
      <c r="AF163" s="921"/>
      <c r="AG163" s="921"/>
      <c r="AH163" s="3"/>
      <c r="AI163" s="921" t="s">
        <v>21</v>
      </c>
      <c r="AJ163" s="921"/>
      <c r="AK163" s="921"/>
      <c r="AL163" s="921" t="s">
        <v>22</v>
      </c>
      <c r="AM163" s="921"/>
      <c r="AN163" s="921"/>
    </row>
    <row r="164" spans="1:40" ht="18" customHeight="1">
      <c r="A164" s="3"/>
      <c r="B164" s="3"/>
      <c r="C164" s="1087" t="s">
        <v>945</v>
      </c>
      <c r="D164" s="935"/>
      <c r="E164" s="936"/>
      <c r="F164" s="1145">
        <f>F155</f>
        <v>46.469999999999949</v>
      </c>
      <c r="G164" s="962"/>
      <c r="H164" s="962"/>
      <c r="I164" s="962"/>
      <c r="J164" s="1145">
        <f>F164</f>
        <v>46.469999999999949</v>
      </c>
      <c r="K164" s="962"/>
      <c r="L164" s="1145">
        <f>J164</f>
        <v>46.469999999999949</v>
      </c>
      <c r="M164" s="962"/>
      <c r="N164" s="602"/>
    </row>
    <row r="165" spans="1:40" ht="18" customHeight="1">
      <c r="A165" s="3"/>
      <c r="B165" s="3"/>
      <c r="C165" s="1087" t="s">
        <v>946</v>
      </c>
      <c r="D165" s="935"/>
      <c r="E165" s="936"/>
      <c r="F165" s="1145">
        <f>Q165</f>
        <v>70</v>
      </c>
      <c r="G165" s="962"/>
      <c r="H165" s="962"/>
      <c r="I165" s="962"/>
      <c r="J165" s="1145">
        <f>F165</f>
        <v>70</v>
      </c>
      <c r="K165" s="962"/>
      <c r="L165" s="1145">
        <f>J165</f>
        <v>70</v>
      </c>
      <c r="M165" s="962"/>
      <c r="N165" s="602"/>
      <c r="Q165" s="1132">
        <f>L55</f>
        <v>70</v>
      </c>
      <c r="R165" s="1132"/>
      <c r="S165" s="1132"/>
    </row>
    <row r="166" spans="1:40" ht="18" customHeight="1">
      <c r="A166" s="3"/>
      <c r="B166" s="3"/>
      <c r="C166" s="1087" t="s">
        <v>947</v>
      </c>
      <c r="D166" s="935"/>
      <c r="E166" s="936"/>
      <c r="F166" s="1145">
        <f>Q166</f>
        <v>50</v>
      </c>
      <c r="G166" s="962"/>
      <c r="H166" s="962"/>
      <c r="I166" s="962"/>
      <c r="J166" s="1145">
        <f>F166</f>
        <v>50</v>
      </c>
      <c r="K166" s="962"/>
      <c r="L166" s="1145">
        <f>J166</f>
        <v>50</v>
      </c>
      <c r="M166" s="962"/>
      <c r="N166" s="602"/>
      <c r="Q166" s="1132">
        <f>L56</f>
        <v>50</v>
      </c>
      <c r="R166" s="1132"/>
      <c r="S166" s="1132"/>
    </row>
    <row r="167" spans="1:40" ht="18" customHeight="1">
      <c r="C167" s="1087" t="s">
        <v>307</v>
      </c>
      <c r="D167" s="935"/>
      <c r="E167" s="936"/>
      <c r="F167" s="1145">
        <f>F164+F165+F166</f>
        <v>166.46999999999994</v>
      </c>
      <c r="G167" s="962"/>
      <c r="H167" s="962"/>
      <c r="I167" s="962"/>
      <c r="J167" s="1145">
        <f>F167</f>
        <v>166.46999999999994</v>
      </c>
      <c r="K167" s="962"/>
      <c r="L167" s="1145">
        <f>J167</f>
        <v>166.46999999999994</v>
      </c>
      <c r="M167" s="962"/>
      <c r="N167" s="602"/>
    </row>
    <row r="168" spans="1:40" ht="18" customHeight="1">
      <c r="N168" s="602"/>
    </row>
    <row r="169" spans="1:40" ht="18" customHeight="1">
      <c r="N169" s="602"/>
    </row>
    <row r="170" spans="1:40" ht="18" customHeight="1">
      <c r="A170" s="3"/>
      <c r="B170" s="3"/>
      <c r="C170" s="66" t="s">
        <v>948</v>
      </c>
      <c r="D170" s="3"/>
      <c r="E170" s="3"/>
      <c r="F170" s="3"/>
      <c r="G170" s="3"/>
      <c r="H170" s="3"/>
      <c r="I170" s="3"/>
      <c r="J170" s="3"/>
      <c r="K170" s="3"/>
      <c r="L170" s="3"/>
      <c r="M170" s="3"/>
      <c r="N170" s="602"/>
    </row>
    <row r="171" spans="1:40" ht="18" customHeight="1">
      <c r="A171" s="3"/>
      <c r="B171" s="3"/>
      <c r="C171" s="3"/>
      <c r="D171" s="3"/>
      <c r="E171" s="3"/>
      <c r="F171" s="3"/>
      <c r="G171" s="3"/>
      <c r="H171" s="3"/>
      <c r="I171" s="3"/>
      <c r="J171" s="3"/>
      <c r="K171" s="3"/>
      <c r="L171" s="1139" t="s">
        <v>212</v>
      </c>
      <c r="M171" s="1139"/>
      <c r="N171" s="602"/>
    </row>
    <row r="172" spans="1:40" ht="18" customHeight="1">
      <c r="A172" s="3"/>
      <c r="B172" s="3"/>
      <c r="C172" s="1148" t="s">
        <v>792</v>
      </c>
      <c r="D172" s="1149"/>
      <c r="E172" s="1150"/>
      <c r="F172" s="1151" t="s">
        <v>931</v>
      </c>
      <c r="G172" s="1151"/>
      <c r="H172" s="1151"/>
      <c r="I172" s="1151"/>
      <c r="J172" s="1151" t="s">
        <v>932</v>
      </c>
      <c r="K172" s="1151"/>
      <c r="L172" s="1151" t="s">
        <v>933</v>
      </c>
      <c r="M172" s="1151"/>
      <c r="N172" s="602"/>
    </row>
    <row r="173" spans="1:40" ht="18" customHeight="1">
      <c r="A173" s="3"/>
      <c r="B173" s="3"/>
      <c r="C173" s="962" t="s">
        <v>949</v>
      </c>
      <c r="D173" s="962"/>
      <c r="E173" s="962"/>
      <c r="F173" s="1145">
        <f>F165+F166</f>
        <v>120</v>
      </c>
      <c r="G173" s="962"/>
      <c r="H173" s="962"/>
      <c r="I173" s="962"/>
      <c r="J173" s="1145">
        <f>F173</f>
        <v>120</v>
      </c>
      <c r="K173" s="962"/>
      <c r="L173" s="1145">
        <f>J173</f>
        <v>120</v>
      </c>
      <c r="M173" s="962"/>
      <c r="N173" s="602"/>
    </row>
    <row r="174" spans="1:40" ht="18" customHeight="1">
      <c r="A174" s="3"/>
      <c r="B174" s="3"/>
      <c r="C174" s="962" t="s">
        <v>143</v>
      </c>
      <c r="D174" s="962"/>
      <c r="E174" s="962"/>
      <c r="F174" s="1145">
        <f>F156</f>
        <v>9.1</v>
      </c>
      <c r="G174" s="962"/>
      <c r="H174" s="962"/>
      <c r="I174" s="962"/>
      <c r="J174" s="1145">
        <f>F174</f>
        <v>9.1</v>
      </c>
      <c r="K174" s="962"/>
      <c r="L174" s="1145">
        <f>J174</f>
        <v>9.1</v>
      </c>
      <c r="M174" s="962"/>
      <c r="N174" s="602"/>
    </row>
    <row r="175" spans="1:40" ht="18" customHeight="1">
      <c r="C175" s="1087" t="s">
        <v>307</v>
      </c>
      <c r="D175" s="935"/>
      <c r="E175" s="936"/>
      <c r="F175" s="1145">
        <f>F173+F174</f>
        <v>129.1</v>
      </c>
      <c r="G175" s="962"/>
      <c r="H175" s="962"/>
      <c r="I175" s="962"/>
      <c r="J175" s="1145">
        <f>F175</f>
        <v>129.1</v>
      </c>
      <c r="K175" s="962"/>
      <c r="L175" s="1145">
        <f>J175</f>
        <v>129.1</v>
      </c>
      <c r="M175" s="962"/>
      <c r="N175" s="602"/>
    </row>
    <row r="176" spans="1:40" ht="18" customHeight="1"/>
    <row r="177" spans="1:19" ht="18" customHeight="1"/>
    <row r="178" spans="1:19" ht="18" customHeight="1">
      <c r="A178" s="1144" t="s">
        <v>1131</v>
      </c>
      <c r="B178" s="1144"/>
      <c r="C178" s="1144"/>
      <c r="D178" s="1144"/>
      <c r="E178" s="607"/>
      <c r="F178" s="607"/>
      <c r="G178" s="607"/>
      <c r="H178" s="607"/>
      <c r="I178" s="607"/>
      <c r="J178" s="607"/>
      <c r="K178" s="607"/>
      <c r="L178" s="607"/>
      <c r="M178" s="607"/>
      <c r="N178" s="602"/>
    </row>
    <row r="179" spans="1:19" ht="18" customHeight="1">
      <c r="L179" s="718" t="s">
        <v>212</v>
      </c>
      <c r="M179" s="66"/>
      <c r="N179" s="602"/>
    </row>
    <row r="180" spans="1:19" ht="18" customHeight="1">
      <c r="C180" s="1151" t="s">
        <v>792</v>
      </c>
      <c r="D180" s="1151"/>
      <c r="E180" s="1151" t="s">
        <v>931</v>
      </c>
      <c r="F180" s="1151"/>
      <c r="G180" s="1151"/>
      <c r="H180" s="1151"/>
      <c r="I180" s="1151" t="s">
        <v>932</v>
      </c>
      <c r="J180" s="1151"/>
      <c r="K180" s="1151" t="s">
        <v>933</v>
      </c>
      <c r="L180" s="1151"/>
      <c r="N180" s="602"/>
    </row>
    <row r="181" spans="1:19" ht="18" customHeight="1">
      <c r="C181" s="962" t="s">
        <v>1132</v>
      </c>
      <c r="D181" s="962"/>
      <c r="E181" s="1145">
        <f>F167</f>
        <v>166.46999999999994</v>
      </c>
      <c r="F181" s="962"/>
      <c r="G181" s="962"/>
      <c r="H181" s="962"/>
      <c r="I181" s="1145">
        <f>E181</f>
        <v>166.46999999999994</v>
      </c>
      <c r="J181" s="962"/>
      <c r="K181" s="1145">
        <f>I181</f>
        <v>166.46999999999994</v>
      </c>
      <c r="L181" s="962"/>
      <c r="N181" s="602"/>
    </row>
    <row r="182" spans="1:19" ht="18" customHeight="1">
      <c r="C182" s="962" t="s">
        <v>1133</v>
      </c>
      <c r="D182" s="962"/>
      <c r="E182" s="1145">
        <f>F175</f>
        <v>129.1</v>
      </c>
      <c r="F182" s="962"/>
      <c r="G182" s="962"/>
      <c r="H182" s="962"/>
      <c r="I182" s="1145">
        <f>E182</f>
        <v>129.1</v>
      </c>
      <c r="J182" s="962"/>
      <c r="K182" s="1145">
        <f>I182</f>
        <v>129.1</v>
      </c>
      <c r="L182" s="962"/>
      <c r="N182" s="602"/>
    </row>
    <row r="183" spans="1:19" ht="18" customHeight="1">
      <c r="C183" s="1346" t="s">
        <v>950</v>
      </c>
      <c r="D183" s="1346"/>
      <c r="E183" s="1145">
        <f>E181-E182</f>
        <v>37.369999999999948</v>
      </c>
      <c r="F183" s="962"/>
      <c r="G183" s="962"/>
      <c r="H183" s="962"/>
      <c r="I183" s="1145">
        <f>E183</f>
        <v>37.369999999999948</v>
      </c>
      <c r="J183" s="962"/>
      <c r="K183" s="1145">
        <f>I183</f>
        <v>37.369999999999948</v>
      </c>
      <c r="L183" s="962"/>
      <c r="O183" s="1133" t="b">
        <f>F167-F175=F157</f>
        <v>1</v>
      </c>
      <c r="P183" s="1134"/>
      <c r="Q183" s="1132">
        <f>F157-F183</f>
        <v>37.369999999999948</v>
      </c>
      <c r="R183" s="1132"/>
      <c r="S183" s="1132"/>
    </row>
    <row r="184" spans="1:19" ht="18" customHeight="1">
      <c r="A184" s="441"/>
      <c r="B184" s="601"/>
      <c r="C184" s="601"/>
      <c r="D184" s="601"/>
      <c r="E184" s="42"/>
      <c r="F184" s="42"/>
      <c r="G184" s="184"/>
      <c r="H184" s="598"/>
      <c r="I184" s="598"/>
      <c r="J184" s="598"/>
      <c r="K184" s="598"/>
      <c r="L184" s="598"/>
      <c r="M184" s="598"/>
      <c r="N184" s="593"/>
      <c r="O184" s="593"/>
    </row>
    <row r="185" spans="1:19" ht="18" customHeight="1">
      <c r="A185" s="441"/>
      <c r="B185" s="601"/>
      <c r="C185" s="601"/>
      <c r="D185" s="601"/>
      <c r="E185" s="42"/>
      <c r="F185" s="42"/>
      <c r="G185" s="184"/>
      <c r="H185" s="598"/>
      <c r="I185" s="598"/>
      <c r="J185" s="598"/>
      <c r="K185" s="598"/>
      <c r="L185" s="598"/>
      <c r="M185" s="598"/>
      <c r="N185" s="593"/>
      <c r="O185" s="593"/>
    </row>
  </sheetData>
  <protectedRanges>
    <protectedRange sqref="AI61:AN62" name="Range4"/>
    <protectedRange sqref="AT100:AT102 AT109:AT110 AT111:AT120" name="Range2"/>
    <protectedRange sqref="H52:M52 AC101:AJ102 AK82:AN87 AK92:AN95 AK103:AN104 AT101:AT102 AC111:AJ120 AT111:AT120 AT76:AT79" name="Range1"/>
    <protectedRange sqref="T40" name="Range3"/>
    <protectedRange sqref="U76:Y79" name="Range1_1"/>
    <protectedRange sqref="T137:T141" name="Range2_1"/>
    <protectedRange sqref="T138:T141" name="Range1_1_1"/>
  </protectedRanges>
  <mergeCells count="589">
    <mergeCell ref="A34:N34"/>
    <mergeCell ref="A35:N35"/>
    <mergeCell ref="A36:N36"/>
    <mergeCell ref="A38:N38"/>
    <mergeCell ref="C182:D182"/>
    <mergeCell ref="C183:D183"/>
    <mergeCell ref="E180:H180"/>
    <mergeCell ref="I180:J180"/>
    <mergeCell ref="K180:L180"/>
    <mergeCell ref="E181:H181"/>
    <mergeCell ref="I181:J181"/>
    <mergeCell ref="K181:L181"/>
    <mergeCell ref="E182:H182"/>
    <mergeCell ref="I182:J182"/>
    <mergeCell ref="K182:L182"/>
    <mergeCell ref="E183:H183"/>
    <mergeCell ref="I183:J183"/>
    <mergeCell ref="K183:L183"/>
    <mergeCell ref="G58:G59"/>
    <mergeCell ref="H60:M60"/>
    <mergeCell ref="H61:N61"/>
    <mergeCell ref="H65:N65"/>
    <mergeCell ref="H40:M42"/>
    <mergeCell ref="B44:F44"/>
    <mergeCell ref="Q132:T132"/>
    <mergeCell ref="A178:D178"/>
    <mergeCell ref="C180:D180"/>
    <mergeCell ref="C181:D181"/>
    <mergeCell ref="P80:S80"/>
    <mergeCell ref="P90:S90"/>
    <mergeCell ref="AC163:AG163"/>
    <mergeCell ref="AI163:AK163"/>
    <mergeCell ref="AL163:AN163"/>
    <mergeCell ref="AC155:AI155"/>
    <mergeCell ref="AJ155:AN155"/>
    <mergeCell ref="AC156:AI156"/>
    <mergeCell ref="AJ156:AN156"/>
    <mergeCell ref="AC157:AI157"/>
    <mergeCell ref="AB159:AN159"/>
    <mergeCell ref="AG150:AJ150"/>
    <mergeCell ref="AK150:AN150"/>
    <mergeCell ref="AG151:AJ151"/>
    <mergeCell ref="AK151:AN151"/>
    <mergeCell ref="AB153:AN153"/>
    <mergeCell ref="AC154:AI154"/>
    <mergeCell ref="AJ154:AN154"/>
    <mergeCell ref="AG144:AJ144"/>
    <mergeCell ref="AK144:AN144"/>
    <mergeCell ref="AG148:AJ148"/>
    <mergeCell ref="AK148:AN148"/>
    <mergeCell ref="AG149:AJ149"/>
    <mergeCell ref="AK149:AN149"/>
    <mergeCell ref="AG142:AJ142"/>
    <mergeCell ref="AK142:AN142"/>
    <mergeCell ref="AG143:AJ143"/>
    <mergeCell ref="AK143:AN143"/>
    <mergeCell ref="AG140:AJ140"/>
    <mergeCell ref="AK140:AN140"/>
    <mergeCell ref="AG141:AJ141"/>
    <mergeCell ref="AK141:AN141"/>
    <mergeCell ref="AC133:AI133"/>
    <mergeCell ref="AJ133:AN133"/>
    <mergeCell ref="AB135:AN135"/>
    <mergeCell ref="AB137:AN137"/>
    <mergeCell ref="AG139:AJ139"/>
    <mergeCell ref="AK139:AN139"/>
    <mergeCell ref="AC130:AI130"/>
    <mergeCell ref="AJ130:AN130"/>
    <mergeCell ref="AC131:AI131"/>
    <mergeCell ref="AJ131:AN131"/>
    <mergeCell ref="AC132:AI132"/>
    <mergeCell ref="AJ132:AN132"/>
    <mergeCell ref="AC127:AI127"/>
    <mergeCell ref="AJ127:AN127"/>
    <mergeCell ref="AC128:AI128"/>
    <mergeCell ref="AJ128:AN128"/>
    <mergeCell ref="AC129:AI129"/>
    <mergeCell ref="AJ129:AN129"/>
    <mergeCell ref="AB123:AN123"/>
    <mergeCell ref="AC124:AI124"/>
    <mergeCell ref="AJ124:AN124"/>
    <mergeCell ref="AJ125:AN125"/>
    <mergeCell ref="AC126:AI126"/>
    <mergeCell ref="AJ126:AN126"/>
    <mergeCell ref="AC120:AG120"/>
    <mergeCell ref="AH120:AI120"/>
    <mergeCell ref="AK120:AL120"/>
    <mergeCell ref="AM120:AN120"/>
    <mergeCell ref="AP120:AS120"/>
    <mergeCell ref="AB121:AJ121"/>
    <mergeCell ref="AK121:AL121"/>
    <mergeCell ref="AM121:AN121"/>
    <mergeCell ref="AC118:AG118"/>
    <mergeCell ref="AH118:AI118"/>
    <mergeCell ref="AK118:AL118"/>
    <mergeCell ref="AM118:AN118"/>
    <mergeCell ref="AP118:AS118"/>
    <mergeCell ref="AC119:AG119"/>
    <mergeCell ref="AH119:AI119"/>
    <mergeCell ref="AK119:AL119"/>
    <mergeCell ref="AM119:AN119"/>
    <mergeCell ref="AP119:AS119"/>
    <mergeCell ref="AC116:AG116"/>
    <mergeCell ref="AH116:AI116"/>
    <mergeCell ref="AK116:AL116"/>
    <mergeCell ref="AM116:AN116"/>
    <mergeCell ref="AP116:AS116"/>
    <mergeCell ref="AC117:AG117"/>
    <mergeCell ref="AH117:AI117"/>
    <mergeCell ref="AK117:AL117"/>
    <mergeCell ref="AM117:AN117"/>
    <mergeCell ref="AP117:AS117"/>
    <mergeCell ref="AC114:AG114"/>
    <mergeCell ref="AH114:AI114"/>
    <mergeCell ref="AK114:AL114"/>
    <mergeCell ref="AM114:AN114"/>
    <mergeCell ref="AP114:AS114"/>
    <mergeCell ref="AC115:AG115"/>
    <mergeCell ref="AH115:AI115"/>
    <mergeCell ref="AK115:AL115"/>
    <mergeCell ref="AM115:AN115"/>
    <mergeCell ref="AP115:AS115"/>
    <mergeCell ref="AC112:AG112"/>
    <mergeCell ref="AH112:AI112"/>
    <mergeCell ref="AK112:AL112"/>
    <mergeCell ref="AM112:AN112"/>
    <mergeCell ref="AP112:AS112"/>
    <mergeCell ref="AC113:AG113"/>
    <mergeCell ref="AH113:AI113"/>
    <mergeCell ref="AK113:AL113"/>
    <mergeCell ref="AM113:AN113"/>
    <mergeCell ref="AP113:AS113"/>
    <mergeCell ref="AP109:AS109"/>
    <mergeCell ref="AC101:AG101"/>
    <mergeCell ref="AH101:AI101"/>
    <mergeCell ref="AK101:AL101"/>
    <mergeCell ref="AM101:AN101"/>
    <mergeCell ref="AP101:AS101"/>
    <mergeCell ref="AB105:AJ105"/>
    <mergeCell ref="AK105:AL105"/>
    <mergeCell ref="AM105:AN105"/>
    <mergeCell ref="AB107:AN107"/>
    <mergeCell ref="AB108:AN108"/>
    <mergeCell ref="AC109:AG109"/>
    <mergeCell ref="AH109:AI109"/>
    <mergeCell ref="AK109:AL109"/>
    <mergeCell ref="AM109:AN109"/>
    <mergeCell ref="AC103:AJ103"/>
    <mergeCell ref="AK103:AL103"/>
    <mergeCell ref="AM103:AN103"/>
    <mergeCell ref="AC104:AJ104"/>
    <mergeCell ref="AK104:AL104"/>
    <mergeCell ref="AM104:AN104"/>
    <mergeCell ref="AB96:AJ96"/>
    <mergeCell ref="AK96:AL96"/>
    <mergeCell ref="AM96:AN96"/>
    <mergeCell ref="AB98:AN98"/>
    <mergeCell ref="AC99:AJ99"/>
    <mergeCell ref="AK99:AL99"/>
    <mergeCell ref="AM99:AN99"/>
    <mergeCell ref="AC94:AJ94"/>
    <mergeCell ref="AK94:AL94"/>
    <mergeCell ref="AM94:AN94"/>
    <mergeCell ref="AC95:AJ95"/>
    <mergeCell ref="AK95:AL95"/>
    <mergeCell ref="AM95:AN95"/>
    <mergeCell ref="AC92:AJ92"/>
    <mergeCell ref="AK92:AL92"/>
    <mergeCell ref="AM92:AN92"/>
    <mergeCell ref="AC93:AJ93"/>
    <mergeCell ref="AK93:AL93"/>
    <mergeCell ref="AM93:AN93"/>
    <mergeCell ref="AB88:AJ88"/>
    <mergeCell ref="AK88:AL88"/>
    <mergeCell ref="AM88:AN88"/>
    <mergeCell ref="AB90:AN90"/>
    <mergeCell ref="AC91:AJ91"/>
    <mergeCell ref="AK91:AL91"/>
    <mergeCell ref="AM91:AN91"/>
    <mergeCell ref="AC86:AJ86"/>
    <mergeCell ref="AK86:AL86"/>
    <mergeCell ref="AM86:AN86"/>
    <mergeCell ref="AC87:AJ87"/>
    <mergeCell ref="AK87:AL87"/>
    <mergeCell ref="AM87:AN87"/>
    <mergeCell ref="AC84:AJ84"/>
    <mergeCell ref="AK84:AL84"/>
    <mergeCell ref="AM84:AN84"/>
    <mergeCell ref="AC85:AJ85"/>
    <mergeCell ref="AK85:AL85"/>
    <mergeCell ref="AM85:AN85"/>
    <mergeCell ref="AC82:AJ82"/>
    <mergeCell ref="AK82:AL82"/>
    <mergeCell ref="AM82:AN82"/>
    <mergeCell ref="AC83:AJ83"/>
    <mergeCell ref="AK83:AL83"/>
    <mergeCell ref="AM83:AN83"/>
    <mergeCell ref="AB80:AN80"/>
    <mergeCell ref="AC78:AG78"/>
    <mergeCell ref="AH78:AI78"/>
    <mergeCell ref="AK78:AL78"/>
    <mergeCell ref="AM78:AN78"/>
    <mergeCell ref="AP78:AS78"/>
    <mergeCell ref="AC79:AG79"/>
    <mergeCell ref="AH79:AI79"/>
    <mergeCell ref="AK79:AL79"/>
    <mergeCell ref="AM79:AN79"/>
    <mergeCell ref="AP79:AS79"/>
    <mergeCell ref="AC76:AG76"/>
    <mergeCell ref="AH76:AI76"/>
    <mergeCell ref="AK76:AL76"/>
    <mergeCell ref="AM76:AN76"/>
    <mergeCell ref="AP76:AS76"/>
    <mergeCell ref="AC77:AG77"/>
    <mergeCell ref="AH77:AI77"/>
    <mergeCell ref="AK77:AL77"/>
    <mergeCell ref="AM77:AN77"/>
    <mergeCell ref="AP77:AS77"/>
    <mergeCell ref="AB71:AN71"/>
    <mergeCell ref="AB72:AN72"/>
    <mergeCell ref="AB74:AN74"/>
    <mergeCell ref="AC75:AG75"/>
    <mergeCell ref="AH75:AI75"/>
    <mergeCell ref="AK75:AL75"/>
    <mergeCell ref="AM75:AN75"/>
    <mergeCell ref="AB66:AB67"/>
    <mergeCell ref="AC66:AG67"/>
    <mergeCell ref="AI66:AN67"/>
    <mergeCell ref="AB68:AB69"/>
    <mergeCell ref="AC68:AG69"/>
    <mergeCell ref="AI68:AN69"/>
    <mergeCell ref="A44:A47"/>
    <mergeCell ref="AB61:AB62"/>
    <mergeCell ref="AC61:AG62"/>
    <mergeCell ref="AI61:AN62"/>
    <mergeCell ref="B52:F52"/>
    <mergeCell ref="AB64:AB65"/>
    <mergeCell ref="AC64:AG65"/>
    <mergeCell ref="AI64:AN65"/>
    <mergeCell ref="H48:M48"/>
    <mergeCell ref="AC57:AG57"/>
    <mergeCell ref="AI57:AN57"/>
    <mergeCell ref="AB58:AB60"/>
    <mergeCell ref="AC58:AG60"/>
    <mergeCell ref="AH58:AH60"/>
    <mergeCell ref="B50:D50"/>
    <mergeCell ref="B53:D53"/>
    <mergeCell ref="B54:D54"/>
    <mergeCell ref="B60:D60"/>
    <mergeCell ref="B61:F61"/>
    <mergeCell ref="B48:D48"/>
    <mergeCell ref="B49:D49"/>
    <mergeCell ref="L45:N45"/>
    <mergeCell ref="L46:N46"/>
    <mergeCell ref="I55:J55"/>
    <mergeCell ref="U29:AA29"/>
    <mergeCell ref="AC29:AD29"/>
    <mergeCell ref="AF29:AH29"/>
    <mergeCell ref="U30:AA30"/>
    <mergeCell ref="AC30:AD30"/>
    <mergeCell ref="AF30:AH30"/>
    <mergeCell ref="U23:AH23"/>
    <mergeCell ref="U24:AH24"/>
    <mergeCell ref="U25:AH25"/>
    <mergeCell ref="U26:AH26"/>
    <mergeCell ref="U28:AA28"/>
    <mergeCell ref="AC28:AD28"/>
    <mergeCell ref="AF28:AH28"/>
    <mergeCell ref="A1:M1"/>
    <mergeCell ref="A2:M2"/>
    <mergeCell ref="A3:M3"/>
    <mergeCell ref="A4:M4"/>
    <mergeCell ref="A5:M5"/>
    <mergeCell ref="A6:M6"/>
    <mergeCell ref="A21:M21"/>
    <mergeCell ref="A7:M7"/>
    <mergeCell ref="A8:M8"/>
    <mergeCell ref="A14:M14"/>
    <mergeCell ref="A22:M22"/>
    <mergeCell ref="A15:M15"/>
    <mergeCell ref="A16:M16"/>
    <mergeCell ref="A17:M17"/>
    <mergeCell ref="A11:M11"/>
    <mergeCell ref="B26:N26"/>
    <mergeCell ref="H44:M44"/>
    <mergeCell ref="I56:J56"/>
    <mergeCell ref="H57:J57"/>
    <mergeCell ref="L57:M57"/>
    <mergeCell ref="B57:D57"/>
    <mergeCell ref="C47:D47"/>
    <mergeCell ref="E47:F47"/>
    <mergeCell ref="G47:K47"/>
    <mergeCell ref="L47:M47"/>
    <mergeCell ref="G40:G42"/>
    <mergeCell ref="B25:M25"/>
    <mergeCell ref="A32:M32"/>
    <mergeCell ref="B39:F39"/>
    <mergeCell ref="H39:M39"/>
    <mergeCell ref="B40:F40"/>
    <mergeCell ref="C45:D45"/>
    <mergeCell ref="E45:F45"/>
    <mergeCell ref="G45:K45"/>
    <mergeCell ref="C46:D46"/>
    <mergeCell ref="E46:F46"/>
    <mergeCell ref="G46:K46"/>
    <mergeCell ref="B58:F58"/>
    <mergeCell ref="H58:M59"/>
    <mergeCell ref="C76:D76"/>
    <mergeCell ref="E76:G76"/>
    <mergeCell ref="I76:K76"/>
    <mergeCell ref="L76:M76"/>
    <mergeCell ref="A72:M72"/>
    <mergeCell ref="A75:B75"/>
    <mergeCell ref="C75:D75"/>
    <mergeCell ref="E75:G75"/>
    <mergeCell ref="I75:K75"/>
    <mergeCell ref="L75:M75"/>
    <mergeCell ref="B62:D62"/>
    <mergeCell ref="B63:D63"/>
    <mergeCell ref="H62:M62"/>
    <mergeCell ref="H63:M63"/>
    <mergeCell ref="B64:D64"/>
    <mergeCell ref="B66:D66"/>
    <mergeCell ref="B65:F65"/>
    <mergeCell ref="H64:M64"/>
    <mergeCell ref="H66:M66"/>
    <mergeCell ref="P76:S76"/>
    <mergeCell ref="C77:D77"/>
    <mergeCell ref="E77:G77"/>
    <mergeCell ref="I77:K77"/>
    <mergeCell ref="L77:M77"/>
    <mergeCell ref="P77:S77"/>
    <mergeCell ref="A78:B78"/>
    <mergeCell ref="C78:D78"/>
    <mergeCell ref="E78:G78"/>
    <mergeCell ref="I78:K78"/>
    <mergeCell ref="L78:M78"/>
    <mergeCell ref="P78:S78"/>
    <mergeCell ref="A79:B79"/>
    <mergeCell ref="E79:G79"/>
    <mergeCell ref="I79:K79"/>
    <mergeCell ref="L79:M79"/>
    <mergeCell ref="P79:S79"/>
    <mergeCell ref="C79:D79"/>
    <mergeCell ref="A80:H80"/>
    <mergeCell ref="I80:K80"/>
    <mergeCell ref="L80:M80"/>
    <mergeCell ref="A83:M83"/>
    <mergeCell ref="A85:B85"/>
    <mergeCell ref="C85:E85"/>
    <mergeCell ref="F85:I85"/>
    <mergeCell ref="J85:M85"/>
    <mergeCell ref="A86:B86"/>
    <mergeCell ref="C86:E86"/>
    <mergeCell ref="F86:I86"/>
    <mergeCell ref="J86:M86"/>
    <mergeCell ref="A90:I90"/>
    <mergeCell ref="J90:M90"/>
    <mergeCell ref="A93:D93"/>
    <mergeCell ref="E94:F94"/>
    <mergeCell ref="E95:F95"/>
    <mergeCell ref="C96:F96"/>
    <mergeCell ref="C97:F97"/>
    <mergeCell ref="A87:B87"/>
    <mergeCell ref="C87:E87"/>
    <mergeCell ref="F87:I87"/>
    <mergeCell ref="J87:M87"/>
    <mergeCell ref="A88:B88"/>
    <mergeCell ref="C88:E88"/>
    <mergeCell ref="F88:I88"/>
    <mergeCell ref="J88:M88"/>
    <mergeCell ref="A89:B89"/>
    <mergeCell ref="C89:E89"/>
    <mergeCell ref="F89:I89"/>
    <mergeCell ref="J89:M89"/>
    <mergeCell ref="A103:D103"/>
    <mergeCell ref="A105:B105"/>
    <mergeCell ref="C105:F105"/>
    <mergeCell ref="G105:H105"/>
    <mergeCell ref="I105:K105"/>
    <mergeCell ref="L105:M105"/>
    <mergeCell ref="A106:B106"/>
    <mergeCell ref="C106:F106"/>
    <mergeCell ref="G106:H106"/>
    <mergeCell ref="I106:K106"/>
    <mergeCell ref="L106:M106"/>
    <mergeCell ref="A107:B107"/>
    <mergeCell ref="C107:F107"/>
    <mergeCell ref="G107:H107"/>
    <mergeCell ref="I107:K107"/>
    <mergeCell ref="L107:M107"/>
    <mergeCell ref="A108:B108"/>
    <mergeCell ref="C108:F108"/>
    <mergeCell ref="G108:H108"/>
    <mergeCell ref="I108:K108"/>
    <mergeCell ref="L108:M108"/>
    <mergeCell ref="A109:H109"/>
    <mergeCell ref="I109:K109"/>
    <mergeCell ref="L109:M109"/>
    <mergeCell ref="A112:D112"/>
    <mergeCell ref="A114:B114"/>
    <mergeCell ref="C114:J114"/>
    <mergeCell ref="K114:M114"/>
    <mergeCell ref="A115:B115"/>
    <mergeCell ref="C115:J115"/>
    <mergeCell ref="K115:M115"/>
    <mergeCell ref="A116:B116"/>
    <mergeCell ref="C116:J116"/>
    <mergeCell ref="K116:M116"/>
    <mergeCell ref="A117:B117"/>
    <mergeCell ref="C117:J117"/>
    <mergeCell ref="K117:M117"/>
    <mergeCell ref="A118:B118"/>
    <mergeCell ref="C118:J118"/>
    <mergeCell ref="K118:M118"/>
    <mergeCell ref="A119:J119"/>
    <mergeCell ref="K119:M119"/>
    <mergeCell ref="A121:D121"/>
    <mergeCell ref="L122:M122"/>
    <mergeCell ref="A123:B123"/>
    <mergeCell ref="C123:E123"/>
    <mergeCell ref="F123:I123"/>
    <mergeCell ref="J123:K123"/>
    <mergeCell ref="L123:M123"/>
    <mergeCell ref="A124:B124"/>
    <mergeCell ref="C124:E124"/>
    <mergeCell ref="F124:I124"/>
    <mergeCell ref="J124:K124"/>
    <mergeCell ref="L124:M124"/>
    <mergeCell ref="Q124:T124"/>
    <mergeCell ref="A125:B125"/>
    <mergeCell ref="C125:E125"/>
    <mergeCell ref="F125:I125"/>
    <mergeCell ref="J125:K125"/>
    <mergeCell ref="L125:M125"/>
    <mergeCell ref="Q125:T125"/>
    <mergeCell ref="A126:B126"/>
    <mergeCell ref="C126:E126"/>
    <mergeCell ref="F126:I126"/>
    <mergeCell ref="J126:K126"/>
    <mergeCell ref="L126:M126"/>
    <mergeCell ref="Q126:T126"/>
    <mergeCell ref="A127:E127"/>
    <mergeCell ref="F127:I127"/>
    <mergeCell ref="J127:K127"/>
    <mergeCell ref="L127:M127"/>
    <mergeCell ref="A129:D129"/>
    <mergeCell ref="L130:M130"/>
    <mergeCell ref="A131:B131"/>
    <mergeCell ref="C131:E131"/>
    <mergeCell ref="F131:I131"/>
    <mergeCell ref="J131:K131"/>
    <mergeCell ref="L131:M131"/>
    <mergeCell ref="A132:B132"/>
    <mergeCell ref="C132:E132"/>
    <mergeCell ref="F132:I132"/>
    <mergeCell ref="J132:K132"/>
    <mergeCell ref="L132:M132"/>
    <mergeCell ref="A135:M135"/>
    <mergeCell ref="A136:M136"/>
    <mergeCell ref="A137:B137"/>
    <mergeCell ref="C137:D137"/>
    <mergeCell ref="E137:G137"/>
    <mergeCell ref="I137:K137"/>
    <mergeCell ref="L137:M137"/>
    <mergeCell ref="A138:B138"/>
    <mergeCell ref="C138:D138"/>
    <mergeCell ref="E138:G138"/>
    <mergeCell ref="I138:K138"/>
    <mergeCell ref="L138:M138"/>
    <mergeCell ref="A139:B139"/>
    <mergeCell ref="C139:D139"/>
    <mergeCell ref="E139:G139"/>
    <mergeCell ref="I139:K139"/>
    <mergeCell ref="L139:M139"/>
    <mergeCell ref="A140:B140"/>
    <mergeCell ref="C140:D140"/>
    <mergeCell ref="E140:G140"/>
    <mergeCell ref="I140:K140"/>
    <mergeCell ref="L140:M140"/>
    <mergeCell ref="A141:B141"/>
    <mergeCell ref="C141:D141"/>
    <mergeCell ref="E141:G141"/>
    <mergeCell ref="I141:K141"/>
    <mergeCell ref="L141:M141"/>
    <mergeCell ref="C150:E150"/>
    <mergeCell ref="F150:I150"/>
    <mergeCell ref="J150:K150"/>
    <mergeCell ref="L150:M150"/>
    <mergeCell ref="A150:B150"/>
    <mergeCell ref="A151:B151"/>
    <mergeCell ref="C151:E151"/>
    <mergeCell ref="F151:I151"/>
    <mergeCell ref="J151:K151"/>
    <mergeCell ref="L151:M151"/>
    <mergeCell ref="Q151:S151"/>
    <mergeCell ref="A152:B152"/>
    <mergeCell ref="C152:E152"/>
    <mergeCell ref="F152:I152"/>
    <mergeCell ref="J152:K152"/>
    <mergeCell ref="L152:M152"/>
    <mergeCell ref="Q152:S152"/>
    <mergeCell ref="A153:B153"/>
    <mergeCell ref="C153:E153"/>
    <mergeCell ref="F153:I153"/>
    <mergeCell ref="J153:K153"/>
    <mergeCell ref="L153:M153"/>
    <mergeCell ref="Q153:S153"/>
    <mergeCell ref="A154:B154"/>
    <mergeCell ref="C154:E154"/>
    <mergeCell ref="F154:I154"/>
    <mergeCell ref="J154:K154"/>
    <mergeCell ref="L154:M154"/>
    <mergeCell ref="Q154:S154"/>
    <mergeCell ref="Q157:S157"/>
    <mergeCell ref="A160:D160"/>
    <mergeCell ref="L162:M162"/>
    <mergeCell ref="C163:E163"/>
    <mergeCell ref="F163:I163"/>
    <mergeCell ref="J163:K163"/>
    <mergeCell ref="L163:M163"/>
    <mergeCell ref="Q155:S155"/>
    <mergeCell ref="A156:B156"/>
    <mergeCell ref="C156:E156"/>
    <mergeCell ref="F156:I156"/>
    <mergeCell ref="J156:K156"/>
    <mergeCell ref="L156:M156"/>
    <mergeCell ref="Q156:S156"/>
    <mergeCell ref="A155:B155"/>
    <mergeCell ref="C155:E155"/>
    <mergeCell ref="F155:I155"/>
    <mergeCell ref="J155:K155"/>
    <mergeCell ref="L155:M155"/>
    <mergeCell ref="C164:E164"/>
    <mergeCell ref="F164:I164"/>
    <mergeCell ref="J164:K164"/>
    <mergeCell ref="L164:M164"/>
    <mergeCell ref="C165:E165"/>
    <mergeCell ref="F165:I165"/>
    <mergeCell ref="J165:K165"/>
    <mergeCell ref="L165:M165"/>
    <mergeCell ref="A157:B157"/>
    <mergeCell ref="C157:E157"/>
    <mergeCell ref="F157:I157"/>
    <mergeCell ref="J157:K157"/>
    <mergeCell ref="L157:M157"/>
    <mergeCell ref="C174:E174"/>
    <mergeCell ref="F174:I174"/>
    <mergeCell ref="J174:K174"/>
    <mergeCell ref="L174:M174"/>
    <mergeCell ref="Q165:S165"/>
    <mergeCell ref="J166:K166"/>
    <mergeCell ref="L166:M166"/>
    <mergeCell ref="C167:E167"/>
    <mergeCell ref="F167:I167"/>
    <mergeCell ref="J167:K167"/>
    <mergeCell ref="L167:M167"/>
    <mergeCell ref="C172:E172"/>
    <mergeCell ref="F172:I172"/>
    <mergeCell ref="J172:K172"/>
    <mergeCell ref="L172:M172"/>
    <mergeCell ref="C173:E173"/>
    <mergeCell ref="F173:I173"/>
    <mergeCell ref="J173:K173"/>
    <mergeCell ref="L173:M173"/>
    <mergeCell ref="Q183:S183"/>
    <mergeCell ref="O183:P183"/>
    <mergeCell ref="H52:N52"/>
    <mergeCell ref="H50:N51"/>
    <mergeCell ref="H49:M49"/>
    <mergeCell ref="P138:S138"/>
    <mergeCell ref="P139:S139"/>
    <mergeCell ref="P140:S140"/>
    <mergeCell ref="P141:S141"/>
    <mergeCell ref="L171:M171"/>
    <mergeCell ref="Q166:S166"/>
    <mergeCell ref="A142:H142"/>
    <mergeCell ref="I142:K142"/>
    <mergeCell ref="L142:M142"/>
    <mergeCell ref="A148:D148"/>
    <mergeCell ref="L149:M149"/>
    <mergeCell ref="C166:E166"/>
    <mergeCell ref="F166:I166"/>
    <mergeCell ref="A76:B76"/>
    <mergeCell ref="A77:B77"/>
    <mergeCell ref="C175:E175"/>
    <mergeCell ref="F175:I175"/>
    <mergeCell ref="J175:K175"/>
    <mergeCell ref="L175:M175"/>
  </mergeCells>
  <conditionalFormatting sqref="AT111:AT120 AT101:AT102 AT76:AT79 T138:T141">
    <cfRule type="expression" dxfId="4" priority="8">
      <formula>P76=""</formula>
    </cfRule>
  </conditionalFormatting>
  <conditionalFormatting sqref="U76:W79">
    <cfRule type="expression" dxfId="3" priority="6">
      <formula>P76=""</formula>
    </cfRule>
  </conditionalFormatting>
  <conditionalFormatting sqref="X76:Y79">
    <cfRule type="expression" dxfId="2" priority="134">
      <formula>Q76=""</formula>
    </cfRule>
  </conditionalFormatting>
  <dataValidations count="1">
    <dataValidation type="list" allowBlank="1" showInputMessage="1" showErrorMessage="1" sqref="AT76:AT79 T138:T141 U76:Y79 AT101:AT102 AT111:AT120" xr:uid="{00000000-0002-0000-0500-000000000000}">
      <formula1>"Yes, No"</formula1>
    </dataValidation>
  </dataValidations>
  <pageMargins left="0.31496062992125984" right="0.11811023622047245" top="0.35433070866141736" bottom="0.15748031496062992" header="0.31496062992125984" footer="0.31496062992125984"/>
  <pageSetup paperSize="9" scale="95" orientation="portrait" r:id="rId1"/>
  <rowBreaks count="6" manualBreakCount="6">
    <brk id="33" max="13" man="1"/>
    <brk id="67" max="13" man="1"/>
    <brk id="97" max="13" man="1"/>
    <brk id="143" max="13" man="1"/>
    <brk id="89" min="27" max="40" man="1"/>
    <brk id="134" min="27" max="40"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92D050"/>
  </sheetPr>
  <dimension ref="A1:E68"/>
  <sheetViews>
    <sheetView view="pageBreakPreview" zoomScaleSheetLayoutView="100" workbookViewId="0">
      <selection activeCell="E8" sqref="E8"/>
    </sheetView>
  </sheetViews>
  <sheetFormatPr defaultRowHeight="15"/>
  <cols>
    <col min="1" max="1" width="3.85546875" customWidth="1"/>
    <col min="2" max="2" width="6.140625" customWidth="1"/>
    <col min="3" max="3" width="40.85546875" customWidth="1"/>
    <col min="4" max="4" width="2.85546875" customWidth="1"/>
    <col min="5" max="5" width="46" customWidth="1"/>
    <col min="8" max="8" width="27.7109375" customWidth="1"/>
    <col min="9" max="9" width="5" customWidth="1"/>
    <col min="10" max="10" width="57.42578125" customWidth="1"/>
  </cols>
  <sheetData>
    <row r="1" spans="1:5" ht="29.25" customHeight="1">
      <c r="A1" s="1354"/>
      <c r="B1" s="641"/>
      <c r="C1" s="642"/>
      <c r="D1" s="72"/>
      <c r="E1" s="645" t="s">
        <v>1014</v>
      </c>
    </row>
    <row r="2" spans="1:5" ht="20.25">
      <c r="A2" s="1354"/>
      <c r="B2" s="641"/>
      <c r="C2" s="642"/>
      <c r="D2" s="72"/>
      <c r="E2" s="131"/>
    </row>
    <row r="3" spans="1:5" ht="18.75" customHeight="1">
      <c r="A3" s="1354"/>
      <c r="B3" s="1352" t="s">
        <v>987</v>
      </c>
      <c r="C3" s="1352"/>
      <c r="D3" s="1352"/>
      <c r="E3" s="1352"/>
    </row>
    <row r="4" spans="1:5" ht="20.25">
      <c r="A4" s="1354"/>
      <c r="B4" s="641"/>
      <c r="C4" s="642"/>
    </row>
    <row r="7" spans="1:5" ht="17.25">
      <c r="A7" s="925">
        <v>1</v>
      </c>
      <c r="B7" s="1353" t="s">
        <v>988</v>
      </c>
      <c r="C7" s="1353"/>
      <c r="D7" s="1353"/>
      <c r="E7" s="1353"/>
    </row>
    <row r="8" spans="1:5" ht="17.25">
      <c r="A8" s="1350"/>
      <c r="B8" s="61">
        <v>1.1000000000000001</v>
      </c>
      <c r="C8" s="635" t="s">
        <v>101</v>
      </c>
      <c r="D8" s="61" t="s">
        <v>1</v>
      </c>
      <c r="E8" s="628" t="str">
        <f>'Data Input'!D8</f>
        <v>‡gmvm© mvbd¬vIqvi †UBjvm© GÛ †dweªK&amp;ª</v>
      </c>
    </row>
    <row r="9" spans="1:5" ht="17.25">
      <c r="A9" s="1350"/>
      <c r="B9" s="61">
        <v>1.2</v>
      </c>
      <c r="C9" s="635" t="s">
        <v>989</v>
      </c>
      <c r="D9" s="61" t="s">
        <v>1</v>
      </c>
      <c r="E9" s="688" t="s">
        <v>1157</v>
      </c>
    </row>
    <row r="10" spans="1:5" ht="17.25">
      <c r="A10" s="1350"/>
      <c r="B10" s="61">
        <v>1.3</v>
      </c>
      <c r="C10" s="635" t="s">
        <v>990</v>
      </c>
      <c r="D10" s="61" t="s">
        <v>1</v>
      </c>
      <c r="E10" s="628">
        <f>Profile!L56*100000</f>
        <v>5000000</v>
      </c>
    </row>
    <row r="11" spans="1:5" ht="17.25">
      <c r="A11" s="1350"/>
      <c r="B11" s="61">
        <v>1.4</v>
      </c>
      <c r="C11" s="635" t="s">
        <v>991</v>
      </c>
      <c r="D11" s="61" t="s">
        <v>1</v>
      </c>
      <c r="E11" s="744">
        <f>'Data Input'!D26</f>
        <v>186078663120</v>
      </c>
    </row>
    <row r="12" spans="1:5" ht="17.25">
      <c r="A12" s="1350"/>
      <c r="B12" s="61">
        <v>1.5</v>
      </c>
      <c r="C12" s="635" t="s">
        <v>992</v>
      </c>
      <c r="D12" s="61" t="s">
        <v>1</v>
      </c>
      <c r="E12" s="628" t="str">
        <f>'Data Input'!D8 &amp;  " I "&amp;'Data Input'!D24</f>
        <v>‡gmvm© mvbd¬vIqvi †UBjvm© GÛ †dweªK&amp;ª I P wnt bs-3678</v>
      </c>
    </row>
    <row r="13" spans="1:5" ht="17.25">
      <c r="A13" s="1350"/>
      <c r="B13" s="61">
        <v>1.6</v>
      </c>
      <c r="C13" s="635" t="s">
        <v>993</v>
      </c>
      <c r="D13" s="61" t="s">
        <v>1</v>
      </c>
      <c r="E13" s="628"/>
    </row>
    <row r="14" spans="1:5" ht="17.25">
      <c r="A14" s="1350"/>
      <c r="B14" s="61">
        <v>1.7</v>
      </c>
      <c r="C14" s="635" t="s">
        <v>994</v>
      </c>
      <c r="D14" s="61" t="s">
        <v>1</v>
      </c>
      <c r="E14" s="628">
        <f>Profile!F151*100000</f>
        <v>77700000</v>
      </c>
    </row>
    <row r="15" spans="1:5" ht="17.25">
      <c r="A15" s="1350"/>
      <c r="B15" s="61">
        <v>1.8</v>
      </c>
      <c r="C15" s="635" t="s">
        <v>995</v>
      </c>
      <c r="D15" s="61" t="s">
        <v>1</v>
      </c>
      <c r="E15" s="628">
        <f>Profile!F152*100000</f>
        <v>73032000</v>
      </c>
    </row>
    <row r="16" spans="1:5" ht="17.25">
      <c r="A16" s="1350"/>
      <c r="B16" s="61">
        <v>1.9</v>
      </c>
      <c r="C16" s="635" t="s">
        <v>996</v>
      </c>
      <c r="D16" s="61" t="s">
        <v>1</v>
      </c>
      <c r="E16" s="628"/>
    </row>
    <row r="17" spans="1:5" ht="17.25">
      <c r="A17" s="1350"/>
      <c r="B17" s="647">
        <v>1.1000000000000001</v>
      </c>
      <c r="C17" s="635" t="s">
        <v>997</v>
      </c>
      <c r="D17" s="61" t="s">
        <v>1</v>
      </c>
      <c r="E17" s="628" t="str">
        <f>Profile!G106</f>
        <v>4 Rb</v>
      </c>
    </row>
    <row r="18" spans="1:5" ht="17.25">
      <c r="A18" s="1351"/>
      <c r="B18" s="61">
        <v>1.1100000000000001</v>
      </c>
      <c r="C18" s="635" t="s">
        <v>998</v>
      </c>
      <c r="D18" s="61" t="s">
        <v>1</v>
      </c>
      <c r="E18" s="628">
        <f>'Data Input'!D11</f>
        <v>500000</v>
      </c>
    </row>
    <row r="19" spans="1:5" ht="17.25">
      <c r="A19" s="925">
        <v>2</v>
      </c>
      <c r="B19" s="1353" t="s">
        <v>999</v>
      </c>
      <c r="C19" s="1353"/>
      <c r="D19" s="1353"/>
      <c r="E19" s="1353"/>
    </row>
    <row r="20" spans="1:5" ht="17.25">
      <c r="A20" s="1350"/>
      <c r="B20" s="61">
        <v>2.1</v>
      </c>
      <c r="C20" s="635" t="s">
        <v>1000</v>
      </c>
      <c r="D20" s="61" t="s">
        <v>1</v>
      </c>
      <c r="E20" s="635"/>
    </row>
    <row r="21" spans="1:5" ht="17.25">
      <c r="A21" s="1351"/>
      <c r="B21" s="61">
        <v>2.2000000000000002</v>
      </c>
      <c r="C21" s="635" t="s">
        <v>114</v>
      </c>
      <c r="D21" s="61" t="s">
        <v>1</v>
      </c>
      <c r="E21" s="635"/>
    </row>
    <row r="22" spans="1:5" ht="17.25">
      <c r="A22" s="925">
        <v>3</v>
      </c>
      <c r="B22" s="1353" t="s">
        <v>1001</v>
      </c>
      <c r="C22" s="1353"/>
      <c r="D22" s="1353"/>
      <c r="E22" s="1353"/>
    </row>
    <row r="23" spans="1:5" ht="17.25">
      <c r="A23" s="1350"/>
      <c r="B23" s="61">
        <v>3.1</v>
      </c>
      <c r="C23" s="635" t="s">
        <v>26</v>
      </c>
      <c r="D23" s="61" t="s">
        <v>1</v>
      </c>
      <c r="E23" s="644" t="str">
        <f>'Data Input'!D12</f>
        <v>‡gvt Rwb</v>
      </c>
    </row>
    <row r="24" spans="1:5" ht="17.25">
      <c r="A24" s="1350"/>
      <c r="B24" s="61">
        <v>3.2</v>
      </c>
      <c r="C24" s="635" t="s">
        <v>1002</v>
      </c>
      <c r="D24" s="61" t="s">
        <v>1</v>
      </c>
      <c r="E24" s="644" t="str">
        <f>'Data Input'!D15</f>
        <v>3757664531</v>
      </c>
    </row>
    <row r="25" spans="1:5" ht="17.25">
      <c r="A25" s="1350"/>
      <c r="B25" s="61">
        <v>3.3</v>
      </c>
      <c r="C25" s="635" t="s">
        <v>1003</v>
      </c>
      <c r="D25" s="61" t="s">
        <v>1</v>
      </c>
      <c r="E25" s="635"/>
    </row>
    <row r="26" spans="1:5" ht="17.25">
      <c r="A26" s="1351"/>
      <c r="B26" s="61">
        <v>3.4</v>
      </c>
      <c r="C26" s="635" t="s">
        <v>1004</v>
      </c>
      <c r="D26" s="61" t="s">
        <v>1</v>
      </c>
      <c r="E26" s="745">
        <f>E11</f>
        <v>186078663120</v>
      </c>
    </row>
    <row r="27" spans="1:5" ht="17.25">
      <c r="A27" s="646">
        <v>4</v>
      </c>
      <c r="B27" s="1353" t="s">
        <v>1005</v>
      </c>
      <c r="C27" s="1353"/>
      <c r="D27" s="1353"/>
      <c r="E27" s="1353"/>
    </row>
    <row r="28" spans="1:5" ht="17.25">
      <c r="A28" s="925">
        <v>5</v>
      </c>
      <c r="B28" s="1353" t="s">
        <v>1006</v>
      </c>
      <c r="C28" s="1353"/>
      <c r="D28" s="1353"/>
      <c r="E28" s="1353"/>
    </row>
    <row r="29" spans="1:5" ht="17.25">
      <c r="A29" s="1350"/>
      <c r="B29" s="61">
        <v>5.0999999999999996</v>
      </c>
      <c r="C29" s="635" t="s">
        <v>26</v>
      </c>
      <c r="D29" s="61" t="s">
        <v>1</v>
      </c>
      <c r="E29" s="635"/>
    </row>
    <row r="30" spans="1:5" ht="17.25">
      <c r="A30" s="1350"/>
      <c r="B30" s="61">
        <v>5.2</v>
      </c>
      <c r="C30" s="635" t="s">
        <v>1002</v>
      </c>
      <c r="D30" s="61" t="s">
        <v>1</v>
      </c>
      <c r="E30" s="635"/>
    </row>
    <row r="31" spans="1:5" ht="17.25">
      <c r="A31" s="1350"/>
      <c r="B31" s="61">
        <v>5.3</v>
      </c>
      <c r="C31" s="635" t="s">
        <v>1007</v>
      </c>
      <c r="D31" s="61" t="s">
        <v>1</v>
      </c>
      <c r="E31" s="635"/>
    </row>
    <row r="32" spans="1:5" ht="17.25">
      <c r="A32" s="1350"/>
      <c r="B32" s="61">
        <v>5.4</v>
      </c>
      <c r="C32" s="635" t="s">
        <v>1004</v>
      </c>
      <c r="D32" s="61" t="s">
        <v>1</v>
      </c>
      <c r="E32" s="635"/>
    </row>
    <row r="33" spans="1:5" ht="17.25">
      <c r="A33" s="1351"/>
      <c r="B33" s="61">
        <v>5.5</v>
      </c>
      <c r="C33" s="635" t="s">
        <v>1008</v>
      </c>
      <c r="D33" s="61" t="s">
        <v>1</v>
      </c>
      <c r="E33" s="635"/>
    </row>
    <row r="35" spans="1:5" ht="37.5" customHeight="1">
      <c r="A35" s="1221" t="s">
        <v>1009</v>
      </c>
      <c r="B35" s="1221"/>
      <c r="C35" s="1221"/>
      <c r="D35" s="1221"/>
      <c r="E35" s="1221"/>
    </row>
    <row r="38" spans="1:5" ht="17.25">
      <c r="A38" s="818" t="s">
        <v>1010</v>
      </c>
      <c r="B38" s="818"/>
      <c r="C38" s="818"/>
      <c r="D38" s="818"/>
      <c r="E38" s="818"/>
    </row>
    <row r="39" spans="1:5" ht="18">
      <c r="A39" s="643"/>
      <c r="B39" s="643"/>
      <c r="C39" s="643"/>
      <c r="D39" s="643"/>
      <c r="E39" s="643"/>
    </row>
    <row r="43" spans="1:5" ht="18">
      <c r="C43" s="638" t="s">
        <v>1011</v>
      </c>
    </row>
    <row r="44" spans="1:5" ht="18">
      <c r="E44" s="638" t="s">
        <v>1012</v>
      </c>
    </row>
    <row r="45" spans="1:5" ht="18">
      <c r="E45" s="638"/>
    </row>
    <row r="46" spans="1:5" ht="18">
      <c r="E46" s="638"/>
    </row>
    <row r="47" spans="1:5" ht="18">
      <c r="E47" s="638"/>
    </row>
    <row r="48" spans="1:5" ht="18">
      <c r="E48" s="638"/>
    </row>
    <row r="49" spans="2:5" ht="18">
      <c r="E49" s="638"/>
    </row>
    <row r="50" spans="2:5" ht="18">
      <c r="E50" s="638"/>
    </row>
    <row r="51" spans="2:5" ht="18">
      <c r="E51" s="638"/>
    </row>
    <row r="52" spans="2:5" ht="18">
      <c r="E52" s="638"/>
    </row>
    <row r="53" spans="2:5" ht="24.75">
      <c r="C53" s="1355" t="s">
        <v>1026</v>
      </c>
      <c r="D53" s="1355"/>
      <c r="E53" s="1355"/>
    </row>
    <row r="54" spans="2:5" ht="19.5">
      <c r="C54" s="65"/>
      <c r="D54" s="65"/>
      <c r="E54" s="106"/>
    </row>
    <row r="55" spans="2:5" ht="19.5">
      <c r="C55" s="65"/>
      <c r="D55" s="65"/>
      <c r="E55" s="106"/>
    </row>
    <row r="56" spans="2:5" ht="19.5">
      <c r="C56" s="65"/>
      <c r="D56" s="65"/>
      <c r="E56" s="106"/>
    </row>
    <row r="57" spans="2:5" ht="19.5">
      <c r="C57" s="65"/>
      <c r="D57" s="65"/>
      <c r="E57" s="106"/>
    </row>
    <row r="58" spans="2:5" ht="19.5">
      <c r="B58" s="3">
        <v>1</v>
      </c>
      <c r="C58" s="24" t="s">
        <v>978</v>
      </c>
      <c r="D58" s="3" t="s">
        <v>1</v>
      </c>
      <c r="E58" s="655" t="str">
        <f>'Data Input'!D12</f>
        <v>‡gvt Rwb</v>
      </c>
    </row>
    <row r="59" spans="2:5" ht="19.5">
      <c r="B59" s="3">
        <v>2</v>
      </c>
      <c r="C59" s="24" t="s">
        <v>1027</v>
      </c>
      <c r="D59" s="3" t="s">
        <v>1</v>
      </c>
      <c r="E59" s="655" t="str">
        <f>'Data Input'!D13</f>
        <v>g„Z †gvt Bw`ªm Avjx</v>
      </c>
    </row>
    <row r="60" spans="2:5" ht="19.5">
      <c r="B60" s="3">
        <v>3</v>
      </c>
      <c r="C60" s="24" t="s">
        <v>1019</v>
      </c>
      <c r="D60" s="3" t="s">
        <v>1</v>
      </c>
      <c r="E60" s="24" t="str">
        <f>'Data Input'!D14</f>
        <v>gvmvt Avgexqv LvZzb</v>
      </c>
    </row>
    <row r="61" spans="2:5" ht="19.5">
      <c r="B61" s="3">
        <v>4</v>
      </c>
      <c r="C61" s="24" t="s">
        <v>1020</v>
      </c>
      <c r="D61" s="3" t="s">
        <v>1</v>
      </c>
      <c r="E61" s="2" t="str">
        <f>Profile!E46&amp;" eQi"</f>
        <v>26 eQi</v>
      </c>
    </row>
    <row r="62" spans="2:5" ht="19.5">
      <c r="B62" s="3">
        <v>5</v>
      </c>
      <c r="C62" s="24" t="s">
        <v>1021</v>
      </c>
      <c r="D62" s="3" t="s">
        <v>1</v>
      </c>
      <c r="E62" s="24" t="str">
        <f>'Information Sheet'!U36</f>
        <v>GBP Gm wm</v>
      </c>
    </row>
    <row r="63" spans="2:5" ht="39">
      <c r="B63" s="3">
        <v>6</v>
      </c>
      <c r="C63" s="24" t="s">
        <v>1022</v>
      </c>
      <c r="D63" s="648" t="s">
        <v>1</v>
      </c>
      <c r="E63" s="24" t="str">
        <f>'Information Sheet'!R41</f>
        <v>D‡`¨v³Zvi 6 eQ‡ii gyw` cY¨ e¨emv Gi AwfÁZv we`¨gvb|</v>
      </c>
    </row>
    <row r="64" spans="2:5" ht="19.5">
      <c r="B64" s="887">
        <v>7</v>
      </c>
      <c r="C64" s="830" t="s">
        <v>1023</v>
      </c>
      <c r="D64" s="887" t="s">
        <v>1</v>
      </c>
      <c r="E64" s="105" t="str">
        <f>+'Data Input'!D27</f>
        <v>`vcv B`ªvKcyi, dZzjøv, bvivqYMÄ</v>
      </c>
    </row>
    <row r="65" spans="2:5" ht="19.5">
      <c r="B65" s="887"/>
      <c r="C65" s="830"/>
      <c r="D65" s="887"/>
      <c r="E65" s="24" t="str">
        <f>"‡gvevBj b¤^i t "&amp;+'Data Input'!D16</f>
        <v>‡gvevBj b¤^i t 01923-401539</v>
      </c>
    </row>
    <row r="66" spans="2:5" ht="19.5">
      <c r="B66" s="648">
        <v>8</v>
      </c>
      <c r="C66" s="105" t="s">
        <v>1024</v>
      </c>
      <c r="D66" s="648" t="s">
        <v>1</v>
      </c>
      <c r="E66" s="24" t="str">
        <f>'Data Input'!D17</f>
        <v>`vcv B`ªvKcyi, dZzjøv, bvivqYMÄ</v>
      </c>
    </row>
    <row r="67" spans="2:5" ht="19.5">
      <c r="B67" s="648">
        <v>9</v>
      </c>
      <c r="C67" s="105" t="s">
        <v>1025</v>
      </c>
      <c r="D67" s="648" t="s">
        <v>1</v>
      </c>
      <c r="E67" s="105" t="str">
        <f>'Data Input'!D9</f>
        <v>`vcv B`ªvKcyi, dZzjøv, bvivqYMÄ</v>
      </c>
    </row>
    <row r="68" spans="2:5" ht="19.5">
      <c r="B68" s="3"/>
      <c r="C68" s="24"/>
      <c r="D68" s="654"/>
      <c r="E68" s="24"/>
    </row>
  </sheetData>
  <mergeCells count="17">
    <mergeCell ref="B64:B65"/>
    <mergeCell ref="C64:C65"/>
    <mergeCell ref="D64:D65"/>
    <mergeCell ref="C53:E53"/>
    <mergeCell ref="B27:E27"/>
    <mergeCell ref="A28:A33"/>
    <mergeCell ref="A35:E35"/>
    <mergeCell ref="A38:E38"/>
    <mergeCell ref="B3:E3"/>
    <mergeCell ref="B28:E28"/>
    <mergeCell ref="A7:A18"/>
    <mergeCell ref="B7:E7"/>
    <mergeCell ref="A19:A21"/>
    <mergeCell ref="B19:E19"/>
    <mergeCell ref="A22:A26"/>
    <mergeCell ref="A1:A4"/>
    <mergeCell ref="B22:E22"/>
  </mergeCells>
  <pageMargins left="0.31496062992125984" right="0.11811023622047245" top="0.35433070866141736" bottom="0.15748031496062992" header="0.11811023622047245" footer="7.874015748031496E-2"/>
  <pageSetup paperSize="9" scale="9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4">
    <pageSetUpPr fitToPage="1"/>
  </sheetPr>
  <dimension ref="A1:D47"/>
  <sheetViews>
    <sheetView showGridLines="0" view="pageBreakPreview" zoomScaleSheetLayoutView="100" workbookViewId="0">
      <selection activeCell="B41" sqref="B41"/>
    </sheetView>
  </sheetViews>
  <sheetFormatPr defaultRowHeight="15.75"/>
  <cols>
    <col min="1" max="1" width="7" customWidth="1"/>
    <col min="2" max="2" width="76.5703125" style="193" customWidth="1"/>
    <col min="3" max="3" width="6.42578125" customWidth="1"/>
    <col min="4" max="4" width="6.5703125" customWidth="1"/>
  </cols>
  <sheetData>
    <row r="1" spans="1:4" ht="33.75" customHeight="1">
      <c r="A1" s="809" t="s">
        <v>0</v>
      </c>
      <c r="B1" s="809"/>
      <c r="C1" s="809"/>
      <c r="D1" s="809"/>
    </row>
    <row r="2" spans="1:4" ht="19.5" customHeight="1">
      <c r="A2" s="810" t="str">
        <f>+'Data Input'!D2</f>
        <v>wmw×iMÄ kvLv, bvivqYMÄ</v>
      </c>
      <c r="B2" s="810"/>
      <c r="C2" s="810"/>
      <c r="D2" s="810"/>
    </row>
    <row r="3" spans="1:4" ht="13.5" customHeight="1">
      <c r="A3" s="811" t="str">
        <f>+'Data Input'!D3</f>
        <v>Mobile: 01730-708739</v>
      </c>
      <c r="B3" s="811"/>
      <c r="C3" s="811"/>
      <c r="D3" s="811"/>
    </row>
    <row r="4" spans="1:4" ht="15.75" customHeight="1">
      <c r="A4" s="1356" t="str">
        <f>+'Data Input'!D4</f>
        <v>mgrsiddhirgonj@krishibank.org.bd</v>
      </c>
      <c r="B4" s="1356"/>
      <c r="C4" s="1356"/>
      <c r="D4" s="1356"/>
    </row>
    <row r="5" spans="1:4" ht="17.25">
      <c r="A5" s="1357" t="s">
        <v>3</v>
      </c>
      <c r="B5" s="1078" t="s">
        <v>535</v>
      </c>
      <c r="C5" s="1357" t="s">
        <v>536</v>
      </c>
      <c r="D5" s="1357"/>
    </row>
    <row r="6" spans="1:4" ht="12.75" customHeight="1">
      <c r="A6" s="1358"/>
      <c r="B6" s="1359"/>
      <c r="C6" s="199" t="s">
        <v>537</v>
      </c>
      <c r="D6" s="199" t="s">
        <v>538</v>
      </c>
    </row>
    <row r="7" spans="1:4" ht="16.5" customHeight="1">
      <c r="A7" s="227">
        <v>1</v>
      </c>
      <c r="B7" s="228" t="s">
        <v>562</v>
      </c>
      <c r="C7" s="229"/>
      <c r="D7" s="230"/>
    </row>
    <row r="8" spans="1:4" ht="16.5" customHeight="1">
      <c r="A8" s="231">
        <v>2</v>
      </c>
      <c r="B8" s="232" t="s">
        <v>563</v>
      </c>
      <c r="C8" s="233"/>
      <c r="D8" s="234"/>
    </row>
    <row r="9" spans="1:4" ht="16.5" customHeight="1">
      <c r="A9" s="231">
        <v>3</v>
      </c>
      <c r="B9" s="232" t="s">
        <v>564</v>
      </c>
      <c r="C9" s="233"/>
      <c r="D9" s="234"/>
    </row>
    <row r="10" spans="1:4" ht="16.5" customHeight="1">
      <c r="A10" s="231">
        <v>4</v>
      </c>
      <c r="B10" s="232" t="s">
        <v>565</v>
      </c>
      <c r="C10" s="233"/>
      <c r="D10" s="234"/>
    </row>
    <row r="11" spans="1:4" ht="16.5" customHeight="1">
      <c r="A11" s="231">
        <v>5</v>
      </c>
      <c r="B11" s="232" t="s">
        <v>573</v>
      </c>
      <c r="C11" s="233"/>
      <c r="D11" s="234"/>
    </row>
    <row r="12" spans="1:4" ht="16.5" customHeight="1">
      <c r="A12" s="231">
        <v>6</v>
      </c>
      <c r="B12" s="232" t="s">
        <v>539</v>
      </c>
      <c r="C12" s="233"/>
      <c r="D12" s="234"/>
    </row>
    <row r="13" spans="1:4" ht="16.5" customHeight="1">
      <c r="A13" s="231">
        <v>7</v>
      </c>
      <c r="B13" s="232" t="s">
        <v>566</v>
      </c>
      <c r="C13" s="235"/>
      <c r="D13" s="234"/>
    </row>
    <row r="14" spans="1:4" ht="16.5" customHeight="1">
      <c r="A14" s="231">
        <v>8</v>
      </c>
      <c r="B14" s="232" t="s">
        <v>567</v>
      </c>
      <c r="C14" s="235"/>
      <c r="D14" s="234"/>
    </row>
    <row r="15" spans="1:4" ht="16.5" customHeight="1">
      <c r="A15" s="231">
        <v>9</v>
      </c>
      <c r="B15" s="232" t="s">
        <v>540</v>
      </c>
      <c r="C15" s="235"/>
      <c r="D15" s="234"/>
    </row>
    <row r="16" spans="1:4" ht="16.5" customHeight="1">
      <c r="A16" s="231">
        <v>10</v>
      </c>
      <c r="B16" s="232" t="s">
        <v>574</v>
      </c>
      <c r="C16" s="233"/>
      <c r="D16" s="234"/>
    </row>
    <row r="17" spans="1:4" ht="16.5" customHeight="1">
      <c r="A17" s="231">
        <v>13</v>
      </c>
      <c r="B17" s="232" t="s">
        <v>568</v>
      </c>
      <c r="C17" s="235"/>
      <c r="D17" s="234"/>
    </row>
    <row r="18" spans="1:4" ht="16.5" customHeight="1">
      <c r="A18" s="231">
        <v>11</v>
      </c>
      <c r="B18" s="232" t="s">
        <v>541</v>
      </c>
      <c r="C18" s="235"/>
      <c r="D18" s="234"/>
    </row>
    <row r="19" spans="1:4" ht="16.5" customHeight="1">
      <c r="A19" s="231">
        <v>12</v>
      </c>
      <c r="B19" s="232" t="s">
        <v>546</v>
      </c>
      <c r="C19" s="235"/>
      <c r="D19" s="234"/>
    </row>
    <row r="20" spans="1:4" ht="16.5" customHeight="1">
      <c r="A20" s="231">
        <v>13</v>
      </c>
      <c r="B20" s="232" t="s">
        <v>569</v>
      </c>
      <c r="C20" s="235"/>
      <c r="D20" s="234"/>
    </row>
    <row r="21" spans="1:4" ht="16.5" customHeight="1">
      <c r="A21" s="1360">
        <v>14</v>
      </c>
      <c r="B21" s="232" t="s">
        <v>551</v>
      </c>
      <c r="C21" s="235"/>
      <c r="D21" s="234"/>
    </row>
    <row r="22" spans="1:4" ht="16.5" customHeight="1">
      <c r="A22" s="1360"/>
      <c r="B22" s="232" t="s">
        <v>552</v>
      </c>
      <c r="C22" s="235"/>
      <c r="D22" s="234"/>
    </row>
    <row r="23" spans="1:4" ht="16.5" customHeight="1">
      <c r="A23" s="1360"/>
      <c r="B23" s="232" t="s">
        <v>596</v>
      </c>
      <c r="C23" s="235"/>
      <c r="D23" s="234"/>
    </row>
    <row r="24" spans="1:4" ht="16.5" customHeight="1">
      <c r="A24" s="231">
        <v>15</v>
      </c>
      <c r="B24" s="232" t="s">
        <v>542</v>
      </c>
      <c r="C24" s="235"/>
      <c r="D24" s="234"/>
    </row>
    <row r="25" spans="1:4" ht="16.5" customHeight="1">
      <c r="A25" s="231">
        <v>16</v>
      </c>
      <c r="B25" s="232" t="s">
        <v>543</v>
      </c>
      <c r="C25" s="235"/>
      <c r="D25" s="234"/>
    </row>
    <row r="26" spans="1:4" ht="16.5" customHeight="1">
      <c r="A26" s="231">
        <v>17</v>
      </c>
      <c r="B26" s="232" t="s">
        <v>544</v>
      </c>
      <c r="C26" s="235"/>
      <c r="D26" s="234"/>
    </row>
    <row r="27" spans="1:4" ht="16.5" customHeight="1">
      <c r="A27" s="231">
        <v>18</v>
      </c>
      <c r="B27" s="232" t="s">
        <v>545</v>
      </c>
      <c r="C27" s="235"/>
      <c r="D27" s="234"/>
    </row>
    <row r="28" spans="1:4" ht="16.5" customHeight="1">
      <c r="A28" s="231">
        <v>19</v>
      </c>
      <c r="B28" s="232" t="s">
        <v>547</v>
      </c>
      <c r="C28" s="235"/>
      <c r="D28" s="234"/>
    </row>
    <row r="29" spans="1:4" ht="16.5" customHeight="1">
      <c r="A29" s="231">
        <v>20</v>
      </c>
      <c r="B29" s="232" t="s">
        <v>549</v>
      </c>
      <c r="C29" s="235"/>
      <c r="D29" s="234"/>
    </row>
    <row r="30" spans="1:4" ht="16.5" customHeight="1">
      <c r="A30" s="231">
        <v>21</v>
      </c>
      <c r="B30" s="232" t="s">
        <v>570</v>
      </c>
      <c r="C30" s="235"/>
      <c r="D30" s="234"/>
    </row>
    <row r="31" spans="1:4" ht="16.5" customHeight="1">
      <c r="A31" s="231">
        <v>22</v>
      </c>
      <c r="B31" s="232" t="s">
        <v>548</v>
      </c>
      <c r="C31" s="235"/>
      <c r="D31" s="234"/>
    </row>
    <row r="32" spans="1:4" ht="16.5" customHeight="1">
      <c r="A32" s="231">
        <v>23</v>
      </c>
      <c r="B32" s="232" t="s">
        <v>550</v>
      </c>
      <c r="C32" s="235"/>
      <c r="D32" s="234"/>
    </row>
    <row r="33" spans="1:4" ht="16.5" customHeight="1">
      <c r="A33" s="231">
        <v>24</v>
      </c>
      <c r="B33" s="232" t="s">
        <v>555</v>
      </c>
      <c r="C33" s="235"/>
      <c r="D33" s="234"/>
    </row>
    <row r="34" spans="1:4" ht="16.5" customHeight="1">
      <c r="A34" s="231">
        <v>25</v>
      </c>
      <c r="B34" s="232" t="s">
        <v>556</v>
      </c>
      <c r="C34" s="235"/>
      <c r="D34" s="234"/>
    </row>
    <row r="35" spans="1:4" ht="16.5" customHeight="1">
      <c r="A35" s="231">
        <v>26</v>
      </c>
      <c r="B35" s="232" t="s">
        <v>557</v>
      </c>
      <c r="C35" s="235"/>
      <c r="D35" s="234"/>
    </row>
    <row r="36" spans="1:4" ht="16.5" customHeight="1">
      <c r="A36" s="231">
        <v>27</v>
      </c>
      <c r="B36" s="232" t="s">
        <v>558</v>
      </c>
      <c r="C36" s="235"/>
      <c r="D36" s="234"/>
    </row>
    <row r="37" spans="1:4" ht="16.5" customHeight="1">
      <c r="A37" s="1361">
        <v>28</v>
      </c>
      <c r="B37" s="232" t="s">
        <v>553</v>
      </c>
      <c r="C37" s="235"/>
      <c r="D37" s="236"/>
    </row>
    <row r="38" spans="1:4" ht="16.5" customHeight="1">
      <c r="A38" s="1361"/>
      <c r="B38" s="232" t="s">
        <v>554</v>
      </c>
      <c r="C38" s="235"/>
      <c r="D38" s="236"/>
    </row>
    <row r="39" spans="1:4" ht="16.5" customHeight="1">
      <c r="A39" s="231">
        <v>29</v>
      </c>
      <c r="B39" s="232" t="s">
        <v>582</v>
      </c>
      <c r="C39" s="235"/>
      <c r="D39" s="234"/>
    </row>
    <row r="40" spans="1:4" ht="16.5" customHeight="1">
      <c r="A40" s="231">
        <v>30</v>
      </c>
      <c r="B40" s="232" t="s">
        <v>559</v>
      </c>
      <c r="C40" s="235"/>
      <c r="D40" s="234"/>
    </row>
    <row r="41" spans="1:4" ht="16.5" customHeight="1">
      <c r="A41" s="231">
        <v>31</v>
      </c>
      <c r="B41" s="232" t="s">
        <v>572</v>
      </c>
      <c r="C41" s="235"/>
      <c r="D41" s="234"/>
    </row>
    <row r="42" spans="1:4" ht="16.5" customHeight="1">
      <c r="A42" s="231">
        <v>32</v>
      </c>
      <c r="B42" s="232" t="s">
        <v>571</v>
      </c>
      <c r="C42" s="235"/>
      <c r="D42" s="234"/>
    </row>
    <row r="43" spans="1:4" ht="16.5" customHeight="1">
      <c r="A43" s="237">
        <v>33</v>
      </c>
      <c r="B43" s="238" t="s">
        <v>560</v>
      </c>
      <c r="C43" s="239"/>
      <c r="D43" s="240"/>
    </row>
    <row r="44" spans="1:4" ht="18.75">
      <c r="A44" s="192"/>
    </row>
    <row r="45" spans="1:4" ht="18.75">
      <c r="A45" s="192"/>
    </row>
    <row r="46" spans="1:4" ht="18.75">
      <c r="A46" s="192"/>
    </row>
    <row r="47" spans="1:4" ht="18.75">
      <c r="A47" s="816" t="s">
        <v>561</v>
      </c>
      <c r="B47" s="816"/>
      <c r="C47" s="817" t="s">
        <v>162</v>
      </c>
      <c r="D47" s="817"/>
    </row>
  </sheetData>
  <protectedRanges>
    <protectedRange sqref="C7:D36 C39:D43" name="Range1"/>
    <protectedRange sqref="C37:D38" name="Range1_1"/>
  </protectedRanges>
  <mergeCells count="11">
    <mergeCell ref="A47:B47"/>
    <mergeCell ref="C47:D47"/>
    <mergeCell ref="A1:D1"/>
    <mergeCell ref="A2:D2"/>
    <mergeCell ref="A3:D3"/>
    <mergeCell ref="A4:D4"/>
    <mergeCell ref="A5:A6"/>
    <mergeCell ref="B5:B6"/>
    <mergeCell ref="C5:D5"/>
    <mergeCell ref="A21:A23"/>
    <mergeCell ref="A37:A38"/>
  </mergeCells>
  <pageMargins left="0.35433070866141736" right="0.43307086614173229" top="0.19685039370078741" bottom="0.19685039370078741" header="0.31496062992125984" footer="0.31496062992125984"/>
  <pageSetup paperSize="9" scale="98" orientation="portrait" r:id="rId1"/>
  <headerFooter>
    <oddFooter>&amp;L&amp;Z&amp;F&amp;R&amp;P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utton4_Click">
                <anchor moveWithCells="1" sizeWithCells="1">
                  <from>
                    <xdr:col>4</xdr:col>
                    <xdr:colOff>76200</xdr:colOff>
                    <xdr:row>3</xdr:row>
                    <xdr:rowOff>123825</xdr:rowOff>
                  </from>
                  <to>
                    <xdr:col>5</xdr:col>
                    <xdr:colOff>95250</xdr:colOff>
                    <xdr:row>6</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92D050"/>
    <outlinePr summaryBelow="0" summaryRight="0"/>
    <pageSetUpPr autoPageBreaks="0"/>
  </sheetPr>
  <dimension ref="A2:BE125"/>
  <sheetViews>
    <sheetView showGridLines="0" view="pageBreakPreview" topLeftCell="A48" zoomScaleSheetLayoutView="100" workbookViewId="0">
      <selection activeCell="J65" sqref="J65"/>
    </sheetView>
  </sheetViews>
  <sheetFormatPr defaultColWidth="11.42578125" defaultRowHeight="20.25" customHeight="1"/>
  <cols>
    <col min="1" max="1" width="4.85546875" style="550" customWidth="1"/>
    <col min="2" max="2" width="3.28515625" style="486" customWidth="1"/>
    <col min="3" max="3" width="2.85546875" style="486" customWidth="1"/>
    <col min="4" max="4" width="3.140625" style="486" customWidth="1"/>
    <col min="5" max="6" width="2.5703125" style="486" customWidth="1"/>
    <col min="7" max="7" width="3.42578125" style="486" customWidth="1"/>
    <col min="8" max="8" width="3.7109375" style="486" customWidth="1"/>
    <col min="9" max="9" width="2.140625" style="486" customWidth="1"/>
    <col min="10" max="10" width="3" style="486" customWidth="1"/>
    <col min="11" max="11" width="3.85546875" style="486" customWidth="1"/>
    <col min="12" max="12" width="3.140625" style="486" customWidth="1"/>
    <col min="13" max="13" width="2.28515625" style="486" customWidth="1"/>
    <col min="14" max="14" width="2.42578125" style="486" customWidth="1"/>
    <col min="15" max="15" width="3.140625" style="486" customWidth="1"/>
    <col min="16" max="16" width="1.85546875" style="486" customWidth="1"/>
    <col min="17" max="17" width="2.28515625" style="486" customWidth="1"/>
    <col min="18" max="18" width="2.7109375" style="486" customWidth="1"/>
    <col min="19" max="19" width="2.140625" style="486" customWidth="1"/>
    <col min="20" max="20" width="3.42578125" style="486" customWidth="1"/>
    <col min="21" max="21" width="2.42578125" style="486" customWidth="1"/>
    <col min="22" max="22" width="1.85546875" style="486" customWidth="1"/>
    <col min="23" max="23" width="3.42578125" style="486" customWidth="1"/>
    <col min="24" max="24" width="3" style="486" customWidth="1"/>
    <col min="25" max="25" width="3.7109375" style="486" customWidth="1"/>
    <col min="26" max="26" width="3.42578125" style="486" customWidth="1"/>
    <col min="27" max="27" width="1.140625" style="486" customWidth="1"/>
    <col min="28" max="28" width="1.28515625" style="486" customWidth="1"/>
    <col min="29" max="30" width="2.5703125" style="486" customWidth="1"/>
    <col min="31" max="31" width="3.42578125" style="486" customWidth="1"/>
    <col min="32" max="32" width="2.7109375" style="486" customWidth="1"/>
    <col min="33" max="33" width="2.28515625" style="486" customWidth="1"/>
    <col min="34" max="34" width="3" style="486" customWidth="1"/>
    <col min="35" max="36" width="2.85546875" style="486" customWidth="1"/>
    <col min="37" max="37" width="4.28515625" style="486" customWidth="1"/>
    <col min="38" max="38" width="3.28515625" style="486" customWidth="1"/>
    <col min="39" max="39" width="4.140625" style="486" customWidth="1"/>
    <col min="40" max="40" width="9.140625" style="463" customWidth="1"/>
    <col min="41" max="41" width="12" style="464" bestFit="1" customWidth="1"/>
    <col min="42" max="43" width="9.140625" style="464" customWidth="1"/>
    <col min="44" max="44" width="2.140625" style="464" customWidth="1"/>
    <col min="45" max="46" width="9.140625" style="464" customWidth="1"/>
    <col min="47" max="256" width="11.42578125" style="465"/>
    <col min="257" max="257" width="4.85546875" style="465" customWidth="1"/>
    <col min="258" max="258" width="3.28515625" style="465" customWidth="1"/>
    <col min="259" max="259" width="2.5703125" style="465" customWidth="1"/>
    <col min="260" max="260" width="3.140625" style="465" customWidth="1"/>
    <col min="261" max="262" width="2.5703125" style="465" customWidth="1"/>
    <col min="263" max="263" width="3.42578125" style="465" customWidth="1"/>
    <col min="264" max="264" width="3.7109375" style="465" customWidth="1"/>
    <col min="265" max="265" width="2.140625" style="465" customWidth="1"/>
    <col min="266" max="266" width="2.5703125" style="465" customWidth="1"/>
    <col min="267" max="267" width="3.5703125" style="465" customWidth="1"/>
    <col min="268" max="268" width="2.7109375" style="465" customWidth="1"/>
    <col min="269" max="269" width="2.28515625" style="465" customWidth="1"/>
    <col min="270" max="270" width="2.42578125" style="465" customWidth="1"/>
    <col min="271" max="271" width="3.140625" style="465" customWidth="1"/>
    <col min="272" max="272" width="1.85546875" style="465" customWidth="1"/>
    <col min="273" max="273" width="2.28515625" style="465" customWidth="1"/>
    <col min="274" max="274" width="2.7109375" style="465" customWidth="1"/>
    <col min="275" max="275" width="2.140625" style="465" customWidth="1"/>
    <col min="276" max="276" width="3.42578125" style="465" customWidth="1"/>
    <col min="277" max="277" width="2.42578125" style="465" customWidth="1"/>
    <col min="278" max="278" width="1.85546875" style="465" customWidth="1"/>
    <col min="279" max="279" width="3.42578125" style="465" customWidth="1"/>
    <col min="280" max="280" width="3" style="465" customWidth="1"/>
    <col min="281" max="281" width="3.7109375" style="465" customWidth="1"/>
    <col min="282" max="282" width="3.42578125" style="465" customWidth="1"/>
    <col min="283" max="283" width="1.140625" style="465" customWidth="1"/>
    <col min="284" max="284" width="1.28515625" style="465" customWidth="1"/>
    <col min="285" max="286" width="2.5703125" style="465" customWidth="1"/>
    <col min="287" max="287" width="3.42578125" style="465" customWidth="1"/>
    <col min="288" max="288" width="2.7109375" style="465" customWidth="1"/>
    <col min="289" max="289" width="2.28515625" style="465" customWidth="1"/>
    <col min="290" max="290" width="3" style="465" customWidth="1"/>
    <col min="291" max="292" width="2.85546875" style="465" customWidth="1"/>
    <col min="293" max="293" width="4.28515625" style="465" customWidth="1"/>
    <col min="294" max="294" width="3.28515625" style="465" customWidth="1"/>
    <col min="295" max="295" width="4.140625" style="465" customWidth="1"/>
    <col min="296" max="296" width="9.140625" style="465" customWidth="1"/>
    <col min="297" max="297" width="12" style="465" bestFit="1" customWidth="1"/>
    <col min="298" max="299" width="9.140625" style="465" customWidth="1"/>
    <col min="300" max="300" width="2.140625" style="465" customWidth="1"/>
    <col min="301" max="302" width="9.140625" style="465" customWidth="1"/>
    <col min="303" max="512" width="11.42578125" style="465"/>
    <col min="513" max="513" width="4.85546875" style="465" customWidth="1"/>
    <col min="514" max="514" width="3.28515625" style="465" customWidth="1"/>
    <col min="515" max="515" width="2.5703125" style="465" customWidth="1"/>
    <col min="516" max="516" width="3.140625" style="465" customWidth="1"/>
    <col min="517" max="518" width="2.5703125" style="465" customWidth="1"/>
    <col min="519" max="519" width="3.42578125" style="465" customWidth="1"/>
    <col min="520" max="520" width="3.7109375" style="465" customWidth="1"/>
    <col min="521" max="521" width="2.140625" style="465" customWidth="1"/>
    <col min="522" max="522" width="2.5703125" style="465" customWidth="1"/>
    <col min="523" max="523" width="3.5703125" style="465" customWidth="1"/>
    <col min="524" max="524" width="2.7109375" style="465" customWidth="1"/>
    <col min="525" max="525" width="2.28515625" style="465" customWidth="1"/>
    <col min="526" max="526" width="2.42578125" style="465" customWidth="1"/>
    <col min="527" max="527" width="3.140625" style="465" customWidth="1"/>
    <col min="528" max="528" width="1.85546875" style="465" customWidth="1"/>
    <col min="529" max="529" width="2.28515625" style="465" customWidth="1"/>
    <col min="530" max="530" width="2.7109375" style="465" customWidth="1"/>
    <col min="531" max="531" width="2.140625" style="465" customWidth="1"/>
    <col min="532" max="532" width="3.42578125" style="465" customWidth="1"/>
    <col min="533" max="533" width="2.42578125" style="465" customWidth="1"/>
    <col min="534" max="534" width="1.85546875" style="465" customWidth="1"/>
    <col min="535" max="535" width="3.42578125" style="465" customWidth="1"/>
    <col min="536" max="536" width="3" style="465" customWidth="1"/>
    <col min="537" max="537" width="3.7109375" style="465" customWidth="1"/>
    <col min="538" max="538" width="3.42578125" style="465" customWidth="1"/>
    <col min="539" max="539" width="1.140625" style="465" customWidth="1"/>
    <col min="540" max="540" width="1.28515625" style="465" customWidth="1"/>
    <col min="541" max="542" width="2.5703125" style="465" customWidth="1"/>
    <col min="543" max="543" width="3.42578125" style="465" customWidth="1"/>
    <col min="544" max="544" width="2.7109375" style="465" customWidth="1"/>
    <col min="545" max="545" width="2.28515625" style="465" customWidth="1"/>
    <col min="546" max="546" width="3" style="465" customWidth="1"/>
    <col min="547" max="548" width="2.85546875" style="465" customWidth="1"/>
    <col min="549" max="549" width="4.28515625" style="465" customWidth="1"/>
    <col min="550" max="550" width="3.28515625" style="465" customWidth="1"/>
    <col min="551" max="551" width="4.140625" style="465" customWidth="1"/>
    <col min="552" max="552" width="9.140625" style="465" customWidth="1"/>
    <col min="553" max="553" width="12" style="465" bestFit="1" customWidth="1"/>
    <col min="554" max="555" width="9.140625" style="465" customWidth="1"/>
    <col min="556" max="556" width="2.140625" style="465" customWidth="1"/>
    <col min="557" max="558" width="9.140625" style="465" customWidth="1"/>
    <col min="559" max="768" width="11.42578125" style="465"/>
    <col min="769" max="769" width="4.85546875" style="465" customWidth="1"/>
    <col min="770" max="770" width="3.28515625" style="465" customWidth="1"/>
    <col min="771" max="771" width="2.5703125" style="465" customWidth="1"/>
    <col min="772" max="772" width="3.140625" style="465" customWidth="1"/>
    <col min="773" max="774" width="2.5703125" style="465" customWidth="1"/>
    <col min="775" max="775" width="3.42578125" style="465" customWidth="1"/>
    <col min="776" max="776" width="3.7109375" style="465" customWidth="1"/>
    <col min="777" max="777" width="2.140625" style="465" customWidth="1"/>
    <col min="778" max="778" width="2.5703125" style="465" customWidth="1"/>
    <col min="779" max="779" width="3.5703125" style="465" customWidth="1"/>
    <col min="780" max="780" width="2.7109375" style="465" customWidth="1"/>
    <col min="781" max="781" width="2.28515625" style="465" customWidth="1"/>
    <col min="782" max="782" width="2.42578125" style="465" customWidth="1"/>
    <col min="783" max="783" width="3.140625" style="465" customWidth="1"/>
    <col min="784" max="784" width="1.85546875" style="465" customWidth="1"/>
    <col min="785" max="785" width="2.28515625" style="465" customWidth="1"/>
    <col min="786" max="786" width="2.7109375" style="465" customWidth="1"/>
    <col min="787" max="787" width="2.140625" style="465" customWidth="1"/>
    <col min="788" max="788" width="3.42578125" style="465" customWidth="1"/>
    <col min="789" max="789" width="2.42578125" style="465" customWidth="1"/>
    <col min="790" max="790" width="1.85546875" style="465" customWidth="1"/>
    <col min="791" max="791" width="3.42578125" style="465" customWidth="1"/>
    <col min="792" max="792" width="3" style="465" customWidth="1"/>
    <col min="793" max="793" width="3.7109375" style="465" customWidth="1"/>
    <col min="794" max="794" width="3.42578125" style="465" customWidth="1"/>
    <col min="795" max="795" width="1.140625" style="465" customWidth="1"/>
    <col min="796" max="796" width="1.28515625" style="465" customWidth="1"/>
    <col min="797" max="798" width="2.5703125" style="465" customWidth="1"/>
    <col min="799" max="799" width="3.42578125" style="465" customWidth="1"/>
    <col min="800" max="800" width="2.7109375" style="465" customWidth="1"/>
    <col min="801" max="801" width="2.28515625" style="465" customWidth="1"/>
    <col min="802" max="802" width="3" style="465" customWidth="1"/>
    <col min="803" max="804" width="2.85546875" style="465" customWidth="1"/>
    <col min="805" max="805" width="4.28515625" style="465" customWidth="1"/>
    <col min="806" max="806" width="3.28515625" style="465" customWidth="1"/>
    <col min="807" max="807" width="4.140625" style="465" customWidth="1"/>
    <col min="808" max="808" width="9.140625" style="465" customWidth="1"/>
    <col min="809" max="809" width="12" style="465" bestFit="1" customWidth="1"/>
    <col min="810" max="811" width="9.140625" style="465" customWidth="1"/>
    <col min="812" max="812" width="2.140625" style="465" customWidth="1"/>
    <col min="813" max="814" width="9.140625" style="465" customWidth="1"/>
    <col min="815" max="1024" width="11.42578125" style="465"/>
    <col min="1025" max="1025" width="4.85546875" style="465" customWidth="1"/>
    <col min="1026" max="1026" width="3.28515625" style="465" customWidth="1"/>
    <col min="1027" max="1027" width="2.5703125" style="465" customWidth="1"/>
    <col min="1028" max="1028" width="3.140625" style="465" customWidth="1"/>
    <col min="1029" max="1030" width="2.5703125" style="465" customWidth="1"/>
    <col min="1031" max="1031" width="3.42578125" style="465" customWidth="1"/>
    <col min="1032" max="1032" width="3.7109375" style="465" customWidth="1"/>
    <col min="1033" max="1033" width="2.140625" style="465" customWidth="1"/>
    <col min="1034" max="1034" width="2.5703125" style="465" customWidth="1"/>
    <col min="1035" max="1035" width="3.5703125" style="465" customWidth="1"/>
    <col min="1036" max="1036" width="2.7109375" style="465" customWidth="1"/>
    <col min="1037" max="1037" width="2.28515625" style="465" customWidth="1"/>
    <col min="1038" max="1038" width="2.42578125" style="465" customWidth="1"/>
    <col min="1039" max="1039" width="3.140625" style="465" customWidth="1"/>
    <col min="1040" max="1040" width="1.85546875" style="465" customWidth="1"/>
    <col min="1041" max="1041" width="2.28515625" style="465" customWidth="1"/>
    <col min="1042" max="1042" width="2.7109375" style="465" customWidth="1"/>
    <col min="1043" max="1043" width="2.140625" style="465" customWidth="1"/>
    <col min="1044" max="1044" width="3.42578125" style="465" customWidth="1"/>
    <col min="1045" max="1045" width="2.42578125" style="465" customWidth="1"/>
    <col min="1046" max="1046" width="1.85546875" style="465" customWidth="1"/>
    <col min="1047" max="1047" width="3.42578125" style="465" customWidth="1"/>
    <col min="1048" max="1048" width="3" style="465" customWidth="1"/>
    <col min="1049" max="1049" width="3.7109375" style="465" customWidth="1"/>
    <col min="1050" max="1050" width="3.42578125" style="465" customWidth="1"/>
    <col min="1051" max="1051" width="1.140625" style="465" customWidth="1"/>
    <col min="1052" max="1052" width="1.28515625" style="465" customWidth="1"/>
    <col min="1053" max="1054" width="2.5703125" style="465" customWidth="1"/>
    <col min="1055" max="1055" width="3.42578125" style="465" customWidth="1"/>
    <col min="1056" max="1056" width="2.7109375" style="465" customWidth="1"/>
    <col min="1057" max="1057" width="2.28515625" style="465" customWidth="1"/>
    <col min="1058" max="1058" width="3" style="465" customWidth="1"/>
    <col min="1059" max="1060" width="2.85546875" style="465" customWidth="1"/>
    <col min="1061" max="1061" width="4.28515625" style="465" customWidth="1"/>
    <col min="1062" max="1062" width="3.28515625" style="465" customWidth="1"/>
    <col min="1063" max="1063" width="4.140625" style="465" customWidth="1"/>
    <col min="1064" max="1064" width="9.140625" style="465" customWidth="1"/>
    <col min="1065" max="1065" width="12" style="465" bestFit="1" customWidth="1"/>
    <col min="1066" max="1067" width="9.140625" style="465" customWidth="1"/>
    <col min="1068" max="1068" width="2.140625" style="465" customWidth="1"/>
    <col min="1069" max="1070" width="9.140625" style="465" customWidth="1"/>
    <col min="1071" max="1280" width="11.42578125" style="465"/>
    <col min="1281" max="1281" width="4.85546875" style="465" customWidth="1"/>
    <col min="1282" max="1282" width="3.28515625" style="465" customWidth="1"/>
    <col min="1283" max="1283" width="2.5703125" style="465" customWidth="1"/>
    <col min="1284" max="1284" width="3.140625" style="465" customWidth="1"/>
    <col min="1285" max="1286" width="2.5703125" style="465" customWidth="1"/>
    <col min="1287" max="1287" width="3.42578125" style="465" customWidth="1"/>
    <col min="1288" max="1288" width="3.7109375" style="465" customWidth="1"/>
    <col min="1289" max="1289" width="2.140625" style="465" customWidth="1"/>
    <col min="1290" max="1290" width="2.5703125" style="465" customWidth="1"/>
    <col min="1291" max="1291" width="3.5703125" style="465" customWidth="1"/>
    <col min="1292" max="1292" width="2.7109375" style="465" customWidth="1"/>
    <col min="1293" max="1293" width="2.28515625" style="465" customWidth="1"/>
    <col min="1294" max="1294" width="2.42578125" style="465" customWidth="1"/>
    <col min="1295" max="1295" width="3.140625" style="465" customWidth="1"/>
    <col min="1296" max="1296" width="1.85546875" style="465" customWidth="1"/>
    <col min="1297" max="1297" width="2.28515625" style="465" customWidth="1"/>
    <col min="1298" max="1298" width="2.7109375" style="465" customWidth="1"/>
    <col min="1299" max="1299" width="2.140625" style="465" customWidth="1"/>
    <col min="1300" max="1300" width="3.42578125" style="465" customWidth="1"/>
    <col min="1301" max="1301" width="2.42578125" style="465" customWidth="1"/>
    <col min="1302" max="1302" width="1.85546875" style="465" customWidth="1"/>
    <col min="1303" max="1303" width="3.42578125" style="465" customWidth="1"/>
    <col min="1304" max="1304" width="3" style="465" customWidth="1"/>
    <col min="1305" max="1305" width="3.7109375" style="465" customWidth="1"/>
    <col min="1306" max="1306" width="3.42578125" style="465" customWidth="1"/>
    <col min="1307" max="1307" width="1.140625" style="465" customWidth="1"/>
    <col min="1308" max="1308" width="1.28515625" style="465" customWidth="1"/>
    <col min="1309" max="1310" width="2.5703125" style="465" customWidth="1"/>
    <col min="1311" max="1311" width="3.42578125" style="465" customWidth="1"/>
    <col min="1312" max="1312" width="2.7109375" style="465" customWidth="1"/>
    <col min="1313" max="1313" width="2.28515625" style="465" customWidth="1"/>
    <col min="1314" max="1314" width="3" style="465" customWidth="1"/>
    <col min="1315" max="1316" width="2.85546875" style="465" customWidth="1"/>
    <col min="1317" max="1317" width="4.28515625" style="465" customWidth="1"/>
    <col min="1318" max="1318" width="3.28515625" style="465" customWidth="1"/>
    <col min="1319" max="1319" width="4.140625" style="465" customWidth="1"/>
    <col min="1320" max="1320" width="9.140625" style="465" customWidth="1"/>
    <col min="1321" max="1321" width="12" style="465" bestFit="1" customWidth="1"/>
    <col min="1322" max="1323" width="9.140625" style="465" customWidth="1"/>
    <col min="1324" max="1324" width="2.140625" style="465" customWidth="1"/>
    <col min="1325" max="1326" width="9.140625" style="465" customWidth="1"/>
    <col min="1327" max="1536" width="11.42578125" style="465"/>
    <col min="1537" max="1537" width="4.85546875" style="465" customWidth="1"/>
    <col min="1538" max="1538" width="3.28515625" style="465" customWidth="1"/>
    <col min="1539" max="1539" width="2.5703125" style="465" customWidth="1"/>
    <col min="1540" max="1540" width="3.140625" style="465" customWidth="1"/>
    <col min="1541" max="1542" width="2.5703125" style="465" customWidth="1"/>
    <col min="1543" max="1543" width="3.42578125" style="465" customWidth="1"/>
    <col min="1544" max="1544" width="3.7109375" style="465" customWidth="1"/>
    <col min="1545" max="1545" width="2.140625" style="465" customWidth="1"/>
    <col min="1546" max="1546" width="2.5703125" style="465" customWidth="1"/>
    <col min="1547" max="1547" width="3.5703125" style="465" customWidth="1"/>
    <col min="1548" max="1548" width="2.7109375" style="465" customWidth="1"/>
    <col min="1549" max="1549" width="2.28515625" style="465" customWidth="1"/>
    <col min="1550" max="1550" width="2.42578125" style="465" customWidth="1"/>
    <col min="1551" max="1551" width="3.140625" style="465" customWidth="1"/>
    <col min="1552" max="1552" width="1.85546875" style="465" customWidth="1"/>
    <col min="1553" max="1553" width="2.28515625" style="465" customWidth="1"/>
    <col min="1554" max="1554" width="2.7109375" style="465" customWidth="1"/>
    <col min="1555" max="1555" width="2.140625" style="465" customWidth="1"/>
    <col min="1556" max="1556" width="3.42578125" style="465" customWidth="1"/>
    <col min="1557" max="1557" width="2.42578125" style="465" customWidth="1"/>
    <col min="1558" max="1558" width="1.85546875" style="465" customWidth="1"/>
    <col min="1559" max="1559" width="3.42578125" style="465" customWidth="1"/>
    <col min="1560" max="1560" width="3" style="465" customWidth="1"/>
    <col min="1561" max="1561" width="3.7109375" style="465" customWidth="1"/>
    <col min="1562" max="1562" width="3.42578125" style="465" customWidth="1"/>
    <col min="1563" max="1563" width="1.140625" style="465" customWidth="1"/>
    <col min="1564" max="1564" width="1.28515625" style="465" customWidth="1"/>
    <col min="1565" max="1566" width="2.5703125" style="465" customWidth="1"/>
    <col min="1567" max="1567" width="3.42578125" style="465" customWidth="1"/>
    <col min="1568" max="1568" width="2.7109375" style="465" customWidth="1"/>
    <col min="1569" max="1569" width="2.28515625" style="465" customWidth="1"/>
    <col min="1570" max="1570" width="3" style="465" customWidth="1"/>
    <col min="1571" max="1572" width="2.85546875" style="465" customWidth="1"/>
    <col min="1573" max="1573" width="4.28515625" style="465" customWidth="1"/>
    <col min="1574" max="1574" width="3.28515625" style="465" customWidth="1"/>
    <col min="1575" max="1575" width="4.140625" style="465" customWidth="1"/>
    <col min="1576" max="1576" width="9.140625" style="465" customWidth="1"/>
    <col min="1577" max="1577" width="12" style="465" bestFit="1" customWidth="1"/>
    <col min="1578" max="1579" width="9.140625" style="465" customWidth="1"/>
    <col min="1580" max="1580" width="2.140625" style="465" customWidth="1"/>
    <col min="1581" max="1582" width="9.140625" style="465" customWidth="1"/>
    <col min="1583" max="1792" width="11.42578125" style="465"/>
    <col min="1793" max="1793" width="4.85546875" style="465" customWidth="1"/>
    <col min="1794" max="1794" width="3.28515625" style="465" customWidth="1"/>
    <col min="1795" max="1795" width="2.5703125" style="465" customWidth="1"/>
    <col min="1796" max="1796" width="3.140625" style="465" customWidth="1"/>
    <col min="1797" max="1798" width="2.5703125" style="465" customWidth="1"/>
    <col min="1799" max="1799" width="3.42578125" style="465" customWidth="1"/>
    <col min="1800" max="1800" width="3.7109375" style="465" customWidth="1"/>
    <col min="1801" max="1801" width="2.140625" style="465" customWidth="1"/>
    <col min="1802" max="1802" width="2.5703125" style="465" customWidth="1"/>
    <col min="1803" max="1803" width="3.5703125" style="465" customWidth="1"/>
    <col min="1804" max="1804" width="2.7109375" style="465" customWidth="1"/>
    <col min="1805" max="1805" width="2.28515625" style="465" customWidth="1"/>
    <col min="1806" max="1806" width="2.42578125" style="465" customWidth="1"/>
    <col min="1807" max="1807" width="3.140625" style="465" customWidth="1"/>
    <col min="1808" max="1808" width="1.85546875" style="465" customWidth="1"/>
    <col min="1809" max="1809" width="2.28515625" style="465" customWidth="1"/>
    <col min="1810" max="1810" width="2.7109375" style="465" customWidth="1"/>
    <col min="1811" max="1811" width="2.140625" style="465" customWidth="1"/>
    <col min="1812" max="1812" width="3.42578125" style="465" customWidth="1"/>
    <col min="1813" max="1813" width="2.42578125" style="465" customWidth="1"/>
    <col min="1814" max="1814" width="1.85546875" style="465" customWidth="1"/>
    <col min="1815" max="1815" width="3.42578125" style="465" customWidth="1"/>
    <col min="1816" max="1816" width="3" style="465" customWidth="1"/>
    <col min="1817" max="1817" width="3.7109375" style="465" customWidth="1"/>
    <col min="1818" max="1818" width="3.42578125" style="465" customWidth="1"/>
    <col min="1819" max="1819" width="1.140625" style="465" customWidth="1"/>
    <col min="1820" max="1820" width="1.28515625" style="465" customWidth="1"/>
    <col min="1821" max="1822" width="2.5703125" style="465" customWidth="1"/>
    <col min="1823" max="1823" width="3.42578125" style="465" customWidth="1"/>
    <col min="1824" max="1824" width="2.7109375" style="465" customWidth="1"/>
    <col min="1825" max="1825" width="2.28515625" style="465" customWidth="1"/>
    <col min="1826" max="1826" width="3" style="465" customWidth="1"/>
    <col min="1827" max="1828" width="2.85546875" style="465" customWidth="1"/>
    <col min="1829" max="1829" width="4.28515625" style="465" customWidth="1"/>
    <col min="1830" max="1830" width="3.28515625" style="465" customWidth="1"/>
    <col min="1831" max="1831" width="4.140625" style="465" customWidth="1"/>
    <col min="1832" max="1832" width="9.140625" style="465" customWidth="1"/>
    <col min="1833" max="1833" width="12" style="465" bestFit="1" customWidth="1"/>
    <col min="1834" max="1835" width="9.140625" style="465" customWidth="1"/>
    <col min="1836" max="1836" width="2.140625" style="465" customWidth="1"/>
    <col min="1837" max="1838" width="9.140625" style="465" customWidth="1"/>
    <col min="1839" max="2048" width="11.42578125" style="465"/>
    <col min="2049" max="2049" width="4.85546875" style="465" customWidth="1"/>
    <col min="2050" max="2050" width="3.28515625" style="465" customWidth="1"/>
    <col min="2051" max="2051" width="2.5703125" style="465" customWidth="1"/>
    <col min="2052" max="2052" width="3.140625" style="465" customWidth="1"/>
    <col min="2053" max="2054" width="2.5703125" style="465" customWidth="1"/>
    <col min="2055" max="2055" width="3.42578125" style="465" customWidth="1"/>
    <col min="2056" max="2056" width="3.7109375" style="465" customWidth="1"/>
    <col min="2057" max="2057" width="2.140625" style="465" customWidth="1"/>
    <col min="2058" max="2058" width="2.5703125" style="465" customWidth="1"/>
    <col min="2059" max="2059" width="3.5703125" style="465" customWidth="1"/>
    <col min="2060" max="2060" width="2.7109375" style="465" customWidth="1"/>
    <col min="2061" max="2061" width="2.28515625" style="465" customWidth="1"/>
    <col min="2062" max="2062" width="2.42578125" style="465" customWidth="1"/>
    <col min="2063" max="2063" width="3.140625" style="465" customWidth="1"/>
    <col min="2064" max="2064" width="1.85546875" style="465" customWidth="1"/>
    <col min="2065" max="2065" width="2.28515625" style="465" customWidth="1"/>
    <col min="2066" max="2066" width="2.7109375" style="465" customWidth="1"/>
    <col min="2067" max="2067" width="2.140625" style="465" customWidth="1"/>
    <col min="2068" max="2068" width="3.42578125" style="465" customWidth="1"/>
    <col min="2069" max="2069" width="2.42578125" style="465" customWidth="1"/>
    <col min="2070" max="2070" width="1.85546875" style="465" customWidth="1"/>
    <col min="2071" max="2071" width="3.42578125" style="465" customWidth="1"/>
    <col min="2072" max="2072" width="3" style="465" customWidth="1"/>
    <col min="2073" max="2073" width="3.7109375" style="465" customWidth="1"/>
    <col min="2074" max="2074" width="3.42578125" style="465" customWidth="1"/>
    <col min="2075" max="2075" width="1.140625" style="465" customWidth="1"/>
    <col min="2076" max="2076" width="1.28515625" style="465" customWidth="1"/>
    <col min="2077" max="2078" width="2.5703125" style="465" customWidth="1"/>
    <col min="2079" max="2079" width="3.42578125" style="465" customWidth="1"/>
    <col min="2080" max="2080" width="2.7109375" style="465" customWidth="1"/>
    <col min="2081" max="2081" width="2.28515625" style="465" customWidth="1"/>
    <col min="2082" max="2082" width="3" style="465" customWidth="1"/>
    <col min="2083" max="2084" width="2.85546875" style="465" customWidth="1"/>
    <col min="2085" max="2085" width="4.28515625" style="465" customWidth="1"/>
    <col min="2086" max="2086" width="3.28515625" style="465" customWidth="1"/>
    <col min="2087" max="2087" width="4.140625" style="465" customWidth="1"/>
    <col min="2088" max="2088" width="9.140625" style="465" customWidth="1"/>
    <col min="2089" max="2089" width="12" style="465" bestFit="1" customWidth="1"/>
    <col min="2090" max="2091" width="9.140625" style="465" customWidth="1"/>
    <col min="2092" max="2092" width="2.140625" style="465" customWidth="1"/>
    <col min="2093" max="2094" width="9.140625" style="465" customWidth="1"/>
    <col min="2095" max="2304" width="11.42578125" style="465"/>
    <col min="2305" max="2305" width="4.85546875" style="465" customWidth="1"/>
    <col min="2306" max="2306" width="3.28515625" style="465" customWidth="1"/>
    <col min="2307" max="2307" width="2.5703125" style="465" customWidth="1"/>
    <col min="2308" max="2308" width="3.140625" style="465" customWidth="1"/>
    <col min="2309" max="2310" width="2.5703125" style="465" customWidth="1"/>
    <col min="2311" max="2311" width="3.42578125" style="465" customWidth="1"/>
    <col min="2312" max="2312" width="3.7109375" style="465" customWidth="1"/>
    <col min="2313" max="2313" width="2.140625" style="465" customWidth="1"/>
    <col min="2314" max="2314" width="2.5703125" style="465" customWidth="1"/>
    <col min="2315" max="2315" width="3.5703125" style="465" customWidth="1"/>
    <col min="2316" max="2316" width="2.7109375" style="465" customWidth="1"/>
    <col min="2317" max="2317" width="2.28515625" style="465" customWidth="1"/>
    <col min="2318" max="2318" width="2.42578125" style="465" customWidth="1"/>
    <col min="2319" max="2319" width="3.140625" style="465" customWidth="1"/>
    <col min="2320" max="2320" width="1.85546875" style="465" customWidth="1"/>
    <col min="2321" max="2321" width="2.28515625" style="465" customWidth="1"/>
    <col min="2322" max="2322" width="2.7109375" style="465" customWidth="1"/>
    <col min="2323" max="2323" width="2.140625" style="465" customWidth="1"/>
    <col min="2324" max="2324" width="3.42578125" style="465" customWidth="1"/>
    <col min="2325" max="2325" width="2.42578125" style="465" customWidth="1"/>
    <col min="2326" max="2326" width="1.85546875" style="465" customWidth="1"/>
    <col min="2327" max="2327" width="3.42578125" style="465" customWidth="1"/>
    <col min="2328" max="2328" width="3" style="465" customWidth="1"/>
    <col min="2329" max="2329" width="3.7109375" style="465" customWidth="1"/>
    <col min="2330" max="2330" width="3.42578125" style="465" customWidth="1"/>
    <col min="2331" max="2331" width="1.140625" style="465" customWidth="1"/>
    <col min="2332" max="2332" width="1.28515625" style="465" customWidth="1"/>
    <col min="2333" max="2334" width="2.5703125" style="465" customWidth="1"/>
    <col min="2335" max="2335" width="3.42578125" style="465" customWidth="1"/>
    <col min="2336" max="2336" width="2.7109375" style="465" customWidth="1"/>
    <col min="2337" max="2337" width="2.28515625" style="465" customWidth="1"/>
    <col min="2338" max="2338" width="3" style="465" customWidth="1"/>
    <col min="2339" max="2340" width="2.85546875" style="465" customWidth="1"/>
    <col min="2341" max="2341" width="4.28515625" style="465" customWidth="1"/>
    <col min="2342" max="2342" width="3.28515625" style="465" customWidth="1"/>
    <col min="2343" max="2343" width="4.140625" style="465" customWidth="1"/>
    <col min="2344" max="2344" width="9.140625" style="465" customWidth="1"/>
    <col min="2345" max="2345" width="12" style="465" bestFit="1" customWidth="1"/>
    <col min="2346" max="2347" width="9.140625" style="465" customWidth="1"/>
    <col min="2348" max="2348" width="2.140625" style="465" customWidth="1"/>
    <col min="2349" max="2350" width="9.140625" style="465" customWidth="1"/>
    <col min="2351" max="2560" width="11.42578125" style="465"/>
    <col min="2561" max="2561" width="4.85546875" style="465" customWidth="1"/>
    <col min="2562" max="2562" width="3.28515625" style="465" customWidth="1"/>
    <col min="2563" max="2563" width="2.5703125" style="465" customWidth="1"/>
    <col min="2564" max="2564" width="3.140625" style="465" customWidth="1"/>
    <col min="2565" max="2566" width="2.5703125" style="465" customWidth="1"/>
    <col min="2567" max="2567" width="3.42578125" style="465" customWidth="1"/>
    <col min="2568" max="2568" width="3.7109375" style="465" customWidth="1"/>
    <col min="2569" max="2569" width="2.140625" style="465" customWidth="1"/>
    <col min="2570" max="2570" width="2.5703125" style="465" customWidth="1"/>
    <col min="2571" max="2571" width="3.5703125" style="465" customWidth="1"/>
    <col min="2572" max="2572" width="2.7109375" style="465" customWidth="1"/>
    <col min="2573" max="2573" width="2.28515625" style="465" customWidth="1"/>
    <col min="2574" max="2574" width="2.42578125" style="465" customWidth="1"/>
    <col min="2575" max="2575" width="3.140625" style="465" customWidth="1"/>
    <col min="2576" max="2576" width="1.85546875" style="465" customWidth="1"/>
    <col min="2577" max="2577" width="2.28515625" style="465" customWidth="1"/>
    <col min="2578" max="2578" width="2.7109375" style="465" customWidth="1"/>
    <col min="2579" max="2579" width="2.140625" style="465" customWidth="1"/>
    <col min="2580" max="2580" width="3.42578125" style="465" customWidth="1"/>
    <col min="2581" max="2581" width="2.42578125" style="465" customWidth="1"/>
    <col min="2582" max="2582" width="1.85546875" style="465" customWidth="1"/>
    <col min="2583" max="2583" width="3.42578125" style="465" customWidth="1"/>
    <col min="2584" max="2584" width="3" style="465" customWidth="1"/>
    <col min="2585" max="2585" width="3.7109375" style="465" customWidth="1"/>
    <col min="2586" max="2586" width="3.42578125" style="465" customWidth="1"/>
    <col min="2587" max="2587" width="1.140625" style="465" customWidth="1"/>
    <col min="2588" max="2588" width="1.28515625" style="465" customWidth="1"/>
    <col min="2589" max="2590" width="2.5703125" style="465" customWidth="1"/>
    <col min="2591" max="2591" width="3.42578125" style="465" customWidth="1"/>
    <col min="2592" max="2592" width="2.7109375" style="465" customWidth="1"/>
    <col min="2593" max="2593" width="2.28515625" style="465" customWidth="1"/>
    <col min="2594" max="2594" width="3" style="465" customWidth="1"/>
    <col min="2595" max="2596" width="2.85546875" style="465" customWidth="1"/>
    <col min="2597" max="2597" width="4.28515625" style="465" customWidth="1"/>
    <col min="2598" max="2598" width="3.28515625" style="465" customWidth="1"/>
    <col min="2599" max="2599" width="4.140625" style="465" customWidth="1"/>
    <col min="2600" max="2600" width="9.140625" style="465" customWidth="1"/>
    <col min="2601" max="2601" width="12" style="465" bestFit="1" customWidth="1"/>
    <col min="2602" max="2603" width="9.140625" style="465" customWidth="1"/>
    <col min="2604" max="2604" width="2.140625" style="465" customWidth="1"/>
    <col min="2605" max="2606" width="9.140625" style="465" customWidth="1"/>
    <col min="2607" max="2816" width="11.42578125" style="465"/>
    <col min="2817" max="2817" width="4.85546875" style="465" customWidth="1"/>
    <col min="2818" max="2818" width="3.28515625" style="465" customWidth="1"/>
    <col min="2819" max="2819" width="2.5703125" style="465" customWidth="1"/>
    <col min="2820" max="2820" width="3.140625" style="465" customWidth="1"/>
    <col min="2821" max="2822" width="2.5703125" style="465" customWidth="1"/>
    <col min="2823" max="2823" width="3.42578125" style="465" customWidth="1"/>
    <col min="2824" max="2824" width="3.7109375" style="465" customWidth="1"/>
    <col min="2825" max="2825" width="2.140625" style="465" customWidth="1"/>
    <col min="2826" max="2826" width="2.5703125" style="465" customWidth="1"/>
    <col min="2827" max="2827" width="3.5703125" style="465" customWidth="1"/>
    <col min="2828" max="2828" width="2.7109375" style="465" customWidth="1"/>
    <col min="2829" max="2829" width="2.28515625" style="465" customWidth="1"/>
    <col min="2830" max="2830" width="2.42578125" style="465" customWidth="1"/>
    <col min="2831" max="2831" width="3.140625" style="465" customWidth="1"/>
    <col min="2832" max="2832" width="1.85546875" style="465" customWidth="1"/>
    <col min="2833" max="2833" width="2.28515625" style="465" customWidth="1"/>
    <col min="2834" max="2834" width="2.7109375" style="465" customWidth="1"/>
    <col min="2835" max="2835" width="2.140625" style="465" customWidth="1"/>
    <col min="2836" max="2836" width="3.42578125" style="465" customWidth="1"/>
    <col min="2837" max="2837" width="2.42578125" style="465" customWidth="1"/>
    <col min="2838" max="2838" width="1.85546875" style="465" customWidth="1"/>
    <col min="2839" max="2839" width="3.42578125" style="465" customWidth="1"/>
    <col min="2840" max="2840" width="3" style="465" customWidth="1"/>
    <col min="2841" max="2841" width="3.7109375" style="465" customWidth="1"/>
    <col min="2842" max="2842" width="3.42578125" style="465" customWidth="1"/>
    <col min="2843" max="2843" width="1.140625" style="465" customWidth="1"/>
    <col min="2844" max="2844" width="1.28515625" style="465" customWidth="1"/>
    <col min="2845" max="2846" width="2.5703125" style="465" customWidth="1"/>
    <col min="2847" max="2847" width="3.42578125" style="465" customWidth="1"/>
    <col min="2848" max="2848" width="2.7109375" style="465" customWidth="1"/>
    <col min="2849" max="2849" width="2.28515625" style="465" customWidth="1"/>
    <col min="2850" max="2850" width="3" style="465" customWidth="1"/>
    <col min="2851" max="2852" width="2.85546875" style="465" customWidth="1"/>
    <col min="2853" max="2853" width="4.28515625" style="465" customWidth="1"/>
    <col min="2854" max="2854" width="3.28515625" style="465" customWidth="1"/>
    <col min="2855" max="2855" width="4.140625" style="465" customWidth="1"/>
    <col min="2856" max="2856" width="9.140625" style="465" customWidth="1"/>
    <col min="2857" max="2857" width="12" style="465" bestFit="1" customWidth="1"/>
    <col min="2858" max="2859" width="9.140625" style="465" customWidth="1"/>
    <col min="2860" max="2860" width="2.140625" style="465" customWidth="1"/>
    <col min="2861" max="2862" width="9.140625" style="465" customWidth="1"/>
    <col min="2863" max="3072" width="11.42578125" style="465"/>
    <col min="3073" max="3073" width="4.85546875" style="465" customWidth="1"/>
    <col min="3074" max="3074" width="3.28515625" style="465" customWidth="1"/>
    <col min="3075" max="3075" width="2.5703125" style="465" customWidth="1"/>
    <col min="3076" max="3076" width="3.140625" style="465" customWidth="1"/>
    <col min="3077" max="3078" width="2.5703125" style="465" customWidth="1"/>
    <col min="3079" max="3079" width="3.42578125" style="465" customWidth="1"/>
    <col min="3080" max="3080" width="3.7109375" style="465" customWidth="1"/>
    <col min="3081" max="3081" width="2.140625" style="465" customWidth="1"/>
    <col min="3082" max="3082" width="2.5703125" style="465" customWidth="1"/>
    <col min="3083" max="3083" width="3.5703125" style="465" customWidth="1"/>
    <col min="3084" max="3084" width="2.7109375" style="465" customWidth="1"/>
    <col min="3085" max="3085" width="2.28515625" style="465" customWidth="1"/>
    <col min="3086" max="3086" width="2.42578125" style="465" customWidth="1"/>
    <col min="3087" max="3087" width="3.140625" style="465" customWidth="1"/>
    <col min="3088" max="3088" width="1.85546875" style="465" customWidth="1"/>
    <col min="3089" max="3089" width="2.28515625" style="465" customWidth="1"/>
    <col min="3090" max="3090" width="2.7109375" style="465" customWidth="1"/>
    <col min="3091" max="3091" width="2.140625" style="465" customWidth="1"/>
    <col min="3092" max="3092" width="3.42578125" style="465" customWidth="1"/>
    <col min="3093" max="3093" width="2.42578125" style="465" customWidth="1"/>
    <col min="3094" max="3094" width="1.85546875" style="465" customWidth="1"/>
    <col min="3095" max="3095" width="3.42578125" style="465" customWidth="1"/>
    <col min="3096" max="3096" width="3" style="465" customWidth="1"/>
    <col min="3097" max="3097" width="3.7109375" style="465" customWidth="1"/>
    <col min="3098" max="3098" width="3.42578125" style="465" customWidth="1"/>
    <col min="3099" max="3099" width="1.140625" style="465" customWidth="1"/>
    <col min="3100" max="3100" width="1.28515625" style="465" customWidth="1"/>
    <col min="3101" max="3102" width="2.5703125" style="465" customWidth="1"/>
    <col min="3103" max="3103" width="3.42578125" style="465" customWidth="1"/>
    <col min="3104" max="3104" width="2.7109375" style="465" customWidth="1"/>
    <col min="3105" max="3105" width="2.28515625" style="465" customWidth="1"/>
    <col min="3106" max="3106" width="3" style="465" customWidth="1"/>
    <col min="3107" max="3108" width="2.85546875" style="465" customWidth="1"/>
    <col min="3109" max="3109" width="4.28515625" style="465" customWidth="1"/>
    <col min="3110" max="3110" width="3.28515625" style="465" customWidth="1"/>
    <col min="3111" max="3111" width="4.140625" style="465" customWidth="1"/>
    <col min="3112" max="3112" width="9.140625" style="465" customWidth="1"/>
    <col min="3113" max="3113" width="12" style="465" bestFit="1" customWidth="1"/>
    <col min="3114" max="3115" width="9.140625" style="465" customWidth="1"/>
    <col min="3116" max="3116" width="2.140625" style="465" customWidth="1"/>
    <col min="3117" max="3118" width="9.140625" style="465" customWidth="1"/>
    <col min="3119" max="3328" width="11.42578125" style="465"/>
    <col min="3329" max="3329" width="4.85546875" style="465" customWidth="1"/>
    <col min="3330" max="3330" width="3.28515625" style="465" customWidth="1"/>
    <col min="3331" max="3331" width="2.5703125" style="465" customWidth="1"/>
    <col min="3332" max="3332" width="3.140625" style="465" customWidth="1"/>
    <col min="3333" max="3334" width="2.5703125" style="465" customWidth="1"/>
    <col min="3335" max="3335" width="3.42578125" style="465" customWidth="1"/>
    <col min="3336" max="3336" width="3.7109375" style="465" customWidth="1"/>
    <col min="3337" max="3337" width="2.140625" style="465" customWidth="1"/>
    <col min="3338" max="3338" width="2.5703125" style="465" customWidth="1"/>
    <col min="3339" max="3339" width="3.5703125" style="465" customWidth="1"/>
    <col min="3340" max="3340" width="2.7109375" style="465" customWidth="1"/>
    <col min="3341" max="3341" width="2.28515625" style="465" customWidth="1"/>
    <col min="3342" max="3342" width="2.42578125" style="465" customWidth="1"/>
    <col min="3343" max="3343" width="3.140625" style="465" customWidth="1"/>
    <col min="3344" max="3344" width="1.85546875" style="465" customWidth="1"/>
    <col min="3345" max="3345" width="2.28515625" style="465" customWidth="1"/>
    <col min="3346" max="3346" width="2.7109375" style="465" customWidth="1"/>
    <col min="3347" max="3347" width="2.140625" style="465" customWidth="1"/>
    <col min="3348" max="3348" width="3.42578125" style="465" customWidth="1"/>
    <col min="3349" max="3349" width="2.42578125" style="465" customWidth="1"/>
    <col min="3350" max="3350" width="1.85546875" style="465" customWidth="1"/>
    <col min="3351" max="3351" width="3.42578125" style="465" customWidth="1"/>
    <col min="3352" max="3352" width="3" style="465" customWidth="1"/>
    <col min="3353" max="3353" width="3.7109375" style="465" customWidth="1"/>
    <col min="3354" max="3354" width="3.42578125" style="465" customWidth="1"/>
    <col min="3355" max="3355" width="1.140625" style="465" customWidth="1"/>
    <col min="3356" max="3356" width="1.28515625" style="465" customWidth="1"/>
    <col min="3357" max="3358" width="2.5703125" style="465" customWidth="1"/>
    <col min="3359" max="3359" width="3.42578125" style="465" customWidth="1"/>
    <col min="3360" max="3360" width="2.7109375" style="465" customWidth="1"/>
    <col min="3361" max="3361" width="2.28515625" style="465" customWidth="1"/>
    <col min="3362" max="3362" width="3" style="465" customWidth="1"/>
    <col min="3363" max="3364" width="2.85546875" style="465" customWidth="1"/>
    <col min="3365" max="3365" width="4.28515625" style="465" customWidth="1"/>
    <col min="3366" max="3366" width="3.28515625" style="465" customWidth="1"/>
    <col min="3367" max="3367" width="4.140625" style="465" customWidth="1"/>
    <col min="3368" max="3368" width="9.140625" style="465" customWidth="1"/>
    <col min="3369" max="3369" width="12" style="465" bestFit="1" customWidth="1"/>
    <col min="3370" max="3371" width="9.140625" style="465" customWidth="1"/>
    <col min="3372" max="3372" width="2.140625" style="465" customWidth="1"/>
    <col min="3373" max="3374" width="9.140625" style="465" customWidth="1"/>
    <col min="3375" max="3584" width="11.42578125" style="465"/>
    <col min="3585" max="3585" width="4.85546875" style="465" customWidth="1"/>
    <col min="3586" max="3586" width="3.28515625" style="465" customWidth="1"/>
    <col min="3587" max="3587" width="2.5703125" style="465" customWidth="1"/>
    <col min="3588" max="3588" width="3.140625" style="465" customWidth="1"/>
    <col min="3589" max="3590" width="2.5703125" style="465" customWidth="1"/>
    <col min="3591" max="3591" width="3.42578125" style="465" customWidth="1"/>
    <col min="3592" max="3592" width="3.7109375" style="465" customWidth="1"/>
    <col min="3593" max="3593" width="2.140625" style="465" customWidth="1"/>
    <col min="3594" max="3594" width="2.5703125" style="465" customWidth="1"/>
    <col min="3595" max="3595" width="3.5703125" style="465" customWidth="1"/>
    <col min="3596" max="3596" width="2.7109375" style="465" customWidth="1"/>
    <col min="3597" max="3597" width="2.28515625" style="465" customWidth="1"/>
    <col min="3598" max="3598" width="2.42578125" style="465" customWidth="1"/>
    <col min="3599" max="3599" width="3.140625" style="465" customWidth="1"/>
    <col min="3600" max="3600" width="1.85546875" style="465" customWidth="1"/>
    <col min="3601" max="3601" width="2.28515625" style="465" customWidth="1"/>
    <col min="3602" max="3602" width="2.7109375" style="465" customWidth="1"/>
    <col min="3603" max="3603" width="2.140625" style="465" customWidth="1"/>
    <col min="3604" max="3604" width="3.42578125" style="465" customWidth="1"/>
    <col min="3605" max="3605" width="2.42578125" style="465" customWidth="1"/>
    <col min="3606" max="3606" width="1.85546875" style="465" customWidth="1"/>
    <col min="3607" max="3607" width="3.42578125" style="465" customWidth="1"/>
    <col min="3608" max="3608" width="3" style="465" customWidth="1"/>
    <col min="3609" max="3609" width="3.7109375" style="465" customWidth="1"/>
    <col min="3610" max="3610" width="3.42578125" style="465" customWidth="1"/>
    <col min="3611" max="3611" width="1.140625" style="465" customWidth="1"/>
    <col min="3612" max="3612" width="1.28515625" style="465" customWidth="1"/>
    <col min="3613" max="3614" width="2.5703125" style="465" customWidth="1"/>
    <col min="3615" max="3615" width="3.42578125" style="465" customWidth="1"/>
    <col min="3616" max="3616" width="2.7109375" style="465" customWidth="1"/>
    <col min="3617" max="3617" width="2.28515625" style="465" customWidth="1"/>
    <col min="3618" max="3618" width="3" style="465" customWidth="1"/>
    <col min="3619" max="3620" width="2.85546875" style="465" customWidth="1"/>
    <col min="3621" max="3621" width="4.28515625" style="465" customWidth="1"/>
    <col min="3622" max="3622" width="3.28515625" style="465" customWidth="1"/>
    <col min="3623" max="3623" width="4.140625" style="465" customWidth="1"/>
    <col min="3624" max="3624" width="9.140625" style="465" customWidth="1"/>
    <col min="3625" max="3625" width="12" style="465" bestFit="1" customWidth="1"/>
    <col min="3626" max="3627" width="9.140625" style="465" customWidth="1"/>
    <col min="3628" max="3628" width="2.140625" style="465" customWidth="1"/>
    <col min="3629" max="3630" width="9.140625" style="465" customWidth="1"/>
    <col min="3631" max="3840" width="11.42578125" style="465"/>
    <col min="3841" max="3841" width="4.85546875" style="465" customWidth="1"/>
    <col min="3842" max="3842" width="3.28515625" style="465" customWidth="1"/>
    <col min="3843" max="3843" width="2.5703125" style="465" customWidth="1"/>
    <col min="3844" max="3844" width="3.140625" style="465" customWidth="1"/>
    <col min="3845" max="3846" width="2.5703125" style="465" customWidth="1"/>
    <col min="3847" max="3847" width="3.42578125" style="465" customWidth="1"/>
    <col min="3848" max="3848" width="3.7109375" style="465" customWidth="1"/>
    <col min="3849" max="3849" width="2.140625" style="465" customWidth="1"/>
    <col min="3850" max="3850" width="2.5703125" style="465" customWidth="1"/>
    <col min="3851" max="3851" width="3.5703125" style="465" customWidth="1"/>
    <col min="3852" max="3852" width="2.7109375" style="465" customWidth="1"/>
    <col min="3853" max="3853" width="2.28515625" style="465" customWidth="1"/>
    <col min="3854" max="3854" width="2.42578125" style="465" customWidth="1"/>
    <col min="3855" max="3855" width="3.140625" style="465" customWidth="1"/>
    <col min="3856" max="3856" width="1.85546875" style="465" customWidth="1"/>
    <col min="3857" max="3857" width="2.28515625" style="465" customWidth="1"/>
    <col min="3858" max="3858" width="2.7109375" style="465" customWidth="1"/>
    <col min="3859" max="3859" width="2.140625" style="465" customWidth="1"/>
    <col min="3860" max="3860" width="3.42578125" style="465" customWidth="1"/>
    <col min="3861" max="3861" width="2.42578125" style="465" customWidth="1"/>
    <col min="3862" max="3862" width="1.85546875" style="465" customWidth="1"/>
    <col min="3863" max="3863" width="3.42578125" style="465" customWidth="1"/>
    <col min="3864" max="3864" width="3" style="465" customWidth="1"/>
    <col min="3865" max="3865" width="3.7109375" style="465" customWidth="1"/>
    <col min="3866" max="3866" width="3.42578125" style="465" customWidth="1"/>
    <col min="3867" max="3867" width="1.140625" style="465" customWidth="1"/>
    <col min="3868" max="3868" width="1.28515625" style="465" customWidth="1"/>
    <col min="3869" max="3870" width="2.5703125" style="465" customWidth="1"/>
    <col min="3871" max="3871" width="3.42578125" style="465" customWidth="1"/>
    <col min="3872" max="3872" width="2.7109375" style="465" customWidth="1"/>
    <col min="3873" max="3873" width="2.28515625" style="465" customWidth="1"/>
    <col min="3874" max="3874" width="3" style="465" customWidth="1"/>
    <col min="3875" max="3876" width="2.85546875" style="465" customWidth="1"/>
    <col min="3877" max="3877" width="4.28515625" style="465" customWidth="1"/>
    <col min="3878" max="3878" width="3.28515625" style="465" customWidth="1"/>
    <col min="3879" max="3879" width="4.140625" style="465" customWidth="1"/>
    <col min="3880" max="3880" width="9.140625" style="465" customWidth="1"/>
    <col min="3881" max="3881" width="12" style="465" bestFit="1" customWidth="1"/>
    <col min="3882" max="3883" width="9.140625" style="465" customWidth="1"/>
    <col min="3884" max="3884" width="2.140625" style="465" customWidth="1"/>
    <col min="3885" max="3886" width="9.140625" style="465" customWidth="1"/>
    <col min="3887" max="4096" width="11.42578125" style="465"/>
    <col min="4097" max="4097" width="4.85546875" style="465" customWidth="1"/>
    <col min="4098" max="4098" width="3.28515625" style="465" customWidth="1"/>
    <col min="4099" max="4099" width="2.5703125" style="465" customWidth="1"/>
    <col min="4100" max="4100" width="3.140625" style="465" customWidth="1"/>
    <col min="4101" max="4102" width="2.5703125" style="465" customWidth="1"/>
    <col min="4103" max="4103" width="3.42578125" style="465" customWidth="1"/>
    <col min="4104" max="4104" width="3.7109375" style="465" customWidth="1"/>
    <col min="4105" max="4105" width="2.140625" style="465" customWidth="1"/>
    <col min="4106" max="4106" width="2.5703125" style="465" customWidth="1"/>
    <col min="4107" max="4107" width="3.5703125" style="465" customWidth="1"/>
    <col min="4108" max="4108" width="2.7109375" style="465" customWidth="1"/>
    <col min="4109" max="4109" width="2.28515625" style="465" customWidth="1"/>
    <col min="4110" max="4110" width="2.42578125" style="465" customWidth="1"/>
    <col min="4111" max="4111" width="3.140625" style="465" customWidth="1"/>
    <col min="4112" max="4112" width="1.85546875" style="465" customWidth="1"/>
    <col min="4113" max="4113" width="2.28515625" style="465" customWidth="1"/>
    <col min="4114" max="4114" width="2.7109375" style="465" customWidth="1"/>
    <col min="4115" max="4115" width="2.140625" style="465" customWidth="1"/>
    <col min="4116" max="4116" width="3.42578125" style="465" customWidth="1"/>
    <col min="4117" max="4117" width="2.42578125" style="465" customWidth="1"/>
    <col min="4118" max="4118" width="1.85546875" style="465" customWidth="1"/>
    <col min="4119" max="4119" width="3.42578125" style="465" customWidth="1"/>
    <col min="4120" max="4120" width="3" style="465" customWidth="1"/>
    <col min="4121" max="4121" width="3.7109375" style="465" customWidth="1"/>
    <col min="4122" max="4122" width="3.42578125" style="465" customWidth="1"/>
    <col min="4123" max="4123" width="1.140625" style="465" customWidth="1"/>
    <col min="4124" max="4124" width="1.28515625" style="465" customWidth="1"/>
    <col min="4125" max="4126" width="2.5703125" style="465" customWidth="1"/>
    <col min="4127" max="4127" width="3.42578125" style="465" customWidth="1"/>
    <col min="4128" max="4128" width="2.7109375" style="465" customWidth="1"/>
    <col min="4129" max="4129" width="2.28515625" style="465" customWidth="1"/>
    <col min="4130" max="4130" width="3" style="465" customWidth="1"/>
    <col min="4131" max="4132" width="2.85546875" style="465" customWidth="1"/>
    <col min="4133" max="4133" width="4.28515625" style="465" customWidth="1"/>
    <col min="4134" max="4134" width="3.28515625" style="465" customWidth="1"/>
    <col min="4135" max="4135" width="4.140625" style="465" customWidth="1"/>
    <col min="4136" max="4136" width="9.140625" style="465" customWidth="1"/>
    <col min="4137" max="4137" width="12" style="465" bestFit="1" customWidth="1"/>
    <col min="4138" max="4139" width="9.140625" style="465" customWidth="1"/>
    <col min="4140" max="4140" width="2.140625" style="465" customWidth="1"/>
    <col min="4141" max="4142" width="9.140625" style="465" customWidth="1"/>
    <col min="4143" max="4352" width="11.42578125" style="465"/>
    <col min="4353" max="4353" width="4.85546875" style="465" customWidth="1"/>
    <col min="4354" max="4354" width="3.28515625" style="465" customWidth="1"/>
    <col min="4355" max="4355" width="2.5703125" style="465" customWidth="1"/>
    <col min="4356" max="4356" width="3.140625" style="465" customWidth="1"/>
    <col min="4357" max="4358" width="2.5703125" style="465" customWidth="1"/>
    <col min="4359" max="4359" width="3.42578125" style="465" customWidth="1"/>
    <col min="4360" max="4360" width="3.7109375" style="465" customWidth="1"/>
    <col min="4361" max="4361" width="2.140625" style="465" customWidth="1"/>
    <col min="4362" max="4362" width="2.5703125" style="465" customWidth="1"/>
    <col min="4363" max="4363" width="3.5703125" style="465" customWidth="1"/>
    <col min="4364" max="4364" width="2.7109375" style="465" customWidth="1"/>
    <col min="4365" max="4365" width="2.28515625" style="465" customWidth="1"/>
    <col min="4366" max="4366" width="2.42578125" style="465" customWidth="1"/>
    <col min="4367" max="4367" width="3.140625" style="465" customWidth="1"/>
    <col min="4368" max="4368" width="1.85546875" style="465" customWidth="1"/>
    <col min="4369" max="4369" width="2.28515625" style="465" customWidth="1"/>
    <col min="4370" max="4370" width="2.7109375" style="465" customWidth="1"/>
    <col min="4371" max="4371" width="2.140625" style="465" customWidth="1"/>
    <col min="4372" max="4372" width="3.42578125" style="465" customWidth="1"/>
    <col min="4373" max="4373" width="2.42578125" style="465" customWidth="1"/>
    <col min="4374" max="4374" width="1.85546875" style="465" customWidth="1"/>
    <col min="4375" max="4375" width="3.42578125" style="465" customWidth="1"/>
    <col min="4376" max="4376" width="3" style="465" customWidth="1"/>
    <col min="4377" max="4377" width="3.7109375" style="465" customWidth="1"/>
    <col min="4378" max="4378" width="3.42578125" style="465" customWidth="1"/>
    <col min="4379" max="4379" width="1.140625" style="465" customWidth="1"/>
    <col min="4380" max="4380" width="1.28515625" style="465" customWidth="1"/>
    <col min="4381" max="4382" width="2.5703125" style="465" customWidth="1"/>
    <col min="4383" max="4383" width="3.42578125" style="465" customWidth="1"/>
    <col min="4384" max="4384" width="2.7109375" style="465" customWidth="1"/>
    <col min="4385" max="4385" width="2.28515625" style="465" customWidth="1"/>
    <col min="4386" max="4386" width="3" style="465" customWidth="1"/>
    <col min="4387" max="4388" width="2.85546875" style="465" customWidth="1"/>
    <col min="4389" max="4389" width="4.28515625" style="465" customWidth="1"/>
    <col min="4390" max="4390" width="3.28515625" style="465" customWidth="1"/>
    <col min="4391" max="4391" width="4.140625" style="465" customWidth="1"/>
    <col min="4392" max="4392" width="9.140625" style="465" customWidth="1"/>
    <col min="4393" max="4393" width="12" style="465" bestFit="1" customWidth="1"/>
    <col min="4394" max="4395" width="9.140625" style="465" customWidth="1"/>
    <col min="4396" max="4396" width="2.140625" style="465" customWidth="1"/>
    <col min="4397" max="4398" width="9.140625" style="465" customWidth="1"/>
    <col min="4399" max="4608" width="11.42578125" style="465"/>
    <col min="4609" max="4609" width="4.85546875" style="465" customWidth="1"/>
    <col min="4610" max="4610" width="3.28515625" style="465" customWidth="1"/>
    <col min="4611" max="4611" width="2.5703125" style="465" customWidth="1"/>
    <col min="4612" max="4612" width="3.140625" style="465" customWidth="1"/>
    <col min="4613" max="4614" width="2.5703125" style="465" customWidth="1"/>
    <col min="4615" max="4615" width="3.42578125" style="465" customWidth="1"/>
    <col min="4616" max="4616" width="3.7109375" style="465" customWidth="1"/>
    <col min="4617" max="4617" width="2.140625" style="465" customWidth="1"/>
    <col min="4618" max="4618" width="2.5703125" style="465" customWidth="1"/>
    <col min="4619" max="4619" width="3.5703125" style="465" customWidth="1"/>
    <col min="4620" max="4620" width="2.7109375" style="465" customWidth="1"/>
    <col min="4621" max="4621" width="2.28515625" style="465" customWidth="1"/>
    <col min="4622" max="4622" width="2.42578125" style="465" customWidth="1"/>
    <col min="4623" max="4623" width="3.140625" style="465" customWidth="1"/>
    <col min="4624" max="4624" width="1.85546875" style="465" customWidth="1"/>
    <col min="4625" max="4625" width="2.28515625" style="465" customWidth="1"/>
    <col min="4626" max="4626" width="2.7109375" style="465" customWidth="1"/>
    <col min="4627" max="4627" width="2.140625" style="465" customWidth="1"/>
    <col min="4628" max="4628" width="3.42578125" style="465" customWidth="1"/>
    <col min="4629" max="4629" width="2.42578125" style="465" customWidth="1"/>
    <col min="4630" max="4630" width="1.85546875" style="465" customWidth="1"/>
    <col min="4631" max="4631" width="3.42578125" style="465" customWidth="1"/>
    <col min="4632" max="4632" width="3" style="465" customWidth="1"/>
    <col min="4633" max="4633" width="3.7109375" style="465" customWidth="1"/>
    <col min="4634" max="4634" width="3.42578125" style="465" customWidth="1"/>
    <col min="4635" max="4635" width="1.140625" style="465" customWidth="1"/>
    <col min="4636" max="4636" width="1.28515625" style="465" customWidth="1"/>
    <col min="4637" max="4638" width="2.5703125" style="465" customWidth="1"/>
    <col min="4639" max="4639" width="3.42578125" style="465" customWidth="1"/>
    <col min="4640" max="4640" width="2.7109375" style="465" customWidth="1"/>
    <col min="4641" max="4641" width="2.28515625" style="465" customWidth="1"/>
    <col min="4642" max="4642" width="3" style="465" customWidth="1"/>
    <col min="4643" max="4644" width="2.85546875" style="465" customWidth="1"/>
    <col min="4645" max="4645" width="4.28515625" style="465" customWidth="1"/>
    <col min="4646" max="4646" width="3.28515625" style="465" customWidth="1"/>
    <col min="4647" max="4647" width="4.140625" style="465" customWidth="1"/>
    <col min="4648" max="4648" width="9.140625" style="465" customWidth="1"/>
    <col min="4649" max="4649" width="12" style="465" bestFit="1" customWidth="1"/>
    <col min="4650" max="4651" width="9.140625" style="465" customWidth="1"/>
    <col min="4652" max="4652" width="2.140625" style="465" customWidth="1"/>
    <col min="4653" max="4654" width="9.140625" style="465" customWidth="1"/>
    <col min="4655" max="4864" width="11.42578125" style="465"/>
    <col min="4865" max="4865" width="4.85546875" style="465" customWidth="1"/>
    <col min="4866" max="4866" width="3.28515625" style="465" customWidth="1"/>
    <col min="4867" max="4867" width="2.5703125" style="465" customWidth="1"/>
    <col min="4868" max="4868" width="3.140625" style="465" customWidth="1"/>
    <col min="4869" max="4870" width="2.5703125" style="465" customWidth="1"/>
    <col min="4871" max="4871" width="3.42578125" style="465" customWidth="1"/>
    <col min="4872" max="4872" width="3.7109375" style="465" customWidth="1"/>
    <col min="4873" max="4873" width="2.140625" style="465" customWidth="1"/>
    <col min="4874" max="4874" width="2.5703125" style="465" customWidth="1"/>
    <col min="4875" max="4875" width="3.5703125" style="465" customWidth="1"/>
    <col min="4876" max="4876" width="2.7109375" style="465" customWidth="1"/>
    <col min="4877" max="4877" width="2.28515625" style="465" customWidth="1"/>
    <col min="4878" max="4878" width="2.42578125" style="465" customWidth="1"/>
    <col min="4879" max="4879" width="3.140625" style="465" customWidth="1"/>
    <col min="4880" max="4880" width="1.85546875" style="465" customWidth="1"/>
    <col min="4881" max="4881" width="2.28515625" style="465" customWidth="1"/>
    <col min="4882" max="4882" width="2.7109375" style="465" customWidth="1"/>
    <col min="4883" max="4883" width="2.140625" style="465" customWidth="1"/>
    <col min="4884" max="4884" width="3.42578125" style="465" customWidth="1"/>
    <col min="4885" max="4885" width="2.42578125" style="465" customWidth="1"/>
    <col min="4886" max="4886" width="1.85546875" style="465" customWidth="1"/>
    <col min="4887" max="4887" width="3.42578125" style="465" customWidth="1"/>
    <col min="4888" max="4888" width="3" style="465" customWidth="1"/>
    <col min="4889" max="4889" width="3.7109375" style="465" customWidth="1"/>
    <col min="4890" max="4890" width="3.42578125" style="465" customWidth="1"/>
    <col min="4891" max="4891" width="1.140625" style="465" customWidth="1"/>
    <col min="4892" max="4892" width="1.28515625" style="465" customWidth="1"/>
    <col min="4893" max="4894" width="2.5703125" style="465" customWidth="1"/>
    <col min="4895" max="4895" width="3.42578125" style="465" customWidth="1"/>
    <col min="4896" max="4896" width="2.7109375" style="465" customWidth="1"/>
    <col min="4897" max="4897" width="2.28515625" style="465" customWidth="1"/>
    <col min="4898" max="4898" width="3" style="465" customWidth="1"/>
    <col min="4899" max="4900" width="2.85546875" style="465" customWidth="1"/>
    <col min="4901" max="4901" width="4.28515625" style="465" customWidth="1"/>
    <col min="4902" max="4902" width="3.28515625" style="465" customWidth="1"/>
    <col min="4903" max="4903" width="4.140625" style="465" customWidth="1"/>
    <col min="4904" max="4904" width="9.140625" style="465" customWidth="1"/>
    <col min="4905" max="4905" width="12" style="465" bestFit="1" customWidth="1"/>
    <col min="4906" max="4907" width="9.140625" style="465" customWidth="1"/>
    <col min="4908" max="4908" width="2.140625" style="465" customWidth="1"/>
    <col min="4909" max="4910" width="9.140625" style="465" customWidth="1"/>
    <col min="4911" max="5120" width="11.42578125" style="465"/>
    <col min="5121" max="5121" width="4.85546875" style="465" customWidth="1"/>
    <col min="5122" max="5122" width="3.28515625" style="465" customWidth="1"/>
    <col min="5123" max="5123" width="2.5703125" style="465" customWidth="1"/>
    <col min="5124" max="5124" width="3.140625" style="465" customWidth="1"/>
    <col min="5125" max="5126" width="2.5703125" style="465" customWidth="1"/>
    <col min="5127" max="5127" width="3.42578125" style="465" customWidth="1"/>
    <col min="5128" max="5128" width="3.7109375" style="465" customWidth="1"/>
    <col min="5129" max="5129" width="2.140625" style="465" customWidth="1"/>
    <col min="5130" max="5130" width="2.5703125" style="465" customWidth="1"/>
    <col min="5131" max="5131" width="3.5703125" style="465" customWidth="1"/>
    <col min="5132" max="5132" width="2.7109375" style="465" customWidth="1"/>
    <col min="5133" max="5133" width="2.28515625" style="465" customWidth="1"/>
    <col min="5134" max="5134" width="2.42578125" style="465" customWidth="1"/>
    <col min="5135" max="5135" width="3.140625" style="465" customWidth="1"/>
    <col min="5136" max="5136" width="1.85546875" style="465" customWidth="1"/>
    <col min="5137" max="5137" width="2.28515625" style="465" customWidth="1"/>
    <col min="5138" max="5138" width="2.7109375" style="465" customWidth="1"/>
    <col min="5139" max="5139" width="2.140625" style="465" customWidth="1"/>
    <col min="5140" max="5140" width="3.42578125" style="465" customWidth="1"/>
    <col min="5141" max="5141" width="2.42578125" style="465" customWidth="1"/>
    <col min="5142" max="5142" width="1.85546875" style="465" customWidth="1"/>
    <col min="5143" max="5143" width="3.42578125" style="465" customWidth="1"/>
    <col min="5144" max="5144" width="3" style="465" customWidth="1"/>
    <col min="5145" max="5145" width="3.7109375" style="465" customWidth="1"/>
    <col min="5146" max="5146" width="3.42578125" style="465" customWidth="1"/>
    <col min="5147" max="5147" width="1.140625" style="465" customWidth="1"/>
    <col min="5148" max="5148" width="1.28515625" style="465" customWidth="1"/>
    <col min="5149" max="5150" width="2.5703125" style="465" customWidth="1"/>
    <col min="5151" max="5151" width="3.42578125" style="465" customWidth="1"/>
    <col min="5152" max="5152" width="2.7109375" style="465" customWidth="1"/>
    <col min="5153" max="5153" width="2.28515625" style="465" customWidth="1"/>
    <col min="5154" max="5154" width="3" style="465" customWidth="1"/>
    <col min="5155" max="5156" width="2.85546875" style="465" customWidth="1"/>
    <col min="5157" max="5157" width="4.28515625" style="465" customWidth="1"/>
    <col min="5158" max="5158" width="3.28515625" style="465" customWidth="1"/>
    <col min="5159" max="5159" width="4.140625" style="465" customWidth="1"/>
    <col min="5160" max="5160" width="9.140625" style="465" customWidth="1"/>
    <col min="5161" max="5161" width="12" style="465" bestFit="1" customWidth="1"/>
    <col min="5162" max="5163" width="9.140625" style="465" customWidth="1"/>
    <col min="5164" max="5164" width="2.140625" style="465" customWidth="1"/>
    <col min="5165" max="5166" width="9.140625" style="465" customWidth="1"/>
    <col min="5167" max="5376" width="11.42578125" style="465"/>
    <col min="5377" max="5377" width="4.85546875" style="465" customWidth="1"/>
    <col min="5378" max="5378" width="3.28515625" style="465" customWidth="1"/>
    <col min="5379" max="5379" width="2.5703125" style="465" customWidth="1"/>
    <col min="5380" max="5380" width="3.140625" style="465" customWidth="1"/>
    <col min="5381" max="5382" width="2.5703125" style="465" customWidth="1"/>
    <col min="5383" max="5383" width="3.42578125" style="465" customWidth="1"/>
    <col min="5384" max="5384" width="3.7109375" style="465" customWidth="1"/>
    <col min="5385" max="5385" width="2.140625" style="465" customWidth="1"/>
    <col min="5386" max="5386" width="2.5703125" style="465" customWidth="1"/>
    <col min="5387" max="5387" width="3.5703125" style="465" customWidth="1"/>
    <col min="5388" max="5388" width="2.7109375" style="465" customWidth="1"/>
    <col min="5389" max="5389" width="2.28515625" style="465" customWidth="1"/>
    <col min="5390" max="5390" width="2.42578125" style="465" customWidth="1"/>
    <col min="5391" max="5391" width="3.140625" style="465" customWidth="1"/>
    <col min="5392" max="5392" width="1.85546875" style="465" customWidth="1"/>
    <col min="5393" max="5393" width="2.28515625" style="465" customWidth="1"/>
    <col min="5394" max="5394" width="2.7109375" style="465" customWidth="1"/>
    <col min="5395" max="5395" width="2.140625" style="465" customWidth="1"/>
    <col min="5396" max="5396" width="3.42578125" style="465" customWidth="1"/>
    <col min="5397" max="5397" width="2.42578125" style="465" customWidth="1"/>
    <col min="5398" max="5398" width="1.85546875" style="465" customWidth="1"/>
    <col min="5399" max="5399" width="3.42578125" style="465" customWidth="1"/>
    <col min="5400" max="5400" width="3" style="465" customWidth="1"/>
    <col min="5401" max="5401" width="3.7109375" style="465" customWidth="1"/>
    <col min="5402" max="5402" width="3.42578125" style="465" customWidth="1"/>
    <col min="5403" max="5403" width="1.140625" style="465" customWidth="1"/>
    <col min="5404" max="5404" width="1.28515625" style="465" customWidth="1"/>
    <col min="5405" max="5406" width="2.5703125" style="465" customWidth="1"/>
    <col min="5407" max="5407" width="3.42578125" style="465" customWidth="1"/>
    <col min="5408" max="5408" width="2.7109375" style="465" customWidth="1"/>
    <col min="5409" max="5409" width="2.28515625" style="465" customWidth="1"/>
    <col min="5410" max="5410" width="3" style="465" customWidth="1"/>
    <col min="5411" max="5412" width="2.85546875" style="465" customWidth="1"/>
    <col min="5413" max="5413" width="4.28515625" style="465" customWidth="1"/>
    <col min="5414" max="5414" width="3.28515625" style="465" customWidth="1"/>
    <col min="5415" max="5415" width="4.140625" style="465" customWidth="1"/>
    <col min="5416" max="5416" width="9.140625" style="465" customWidth="1"/>
    <col min="5417" max="5417" width="12" style="465" bestFit="1" customWidth="1"/>
    <col min="5418" max="5419" width="9.140625" style="465" customWidth="1"/>
    <col min="5420" max="5420" width="2.140625" style="465" customWidth="1"/>
    <col min="5421" max="5422" width="9.140625" style="465" customWidth="1"/>
    <col min="5423" max="5632" width="11.42578125" style="465"/>
    <col min="5633" max="5633" width="4.85546875" style="465" customWidth="1"/>
    <col min="5634" max="5634" width="3.28515625" style="465" customWidth="1"/>
    <col min="5635" max="5635" width="2.5703125" style="465" customWidth="1"/>
    <col min="5636" max="5636" width="3.140625" style="465" customWidth="1"/>
    <col min="5637" max="5638" width="2.5703125" style="465" customWidth="1"/>
    <col min="5639" max="5639" width="3.42578125" style="465" customWidth="1"/>
    <col min="5640" max="5640" width="3.7109375" style="465" customWidth="1"/>
    <col min="5641" max="5641" width="2.140625" style="465" customWidth="1"/>
    <col min="5642" max="5642" width="2.5703125" style="465" customWidth="1"/>
    <col min="5643" max="5643" width="3.5703125" style="465" customWidth="1"/>
    <col min="5644" max="5644" width="2.7109375" style="465" customWidth="1"/>
    <col min="5645" max="5645" width="2.28515625" style="465" customWidth="1"/>
    <col min="5646" max="5646" width="2.42578125" style="465" customWidth="1"/>
    <col min="5647" max="5647" width="3.140625" style="465" customWidth="1"/>
    <col min="5648" max="5648" width="1.85546875" style="465" customWidth="1"/>
    <col min="5649" max="5649" width="2.28515625" style="465" customWidth="1"/>
    <col min="5650" max="5650" width="2.7109375" style="465" customWidth="1"/>
    <col min="5651" max="5651" width="2.140625" style="465" customWidth="1"/>
    <col min="5652" max="5652" width="3.42578125" style="465" customWidth="1"/>
    <col min="5653" max="5653" width="2.42578125" style="465" customWidth="1"/>
    <col min="5654" max="5654" width="1.85546875" style="465" customWidth="1"/>
    <col min="5655" max="5655" width="3.42578125" style="465" customWidth="1"/>
    <col min="5656" max="5656" width="3" style="465" customWidth="1"/>
    <col min="5657" max="5657" width="3.7109375" style="465" customWidth="1"/>
    <col min="5658" max="5658" width="3.42578125" style="465" customWidth="1"/>
    <col min="5659" max="5659" width="1.140625" style="465" customWidth="1"/>
    <col min="5660" max="5660" width="1.28515625" style="465" customWidth="1"/>
    <col min="5661" max="5662" width="2.5703125" style="465" customWidth="1"/>
    <col min="5663" max="5663" width="3.42578125" style="465" customWidth="1"/>
    <col min="5664" max="5664" width="2.7109375" style="465" customWidth="1"/>
    <col min="5665" max="5665" width="2.28515625" style="465" customWidth="1"/>
    <col min="5666" max="5666" width="3" style="465" customWidth="1"/>
    <col min="5667" max="5668" width="2.85546875" style="465" customWidth="1"/>
    <col min="5669" max="5669" width="4.28515625" style="465" customWidth="1"/>
    <col min="5670" max="5670" width="3.28515625" style="465" customWidth="1"/>
    <col min="5671" max="5671" width="4.140625" style="465" customWidth="1"/>
    <col min="5672" max="5672" width="9.140625" style="465" customWidth="1"/>
    <col min="5673" max="5673" width="12" style="465" bestFit="1" customWidth="1"/>
    <col min="5674" max="5675" width="9.140625" style="465" customWidth="1"/>
    <col min="5676" max="5676" width="2.140625" style="465" customWidth="1"/>
    <col min="5677" max="5678" width="9.140625" style="465" customWidth="1"/>
    <col min="5679" max="5888" width="11.42578125" style="465"/>
    <col min="5889" max="5889" width="4.85546875" style="465" customWidth="1"/>
    <col min="5890" max="5890" width="3.28515625" style="465" customWidth="1"/>
    <col min="5891" max="5891" width="2.5703125" style="465" customWidth="1"/>
    <col min="5892" max="5892" width="3.140625" style="465" customWidth="1"/>
    <col min="5893" max="5894" width="2.5703125" style="465" customWidth="1"/>
    <col min="5895" max="5895" width="3.42578125" style="465" customWidth="1"/>
    <col min="5896" max="5896" width="3.7109375" style="465" customWidth="1"/>
    <col min="5897" max="5897" width="2.140625" style="465" customWidth="1"/>
    <col min="5898" max="5898" width="2.5703125" style="465" customWidth="1"/>
    <col min="5899" max="5899" width="3.5703125" style="465" customWidth="1"/>
    <col min="5900" max="5900" width="2.7109375" style="465" customWidth="1"/>
    <col min="5901" max="5901" width="2.28515625" style="465" customWidth="1"/>
    <col min="5902" max="5902" width="2.42578125" style="465" customWidth="1"/>
    <col min="5903" max="5903" width="3.140625" style="465" customWidth="1"/>
    <col min="5904" max="5904" width="1.85546875" style="465" customWidth="1"/>
    <col min="5905" max="5905" width="2.28515625" style="465" customWidth="1"/>
    <col min="5906" max="5906" width="2.7109375" style="465" customWidth="1"/>
    <col min="5907" max="5907" width="2.140625" style="465" customWidth="1"/>
    <col min="5908" max="5908" width="3.42578125" style="465" customWidth="1"/>
    <col min="5909" max="5909" width="2.42578125" style="465" customWidth="1"/>
    <col min="5910" max="5910" width="1.85546875" style="465" customWidth="1"/>
    <col min="5911" max="5911" width="3.42578125" style="465" customWidth="1"/>
    <col min="5912" max="5912" width="3" style="465" customWidth="1"/>
    <col min="5913" max="5913" width="3.7109375" style="465" customWidth="1"/>
    <col min="5914" max="5914" width="3.42578125" style="465" customWidth="1"/>
    <col min="5915" max="5915" width="1.140625" style="465" customWidth="1"/>
    <col min="5916" max="5916" width="1.28515625" style="465" customWidth="1"/>
    <col min="5917" max="5918" width="2.5703125" style="465" customWidth="1"/>
    <col min="5919" max="5919" width="3.42578125" style="465" customWidth="1"/>
    <col min="5920" max="5920" width="2.7109375" style="465" customWidth="1"/>
    <col min="5921" max="5921" width="2.28515625" style="465" customWidth="1"/>
    <col min="5922" max="5922" width="3" style="465" customWidth="1"/>
    <col min="5923" max="5924" width="2.85546875" style="465" customWidth="1"/>
    <col min="5925" max="5925" width="4.28515625" style="465" customWidth="1"/>
    <col min="5926" max="5926" width="3.28515625" style="465" customWidth="1"/>
    <col min="5927" max="5927" width="4.140625" style="465" customWidth="1"/>
    <col min="5928" max="5928" width="9.140625" style="465" customWidth="1"/>
    <col min="5929" max="5929" width="12" style="465" bestFit="1" customWidth="1"/>
    <col min="5930" max="5931" width="9.140625" style="465" customWidth="1"/>
    <col min="5932" max="5932" width="2.140625" style="465" customWidth="1"/>
    <col min="5933" max="5934" width="9.140625" style="465" customWidth="1"/>
    <col min="5935" max="6144" width="11.42578125" style="465"/>
    <col min="6145" max="6145" width="4.85546875" style="465" customWidth="1"/>
    <col min="6146" max="6146" width="3.28515625" style="465" customWidth="1"/>
    <col min="6147" max="6147" width="2.5703125" style="465" customWidth="1"/>
    <col min="6148" max="6148" width="3.140625" style="465" customWidth="1"/>
    <col min="6149" max="6150" width="2.5703125" style="465" customWidth="1"/>
    <col min="6151" max="6151" width="3.42578125" style="465" customWidth="1"/>
    <col min="6152" max="6152" width="3.7109375" style="465" customWidth="1"/>
    <col min="6153" max="6153" width="2.140625" style="465" customWidth="1"/>
    <col min="6154" max="6154" width="2.5703125" style="465" customWidth="1"/>
    <col min="6155" max="6155" width="3.5703125" style="465" customWidth="1"/>
    <col min="6156" max="6156" width="2.7109375" style="465" customWidth="1"/>
    <col min="6157" max="6157" width="2.28515625" style="465" customWidth="1"/>
    <col min="6158" max="6158" width="2.42578125" style="465" customWidth="1"/>
    <col min="6159" max="6159" width="3.140625" style="465" customWidth="1"/>
    <col min="6160" max="6160" width="1.85546875" style="465" customWidth="1"/>
    <col min="6161" max="6161" width="2.28515625" style="465" customWidth="1"/>
    <col min="6162" max="6162" width="2.7109375" style="465" customWidth="1"/>
    <col min="6163" max="6163" width="2.140625" style="465" customWidth="1"/>
    <col min="6164" max="6164" width="3.42578125" style="465" customWidth="1"/>
    <col min="6165" max="6165" width="2.42578125" style="465" customWidth="1"/>
    <col min="6166" max="6166" width="1.85546875" style="465" customWidth="1"/>
    <col min="6167" max="6167" width="3.42578125" style="465" customWidth="1"/>
    <col min="6168" max="6168" width="3" style="465" customWidth="1"/>
    <col min="6169" max="6169" width="3.7109375" style="465" customWidth="1"/>
    <col min="6170" max="6170" width="3.42578125" style="465" customWidth="1"/>
    <col min="6171" max="6171" width="1.140625" style="465" customWidth="1"/>
    <col min="6172" max="6172" width="1.28515625" style="465" customWidth="1"/>
    <col min="6173" max="6174" width="2.5703125" style="465" customWidth="1"/>
    <col min="6175" max="6175" width="3.42578125" style="465" customWidth="1"/>
    <col min="6176" max="6176" width="2.7109375" style="465" customWidth="1"/>
    <col min="6177" max="6177" width="2.28515625" style="465" customWidth="1"/>
    <col min="6178" max="6178" width="3" style="465" customWidth="1"/>
    <col min="6179" max="6180" width="2.85546875" style="465" customWidth="1"/>
    <col min="6181" max="6181" width="4.28515625" style="465" customWidth="1"/>
    <col min="6182" max="6182" width="3.28515625" style="465" customWidth="1"/>
    <col min="6183" max="6183" width="4.140625" style="465" customWidth="1"/>
    <col min="6184" max="6184" width="9.140625" style="465" customWidth="1"/>
    <col min="6185" max="6185" width="12" style="465" bestFit="1" customWidth="1"/>
    <col min="6186" max="6187" width="9.140625" style="465" customWidth="1"/>
    <col min="6188" max="6188" width="2.140625" style="465" customWidth="1"/>
    <col min="6189" max="6190" width="9.140625" style="465" customWidth="1"/>
    <col min="6191" max="6400" width="11.42578125" style="465"/>
    <col min="6401" max="6401" width="4.85546875" style="465" customWidth="1"/>
    <col min="6402" max="6402" width="3.28515625" style="465" customWidth="1"/>
    <col min="6403" max="6403" width="2.5703125" style="465" customWidth="1"/>
    <col min="6404" max="6404" width="3.140625" style="465" customWidth="1"/>
    <col min="6405" max="6406" width="2.5703125" style="465" customWidth="1"/>
    <col min="6407" max="6407" width="3.42578125" style="465" customWidth="1"/>
    <col min="6408" max="6408" width="3.7109375" style="465" customWidth="1"/>
    <col min="6409" max="6409" width="2.140625" style="465" customWidth="1"/>
    <col min="6410" max="6410" width="2.5703125" style="465" customWidth="1"/>
    <col min="6411" max="6411" width="3.5703125" style="465" customWidth="1"/>
    <col min="6412" max="6412" width="2.7109375" style="465" customWidth="1"/>
    <col min="6413" max="6413" width="2.28515625" style="465" customWidth="1"/>
    <col min="6414" max="6414" width="2.42578125" style="465" customWidth="1"/>
    <col min="6415" max="6415" width="3.140625" style="465" customWidth="1"/>
    <col min="6416" max="6416" width="1.85546875" style="465" customWidth="1"/>
    <col min="6417" max="6417" width="2.28515625" style="465" customWidth="1"/>
    <col min="6418" max="6418" width="2.7109375" style="465" customWidth="1"/>
    <col min="6419" max="6419" width="2.140625" style="465" customWidth="1"/>
    <col min="6420" max="6420" width="3.42578125" style="465" customWidth="1"/>
    <col min="6421" max="6421" width="2.42578125" style="465" customWidth="1"/>
    <col min="6422" max="6422" width="1.85546875" style="465" customWidth="1"/>
    <col min="6423" max="6423" width="3.42578125" style="465" customWidth="1"/>
    <col min="6424" max="6424" width="3" style="465" customWidth="1"/>
    <col min="6425" max="6425" width="3.7109375" style="465" customWidth="1"/>
    <col min="6426" max="6426" width="3.42578125" style="465" customWidth="1"/>
    <col min="6427" max="6427" width="1.140625" style="465" customWidth="1"/>
    <col min="6428" max="6428" width="1.28515625" style="465" customWidth="1"/>
    <col min="6429" max="6430" width="2.5703125" style="465" customWidth="1"/>
    <col min="6431" max="6431" width="3.42578125" style="465" customWidth="1"/>
    <col min="6432" max="6432" width="2.7109375" style="465" customWidth="1"/>
    <col min="6433" max="6433" width="2.28515625" style="465" customWidth="1"/>
    <col min="6434" max="6434" width="3" style="465" customWidth="1"/>
    <col min="6435" max="6436" width="2.85546875" style="465" customWidth="1"/>
    <col min="6437" max="6437" width="4.28515625" style="465" customWidth="1"/>
    <col min="6438" max="6438" width="3.28515625" style="465" customWidth="1"/>
    <col min="6439" max="6439" width="4.140625" style="465" customWidth="1"/>
    <col min="6440" max="6440" width="9.140625" style="465" customWidth="1"/>
    <col min="6441" max="6441" width="12" style="465" bestFit="1" customWidth="1"/>
    <col min="6442" max="6443" width="9.140625" style="465" customWidth="1"/>
    <col min="6444" max="6444" width="2.140625" style="465" customWidth="1"/>
    <col min="6445" max="6446" width="9.140625" style="465" customWidth="1"/>
    <col min="6447" max="6656" width="11.42578125" style="465"/>
    <col min="6657" max="6657" width="4.85546875" style="465" customWidth="1"/>
    <col min="6658" max="6658" width="3.28515625" style="465" customWidth="1"/>
    <col min="6659" max="6659" width="2.5703125" style="465" customWidth="1"/>
    <col min="6660" max="6660" width="3.140625" style="465" customWidth="1"/>
    <col min="6661" max="6662" width="2.5703125" style="465" customWidth="1"/>
    <col min="6663" max="6663" width="3.42578125" style="465" customWidth="1"/>
    <col min="6664" max="6664" width="3.7109375" style="465" customWidth="1"/>
    <col min="6665" max="6665" width="2.140625" style="465" customWidth="1"/>
    <col min="6666" max="6666" width="2.5703125" style="465" customWidth="1"/>
    <col min="6667" max="6667" width="3.5703125" style="465" customWidth="1"/>
    <col min="6668" max="6668" width="2.7109375" style="465" customWidth="1"/>
    <col min="6669" max="6669" width="2.28515625" style="465" customWidth="1"/>
    <col min="6670" max="6670" width="2.42578125" style="465" customWidth="1"/>
    <col min="6671" max="6671" width="3.140625" style="465" customWidth="1"/>
    <col min="6672" max="6672" width="1.85546875" style="465" customWidth="1"/>
    <col min="6673" max="6673" width="2.28515625" style="465" customWidth="1"/>
    <col min="6674" max="6674" width="2.7109375" style="465" customWidth="1"/>
    <col min="6675" max="6675" width="2.140625" style="465" customWidth="1"/>
    <col min="6676" max="6676" width="3.42578125" style="465" customWidth="1"/>
    <col min="6677" max="6677" width="2.42578125" style="465" customWidth="1"/>
    <col min="6678" max="6678" width="1.85546875" style="465" customWidth="1"/>
    <col min="6679" max="6679" width="3.42578125" style="465" customWidth="1"/>
    <col min="6680" max="6680" width="3" style="465" customWidth="1"/>
    <col min="6681" max="6681" width="3.7109375" style="465" customWidth="1"/>
    <col min="6682" max="6682" width="3.42578125" style="465" customWidth="1"/>
    <col min="6683" max="6683" width="1.140625" style="465" customWidth="1"/>
    <col min="6684" max="6684" width="1.28515625" style="465" customWidth="1"/>
    <col min="6685" max="6686" width="2.5703125" style="465" customWidth="1"/>
    <col min="6687" max="6687" width="3.42578125" style="465" customWidth="1"/>
    <col min="6688" max="6688" width="2.7109375" style="465" customWidth="1"/>
    <col min="6689" max="6689" width="2.28515625" style="465" customWidth="1"/>
    <col min="6690" max="6690" width="3" style="465" customWidth="1"/>
    <col min="6691" max="6692" width="2.85546875" style="465" customWidth="1"/>
    <col min="6693" max="6693" width="4.28515625" style="465" customWidth="1"/>
    <col min="6694" max="6694" width="3.28515625" style="465" customWidth="1"/>
    <col min="6695" max="6695" width="4.140625" style="465" customWidth="1"/>
    <col min="6696" max="6696" width="9.140625" style="465" customWidth="1"/>
    <col min="6697" max="6697" width="12" style="465" bestFit="1" customWidth="1"/>
    <col min="6698" max="6699" width="9.140625" style="465" customWidth="1"/>
    <col min="6700" max="6700" width="2.140625" style="465" customWidth="1"/>
    <col min="6701" max="6702" width="9.140625" style="465" customWidth="1"/>
    <col min="6703" max="6912" width="11.42578125" style="465"/>
    <col min="6913" max="6913" width="4.85546875" style="465" customWidth="1"/>
    <col min="6914" max="6914" width="3.28515625" style="465" customWidth="1"/>
    <col min="6915" max="6915" width="2.5703125" style="465" customWidth="1"/>
    <col min="6916" max="6916" width="3.140625" style="465" customWidth="1"/>
    <col min="6917" max="6918" width="2.5703125" style="465" customWidth="1"/>
    <col min="6919" max="6919" width="3.42578125" style="465" customWidth="1"/>
    <col min="6920" max="6920" width="3.7109375" style="465" customWidth="1"/>
    <col min="6921" max="6921" width="2.140625" style="465" customWidth="1"/>
    <col min="6922" max="6922" width="2.5703125" style="465" customWidth="1"/>
    <col min="6923" max="6923" width="3.5703125" style="465" customWidth="1"/>
    <col min="6924" max="6924" width="2.7109375" style="465" customWidth="1"/>
    <col min="6925" max="6925" width="2.28515625" style="465" customWidth="1"/>
    <col min="6926" max="6926" width="2.42578125" style="465" customWidth="1"/>
    <col min="6927" max="6927" width="3.140625" style="465" customWidth="1"/>
    <col min="6928" max="6928" width="1.85546875" style="465" customWidth="1"/>
    <col min="6929" max="6929" width="2.28515625" style="465" customWidth="1"/>
    <col min="6930" max="6930" width="2.7109375" style="465" customWidth="1"/>
    <col min="6931" max="6931" width="2.140625" style="465" customWidth="1"/>
    <col min="6932" max="6932" width="3.42578125" style="465" customWidth="1"/>
    <col min="6933" max="6933" width="2.42578125" style="465" customWidth="1"/>
    <col min="6934" max="6934" width="1.85546875" style="465" customWidth="1"/>
    <col min="6935" max="6935" width="3.42578125" style="465" customWidth="1"/>
    <col min="6936" max="6936" width="3" style="465" customWidth="1"/>
    <col min="6937" max="6937" width="3.7109375" style="465" customWidth="1"/>
    <col min="6938" max="6938" width="3.42578125" style="465" customWidth="1"/>
    <col min="6939" max="6939" width="1.140625" style="465" customWidth="1"/>
    <col min="6940" max="6940" width="1.28515625" style="465" customWidth="1"/>
    <col min="6941" max="6942" width="2.5703125" style="465" customWidth="1"/>
    <col min="6943" max="6943" width="3.42578125" style="465" customWidth="1"/>
    <col min="6944" max="6944" width="2.7109375" style="465" customWidth="1"/>
    <col min="6945" max="6945" width="2.28515625" style="465" customWidth="1"/>
    <col min="6946" max="6946" width="3" style="465" customWidth="1"/>
    <col min="6947" max="6948" width="2.85546875" style="465" customWidth="1"/>
    <col min="6949" max="6949" width="4.28515625" style="465" customWidth="1"/>
    <col min="6950" max="6950" width="3.28515625" style="465" customWidth="1"/>
    <col min="6951" max="6951" width="4.140625" style="465" customWidth="1"/>
    <col min="6952" max="6952" width="9.140625" style="465" customWidth="1"/>
    <col min="6953" max="6953" width="12" style="465" bestFit="1" customWidth="1"/>
    <col min="6954" max="6955" width="9.140625" style="465" customWidth="1"/>
    <col min="6956" max="6956" width="2.140625" style="465" customWidth="1"/>
    <col min="6957" max="6958" width="9.140625" style="465" customWidth="1"/>
    <col min="6959" max="7168" width="11.42578125" style="465"/>
    <col min="7169" max="7169" width="4.85546875" style="465" customWidth="1"/>
    <col min="7170" max="7170" width="3.28515625" style="465" customWidth="1"/>
    <col min="7171" max="7171" width="2.5703125" style="465" customWidth="1"/>
    <col min="7172" max="7172" width="3.140625" style="465" customWidth="1"/>
    <col min="7173" max="7174" width="2.5703125" style="465" customWidth="1"/>
    <col min="7175" max="7175" width="3.42578125" style="465" customWidth="1"/>
    <col min="7176" max="7176" width="3.7109375" style="465" customWidth="1"/>
    <col min="7177" max="7177" width="2.140625" style="465" customWidth="1"/>
    <col min="7178" max="7178" width="2.5703125" style="465" customWidth="1"/>
    <col min="7179" max="7179" width="3.5703125" style="465" customWidth="1"/>
    <col min="7180" max="7180" width="2.7109375" style="465" customWidth="1"/>
    <col min="7181" max="7181" width="2.28515625" style="465" customWidth="1"/>
    <col min="7182" max="7182" width="2.42578125" style="465" customWidth="1"/>
    <col min="7183" max="7183" width="3.140625" style="465" customWidth="1"/>
    <col min="7184" max="7184" width="1.85546875" style="465" customWidth="1"/>
    <col min="7185" max="7185" width="2.28515625" style="465" customWidth="1"/>
    <col min="7186" max="7186" width="2.7109375" style="465" customWidth="1"/>
    <col min="7187" max="7187" width="2.140625" style="465" customWidth="1"/>
    <col min="7188" max="7188" width="3.42578125" style="465" customWidth="1"/>
    <col min="7189" max="7189" width="2.42578125" style="465" customWidth="1"/>
    <col min="7190" max="7190" width="1.85546875" style="465" customWidth="1"/>
    <col min="7191" max="7191" width="3.42578125" style="465" customWidth="1"/>
    <col min="7192" max="7192" width="3" style="465" customWidth="1"/>
    <col min="7193" max="7193" width="3.7109375" style="465" customWidth="1"/>
    <col min="7194" max="7194" width="3.42578125" style="465" customWidth="1"/>
    <col min="7195" max="7195" width="1.140625" style="465" customWidth="1"/>
    <col min="7196" max="7196" width="1.28515625" style="465" customWidth="1"/>
    <col min="7197" max="7198" width="2.5703125" style="465" customWidth="1"/>
    <col min="7199" max="7199" width="3.42578125" style="465" customWidth="1"/>
    <col min="7200" max="7200" width="2.7109375" style="465" customWidth="1"/>
    <col min="7201" max="7201" width="2.28515625" style="465" customWidth="1"/>
    <col min="7202" max="7202" width="3" style="465" customWidth="1"/>
    <col min="7203" max="7204" width="2.85546875" style="465" customWidth="1"/>
    <col min="7205" max="7205" width="4.28515625" style="465" customWidth="1"/>
    <col min="7206" max="7206" width="3.28515625" style="465" customWidth="1"/>
    <col min="7207" max="7207" width="4.140625" style="465" customWidth="1"/>
    <col min="7208" max="7208" width="9.140625" style="465" customWidth="1"/>
    <col min="7209" max="7209" width="12" style="465" bestFit="1" customWidth="1"/>
    <col min="7210" max="7211" width="9.140625" style="465" customWidth="1"/>
    <col min="7212" max="7212" width="2.140625" style="465" customWidth="1"/>
    <col min="7213" max="7214" width="9.140625" style="465" customWidth="1"/>
    <col min="7215" max="7424" width="11.42578125" style="465"/>
    <col min="7425" max="7425" width="4.85546875" style="465" customWidth="1"/>
    <col min="7426" max="7426" width="3.28515625" style="465" customWidth="1"/>
    <col min="7427" max="7427" width="2.5703125" style="465" customWidth="1"/>
    <col min="7428" max="7428" width="3.140625" style="465" customWidth="1"/>
    <col min="7429" max="7430" width="2.5703125" style="465" customWidth="1"/>
    <col min="7431" max="7431" width="3.42578125" style="465" customWidth="1"/>
    <col min="7432" max="7432" width="3.7109375" style="465" customWidth="1"/>
    <col min="7433" max="7433" width="2.140625" style="465" customWidth="1"/>
    <col min="7434" max="7434" width="2.5703125" style="465" customWidth="1"/>
    <col min="7435" max="7435" width="3.5703125" style="465" customWidth="1"/>
    <col min="7436" max="7436" width="2.7109375" style="465" customWidth="1"/>
    <col min="7437" max="7437" width="2.28515625" style="465" customWidth="1"/>
    <col min="7438" max="7438" width="2.42578125" style="465" customWidth="1"/>
    <col min="7439" max="7439" width="3.140625" style="465" customWidth="1"/>
    <col min="7440" max="7440" width="1.85546875" style="465" customWidth="1"/>
    <col min="7441" max="7441" width="2.28515625" style="465" customWidth="1"/>
    <col min="7442" max="7442" width="2.7109375" style="465" customWidth="1"/>
    <col min="7443" max="7443" width="2.140625" style="465" customWidth="1"/>
    <col min="7444" max="7444" width="3.42578125" style="465" customWidth="1"/>
    <col min="7445" max="7445" width="2.42578125" style="465" customWidth="1"/>
    <col min="7446" max="7446" width="1.85546875" style="465" customWidth="1"/>
    <col min="7447" max="7447" width="3.42578125" style="465" customWidth="1"/>
    <col min="7448" max="7448" width="3" style="465" customWidth="1"/>
    <col min="7449" max="7449" width="3.7109375" style="465" customWidth="1"/>
    <col min="7450" max="7450" width="3.42578125" style="465" customWidth="1"/>
    <col min="7451" max="7451" width="1.140625" style="465" customWidth="1"/>
    <col min="7452" max="7452" width="1.28515625" style="465" customWidth="1"/>
    <col min="7453" max="7454" width="2.5703125" style="465" customWidth="1"/>
    <col min="7455" max="7455" width="3.42578125" style="465" customWidth="1"/>
    <col min="7456" max="7456" width="2.7109375" style="465" customWidth="1"/>
    <col min="7457" max="7457" width="2.28515625" style="465" customWidth="1"/>
    <col min="7458" max="7458" width="3" style="465" customWidth="1"/>
    <col min="7459" max="7460" width="2.85546875" style="465" customWidth="1"/>
    <col min="7461" max="7461" width="4.28515625" style="465" customWidth="1"/>
    <col min="7462" max="7462" width="3.28515625" style="465" customWidth="1"/>
    <col min="7463" max="7463" width="4.140625" style="465" customWidth="1"/>
    <col min="7464" max="7464" width="9.140625" style="465" customWidth="1"/>
    <col min="7465" max="7465" width="12" style="465" bestFit="1" customWidth="1"/>
    <col min="7466" max="7467" width="9.140625" style="465" customWidth="1"/>
    <col min="7468" max="7468" width="2.140625" style="465" customWidth="1"/>
    <col min="7469" max="7470" width="9.140625" style="465" customWidth="1"/>
    <col min="7471" max="7680" width="11.42578125" style="465"/>
    <col min="7681" max="7681" width="4.85546875" style="465" customWidth="1"/>
    <col min="7682" max="7682" width="3.28515625" style="465" customWidth="1"/>
    <col min="7683" max="7683" width="2.5703125" style="465" customWidth="1"/>
    <col min="7684" max="7684" width="3.140625" style="465" customWidth="1"/>
    <col min="7685" max="7686" width="2.5703125" style="465" customWidth="1"/>
    <col min="7687" max="7687" width="3.42578125" style="465" customWidth="1"/>
    <col min="7688" max="7688" width="3.7109375" style="465" customWidth="1"/>
    <col min="7689" max="7689" width="2.140625" style="465" customWidth="1"/>
    <col min="7690" max="7690" width="2.5703125" style="465" customWidth="1"/>
    <col min="7691" max="7691" width="3.5703125" style="465" customWidth="1"/>
    <col min="7692" max="7692" width="2.7109375" style="465" customWidth="1"/>
    <col min="7693" max="7693" width="2.28515625" style="465" customWidth="1"/>
    <col min="7694" max="7694" width="2.42578125" style="465" customWidth="1"/>
    <col min="7695" max="7695" width="3.140625" style="465" customWidth="1"/>
    <col min="7696" max="7696" width="1.85546875" style="465" customWidth="1"/>
    <col min="7697" max="7697" width="2.28515625" style="465" customWidth="1"/>
    <col min="7698" max="7698" width="2.7109375" style="465" customWidth="1"/>
    <col min="7699" max="7699" width="2.140625" style="465" customWidth="1"/>
    <col min="7700" max="7700" width="3.42578125" style="465" customWidth="1"/>
    <col min="7701" max="7701" width="2.42578125" style="465" customWidth="1"/>
    <col min="7702" max="7702" width="1.85546875" style="465" customWidth="1"/>
    <col min="7703" max="7703" width="3.42578125" style="465" customWidth="1"/>
    <col min="7704" max="7704" width="3" style="465" customWidth="1"/>
    <col min="7705" max="7705" width="3.7109375" style="465" customWidth="1"/>
    <col min="7706" max="7706" width="3.42578125" style="465" customWidth="1"/>
    <col min="7707" max="7707" width="1.140625" style="465" customWidth="1"/>
    <col min="7708" max="7708" width="1.28515625" style="465" customWidth="1"/>
    <col min="7709" max="7710" width="2.5703125" style="465" customWidth="1"/>
    <col min="7711" max="7711" width="3.42578125" style="465" customWidth="1"/>
    <col min="7712" max="7712" width="2.7109375" style="465" customWidth="1"/>
    <col min="7713" max="7713" width="2.28515625" style="465" customWidth="1"/>
    <col min="7714" max="7714" width="3" style="465" customWidth="1"/>
    <col min="7715" max="7716" width="2.85546875" style="465" customWidth="1"/>
    <col min="7717" max="7717" width="4.28515625" style="465" customWidth="1"/>
    <col min="7718" max="7718" width="3.28515625" style="465" customWidth="1"/>
    <col min="7719" max="7719" width="4.140625" style="465" customWidth="1"/>
    <col min="7720" max="7720" width="9.140625" style="465" customWidth="1"/>
    <col min="7721" max="7721" width="12" style="465" bestFit="1" customWidth="1"/>
    <col min="7722" max="7723" width="9.140625" style="465" customWidth="1"/>
    <col min="7724" max="7724" width="2.140625" style="465" customWidth="1"/>
    <col min="7725" max="7726" width="9.140625" style="465" customWidth="1"/>
    <col min="7727" max="7936" width="11.42578125" style="465"/>
    <col min="7937" max="7937" width="4.85546875" style="465" customWidth="1"/>
    <col min="7938" max="7938" width="3.28515625" style="465" customWidth="1"/>
    <col min="7939" max="7939" width="2.5703125" style="465" customWidth="1"/>
    <col min="7940" max="7940" width="3.140625" style="465" customWidth="1"/>
    <col min="7941" max="7942" width="2.5703125" style="465" customWidth="1"/>
    <col min="7943" max="7943" width="3.42578125" style="465" customWidth="1"/>
    <col min="7944" max="7944" width="3.7109375" style="465" customWidth="1"/>
    <col min="7945" max="7945" width="2.140625" style="465" customWidth="1"/>
    <col min="7946" max="7946" width="2.5703125" style="465" customWidth="1"/>
    <col min="7947" max="7947" width="3.5703125" style="465" customWidth="1"/>
    <col min="7948" max="7948" width="2.7109375" style="465" customWidth="1"/>
    <col min="7949" max="7949" width="2.28515625" style="465" customWidth="1"/>
    <col min="7950" max="7950" width="2.42578125" style="465" customWidth="1"/>
    <col min="7951" max="7951" width="3.140625" style="465" customWidth="1"/>
    <col min="7952" max="7952" width="1.85546875" style="465" customWidth="1"/>
    <col min="7953" max="7953" width="2.28515625" style="465" customWidth="1"/>
    <col min="7954" max="7954" width="2.7109375" style="465" customWidth="1"/>
    <col min="7955" max="7955" width="2.140625" style="465" customWidth="1"/>
    <col min="7956" max="7956" width="3.42578125" style="465" customWidth="1"/>
    <col min="7957" max="7957" width="2.42578125" style="465" customWidth="1"/>
    <col min="7958" max="7958" width="1.85546875" style="465" customWidth="1"/>
    <col min="7959" max="7959" width="3.42578125" style="465" customWidth="1"/>
    <col min="7960" max="7960" width="3" style="465" customWidth="1"/>
    <col min="7961" max="7961" width="3.7109375" style="465" customWidth="1"/>
    <col min="7962" max="7962" width="3.42578125" style="465" customWidth="1"/>
    <col min="7963" max="7963" width="1.140625" style="465" customWidth="1"/>
    <col min="7964" max="7964" width="1.28515625" style="465" customWidth="1"/>
    <col min="7965" max="7966" width="2.5703125" style="465" customWidth="1"/>
    <col min="7967" max="7967" width="3.42578125" style="465" customWidth="1"/>
    <col min="7968" max="7968" width="2.7109375" style="465" customWidth="1"/>
    <col min="7969" max="7969" width="2.28515625" style="465" customWidth="1"/>
    <col min="7970" max="7970" width="3" style="465" customWidth="1"/>
    <col min="7971" max="7972" width="2.85546875" style="465" customWidth="1"/>
    <col min="7973" max="7973" width="4.28515625" style="465" customWidth="1"/>
    <col min="7974" max="7974" width="3.28515625" style="465" customWidth="1"/>
    <col min="7975" max="7975" width="4.140625" style="465" customWidth="1"/>
    <col min="7976" max="7976" width="9.140625" style="465" customWidth="1"/>
    <col min="7977" max="7977" width="12" style="465" bestFit="1" customWidth="1"/>
    <col min="7978" max="7979" width="9.140625" style="465" customWidth="1"/>
    <col min="7980" max="7980" width="2.140625" style="465" customWidth="1"/>
    <col min="7981" max="7982" width="9.140625" style="465" customWidth="1"/>
    <col min="7983" max="8192" width="11.42578125" style="465"/>
    <col min="8193" max="8193" width="4.85546875" style="465" customWidth="1"/>
    <col min="8194" max="8194" width="3.28515625" style="465" customWidth="1"/>
    <col min="8195" max="8195" width="2.5703125" style="465" customWidth="1"/>
    <col min="8196" max="8196" width="3.140625" style="465" customWidth="1"/>
    <col min="8197" max="8198" width="2.5703125" style="465" customWidth="1"/>
    <col min="8199" max="8199" width="3.42578125" style="465" customWidth="1"/>
    <col min="8200" max="8200" width="3.7109375" style="465" customWidth="1"/>
    <col min="8201" max="8201" width="2.140625" style="465" customWidth="1"/>
    <col min="8202" max="8202" width="2.5703125" style="465" customWidth="1"/>
    <col min="8203" max="8203" width="3.5703125" style="465" customWidth="1"/>
    <col min="8204" max="8204" width="2.7109375" style="465" customWidth="1"/>
    <col min="8205" max="8205" width="2.28515625" style="465" customWidth="1"/>
    <col min="8206" max="8206" width="2.42578125" style="465" customWidth="1"/>
    <col min="8207" max="8207" width="3.140625" style="465" customWidth="1"/>
    <col min="8208" max="8208" width="1.85546875" style="465" customWidth="1"/>
    <col min="8209" max="8209" width="2.28515625" style="465" customWidth="1"/>
    <col min="8210" max="8210" width="2.7109375" style="465" customWidth="1"/>
    <col min="8211" max="8211" width="2.140625" style="465" customWidth="1"/>
    <col min="8212" max="8212" width="3.42578125" style="465" customWidth="1"/>
    <col min="8213" max="8213" width="2.42578125" style="465" customWidth="1"/>
    <col min="8214" max="8214" width="1.85546875" style="465" customWidth="1"/>
    <col min="8215" max="8215" width="3.42578125" style="465" customWidth="1"/>
    <col min="8216" max="8216" width="3" style="465" customWidth="1"/>
    <col min="8217" max="8217" width="3.7109375" style="465" customWidth="1"/>
    <col min="8218" max="8218" width="3.42578125" style="465" customWidth="1"/>
    <col min="8219" max="8219" width="1.140625" style="465" customWidth="1"/>
    <col min="8220" max="8220" width="1.28515625" style="465" customWidth="1"/>
    <col min="8221" max="8222" width="2.5703125" style="465" customWidth="1"/>
    <col min="8223" max="8223" width="3.42578125" style="465" customWidth="1"/>
    <col min="8224" max="8224" width="2.7109375" style="465" customWidth="1"/>
    <col min="8225" max="8225" width="2.28515625" style="465" customWidth="1"/>
    <col min="8226" max="8226" width="3" style="465" customWidth="1"/>
    <col min="8227" max="8228" width="2.85546875" style="465" customWidth="1"/>
    <col min="8229" max="8229" width="4.28515625" style="465" customWidth="1"/>
    <col min="8230" max="8230" width="3.28515625" style="465" customWidth="1"/>
    <col min="8231" max="8231" width="4.140625" style="465" customWidth="1"/>
    <col min="8232" max="8232" width="9.140625" style="465" customWidth="1"/>
    <col min="8233" max="8233" width="12" style="465" bestFit="1" customWidth="1"/>
    <col min="8234" max="8235" width="9.140625" style="465" customWidth="1"/>
    <col min="8236" max="8236" width="2.140625" style="465" customWidth="1"/>
    <col min="8237" max="8238" width="9.140625" style="465" customWidth="1"/>
    <col min="8239" max="8448" width="11.42578125" style="465"/>
    <col min="8449" max="8449" width="4.85546875" style="465" customWidth="1"/>
    <col min="8450" max="8450" width="3.28515625" style="465" customWidth="1"/>
    <col min="8451" max="8451" width="2.5703125" style="465" customWidth="1"/>
    <col min="8452" max="8452" width="3.140625" style="465" customWidth="1"/>
    <col min="8453" max="8454" width="2.5703125" style="465" customWidth="1"/>
    <col min="8455" max="8455" width="3.42578125" style="465" customWidth="1"/>
    <col min="8456" max="8456" width="3.7109375" style="465" customWidth="1"/>
    <col min="8457" max="8457" width="2.140625" style="465" customWidth="1"/>
    <col min="8458" max="8458" width="2.5703125" style="465" customWidth="1"/>
    <col min="8459" max="8459" width="3.5703125" style="465" customWidth="1"/>
    <col min="8460" max="8460" width="2.7109375" style="465" customWidth="1"/>
    <col min="8461" max="8461" width="2.28515625" style="465" customWidth="1"/>
    <col min="8462" max="8462" width="2.42578125" style="465" customWidth="1"/>
    <col min="8463" max="8463" width="3.140625" style="465" customWidth="1"/>
    <col min="8464" max="8464" width="1.85546875" style="465" customWidth="1"/>
    <col min="8465" max="8465" width="2.28515625" style="465" customWidth="1"/>
    <col min="8466" max="8466" width="2.7109375" style="465" customWidth="1"/>
    <col min="8467" max="8467" width="2.140625" style="465" customWidth="1"/>
    <col min="8468" max="8468" width="3.42578125" style="465" customWidth="1"/>
    <col min="8469" max="8469" width="2.42578125" style="465" customWidth="1"/>
    <col min="8470" max="8470" width="1.85546875" style="465" customWidth="1"/>
    <col min="8471" max="8471" width="3.42578125" style="465" customWidth="1"/>
    <col min="8472" max="8472" width="3" style="465" customWidth="1"/>
    <col min="8473" max="8473" width="3.7109375" style="465" customWidth="1"/>
    <col min="8474" max="8474" width="3.42578125" style="465" customWidth="1"/>
    <col min="8475" max="8475" width="1.140625" style="465" customWidth="1"/>
    <col min="8476" max="8476" width="1.28515625" style="465" customWidth="1"/>
    <col min="8477" max="8478" width="2.5703125" style="465" customWidth="1"/>
    <col min="8479" max="8479" width="3.42578125" style="465" customWidth="1"/>
    <col min="8480" max="8480" width="2.7109375" style="465" customWidth="1"/>
    <col min="8481" max="8481" width="2.28515625" style="465" customWidth="1"/>
    <col min="8482" max="8482" width="3" style="465" customWidth="1"/>
    <col min="8483" max="8484" width="2.85546875" style="465" customWidth="1"/>
    <col min="8485" max="8485" width="4.28515625" style="465" customWidth="1"/>
    <col min="8486" max="8486" width="3.28515625" style="465" customWidth="1"/>
    <col min="8487" max="8487" width="4.140625" style="465" customWidth="1"/>
    <col min="8488" max="8488" width="9.140625" style="465" customWidth="1"/>
    <col min="8489" max="8489" width="12" style="465" bestFit="1" customWidth="1"/>
    <col min="8490" max="8491" width="9.140625" style="465" customWidth="1"/>
    <col min="8492" max="8492" width="2.140625" style="465" customWidth="1"/>
    <col min="8493" max="8494" width="9.140625" style="465" customWidth="1"/>
    <col min="8495" max="8704" width="11.42578125" style="465"/>
    <col min="8705" max="8705" width="4.85546875" style="465" customWidth="1"/>
    <col min="8706" max="8706" width="3.28515625" style="465" customWidth="1"/>
    <col min="8707" max="8707" width="2.5703125" style="465" customWidth="1"/>
    <col min="8708" max="8708" width="3.140625" style="465" customWidth="1"/>
    <col min="8709" max="8710" width="2.5703125" style="465" customWidth="1"/>
    <col min="8711" max="8711" width="3.42578125" style="465" customWidth="1"/>
    <col min="8712" max="8712" width="3.7109375" style="465" customWidth="1"/>
    <col min="8713" max="8713" width="2.140625" style="465" customWidth="1"/>
    <col min="8714" max="8714" width="2.5703125" style="465" customWidth="1"/>
    <col min="8715" max="8715" width="3.5703125" style="465" customWidth="1"/>
    <col min="8716" max="8716" width="2.7109375" style="465" customWidth="1"/>
    <col min="8717" max="8717" width="2.28515625" style="465" customWidth="1"/>
    <col min="8718" max="8718" width="2.42578125" style="465" customWidth="1"/>
    <col min="8719" max="8719" width="3.140625" style="465" customWidth="1"/>
    <col min="8720" max="8720" width="1.85546875" style="465" customWidth="1"/>
    <col min="8721" max="8721" width="2.28515625" style="465" customWidth="1"/>
    <col min="8722" max="8722" width="2.7109375" style="465" customWidth="1"/>
    <col min="8723" max="8723" width="2.140625" style="465" customWidth="1"/>
    <col min="8724" max="8724" width="3.42578125" style="465" customWidth="1"/>
    <col min="8725" max="8725" width="2.42578125" style="465" customWidth="1"/>
    <col min="8726" max="8726" width="1.85546875" style="465" customWidth="1"/>
    <col min="8727" max="8727" width="3.42578125" style="465" customWidth="1"/>
    <col min="8728" max="8728" width="3" style="465" customWidth="1"/>
    <col min="8729" max="8729" width="3.7109375" style="465" customWidth="1"/>
    <col min="8730" max="8730" width="3.42578125" style="465" customWidth="1"/>
    <col min="8731" max="8731" width="1.140625" style="465" customWidth="1"/>
    <col min="8732" max="8732" width="1.28515625" style="465" customWidth="1"/>
    <col min="8733" max="8734" width="2.5703125" style="465" customWidth="1"/>
    <col min="8735" max="8735" width="3.42578125" style="465" customWidth="1"/>
    <col min="8736" max="8736" width="2.7109375" style="465" customWidth="1"/>
    <col min="8737" max="8737" width="2.28515625" style="465" customWidth="1"/>
    <col min="8738" max="8738" width="3" style="465" customWidth="1"/>
    <col min="8739" max="8740" width="2.85546875" style="465" customWidth="1"/>
    <col min="8741" max="8741" width="4.28515625" style="465" customWidth="1"/>
    <col min="8742" max="8742" width="3.28515625" style="465" customWidth="1"/>
    <col min="8743" max="8743" width="4.140625" style="465" customWidth="1"/>
    <col min="8744" max="8744" width="9.140625" style="465" customWidth="1"/>
    <col min="8745" max="8745" width="12" style="465" bestFit="1" customWidth="1"/>
    <col min="8746" max="8747" width="9.140625" style="465" customWidth="1"/>
    <col min="8748" max="8748" width="2.140625" style="465" customWidth="1"/>
    <col min="8749" max="8750" width="9.140625" style="465" customWidth="1"/>
    <col min="8751" max="8960" width="11.42578125" style="465"/>
    <col min="8961" max="8961" width="4.85546875" style="465" customWidth="1"/>
    <col min="8962" max="8962" width="3.28515625" style="465" customWidth="1"/>
    <col min="8963" max="8963" width="2.5703125" style="465" customWidth="1"/>
    <col min="8964" max="8964" width="3.140625" style="465" customWidth="1"/>
    <col min="8965" max="8966" width="2.5703125" style="465" customWidth="1"/>
    <col min="8967" max="8967" width="3.42578125" style="465" customWidth="1"/>
    <col min="8968" max="8968" width="3.7109375" style="465" customWidth="1"/>
    <col min="8969" max="8969" width="2.140625" style="465" customWidth="1"/>
    <col min="8970" max="8970" width="2.5703125" style="465" customWidth="1"/>
    <col min="8971" max="8971" width="3.5703125" style="465" customWidth="1"/>
    <col min="8972" max="8972" width="2.7109375" style="465" customWidth="1"/>
    <col min="8973" max="8973" width="2.28515625" style="465" customWidth="1"/>
    <col min="8974" max="8974" width="2.42578125" style="465" customWidth="1"/>
    <col min="8975" max="8975" width="3.140625" style="465" customWidth="1"/>
    <col min="8976" max="8976" width="1.85546875" style="465" customWidth="1"/>
    <col min="8977" max="8977" width="2.28515625" style="465" customWidth="1"/>
    <col min="8978" max="8978" width="2.7109375" style="465" customWidth="1"/>
    <col min="8979" max="8979" width="2.140625" style="465" customWidth="1"/>
    <col min="8980" max="8980" width="3.42578125" style="465" customWidth="1"/>
    <col min="8981" max="8981" width="2.42578125" style="465" customWidth="1"/>
    <col min="8982" max="8982" width="1.85546875" style="465" customWidth="1"/>
    <col min="8983" max="8983" width="3.42578125" style="465" customWidth="1"/>
    <col min="8984" max="8984" width="3" style="465" customWidth="1"/>
    <col min="8985" max="8985" width="3.7109375" style="465" customWidth="1"/>
    <col min="8986" max="8986" width="3.42578125" style="465" customWidth="1"/>
    <col min="8987" max="8987" width="1.140625" style="465" customWidth="1"/>
    <col min="8988" max="8988" width="1.28515625" style="465" customWidth="1"/>
    <col min="8989" max="8990" width="2.5703125" style="465" customWidth="1"/>
    <col min="8991" max="8991" width="3.42578125" style="465" customWidth="1"/>
    <col min="8992" max="8992" width="2.7109375" style="465" customWidth="1"/>
    <col min="8993" max="8993" width="2.28515625" style="465" customWidth="1"/>
    <col min="8994" max="8994" width="3" style="465" customWidth="1"/>
    <col min="8995" max="8996" width="2.85546875" style="465" customWidth="1"/>
    <col min="8997" max="8997" width="4.28515625" style="465" customWidth="1"/>
    <col min="8998" max="8998" width="3.28515625" style="465" customWidth="1"/>
    <col min="8999" max="8999" width="4.140625" style="465" customWidth="1"/>
    <col min="9000" max="9000" width="9.140625" style="465" customWidth="1"/>
    <col min="9001" max="9001" width="12" style="465" bestFit="1" customWidth="1"/>
    <col min="9002" max="9003" width="9.140625" style="465" customWidth="1"/>
    <col min="9004" max="9004" width="2.140625" style="465" customWidth="1"/>
    <col min="9005" max="9006" width="9.140625" style="465" customWidth="1"/>
    <col min="9007" max="9216" width="11.42578125" style="465"/>
    <col min="9217" max="9217" width="4.85546875" style="465" customWidth="1"/>
    <col min="9218" max="9218" width="3.28515625" style="465" customWidth="1"/>
    <col min="9219" max="9219" width="2.5703125" style="465" customWidth="1"/>
    <col min="9220" max="9220" width="3.140625" style="465" customWidth="1"/>
    <col min="9221" max="9222" width="2.5703125" style="465" customWidth="1"/>
    <col min="9223" max="9223" width="3.42578125" style="465" customWidth="1"/>
    <col min="9224" max="9224" width="3.7109375" style="465" customWidth="1"/>
    <col min="9225" max="9225" width="2.140625" style="465" customWidth="1"/>
    <col min="9226" max="9226" width="2.5703125" style="465" customWidth="1"/>
    <col min="9227" max="9227" width="3.5703125" style="465" customWidth="1"/>
    <col min="9228" max="9228" width="2.7109375" style="465" customWidth="1"/>
    <col min="9229" max="9229" width="2.28515625" style="465" customWidth="1"/>
    <col min="9230" max="9230" width="2.42578125" style="465" customWidth="1"/>
    <col min="9231" max="9231" width="3.140625" style="465" customWidth="1"/>
    <col min="9232" max="9232" width="1.85546875" style="465" customWidth="1"/>
    <col min="9233" max="9233" width="2.28515625" style="465" customWidth="1"/>
    <col min="9234" max="9234" width="2.7109375" style="465" customWidth="1"/>
    <col min="9235" max="9235" width="2.140625" style="465" customWidth="1"/>
    <col min="9236" max="9236" width="3.42578125" style="465" customWidth="1"/>
    <col min="9237" max="9237" width="2.42578125" style="465" customWidth="1"/>
    <col min="9238" max="9238" width="1.85546875" style="465" customWidth="1"/>
    <col min="9239" max="9239" width="3.42578125" style="465" customWidth="1"/>
    <col min="9240" max="9240" width="3" style="465" customWidth="1"/>
    <col min="9241" max="9241" width="3.7109375" style="465" customWidth="1"/>
    <col min="9242" max="9242" width="3.42578125" style="465" customWidth="1"/>
    <col min="9243" max="9243" width="1.140625" style="465" customWidth="1"/>
    <col min="9244" max="9244" width="1.28515625" style="465" customWidth="1"/>
    <col min="9245" max="9246" width="2.5703125" style="465" customWidth="1"/>
    <col min="9247" max="9247" width="3.42578125" style="465" customWidth="1"/>
    <col min="9248" max="9248" width="2.7109375" style="465" customWidth="1"/>
    <col min="9249" max="9249" width="2.28515625" style="465" customWidth="1"/>
    <col min="9250" max="9250" width="3" style="465" customWidth="1"/>
    <col min="9251" max="9252" width="2.85546875" style="465" customWidth="1"/>
    <col min="9253" max="9253" width="4.28515625" style="465" customWidth="1"/>
    <col min="9254" max="9254" width="3.28515625" style="465" customWidth="1"/>
    <col min="9255" max="9255" width="4.140625" style="465" customWidth="1"/>
    <col min="9256" max="9256" width="9.140625" style="465" customWidth="1"/>
    <col min="9257" max="9257" width="12" style="465" bestFit="1" customWidth="1"/>
    <col min="9258" max="9259" width="9.140625" style="465" customWidth="1"/>
    <col min="9260" max="9260" width="2.140625" style="465" customWidth="1"/>
    <col min="9261" max="9262" width="9.140625" style="465" customWidth="1"/>
    <col min="9263" max="9472" width="11.42578125" style="465"/>
    <col min="9473" max="9473" width="4.85546875" style="465" customWidth="1"/>
    <col min="9474" max="9474" width="3.28515625" style="465" customWidth="1"/>
    <col min="9475" max="9475" width="2.5703125" style="465" customWidth="1"/>
    <col min="9476" max="9476" width="3.140625" style="465" customWidth="1"/>
    <col min="9477" max="9478" width="2.5703125" style="465" customWidth="1"/>
    <col min="9479" max="9479" width="3.42578125" style="465" customWidth="1"/>
    <col min="9480" max="9480" width="3.7109375" style="465" customWidth="1"/>
    <col min="9481" max="9481" width="2.140625" style="465" customWidth="1"/>
    <col min="9482" max="9482" width="2.5703125" style="465" customWidth="1"/>
    <col min="9483" max="9483" width="3.5703125" style="465" customWidth="1"/>
    <col min="9484" max="9484" width="2.7109375" style="465" customWidth="1"/>
    <col min="9485" max="9485" width="2.28515625" style="465" customWidth="1"/>
    <col min="9486" max="9486" width="2.42578125" style="465" customWidth="1"/>
    <col min="9487" max="9487" width="3.140625" style="465" customWidth="1"/>
    <col min="9488" max="9488" width="1.85546875" style="465" customWidth="1"/>
    <col min="9489" max="9489" width="2.28515625" style="465" customWidth="1"/>
    <col min="9490" max="9490" width="2.7109375" style="465" customWidth="1"/>
    <col min="9491" max="9491" width="2.140625" style="465" customWidth="1"/>
    <col min="9492" max="9492" width="3.42578125" style="465" customWidth="1"/>
    <col min="9493" max="9493" width="2.42578125" style="465" customWidth="1"/>
    <col min="9494" max="9494" width="1.85546875" style="465" customWidth="1"/>
    <col min="9495" max="9495" width="3.42578125" style="465" customWidth="1"/>
    <col min="9496" max="9496" width="3" style="465" customWidth="1"/>
    <col min="9497" max="9497" width="3.7109375" style="465" customWidth="1"/>
    <col min="9498" max="9498" width="3.42578125" style="465" customWidth="1"/>
    <col min="9499" max="9499" width="1.140625" style="465" customWidth="1"/>
    <col min="9500" max="9500" width="1.28515625" style="465" customWidth="1"/>
    <col min="9501" max="9502" width="2.5703125" style="465" customWidth="1"/>
    <col min="9503" max="9503" width="3.42578125" style="465" customWidth="1"/>
    <col min="9504" max="9504" width="2.7109375" style="465" customWidth="1"/>
    <col min="9505" max="9505" width="2.28515625" style="465" customWidth="1"/>
    <col min="9506" max="9506" width="3" style="465" customWidth="1"/>
    <col min="9507" max="9508" width="2.85546875" style="465" customWidth="1"/>
    <col min="9509" max="9509" width="4.28515625" style="465" customWidth="1"/>
    <col min="9510" max="9510" width="3.28515625" style="465" customWidth="1"/>
    <col min="9511" max="9511" width="4.140625" style="465" customWidth="1"/>
    <col min="9512" max="9512" width="9.140625" style="465" customWidth="1"/>
    <col min="9513" max="9513" width="12" style="465" bestFit="1" customWidth="1"/>
    <col min="9514" max="9515" width="9.140625" style="465" customWidth="1"/>
    <col min="9516" max="9516" width="2.140625" style="465" customWidth="1"/>
    <col min="9517" max="9518" width="9.140625" style="465" customWidth="1"/>
    <col min="9519" max="9728" width="11.42578125" style="465"/>
    <col min="9729" max="9729" width="4.85546875" style="465" customWidth="1"/>
    <col min="9730" max="9730" width="3.28515625" style="465" customWidth="1"/>
    <col min="9731" max="9731" width="2.5703125" style="465" customWidth="1"/>
    <col min="9732" max="9732" width="3.140625" style="465" customWidth="1"/>
    <col min="9733" max="9734" width="2.5703125" style="465" customWidth="1"/>
    <col min="9735" max="9735" width="3.42578125" style="465" customWidth="1"/>
    <col min="9736" max="9736" width="3.7109375" style="465" customWidth="1"/>
    <col min="9737" max="9737" width="2.140625" style="465" customWidth="1"/>
    <col min="9738" max="9738" width="2.5703125" style="465" customWidth="1"/>
    <col min="9739" max="9739" width="3.5703125" style="465" customWidth="1"/>
    <col min="9740" max="9740" width="2.7109375" style="465" customWidth="1"/>
    <col min="9741" max="9741" width="2.28515625" style="465" customWidth="1"/>
    <col min="9742" max="9742" width="2.42578125" style="465" customWidth="1"/>
    <col min="9743" max="9743" width="3.140625" style="465" customWidth="1"/>
    <col min="9744" max="9744" width="1.85546875" style="465" customWidth="1"/>
    <col min="9745" max="9745" width="2.28515625" style="465" customWidth="1"/>
    <col min="9746" max="9746" width="2.7109375" style="465" customWidth="1"/>
    <col min="9747" max="9747" width="2.140625" style="465" customWidth="1"/>
    <col min="9748" max="9748" width="3.42578125" style="465" customWidth="1"/>
    <col min="9749" max="9749" width="2.42578125" style="465" customWidth="1"/>
    <col min="9750" max="9750" width="1.85546875" style="465" customWidth="1"/>
    <col min="9751" max="9751" width="3.42578125" style="465" customWidth="1"/>
    <col min="9752" max="9752" width="3" style="465" customWidth="1"/>
    <col min="9753" max="9753" width="3.7109375" style="465" customWidth="1"/>
    <col min="9754" max="9754" width="3.42578125" style="465" customWidth="1"/>
    <col min="9755" max="9755" width="1.140625" style="465" customWidth="1"/>
    <col min="9756" max="9756" width="1.28515625" style="465" customWidth="1"/>
    <col min="9757" max="9758" width="2.5703125" style="465" customWidth="1"/>
    <col min="9759" max="9759" width="3.42578125" style="465" customWidth="1"/>
    <col min="9760" max="9760" width="2.7109375" style="465" customWidth="1"/>
    <col min="9761" max="9761" width="2.28515625" style="465" customWidth="1"/>
    <col min="9762" max="9762" width="3" style="465" customWidth="1"/>
    <col min="9763" max="9764" width="2.85546875" style="465" customWidth="1"/>
    <col min="9765" max="9765" width="4.28515625" style="465" customWidth="1"/>
    <col min="9766" max="9766" width="3.28515625" style="465" customWidth="1"/>
    <col min="9767" max="9767" width="4.140625" style="465" customWidth="1"/>
    <col min="9768" max="9768" width="9.140625" style="465" customWidth="1"/>
    <col min="9769" max="9769" width="12" style="465" bestFit="1" customWidth="1"/>
    <col min="9770" max="9771" width="9.140625" style="465" customWidth="1"/>
    <col min="9772" max="9772" width="2.140625" style="465" customWidth="1"/>
    <col min="9773" max="9774" width="9.140625" style="465" customWidth="1"/>
    <col min="9775" max="9984" width="11.42578125" style="465"/>
    <col min="9985" max="9985" width="4.85546875" style="465" customWidth="1"/>
    <col min="9986" max="9986" width="3.28515625" style="465" customWidth="1"/>
    <col min="9987" max="9987" width="2.5703125" style="465" customWidth="1"/>
    <col min="9988" max="9988" width="3.140625" style="465" customWidth="1"/>
    <col min="9989" max="9990" width="2.5703125" style="465" customWidth="1"/>
    <col min="9991" max="9991" width="3.42578125" style="465" customWidth="1"/>
    <col min="9992" max="9992" width="3.7109375" style="465" customWidth="1"/>
    <col min="9993" max="9993" width="2.140625" style="465" customWidth="1"/>
    <col min="9994" max="9994" width="2.5703125" style="465" customWidth="1"/>
    <col min="9995" max="9995" width="3.5703125" style="465" customWidth="1"/>
    <col min="9996" max="9996" width="2.7109375" style="465" customWidth="1"/>
    <col min="9997" max="9997" width="2.28515625" style="465" customWidth="1"/>
    <col min="9998" max="9998" width="2.42578125" style="465" customWidth="1"/>
    <col min="9999" max="9999" width="3.140625" style="465" customWidth="1"/>
    <col min="10000" max="10000" width="1.85546875" style="465" customWidth="1"/>
    <col min="10001" max="10001" width="2.28515625" style="465" customWidth="1"/>
    <col min="10002" max="10002" width="2.7109375" style="465" customWidth="1"/>
    <col min="10003" max="10003" width="2.140625" style="465" customWidth="1"/>
    <col min="10004" max="10004" width="3.42578125" style="465" customWidth="1"/>
    <col min="10005" max="10005" width="2.42578125" style="465" customWidth="1"/>
    <col min="10006" max="10006" width="1.85546875" style="465" customWidth="1"/>
    <col min="10007" max="10007" width="3.42578125" style="465" customWidth="1"/>
    <col min="10008" max="10008" width="3" style="465" customWidth="1"/>
    <col min="10009" max="10009" width="3.7109375" style="465" customWidth="1"/>
    <col min="10010" max="10010" width="3.42578125" style="465" customWidth="1"/>
    <col min="10011" max="10011" width="1.140625" style="465" customWidth="1"/>
    <col min="10012" max="10012" width="1.28515625" style="465" customWidth="1"/>
    <col min="10013" max="10014" width="2.5703125" style="465" customWidth="1"/>
    <col min="10015" max="10015" width="3.42578125" style="465" customWidth="1"/>
    <col min="10016" max="10016" width="2.7109375" style="465" customWidth="1"/>
    <col min="10017" max="10017" width="2.28515625" style="465" customWidth="1"/>
    <col min="10018" max="10018" width="3" style="465" customWidth="1"/>
    <col min="10019" max="10020" width="2.85546875" style="465" customWidth="1"/>
    <col min="10021" max="10021" width="4.28515625" style="465" customWidth="1"/>
    <col min="10022" max="10022" width="3.28515625" style="465" customWidth="1"/>
    <col min="10023" max="10023" width="4.140625" style="465" customWidth="1"/>
    <col min="10024" max="10024" width="9.140625" style="465" customWidth="1"/>
    <col min="10025" max="10025" width="12" style="465" bestFit="1" customWidth="1"/>
    <col min="10026" max="10027" width="9.140625" style="465" customWidth="1"/>
    <col min="10028" max="10028" width="2.140625" style="465" customWidth="1"/>
    <col min="10029" max="10030" width="9.140625" style="465" customWidth="1"/>
    <col min="10031" max="10240" width="11.42578125" style="465"/>
    <col min="10241" max="10241" width="4.85546875" style="465" customWidth="1"/>
    <col min="10242" max="10242" width="3.28515625" style="465" customWidth="1"/>
    <col min="10243" max="10243" width="2.5703125" style="465" customWidth="1"/>
    <col min="10244" max="10244" width="3.140625" style="465" customWidth="1"/>
    <col min="10245" max="10246" width="2.5703125" style="465" customWidth="1"/>
    <col min="10247" max="10247" width="3.42578125" style="465" customWidth="1"/>
    <col min="10248" max="10248" width="3.7109375" style="465" customWidth="1"/>
    <col min="10249" max="10249" width="2.140625" style="465" customWidth="1"/>
    <col min="10250" max="10250" width="2.5703125" style="465" customWidth="1"/>
    <col min="10251" max="10251" width="3.5703125" style="465" customWidth="1"/>
    <col min="10252" max="10252" width="2.7109375" style="465" customWidth="1"/>
    <col min="10253" max="10253" width="2.28515625" style="465" customWidth="1"/>
    <col min="10254" max="10254" width="2.42578125" style="465" customWidth="1"/>
    <col min="10255" max="10255" width="3.140625" style="465" customWidth="1"/>
    <col min="10256" max="10256" width="1.85546875" style="465" customWidth="1"/>
    <col min="10257" max="10257" width="2.28515625" style="465" customWidth="1"/>
    <col min="10258" max="10258" width="2.7109375" style="465" customWidth="1"/>
    <col min="10259" max="10259" width="2.140625" style="465" customWidth="1"/>
    <col min="10260" max="10260" width="3.42578125" style="465" customWidth="1"/>
    <col min="10261" max="10261" width="2.42578125" style="465" customWidth="1"/>
    <col min="10262" max="10262" width="1.85546875" style="465" customWidth="1"/>
    <col min="10263" max="10263" width="3.42578125" style="465" customWidth="1"/>
    <col min="10264" max="10264" width="3" style="465" customWidth="1"/>
    <col min="10265" max="10265" width="3.7109375" style="465" customWidth="1"/>
    <col min="10266" max="10266" width="3.42578125" style="465" customWidth="1"/>
    <col min="10267" max="10267" width="1.140625" style="465" customWidth="1"/>
    <col min="10268" max="10268" width="1.28515625" style="465" customWidth="1"/>
    <col min="10269" max="10270" width="2.5703125" style="465" customWidth="1"/>
    <col min="10271" max="10271" width="3.42578125" style="465" customWidth="1"/>
    <col min="10272" max="10272" width="2.7109375" style="465" customWidth="1"/>
    <col min="10273" max="10273" width="2.28515625" style="465" customWidth="1"/>
    <col min="10274" max="10274" width="3" style="465" customWidth="1"/>
    <col min="10275" max="10276" width="2.85546875" style="465" customWidth="1"/>
    <col min="10277" max="10277" width="4.28515625" style="465" customWidth="1"/>
    <col min="10278" max="10278" width="3.28515625" style="465" customWidth="1"/>
    <col min="10279" max="10279" width="4.140625" style="465" customWidth="1"/>
    <col min="10280" max="10280" width="9.140625" style="465" customWidth="1"/>
    <col min="10281" max="10281" width="12" style="465" bestFit="1" customWidth="1"/>
    <col min="10282" max="10283" width="9.140625" style="465" customWidth="1"/>
    <col min="10284" max="10284" width="2.140625" style="465" customWidth="1"/>
    <col min="10285" max="10286" width="9.140625" style="465" customWidth="1"/>
    <col min="10287" max="10496" width="11.42578125" style="465"/>
    <col min="10497" max="10497" width="4.85546875" style="465" customWidth="1"/>
    <col min="10498" max="10498" width="3.28515625" style="465" customWidth="1"/>
    <col min="10499" max="10499" width="2.5703125" style="465" customWidth="1"/>
    <col min="10500" max="10500" width="3.140625" style="465" customWidth="1"/>
    <col min="10501" max="10502" width="2.5703125" style="465" customWidth="1"/>
    <col min="10503" max="10503" width="3.42578125" style="465" customWidth="1"/>
    <col min="10504" max="10504" width="3.7109375" style="465" customWidth="1"/>
    <col min="10505" max="10505" width="2.140625" style="465" customWidth="1"/>
    <col min="10506" max="10506" width="2.5703125" style="465" customWidth="1"/>
    <col min="10507" max="10507" width="3.5703125" style="465" customWidth="1"/>
    <col min="10508" max="10508" width="2.7109375" style="465" customWidth="1"/>
    <col min="10509" max="10509" width="2.28515625" style="465" customWidth="1"/>
    <col min="10510" max="10510" width="2.42578125" style="465" customWidth="1"/>
    <col min="10511" max="10511" width="3.140625" style="465" customWidth="1"/>
    <col min="10512" max="10512" width="1.85546875" style="465" customWidth="1"/>
    <col min="10513" max="10513" width="2.28515625" style="465" customWidth="1"/>
    <col min="10514" max="10514" width="2.7109375" style="465" customWidth="1"/>
    <col min="10515" max="10515" width="2.140625" style="465" customWidth="1"/>
    <col min="10516" max="10516" width="3.42578125" style="465" customWidth="1"/>
    <col min="10517" max="10517" width="2.42578125" style="465" customWidth="1"/>
    <col min="10518" max="10518" width="1.85546875" style="465" customWidth="1"/>
    <col min="10519" max="10519" width="3.42578125" style="465" customWidth="1"/>
    <col min="10520" max="10520" width="3" style="465" customWidth="1"/>
    <col min="10521" max="10521" width="3.7109375" style="465" customWidth="1"/>
    <col min="10522" max="10522" width="3.42578125" style="465" customWidth="1"/>
    <col min="10523" max="10523" width="1.140625" style="465" customWidth="1"/>
    <col min="10524" max="10524" width="1.28515625" style="465" customWidth="1"/>
    <col min="10525" max="10526" width="2.5703125" style="465" customWidth="1"/>
    <col min="10527" max="10527" width="3.42578125" style="465" customWidth="1"/>
    <col min="10528" max="10528" width="2.7109375" style="465" customWidth="1"/>
    <col min="10529" max="10529" width="2.28515625" style="465" customWidth="1"/>
    <col min="10530" max="10530" width="3" style="465" customWidth="1"/>
    <col min="10531" max="10532" width="2.85546875" style="465" customWidth="1"/>
    <col min="10533" max="10533" width="4.28515625" style="465" customWidth="1"/>
    <col min="10534" max="10534" width="3.28515625" style="465" customWidth="1"/>
    <col min="10535" max="10535" width="4.140625" style="465" customWidth="1"/>
    <col min="10536" max="10536" width="9.140625" style="465" customWidth="1"/>
    <col min="10537" max="10537" width="12" style="465" bestFit="1" customWidth="1"/>
    <col min="10538" max="10539" width="9.140625" style="465" customWidth="1"/>
    <col min="10540" max="10540" width="2.140625" style="465" customWidth="1"/>
    <col min="10541" max="10542" width="9.140625" style="465" customWidth="1"/>
    <col min="10543" max="10752" width="11.42578125" style="465"/>
    <col min="10753" max="10753" width="4.85546875" style="465" customWidth="1"/>
    <col min="10754" max="10754" width="3.28515625" style="465" customWidth="1"/>
    <col min="10755" max="10755" width="2.5703125" style="465" customWidth="1"/>
    <col min="10756" max="10756" width="3.140625" style="465" customWidth="1"/>
    <col min="10757" max="10758" width="2.5703125" style="465" customWidth="1"/>
    <col min="10759" max="10759" width="3.42578125" style="465" customWidth="1"/>
    <col min="10760" max="10760" width="3.7109375" style="465" customWidth="1"/>
    <col min="10761" max="10761" width="2.140625" style="465" customWidth="1"/>
    <col min="10762" max="10762" width="2.5703125" style="465" customWidth="1"/>
    <col min="10763" max="10763" width="3.5703125" style="465" customWidth="1"/>
    <col min="10764" max="10764" width="2.7109375" style="465" customWidth="1"/>
    <col min="10765" max="10765" width="2.28515625" style="465" customWidth="1"/>
    <col min="10766" max="10766" width="2.42578125" style="465" customWidth="1"/>
    <col min="10767" max="10767" width="3.140625" style="465" customWidth="1"/>
    <col min="10768" max="10768" width="1.85546875" style="465" customWidth="1"/>
    <col min="10769" max="10769" width="2.28515625" style="465" customWidth="1"/>
    <col min="10770" max="10770" width="2.7109375" style="465" customWidth="1"/>
    <col min="10771" max="10771" width="2.140625" style="465" customWidth="1"/>
    <col min="10772" max="10772" width="3.42578125" style="465" customWidth="1"/>
    <col min="10773" max="10773" width="2.42578125" style="465" customWidth="1"/>
    <col min="10774" max="10774" width="1.85546875" style="465" customWidth="1"/>
    <col min="10775" max="10775" width="3.42578125" style="465" customWidth="1"/>
    <col min="10776" max="10776" width="3" style="465" customWidth="1"/>
    <col min="10777" max="10777" width="3.7109375" style="465" customWidth="1"/>
    <col min="10778" max="10778" width="3.42578125" style="465" customWidth="1"/>
    <col min="10779" max="10779" width="1.140625" style="465" customWidth="1"/>
    <col min="10780" max="10780" width="1.28515625" style="465" customWidth="1"/>
    <col min="10781" max="10782" width="2.5703125" style="465" customWidth="1"/>
    <col min="10783" max="10783" width="3.42578125" style="465" customWidth="1"/>
    <col min="10784" max="10784" width="2.7109375" style="465" customWidth="1"/>
    <col min="10785" max="10785" width="2.28515625" style="465" customWidth="1"/>
    <col min="10786" max="10786" width="3" style="465" customWidth="1"/>
    <col min="10787" max="10788" width="2.85546875" style="465" customWidth="1"/>
    <col min="10789" max="10789" width="4.28515625" style="465" customWidth="1"/>
    <col min="10790" max="10790" width="3.28515625" style="465" customWidth="1"/>
    <col min="10791" max="10791" width="4.140625" style="465" customWidth="1"/>
    <col min="10792" max="10792" width="9.140625" style="465" customWidth="1"/>
    <col min="10793" max="10793" width="12" style="465" bestFit="1" customWidth="1"/>
    <col min="10794" max="10795" width="9.140625" style="465" customWidth="1"/>
    <col min="10796" max="10796" width="2.140625" style="465" customWidth="1"/>
    <col min="10797" max="10798" width="9.140625" style="465" customWidth="1"/>
    <col min="10799" max="11008" width="11.42578125" style="465"/>
    <col min="11009" max="11009" width="4.85546875" style="465" customWidth="1"/>
    <col min="11010" max="11010" width="3.28515625" style="465" customWidth="1"/>
    <col min="11011" max="11011" width="2.5703125" style="465" customWidth="1"/>
    <col min="11012" max="11012" width="3.140625" style="465" customWidth="1"/>
    <col min="11013" max="11014" width="2.5703125" style="465" customWidth="1"/>
    <col min="11015" max="11015" width="3.42578125" style="465" customWidth="1"/>
    <col min="11016" max="11016" width="3.7109375" style="465" customWidth="1"/>
    <col min="11017" max="11017" width="2.140625" style="465" customWidth="1"/>
    <col min="11018" max="11018" width="2.5703125" style="465" customWidth="1"/>
    <col min="11019" max="11019" width="3.5703125" style="465" customWidth="1"/>
    <col min="11020" max="11020" width="2.7109375" style="465" customWidth="1"/>
    <col min="11021" max="11021" width="2.28515625" style="465" customWidth="1"/>
    <col min="11022" max="11022" width="2.42578125" style="465" customWidth="1"/>
    <col min="11023" max="11023" width="3.140625" style="465" customWidth="1"/>
    <col min="11024" max="11024" width="1.85546875" style="465" customWidth="1"/>
    <col min="11025" max="11025" width="2.28515625" style="465" customWidth="1"/>
    <col min="11026" max="11026" width="2.7109375" style="465" customWidth="1"/>
    <col min="11027" max="11027" width="2.140625" style="465" customWidth="1"/>
    <col min="11028" max="11028" width="3.42578125" style="465" customWidth="1"/>
    <col min="11029" max="11029" width="2.42578125" style="465" customWidth="1"/>
    <col min="11030" max="11030" width="1.85546875" style="465" customWidth="1"/>
    <col min="11031" max="11031" width="3.42578125" style="465" customWidth="1"/>
    <col min="11032" max="11032" width="3" style="465" customWidth="1"/>
    <col min="11033" max="11033" width="3.7109375" style="465" customWidth="1"/>
    <col min="11034" max="11034" width="3.42578125" style="465" customWidth="1"/>
    <col min="11035" max="11035" width="1.140625" style="465" customWidth="1"/>
    <col min="11036" max="11036" width="1.28515625" style="465" customWidth="1"/>
    <col min="11037" max="11038" width="2.5703125" style="465" customWidth="1"/>
    <col min="11039" max="11039" width="3.42578125" style="465" customWidth="1"/>
    <col min="11040" max="11040" width="2.7109375" style="465" customWidth="1"/>
    <col min="11041" max="11041" width="2.28515625" style="465" customWidth="1"/>
    <col min="11042" max="11042" width="3" style="465" customWidth="1"/>
    <col min="11043" max="11044" width="2.85546875" style="465" customWidth="1"/>
    <col min="11045" max="11045" width="4.28515625" style="465" customWidth="1"/>
    <col min="11046" max="11046" width="3.28515625" style="465" customWidth="1"/>
    <col min="11047" max="11047" width="4.140625" style="465" customWidth="1"/>
    <col min="11048" max="11048" width="9.140625" style="465" customWidth="1"/>
    <col min="11049" max="11049" width="12" style="465" bestFit="1" customWidth="1"/>
    <col min="11050" max="11051" width="9.140625" style="465" customWidth="1"/>
    <col min="11052" max="11052" width="2.140625" style="465" customWidth="1"/>
    <col min="11053" max="11054" width="9.140625" style="465" customWidth="1"/>
    <col min="11055" max="11264" width="11.42578125" style="465"/>
    <col min="11265" max="11265" width="4.85546875" style="465" customWidth="1"/>
    <col min="11266" max="11266" width="3.28515625" style="465" customWidth="1"/>
    <col min="11267" max="11267" width="2.5703125" style="465" customWidth="1"/>
    <col min="11268" max="11268" width="3.140625" style="465" customWidth="1"/>
    <col min="11269" max="11270" width="2.5703125" style="465" customWidth="1"/>
    <col min="11271" max="11271" width="3.42578125" style="465" customWidth="1"/>
    <col min="11272" max="11272" width="3.7109375" style="465" customWidth="1"/>
    <col min="11273" max="11273" width="2.140625" style="465" customWidth="1"/>
    <col min="11274" max="11274" width="2.5703125" style="465" customWidth="1"/>
    <col min="11275" max="11275" width="3.5703125" style="465" customWidth="1"/>
    <col min="11276" max="11276" width="2.7109375" style="465" customWidth="1"/>
    <col min="11277" max="11277" width="2.28515625" style="465" customWidth="1"/>
    <col min="11278" max="11278" width="2.42578125" style="465" customWidth="1"/>
    <col min="11279" max="11279" width="3.140625" style="465" customWidth="1"/>
    <col min="11280" max="11280" width="1.85546875" style="465" customWidth="1"/>
    <col min="11281" max="11281" width="2.28515625" style="465" customWidth="1"/>
    <col min="11282" max="11282" width="2.7109375" style="465" customWidth="1"/>
    <col min="11283" max="11283" width="2.140625" style="465" customWidth="1"/>
    <col min="11284" max="11284" width="3.42578125" style="465" customWidth="1"/>
    <col min="11285" max="11285" width="2.42578125" style="465" customWidth="1"/>
    <col min="11286" max="11286" width="1.85546875" style="465" customWidth="1"/>
    <col min="11287" max="11287" width="3.42578125" style="465" customWidth="1"/>
    <col min="11288" max="11288" width="3" style="465" customWidth="1"/>
    <col min="11289" max="11289" width="3.7109375" style="465" customWidth="1"/>
    <col min="11290" max="11290" width="3.42578125" style="465" customWidth="1"/>
    <col min="11291" max="11291" width="1.140625" style="465" customWidth="1"/>
    <col min="11292" max="11292" width="1.28515625" style="465" customWidth="1"/>
    <col min="11293" max="11294" width="2.5703125" style="465" customWidth="1"/>
    <col min="11295" max="11295" width="3.42578125" style="465" customWidth="1"/>
    <col min="11296" max="11296" width="2.7109375" style="465" customWidth="1"/>
    <col min="11297" max="11297" width="2.28515625" style="465" customWidth="1"/>
    <col min="11298" max="11298" width="3" style="465" customWidth="1"/>
    <col min="11299" max="11300" width="2.85546875" style="465" customWidth="1"/>
    <col min="11301" max="11301" width="4.28515625" style="465" customWidth="1"/>
    <col min="11302" max="11302" width="3.28515625" style="465" customWidth="1"/>
    <col min="11303" max="11303" width="4.140625" style="465" customWidth="1"/>
    <col min="11304" max="11304" width="9.140625" style="465" customWidth="1"/>
    <col min="11305" max="11305" width="12" style="465" bestFit="1" customWidth="1"/>
    <col min="11306" max="11307" width="9.140625" style="465" customWidth="1"/>
    <col min="11308" max="11308" width="2.140625" style="465" customWidth="1"/>
    <col min="11309" max="11310" width="9.140625" style="465" customWidth="1"/>
    <col min="11311" max="11520" width="11.42578125" style="465"/>
    <col min="11521" max="11521" width="4.85546875" style="465" customWidth="1"/>
    <col min="11522" max="11522" width="3.28515625" style="465" customWidth="1"/>
    <col min="11523" max="11523" width="2.5703125" style="465" customWidth="1"/>
    <col min="11524" max="11524" width="3.140625" style="465" customWidth="1"/>
    <col min="11525" max="11526" width="2.5703125" style="465" customWidth="1"/>
    <col min="11527" max="11527" width="3.42578125" style="465" customWidth="1"/>
    <col min="11528" max="11528" width="3.7109375" style="465" customWidth="1"/>
    <col min="11529" max="11529" width="2.140625" style="465" customWidth="1"/>
    <col min="11530" max="11530" width="2.5703125" style="465" customWidth="1"/>
    <col min="11531" max="11531" width="3.5703125" style="465" customWidth="1"/>
    <col min="11532" max="11532" width="2.7109375" style="465" customWidth="1"/>
    <col min="11533" max="11533" width="2.28515625" style="465" customWidth="1"/>
    <col min="11534" max="11534" width="2.42578125" style="465" customWidth="1"/>
    <col min="11535" max="11535" width="3.140625" style="465" customWidth="1"/>
    <col min="11536" max="11536" width="1.85546875" style="465" customWidth="1"/>
    <col min="11537" max="11537" width="2.28515625" style="465" customWidth="1"/>
    <col min="11538" max="11538" width="2.7109375" style="465" customWidth="1"/>
    <col min="11539" max="11539" width="2.140625" style="465" customWidth="1"/>
    <col min="11540" max="11540" width="3.42578125" style="465" customWidth="1"/>
    <col min="11541" max="11541" width="2.42578125" style="465" customWidth="1"/>
    <col min="11542" max="11542" width="1.85546875" style="465" customWidth="1"/>
    <col min="11543" max="11543" width="3.42578125" style="465" customWidth="1"/>
    <col min="11544" max="11544" width="3" style="465" customWidth="1"/>
    <col min="11545" max="11545" width="3.7109375" style="465" customWidth="1"/>
    <col min="11546" max="11546" width="3.42578125" style="465" customWidth="1"/>
    <col min="11547" max="11547" width="1.140625" style="465" customWidth="1"/>
    <col min="11548" max="11548" width="1.28515625" style="465" customWidth="1"/>
    <col min="11549" max="11550" width="2.5703125" style="465" customWidth="1"/>
    <col min="11551" max="11551" width="3.42578125" style="465" customWidth="1"/>
    <col min="11552" max="11552" width="2.7109375" style="465" customWidth="1"/>
    <col min="11553" max="11553" width="2.28515625" style="465" customWidth="1"/>
    <col min="11554" max="11554" width="3" style="465" customWidth="1"/>
    <col min="11555" max="11556" width="2.85546875" style="465" customWidth="1"/>
    <col min="11557" max="11557" width="4.28515625" style="465" customWidth="1"/>
    <col min="11558" max="11558" width="3.28515625" style="465" customWidth="1"/>
    <col min="11559" max="11559" width="4.140625" style="465" customWidth="1"/>
    <col min="11560" max="11560" width="9.140625" style="465" customWidth="1"/>
    <col min="11561" max="11561" width="12" style="465" bestFit="1" customWidth="1"/>
    <col min="11562" max="11563" width="9.140625" style="465" customWidth="1"/>
    <col min="11564" max="11564" width="2.140625" style="465" customWidth="1"/>
    <col min="11565" max="11566" width="9.140625" style="465" customWidth="1"/>
    <col min="11567" max="11776" width="11.42578125" style="465"/>
    <col min="11777" max="11777" width="4.85546875" style="465" customWidth="1"/>
    <col min="11778" max="11778" width="3.28515625" style="465" customWidth="1"/>
    <col min="11779" max="11779" width="2.5703125" style="465" customWidth="1"/>
    <col min="11780" max="11780" width="3.140625" style="465" customWidth="1"/>
    <col min="11781" max="11782" width="2.5703125" style="465" customWidth="1"/>
    <col min="11783" max="11783" width="3.42578125" style="465" customWidth="1"/>
    <col min="11784" max="11784" width="3.7109375" style="465" customWidth="1"/>
    <col min="11785" max="11785" width="2.140625" style="465" customWidth="1"/>
    <col min="11786" max="11786" width="2.5703125" style="465" customWidth="1"/>
    <col min="11787" max="11787" width="3.5703125" style="465" customWidth="1"/>
    <col min="11788" max="11788" width="2.7109375" style="465" customWidth="1"/>
    <col min="11789" max="11789" width="2.28515625" style="465" customWidth="1"/>
    <col min="11790" max="11790" width="2.42578125" style="465" customWidth="1"/>
    <col min="11791" max="11791" width="3.140625" style="465" customWidth="1"/>
    <col min="11792" max="11792" width="1.85546875" style="465" customWidth="1"/>
    <col min="11793" max="11793" width="2.28515625" style="465" customWidth="1"/>
    <col min="11794" max="11794" width="2.7109375" style="465" customWidth="1"/>
    <col min="11795" max="11795" width="2.140625" style="465" customWidth="1"/>
    <col min="11796" max="11796" width="3.42578125" style="465" customWidth="1"/>
    <col min="11797" max="11797" width="2.42578125" style="465" customWidth="1"/>
    <col min="11798" max="11798" width="1.85546875" style="465" customWidth="1"/>
    <col min="11799" max="11799" width="3.42578125" style="465" customWidth="1"/>
    <col min="11800" max="11800" width="3" style="465" customWidth="1"/>
    <col min="11801" max="11801" width="3.7109375" style="465" customWidth="1"/>
    <col min="11802" max="11802" width="3.42578125" style="465" customWidth="1"/>
    <col min="11803" max="11803" width="1.140625" style="465" customWidth="1"/>
    <col min="11804" max="11804" width="1.28515625" style="465" customWidth="1"/>
    <col min="11805" max="11806" width="2.5703125" style="465" customWidth="1"/>
    <col min="11807" max="11807" width="3.42578125" style="465" customWidth="1"/>
    <col min="11808" max="11808" width="2.7109375" style="465" customWidth="1"/>
    <col min="11809" max="11809" width="2.28515625" style="465" customWidth="1"/>
    <col min="11810" max="11810" width="3" style="465" customWidth="1"/>
    <col min="11811" max="11812" width="2.85546875" style="465" customWidth="1"/>
    <col min="11813" max="11813" width="4.28515625" style="465" customWidth="1"/>
    <col min="11814" max="11814" width="3.28515625" style="465" customWidth="1"/>
    <col min="11815" max="11815" width="4.140625" style="465" customWidth="1"/>
    <col min="11816" max="11816" width="9.140625" style="465" customWidth="1"/>
    <col min="11817" max="11817" width="12" style="465" bestFit="1" customWidth="1"/>
    <col min="11818" max="11819" width="9.140625" style="465" customWidth="1"/>
    <col min="11820" max="11820" width="2.140625" style="465" customWidth="1"/>
    <col min="11821" max="11822" width="9.140625" style="465" customWidth="1"/>
    <col min="11823" max="12032" width="11.42578125" style="465"/>
    <col min="12033" max="12033" width="4.85546875" style="465" customWidth="1"/>
    <col min="12034" max="12034" width="3.28515625" style="465" customWidth="1"/>
    <col min="12035" max="12035" width="2.5703125" style="465" customWidth="1"/>
    <col min="12036" max="12036" width="3.140625" style="465" customWidth="1"/>
    <col min="12037" max="12038" width="2.5703125" style="465" customWidth="1"/>
    <col min="12039" max="12039" width="3.42578125" style="465" customWidth="1"/>
    <col min="12040" max="12040" width="3.7109375" style="465" customWidth="1"/>
    <col min="12041" max="12041" width="2.140625" style="465" customWidth="1"/>
    <col min="12042" max="12042" width="2.5703125" style="465" customWidth="1"/>
    <col min="12043" max="12043" width="3.5703125" style="465" customWidth="1"/>
    <col min="12044" max="12044" width="2.7109375" style="465" customWidth="1"/>
    <col min="12045" max="12045" width="2.28515625" style="465" customWidth="1"/>
    <col min="12046" max="12046" width="2.42578125" style="465" customWidth="1"/>
    <col min="12047" max="12047" width="3.140625" style="465" customWidth="1"/>
    <col min="12048" max="12048" width="1.85546875" style="465" customWidth="1"/>
    <col min="12049" max="12049" width="2.28515625" style="465" customWidth="1"/>
    <col min="12050" max="12050" width="2.7109375" style="465" customWidth="1"/>
    <col min="12051" max="12051" width="2.140625" style="465" customWidth="1"/>
    <col min="12052" max="12052" width="3.42578125" style="465" customWidth="1"/>
    <col min="12053" max="12053" width="2.42578125" style="465" customWidth="1"/>
    <col min="12054" max="12054" width="1.85546875" style="465" customWidth="1"/>
    <col min="12055" max="12055" width="3.42578125" style="465" customWidth="1"/>
    <col min="12056" max="12056" width="3" style="465" customWidth="1"/>
    <col min="12057" max="12057" width="3.7109375" style="465" customWidth="1"/>
    <col min="12058" max="12058" width="3.42578125" style="465" customWidth="1"/>
    <col min="12059" max="12059" width="1.140625" style="465" customWidth="1"/>
    <col min="12060" max="12060" width="1.28515625" style="465" customWidth="1"/>
    <col min="12061" max="12062" width="2.5703125" style="465" customWidth="1"/>
    <col min="12063" max="12063" width="3.42578125" style="465" customWidth="1"/>
    <col min="12064" max="12064" width="2.7109375" style="465" customWidth="1"/>
    <col min="12065" max="12065" width="2.28515625" style="465" customWidth="1"/>
    <col min="12066" max="12066" width="3" style="465" customWidth="1"/>
    <col min="12067" max="12068" width="2.85546875" style="465" customWidth="1"/>
    <col min="12069" max="12069" width="4.28515625" style="465" customWidth="1"/>
    <col min="12070" max="12070" width="3.28515625" style="465" customWidth="1"/>
    <col min="12071" max="12071" width="4.140625" style="465" customWidth="1"/>
    <col min="12072" max="12072" width="9.140625" style="465" customWidth="1"/>
    <col min="12073" max="12073" width="12" style="465" bestFit="1" customWidth="1"/>
    <col min="12074" max="12075" width="9.140625" style="465" customWidth="1"/>
    <col min="12076" max="12076" width="2.140625" style="465" customWidth="1"/>
    <col min="12077" max="12078" width="9.140625" style="465" customWidth="1"/>
    <col min="12079" max="12288" width="11.42578125" style="465"/>
    <col min="12289" max="12289" width="4.85546875" style="465" customWidth="1"/>
    <col min="12290" max="12290" width="3.28515625" style="465" customWidth="1"/>
    <col min="12291" max="12291" width="2.5703125" style="465" customWidth="1"/>
    <col min="12292" max="12292" width="3.140625" style="465" customWidth="1"/>
    <col min="12293" max="12294" width="2.5703125" style="465" customWidth="1"/>
    <col min="12295" max="12295" width="3.42578125" style="465" customWidth="1"/>
    <col min="12296" max="12296" width="3.7109375" style="465" customWidth="1"/>
    <col min="12297" max="12297" width="2.140625" style="465" customWidth="1"/>
    <col min="12298" max="12298" width="2.5703125" style="465" customWidth="1"/>
    <col min="12299" max="12299" width="3.5703125" style="465" customWidth="1"/>
    <col min="12300" max="12300" width="2.7109375" style="465" customWidth="1"/>
    <col min="12301" max="12301" width="2.28515625" style="465" customWidth="1"/>
    <col min="12302" max="12302" width="2.42578125" style="465" customWidth="1"/>
    <col min="12303" max="12303" width="3.140625" style="465" customWidth="1"/>
    <col min="12304" max="12304" width="1.85546875" style="465" customWidth="1"/>
    <col min="12305" max="12305" width="2.28515625" style="465" customWidth="1"/>
    <col min="12306" max="12306" width="2.7109375" style="465" customWidth="1"/>
    <col min="12307" max="12307" width="2.140625" style="465" customWidth="1"/>
    <col min="12308" max="12308" width="3.42578125" style="465" customWidth="1"/>
    <col min="12309" max="12309" width="2.42578125" style="465" customWidth="1"/>
    <col min="12310" max="12310" width="1.85546875" style="465" customWidth="1"/>
    <col min="12311" max="12311" width="3.42578125" style="465" customWidth="1"/>
    <col min="12312" max="12312" width="3" style="465" customWidth="1"/>
    <col min="12313" max="12313" width="3.7109375" style="465" customWidth="1"/>
    <col min="12314" max="12314" width="3.42578125" style="465" customWidth="1"/>
    <col min="12315" max="12315" width="1.140625" style="465" customWidth="1"/>
    <col min="12316" max="12316" width="1.28515625" style="465" customWidth="1"/>
    <col min="12317" max="12318" width="2.5703125" style="465" customWidth="1"/>
    <col min="12319" max="12319" width="3.42578125" style="465" customWidth="1"/>
    <col min="12320" max="12320" width="2.7109375" style="465" customWidth="1"/>
    <col min="12321" max="12321" width="2.28515625" style="465" customWidth="1"/>
    <col min="12322" max="12322" width="3" style="465" customWidth="1"/>
    <col min="12323" max="12324" width="2.85546875" style="465" customWidth="1"/>
    <col min="12325" max="12325" width="4.28515625" style="465" customWidth="1"/>
    <col min="12326" max="12326" width="3.28515625" style="465" customWidth="1"/>
    <col min="12327" max="12327" width="4.140625" style="465" customWidth="1"/>
    <col min="12328" max="12328" width="9.140625" style="465" customWidth="1"/>
    <col min="12329" max="12329" width="12" style="465" bestFit="1" customWidth="1"/>
    <col min="12330" max="12331" width="9.140625" style="465" customWidth="1"/>
    <col min="12332" max="12332" width="2.140625" style="465" customWidth="1"/>
    <col min="12333" max="12334" width="9.140625" style="465" customWidth="1"/>
    <col min="12335" max="12544" width="11.42578125" style="465"/>
    <col min="12545" max="12545" width="4.85546875" style="465" customWidth="1"/>
    <col min="12546" max="12546" width="3.28515625" style="465" customWidth="1"/>
    <col min="12547" max="12547" width="2.5703125" style="465" customWidth="1"/>
    <col min="12548" max="12548" width="3.140625" style="465" customWidth="1"/>
    <col min="12549" max="12550" width="2.5703125" style="465" customWidth="1"/>
    <col min="12551" max="12551" width="3.42578125" style="465" customWidth="1"/>
    <col min="12552" max="12552" width="3.7109375" style="465" customWidth="1"/>
    <col min="12553" max="12553" width="2.140625" style="465" customWidth="1"/>
    <col min="12554" max="12554" width="2.5703125" style="465" customWidth="1"/>
    <col min="12555" max="12555" width="3.5703125" style="465" customWidth="1"/>
    <col min="12556" max="12556" width="2.7109375" style="465" customWidth="1"/>
    <col min="12557" max="12557" width="2.28515625" style="465" customWidth="1"/>
    <col min="12558" max="12558" width="2.42578125" style="465" customWidth="1"/>
    <col min="12559" max="12559" width="3.140625" style="465" customWidth="1"/>
    <col min="12560" max="12560" width="1.85546875" style="465" customWidth="1"/>
    <col min="12561" max="12561" width="2.28515625" style="465" customWidth="1"/>
    <col min="12562" max="12562" width="2.7109375" style="465" customWidth="1"/>
    <col min="12563" max="12563" width="2.140625" style="465" customWidth="1"/>
    <col min="12564" max="12564" width="3.42578125" style="465" customWidth="1"/>
    <col min="12565" max="12565" width="2.42578125" style="465" customWidth="1"/>
    <col min="12566" max="12566" width="1.85546875" style="465" customWidth="1"/>
    <col min="12567" max="12567" width="3.42578125" style="465" customWidth="1"/>
    <col min="12568" max="12568" width="3" style="465" customWidth="1"/>
    <col min="12569" max="12569" width="3.7109375" style="465" customWidth="1"/>
    <col min="12570" max="12570" width="3.42578125" style="465" customWidth="1"/>
    <col min="12571" max="12571" width="1.140625" style="465" customWidth="1"/>
    <col min="12572" max="12572" width="1.28515625" style="465" customWidth="1"/>
    <col min="12573" max="12574" width="2.5703125" style="465" customWidth="1"/>
    <col min="12575" max="12575" width="3.42578125" style="465" customWidth="1"/>
    <col min="12576" max="12576" width="2.7109375" style="465" customWidth="1"/>
    <col min="12577" max="12577" width="2.28515625" style="465" customWidth="1"/>
    <col min="12578" max="12578" width="3" style="465" customWidth="1"/>
    <col min="12579" max="12580" width="2.85546875" style="465" customWidth="1"/>
    <col min="12581" max="12581" width="4.28515625" style="465" customWidth="1"/>
    <col min="12582" max="12582" width="3.28515625" style="465" customWidth="1"/>
    <col min="12583" max="12583" width="4.140625" style="465" customWidth="1"/>
    <col min="12584" max="12584" width="9.140625" style="465" customWidth="1"/>
    <col min="12585" max="12585" width="12" style="465" bestFit="1" customWidth="1"/>
    <col min="12586" max="12587" width="9.140625" style="465" customWidth="1"/>
    <col min="12588" max="12588" width="2.140625" style="465" customWidth="1"/>
    <col min="12589" max="12590" width="9.140625" style="465" customWidth="1"/>
    <col min="12591" max="12800" width="11.42578125" style="465"/>
    <col min="12801" max="12801" width="4.85546875" style="465" customWidth="1"/>
    <col min="12802" max="12802" width="3.28515625" style="465" customWidth="1"/>
    <col min="12803" max="12803" width="2.5703125" style="465" customWidth="1"/>
    <col min="12804" max="12804" width="3.140625" style="465" customWidth="1"/>
    <col min="12805" max="12806" width="2.5703125" style="465" customWidth="1"/>
    <col min="12807" max="12807" width="3.42578125" style="465" customWidth="1"/>
    <col min="12808" max="12808" width="3.7109375" style="465" customWidth="1"/>
    <col min="12809" max="12809" width="2.140625" style="465" customWidth="1"/>
    <col min="12810" max="12810" width="2.5703125" style="465" customWidth="1"/>
    <col min="12811" max="12811" width="3.5703125" style="465" customWidth="1"/>
    <col min="12812" max="12812" width="2.7109375" style="465" customWidth="1"/>
    <col min="12813" max="12813" width="2.28515625" style="465" customWidth="1"/>
    <col min="12814" max="12814" width="2.42578125" style="465" customWidth="1"/>
    <col min="12815" max="12815" width="3.140625" style="465" customWidth="1"/>
    <col min="12816" max="12816" width="1.85546875" style="465" customWidth="1"/>
    <col min="12817" max="12817" width="2.28515625" style="465" customWidth="1"/>
    <col min="12818" max="12818" width="2.7109375" style="465" customWidth="1"/>
    <col min="12819" max="12819" width="2.140625" style="465" customWidth="1"/>
    <col min="12820" max="12820" width="3.42578125" style="465" customWidth="1"/>
    <col min="12821" max="12821" width="2.42578125" style="465" customWidth="1"/>
    <col min="12822" max="12822" width="1.85546875" style="465" customWidth="1"/>
    <col min="12823" max="12823" width="3.42578125" style="465" customWidth="1"/>
    <col min="12824" max="12824" width="3" style="465" customWidth="1"/>
    <col min="12825" max="12825" width="3.7109375" style="465" customWidth="1"/>
    <col min="12826" max="12826" width="3.42578125" style="465" customWidth="1"/>
    <col min="12827" max="12827" width="1.140625" style="465" customWidth="1"/>
    <col min="12828" max="12828" width="1.28515625" style="465" customWidth="1"/>
    <col min="12829" max="12830" width="2.5703125" style="465" customWidth="1"/>
    <col min="12831" max="12831" width="3.42578125" style="465" customWidth="1"/>
    <col min="12832" max="12832" width="2.7109375" style="465" customWidth="1"/>
    <col min="12833" max="12833" width="2.28515625" style="465" customWidth="1"/>
    <col min="12834" max="12834" width="3" style="465" customWidth="1"/>
    <col min="12835" max="12836" width="2.85546875" style="465" customWidth="1"/>
    <col min="12837" max="12837" width="4.28515625" style="465" customWidth="1"/>
    <col min="12838" max="12838" width="3.28515625" style="465" customWidth="1"/>
    <col min="12839" max="12839" width="4.140625" style="465" customWidth="1"/>
    <col min="12840" max="12840" width="9.140625" style="465" customWidth="1"/>
    <col min="12841" max="12841" width="12" style="465" bestFit="1" customWidth="1"/>
    <col min="12842" max="12843" width="9.140625" style="465" customWidth="1"/>
    <col min="12844" max="12844" width="2.140625" style="465" customWidth="1"/>
    <col min="12845" max="12846" width="9.140625" style="465" customWidth="1"/>
    <col min="12847" max="13056" width="11.42578125" style="465"/>
    <col min="13057" max="13057" width="4.85546875" style="465" customWidth="1"/>
    <col min="13058" max="13058" width="3.28515625" style="465" customWidth="1"/>
    <col min="13059" max="13059" width="2.5703125" style="465" customWidth="1"/>
    <col min="13060" max="13060" width="3.140625" style="465" customWidth="1"/>
    <col min="13061" max="13062" width="2.5703125" style="465" customWidth="1"/>
    <col min="13063" max="13063" width="3.42578125" style="465" customWidth="1"/>
    <col min="13064" max="13064" width="3.7109375" style="465" customWidth="1"/>
    <col min="13065" max="13065" width="2.140625" style="465" customWidth="1"/>
    <col min="13066" max="13066" width="2.5703125" style="465" customWidth="1"/>
    <col min="13067" max="13067" width="3.5703125" style="465" customWidth="1"/>
    <col min="13068" max="13068" width="2.7109375" style="465" customWidth="1"/>
    <col min="13069" max="13069" width="2.28515625" style="465" customWidth="1"/>
    <col min="13070" max="13070" width="2.42578125" style="465" customWidth="1"/>
    <col min="13071" max="13071" width="3.140625" style="465" customWidth="1"/>
    <col min="13072" max="13072" width="1.85546875" style="465" customWidth="1"/>
    <col min="13073" max="13073" width="2.28515625" style="465" customWidth="1"/>
    <col min="13074" max="13074" width="2.7109375" style="465" customWidth="1"/>
    <col min="13075" max="13075" width="2.140625" style="465" customWidth="1"/>
    <col min="13076" max="13076" width="3.42578125" style="465" customWidth="1"/>
    <col min="13077" max="13077" width="2.42578125" style="465" customWidth="1"/>
    <col min="13078" max="13078" width="1.85546875" style="465" customWidth="1"/>
    <col min="13079" max="13079" width="3.42578125" style="465" customWidth="1"/>
    <col min="13080" max="13080" width="3" style="465" customWidth="1"/>
    <col min="13081" max="13081" width="3.7109375" style="465" customWidth="1"/>
    <col min="13082" max="13082" width="3.42578125" style="465" customWidth="1"/>
    <col min="13083" max="13083" width="1.140625" style="465" customWidth="1"/>
    <col min="13084" max="13084" width="1.28515625" style="465" customWidth="1"/>
    <col min="13085" max="13086" width="2.5703125" style="465" customWidth="1"/>
    <col min="13087" max="13087" width="3.42578125" style="465" customWidth="1"/>
    <col min="13088" max="13088" width="2.7109375" style="465" customWidth="1"/>
    <col min="13089" max="13089" width="2.28515625" style="465" customWidth="1"/>
    <col min="13090" max="13090" width="3" style="465" customWidth="1"/>
    <col min="13091" max="13092" width="2.85546875" style="465" customWidth="1"/>
    <col min="13093" max="13093" width="4.28515625" style="465" customWidth="1"/>
    <col min="13094" max="13094" width="3.28515625" style="465" customWidth="1"/>
    <col min="13095" max="13095" width="4.140625" style="465" customWidth="1"/>
    <col min="13096" max="13096" width="9.140625" style="465" customWidth="1"/>
    <col min="13097" max="13097" width="12" style="465" bestFit="1" customWidth="1"/>
    <col min="13098" max="13099" width="9.140625" style="465" customWidth="1"/>
    <col min="13100" max="13100" width="2.140625" style="465" customWidth="1"/>
    <col min="13101" max="13102" width="9.140625" style="465" customWidth="1"/>
    <col min="13103" max="13312" width="11.42578125" style="465"/>
    <col min="13313" max="13313" width="4.85546875" style="465" customWidth="1"/>
    <col min="13314" max="13314" width="3.28515625" style="465" customWidth="1"/>
    <col min="13315" max="13315" width="2.5703125" style="465" customWidth="1"/>
    <col min="13316" max="13316" width="3.140625" style="465" customWidth="1"/>
    <col min="13317" max="13318" width="2.5703125" style="465" customWidth="1"/>
    <col min="13319" max="13319" width="3.42578125" style="465" customWidth="1"/>
    <col min="13320" max="13320" width="3.7109375" style="465" customWidth="1"/>
    <col min="13321" max="13321" width="2.140625" style="465" customWidth="1"/>
    <col min="13322" max="13322" width="2.5703125" style="465" customWidth="1"/>
    <col min="13323" max="13323" width="3.5703125" style="465" customWidth="1"/>
    <col min="13324" max="13324" width="2.7109375" style="465" customWidth="1"/>
    <col min="13325" max="13325" width="2.28515625" style="465" customWidth="1"/>
    <col min="13326" max="13326" width="2.42578125" style="465" customWidth="1"/>
    <col min="13327" max="13327" width="3.140625" style="465" customWidth="1"/>
    <col min="13328" max="13328" width="1.85546875" style="465" customWidth="1"/>
    <col min="13329" max="13329" width="2.28515625" style="465" customWidth="1"/>
    <col min="13330" max="13330" width="2.7109375" style="465" customWidth="1"/>
    <col min="13331" max="13331" width="2.140625" style="465" customWidth="1"/>
    <col min="13332" max="13332" width="3.42578125" style="465" customWidth="1"/>
    <col min="13333" max="13333" width="2.42578125" style="465" customWidth="1"/>
    <col min="13334" max="13334" width="1.85546875" style="465" customWidth="1"/>
    <col min="13335" max="13335" width="3.42578125" style="465" customWidth="1"/>
    <col min="13336" max="13336" width="3" style="465" customWidth="1"/>
    <col min="13337" max="13337" width="3.7109375" style="465" customWidth="1"/>
    <col min="13338" max="13338" width="3.42578125" style="465" customWidth="1"/>
    <col min="13339" max="13339" width="1.140625" style="465" customWidth="1"/>
    <col min="13340" max="13340" width="1.28515625" style="465" customWidth="1"/>
    <col min="13341" max="13342" width="2.5703125" style="465" customWidth="1"/>
    <col min="13343" max="13343" width="3.42578125" style="465" customWidth="1"/>
    <col min="13344" max="13344" width="2.7109375" style="465" customWidth="1"/>
    <col min="13345" max="13345" width="2.28515625" style="465" customWidth="1"/>
    <col min="13346" max="13346" width="3" style="465" customWidth="1"/>
    <col min="13347" max="13348" width="2.85546875" style="465" customWidth="1"/>
    <col min="13349" max="13349" width="4.28515625" style="465" customWidth="1"/>
    <col min="13350" max="13350" width="3.28515625" style="465" customWidth="1"/>
    <col min="13351" max="13351" width="4.140625" style="465" customWidth="1"/>
    <col min="13352" max="13352" width="9.140625" style="465" customWidth="1"/>
    <col min="13353" max="13353" width="12" style="465" bestFit="1" customWidth="1"/>
    <col min="13354" max="13355" width="9.140625" style="465" customWidth="1"/>
    <col min="13356" max="13356" width="2.140625" style="465" customWidth="1"/>
    <col min="13357" max="13358" width="9.140625" style="465" customWidth="1"/>
    <col min="13359" max="13568" width="11.42578125" style="465"/>
    <col min="13569" max="13569" width="4.85546875" style="465" customWidth="1"/>
    <col min="13570" max="13570" width="3.28515625" style="465" customWidth="1"/>
    <col min="13571" max="13571" width="2.5703125" style="465" customWidth="1"/>
    <col min="13572" max="13572" width="3.140625" style="465" customWidth="1"/>
    <col min="13573" max="13574" width="2.5703125" style="465" customWidth="1"/>
    <col min="13575" max="13575" width="3.42578125" style="465" customWidth="1"/>
    <col min="13576" max="13576" width="3.7109375" style="465" customWidth="1"/>
    <col min="13577" max="13577" width="2.140625" style="465" customWidth="1"/>
    <col min="13578" max="13578" width="2.5703125" style="465" customWidth="1"/>
    <col min="13579" max="13579" width="3.5703125" style="465" customWidth="1"/>
    <col min="13580" max="13580" width="2.7109375" style="465" customWidth="1"/>
    <col min="13581" max="13581" width="2.28515625" style="465" customWidth="1"/>
    <col min="13582" max="13582" width="2.42578125" style="465" customWidth="1"/>
    <col min="13583" max="13583" width="3.140625" style="465" customWidth="1"/>
    <col min="13584" max="13584" width="1.85546875" style="465" customWidth="1"/>
    <col min="13585" max="13585" width="2.28515625" style="465" customWidth="1"/>
    <col min="13586" max="13586" width="2.7109375" style="465" customWidth="1"/>
    <col min="13587" max="13587" width="2.140625" style="465" customWidth="1"/>
    <col min="13588" max="13588" width="3.42578125" style="465" customWidth="1"/>
    <col min="13589" max="13589" width="2.42578125" style="465" customWidth="1"/>
    <col min="13590" max="13590" width="1.85546875" style="465" customWidth="1"/>
    <col min="13591" max="13591" width="3.42578125" style="465" customWidth="1"/>
    <col min="13592" max="13592" width="3" style="465" customWidth="1"/>
    <col min="13593" max="13593" width="3.7109375" style="465" customWidth="1"/>
    <col min="13594" max="13594" width="3.42578125" style="465" customWidth="1"/>
    <col min="13595" max="13595" width="1.140625" style="465" customWidth="1"/>
    <col min="13596" max="13596" width="1.28515625" style="465" customWidth="1"/>
    <col min="13597" max="13598" width="2.5703125" style="465" customWidth="1"/>
    <col min="13599" max="13599" width="3.42578125" style="465" customWidth="1"/>
    <col min="13600" max="13600" width="2.7109375" style="465" customWidth="1"/>
    <col min="13601" max="13601" width="2.28515625" style="465" customWidth="1"/>
    <col min="13602" max="13602" width="3" style="465" customWidth="1"/>
    <col min="13603" max="13604" width="2.85546875" style="465" customWidth="1"/>
    <col min="13605" max="13605" width="4.28515625" style="465" customWidth="1"/>
    <col min="13606" max="13606" width="3.28515625" style="465" customWidth="1"/>
    <col min="13607" max="13607" width="4.140625" style="465" customWidth="1"/>
    <col min="13608" max="13608" width="9.140625" style="465" customWidth="1"/>
    <col min="13609" max="13609" width="12" style="465" bestFit="1" customWidth="1"/>
    <col min="13610" max="13611" width="9.140625" style="465" customWidth="1"/>
    <col min="13612" max="13612" width="2.140625" style="465" customWidth="1"/>
    <col min="13613" max="13614" width="9.140625" style="465" customWidth="1"/>
    <col min="13615" max="13824" width="11.42578125" style="465"/>
    <col min="13825" max="13825" width="4.85546875" style="465" customWidth="1"/>
    <col min="13826" max="13826" width="3.28515625" style="465" customWidth="1"/>
    <col min="13827" max="13827" width="2.5703125" style="465" customWidth="1"/>
    <col min="13828" max="13828" width="3.140625" style="465" customWidth="1"/>
    <col min="13829" max="13830" width="2.5703125" style="465" customWidth="1"/>
    <col min="13831" max="13831" width="3.42578125" style="465" customWidth="1"/>
    <col min="13832" max="13832" width="3.7109375" style="465" customWidth="1"/>
    <col min="13833" max="13833" width="2.140625" style="465" customWidth="1"/>
    <col min="13834" max="13834" width="2.5703125" style="465" customWidth="1"/>
    <col min="13835" max="13835" width="3.5703125" style="465" customWidth="1"/>
    <col min="13836" max="13836" width="2.7109375" style="465" customWidth="1"/>
    <col min="13837" max="13837" width="2.28515625" style="465" customWidth="1"/>
    <col min="13838" max="13838" width="2.42578125" style="465" customWidth="1"/>
    <col min="13839" max="13839" width="3.140625" style="465" customWidth="1"/>
    <col min="13840" max="13840" width="1.85546875" style="465" customWidth="1"/>
    <col min="13841" max="13841" width="2.28515625" style="465" customWidth="1"/>
    <col min="13842" max="13842" width="2.7109375" style="465" customWidth="1"/>
    <col min="13843" max="13843" width="2.140625" style="465" customWidth="1"/>
    <col min="13844" max="13844" width="3.42578125" style="465" customWidth="1"/>
    <col min="13845" max="13845" width="2.42578125" style="465" customWidth="1"/>
    <col min="13846" max="13846" width="1.85546875" style="465" customWidth="1"/>
    <col min="13847" max="13847" width="3.42578125" style="465" customWidth="1"/>
    <col min="13848" max="13848" width="3" style="465" customWidth="1"/>
    <col min="13849" max="13849" width="3.7109375" style="465" customWidth="1"/>
    <col min="13850" max="13850" width="3.42578125" style="465" customWidth="1"/>
    <col min="13851" max="13851" width="1.140625" style="465" customWidth="1"/>
    <col min="13852" max="13852" width="1.28515625" style="465" customWidth="1"/>
    <col min="13853" max="13854" width="2.5703125" style="465" customWidth="1"/>
    <col min="13855" max="13855" width="3.42578125" style="465" customWidth="1"/>
    <col min="13856" max="13856" width="2.7109375" style="465" customWidth="1"/>
    <col min="13857" max="13857" width="2.28515625" style="465" customWidth="1"/>
    <col min="13858" max="13858" width="3" style="465" customWidth="1"/>
    <col min="13859" max="13860" width="2.85546875" style="465" customWidth="1"/>
    <col min="13861" max="13861" width="4.28515625" style="465" customWidth="1"/>
    <col min="13862" max="13862" width="3.28515625" style="465" customWidth="1"/>
    <col min="13863" max="13863" width="4.140625" style="465" customWidth="1"/>
    <col min="13864" max="13864" width="9.140625" style="465" customWidth="1"/>
    <col min="13865" max="13865" width="12" style="465" bestFit="1" customWidth="1"/>
    <col min="13866" max="13867" width="9.140625" style="465" customWidth="1"/>
    <col min="13868" max="13868" width="2.140625" style="465" customWidth="1"/>
    <col min="13869" max="13870" width="9.140625" style="465" customWidth="1"/>
    <col min="13871" max="14080" width="11.42578125" style="465"/>
    <col min="14081" max="14081" width="4.85546875" style="465" customWidth="1"/>
    <col min="14082" max="14082" width="3.28515625" style="465" customWidth="1"/>
    <col min="14083" max="14083" width="2.5703125" style="465" customWidth="1"/>
    <col min="14084" max="14084" width="3.140625" style="465" customWidth="1"/>
    <col min="14085" max="14086" width="2.5703125" style="465" customWidth="1"/>
    <col min="14087" max="14087" width="3.42578125" style="465" customWidth="1"/>
    <col min="14088" max="14088" width="3.7109375" style="465" customWidth="1"/>
    <col min="14089" max="14089" width="2.140625" style="465" customWidth="1"/>
    <col min="14090" max="14090" width="2.5703125" style="465" customWidth="1"/>
    <col min="14091" max="14091" width="3.5703125" style="465" customWidth="1"/>
    <col min="14092" max="14092" width="2.7109375" style="465" customWidth="1"/>
    <col min="14093" max="14093" width="2.28515625" style="465" customWidth="1"/>
    <col min="14094" max="14094" width="2.42578125" style="465" customWidth="1"/>
    <col min="14095" max="14095" width="3.140625" style="465" customWidth="1"/>
    <col min="14096" max="14096" width="1.85546875" style="465" customWidth="1"/>
    <col min="14097" max="14097" width="2.28515625" style="465" customWidth="1"/>
    <col min="14098" max="14098" width="2.7109375" style="465" customWidth="1"/>
    <col min="14099" max="14099" width="2.140625" style="465" customWidth="1"/>
    <col min="14100" max="14100" width="3.42578125" style="465" customWidth="1"/>
    <col min="14101" max="14101" width="2.42578125" style="465" customWidth="1"/>
    <col min="14102" max="14102" width="1.85546875" style="465" customWidth="1"/>
    <col min="14103" max="14103" width="3.42578125" style="465" customWidth="1"/>
    <col min="14104" max="14104" width="3" style="465" customWidth="1"/>
    <col min="14105" max="14105" width="3.7109375" style="465" customWidth="1"/>
    <col min="14106" max="14106" width="3.42578125" style="465" customWidth="1"/>
    <col min="14107" max="14107" width="1.140625" style="465" customWidth="1"/>
    <col min="14108" max="14108" width="1.28515625" style="465" customWidth="1"/>
    <col min="14109" max="14110" width="2.5703125" style="465" customWidth="1"/>
    <col min="14111" max="14111" width="3.42578125" style="465" customWidth="1"/>
    <col min="14112" max="14112" width="2.7109375" style="465" customWidth="1"/>
    <col min="14113" max="14113" width="2.28515625" style="465" customWidth="1"/>
    <col min="14114" max="14114" width="3" style="465" customWidth="1"/>
    <col min="14115" max="14116" width="2.85546875" style="465" customWidth="1"/>
    <col min="14117" max="14117" width="4.28515625" style="465" customWidth="1"/>
    <col min="14118" max="14118" width="3.28515625" style="465" customWidth="1"/>
    <col min="14119" max="14119" width="4.140625" style="465" customWidth="1"/>
    <col min="14120" max="14120" width="9.140625" style="465" customWidth="1"/>
    <col min="14121" max="14121" width="12" style="465" bestFit="1" customWidth="1"/>
    <col min="14122" max="14123" width="9.140625" style="465" customWidth="1"/>
    <col min="14124" max="14124" width="2.140625" style="465" customWidth="1"/>
    <col min="14125" max="14126" width="9.140625" style="465" customWidth="1"/>
    <col min="14127" max="14336" width="11.42578125" style="465"/>
    <col min="14337" max="14337" width="4.85546875" style="465" customWidth="1"/>
    <col min="14338" max="14338" width="3.28515625" style="465" customWidth="1"/>
    <col min="14339" max="14339" width="2.5703125" style="465" customWidth="1"/>
    <col min="14340" max="14340" width="3.140625" style="465" customWidth="1"/>
    <col min="14341" max="14342" width="2.5703125" style="465" customWidth="1"/>
    <col min="14343" max="14343" width="3.42578125" style="465" customWidth="1"/>
    <col min="14344" max="14344" width="3.7109375" style="465" customWidth="1"/>
    <col min="14345" max="14345" width="2.140625" style="465" customWidth="1"/>
    <col min="14346" max="14346" width="2.5703125" style="465" customWidth="1"/>
    <col min="14347" max="14347" width="3.5703125" style="465" customWidth="1"/>
    <col min="14348" max="14348" width="2.7109375" style="465" customWidth="1"/>
    <col min="14349" max="14349" width="2.28515625" style="465" customWidth="1"/>
    <col min="14350" max="14350" width="2.42578125" style="465" customWidth="1"/>
    <col min="14351" max="14351" width="3.140625" style="465" customWidth="1"/>
    <col min="14352" max="14352" width="1.85546875" style="465" customWidth="1"/>
    <col min="14353" max="14353" width="2.28515625" style="465" customWidth="1"/>
    <col min="14354" max="14354" width="2.7109375" style="465" customWidth="1"/>
    <col min="14355" max="14355" width="2.140625" style="465" customWidth="1"/>
    <col min="14356" max="14356" width="3.42578125" style="465" customWidth="1"/>
    <col min="14357" max="14357" width="2.42578125" style="465" customWidth="1"/>
    <col min="14358" max="14358" width="1.85546875" style="465" customWidth="1"/>
    <col min="14359" max="14359" width="3.42578125" style="465" customWidth="1"/>
    <col min="14360" max="14360" width="3" style="465" customWidth="1"/>
    <col min="14361" max="14361" width="3.7109375" style="465" customWidth="1"/>
    <col min="14362" max="14362" width="3.42578125" style="465" customWidth="1"/>
    <col min="14363" max="14363" width="1.140625" style="465" customWidth="1"/>
    <col min="14364" max="14364" width="1.28515625" style="465" customWidth="1"/>
    <col min="14365" max="14366" width="2.5703125" style="465" customWidth="1"/>
    <col min="14367" max="14367" width="3.42578125" style="465" customWidth="1"/>
    <col min="14368" max="14368" width="2.7109375" style="465" customWidth="1"/>
    <col min="14369" max="14369" width="2.28515625" style="465" customWidth="1"/>
    <col min="14370" max="14370" width="3" style="465" customWidth="1"/>
    <col min="14371" max="14372" width="2.85546875" style="465" customWidth="1"/>
    <col min="14373" max="14373" width="4.28515625" style="465" customWidth="1"/>
    <col min="14374" max="14374" width="3.28515625" style="465" customWidth="1"/>
    <col min="14375" max="14375" width="4.140625" style="465" customWidth="1"/>
    <col min="14376" max="14376" width="9.140625" style="465" customWidth="1"/>
    <col min="14377" max="14377" width="12" style="465" bestFit="1" customWidth="1"/>
    <col min="14378" max="14379" width="9.140625" style="465" customWidth="1"/>
    <col min="14380" max="14380" width="2.140625" style="465" customWidth="1"/>
    <col min="14381" max="14382" width="9.140625" style="465" customWidth="1"/>
    <col min="14383" max="14592" width="11.42578125" style="465"/>
    <col min="14593" max="14593" width="4.85546875" style="465" customWidth="1"/>
    <col min="14594" max="14594" width="3.28515625" style="465" customWidth="1"/>
    <col min="14595" max="14595" width="2.5703125" style="465" customWidth="1"/>
    <col min="14596" max="14596" width="3.140625" style="465" customWidth="1"/>
    <col min="14597" max="14598" width="2.5703125" style="465" customWidth="1"/>
    <col min="14599" max="14599" width="3.42578125" style="465" customWidth="1"/>
    <col min="14600" max="14600" width="3.7109375" style="465" customWidth="1"/>
    <col min="14601" max="14601" width="2.140625" style="465" customWidth="1"/>
    <col min="14602" max="14602" width="2.5703125" style="465" customWidth="1"/>
    <col min="14603" max="14603" width="3.5703125" style="465" customWidth="1"/>
    <col min="14604" max="14604" width="2.7109375" style="465" customWidth="1"/>
    <col min="14605" max="14605" width="2.28515625" style="465" customWidth="1"/>
    <col min="14606" max="14606" width="2.42578125" style="465" customWidth="1"/>
    <col min="14607" max="14607" width="3.140625" style="465" customWidth="1"/>
    <col min="14608" max="14608" width="1.85546875" style="465" customWidth="1"/>
    <col min="14609" max="14609" width="2.28515625" style="465" customWidth="1"/>
    <col min="14610" max="14610" width="2.7109375" style="465" customWidth="1"/>
    <col min="14611" max="14611" width="2.140625" style="465" customWidth="1"/>
    <col min="14612" max="14612" width="3.42578125" style="465" customWidth="1"/>
    <col min="14613" max="14613" width="2.42578125" style="465" customWidth="1"/>
    <col min="14614" max="14614" width="1.85546875" style="465" customWidth="1"/>
    <col min="14615" max="14615" width="3.42578125" style="465" customWidth="1"/>
    <col min="14616" max="14616" width="3" style="465" customWidth="1"/>
    <col min="14617" max="14617" width="3.7109375" style="465" customWidth="1"/>
    <col min="14618" max="14618" width="3.42578125" style="465" customWidth="1"/>
    <col min="14619" max="14619" width="1.140625" style="465" customWidth="1"/>
    <col min="14620" max="14620" width="1.28515625" style="465" customWidth="1"/>
    <col min="14621" max="14622" width="2.5703125" style="465" customWidth="1"/>
    <col min="14623" max="14623" width="3.42578125" style="465" customWidth="1"/>
    <col min="14624" max="14624" width="2.7109375" style="465" customWidth="1"/>
    <col min="14625" max="14625" width="2.28515625" style="465" customWidth="1"/>
    <col min="14626" max="14626" width="3" style="465" customWidth="1"/>
    <col min="14627" max="14628" width="2.85546875" style="465" customWidth="1"/>
    <col min="14629" max="14629" width="4.28515625" style="465" customWidth="1"/>
    <col min="14630" max="14630" width="3.28515625" style="465" customWidth="1"/>
    <col min="14631" max="14631" width="4.140625" style="465" customWidth="1"/>
    <col min="14632" max="14632" width="9.140625" style="465" customWidth="1"/>
    <col min="14633" max="14633" width="12" style="465" bestFit="1" customWidth="1"/>
    <col min="14634" max="14635" width="9.140625" style="465" customWidth="1"/>
    <col min="14636" max="14636" width="2.140625" style="465" customWidth="1"/>
    <col min="14637" max="14638" width="9.140625" style="465" customWidth="1"/>
    <col min="14639" max="14848" width="11.42578125" style="465"/>
    <col min="14849" max="14849" width="4.85546875" style="465" customWidth="1"/>
    <col min="14850" max="14850" width="3.28515625" style="465" customWidth="1"/>
    <col min="14851" max="14851" width="2.5703125" style="465" customWidth="1"/>
    <col min="14852" max="14852" width="3.140625" style="465" customWidth="1"/>
    <col min="14853" max="14854" width="2.5703125" style="465" customWidth="1"/>
    <col min="14855" max="14855" width="3.42578125" style="465" customWidth="1"/>
    <col min="14856" max="14856" width="3.7109375" style="465" customWidth="1"/>
    <col min="14857" max="14857" width="2.140625" style="465" customWidth="1"/>
    <col min="14858" max="14858" width="2.5703125" style="465" customWidth="1"/>
    <col min="14859" max="14859" width="3.5703125" style="465" customWidth="1"/>
    <col min="14860" max="14860" width="2.7109375" style="465" customWidth="1"/>
    <col min="14861" max="14861" width="2.28515625" style="465" customWidth="1"/>
    <col min="14862" max="14862" width="2.42578125" style="465" customWidth="1"/>
    <col min="14863" max="14863" width="3.140625" style="465" customWidth="1"/>
    <col min="14864" max="14864" width="1.85546875" style="465" customWidth="1"/>
    <col min="14865" max="14865" width="2.28515625" style="465" customWidth="1"/>
    <col min="14866" max="14866" width="2.7109375" style="465" customWidth="1"/>
    <col min="14867" max="14867" width="2.140625" style="465" customWidth="1"/>
    <col min="14868" max="14868" width="3.42578125" style="465" customWidth="1"/>
    <col min="14869" max="14869" width="2.42578125" style="465" customWidth="1"/>
    <col min="14870" max="14870" width="1.85546875" style="465" customWidth="1"/>
    <col min="14871" max="14871" width="3.42578125" style="465" customWidth="1"/>
    <col min="14872" max="14872" width="3" style="465" customWidth="1"/>
    <col min="14873" max="14873" width="3.7109375" style="465" customWidth="1"/>
    <col min="14874" max="14874" width="3.42578125" style="465" customWidth="1"/>
    <col min="14875" max="14875" width="1.140625" style="465" customWidth="1"/>
    <col min="14876" max="14876" width="1.28515625" style="465" customWidth="1"/>
    <col min="14877" max="14878" width="2.5703125" style="465" customWidth="1"/>
    <col min="14879" max="14879" width="3.42578125" style="465" customWidth="1"/>
    <col min="14880" max="14880" width="2.7109375" style="465" customWidth="1"/>
    <col min="14881" max="14881" width="2.28515625" style="465" customWidth="1"/>
    <col min="14882" max="14882" width="3" style="465" customWidth="1"/>
    <col min="14883" max="14884" width="2.85546875" style="465" customWidth="1"/>
    <col min="14885" max="14885" width="4.28515625" style="465" customWidth="1"/>
    <col min="14886" max="14886" width="3.28515625" style="465" customWidth="1"/>
    <col min="14887" max="14887" width="4.140625" style="465" customWidth="1"/>
    <col min="14888" max="14888" width="9.140625" style="465" customWidth="1"/>
    <col min="14889" max="14889" width="12" style="465" bestFit="1" customWidth="1"/>
    <col min="14890" max="14891" width="9.140625" style="465" customWidth="1"/>
    <col min="14892" max="14892" width="2.140625" style="465" customWidth="1"/>
    <col min="14893" max="14894" width="9.140625" style="465" customWidth="1"/>
    <col min="14895" max="15104" width="11.42578125" style="465"/>
    <col min="15105" max="15105" width="4.85546875" style="465" customWidth="1"/>
    <col min="15106" max="15106" width="3.28515625" style="465" customWidth="1"/>
    <col min="15107" max="15107" width="2.5703125" style="465" customWidth="1"/>
    <col min="15108" max="15108" width="3.140625" style="465" customWidth="1"/>
    <col min="15109" max="15110" width="2.5703125" style="465" customWidth="1"/>
    <col min="15111" max="15111" width="3.42578125" style="465" customWidth="1"/>
    <col min="15112" max="15112" width="3.7109375" style="465" customWidth="1"/>
    <col min="15113" max="15113" width="2.140625" style="465" customWidth="1"/>
    <col min="15114" max="15114" width="2.5703125" style="465" customWidth="1"/>
    <col min="15115" max="15115" width="3.5703125" style="465" customWidth="1"/>
    <col min="15116" max="15116" width="2.7109375" style="465" customWidth="1"/>
    <col min="15117" max="15117" width="2.28515625" style="465" customWidth="1"/>
    <col min="15118" max="15118" width="2.42578125" style="465" customWidth="1"/>
    <col min="15119" max="15119" width="3.140625" style="465" customWidth="1"/>
    <col min="15120" max="15120" width="1.85546875" style="465" customWidth="1"/>
    <col min="15121" max="15121" width="2.28515625" style="465" customWidth="1"/>
    <col min="15122" max="15122" width="2.7109375" style="465" customWidth="1"/>
    <col min="15123" max="15123" width="2.140625" style="465" customWidth="1"/>
    <col min="15124" max="15124" width="3.42578125" style="465" customWidth="1"/>
    <col min="15125" max="15125" width="2.42578125" style="465" customWidth="1"/>
    <col min="15126" max="15126" width="1.85546875" style="465" customWidth="1"/>
    <col min="15127" max="15127" width="3.42578125" style="465" customWidth="1"/>
    <col min="15128" max="15128" width="3" style="465" customWidth="1"/>
    <col min="15129" max="15129" width="3.7109375" style="465" customWidth="1"/>
    <col min="15130" max="15130" width="3.42578125" style="465" customWidth="1"/>
    <col min="15131" max="15131" width="1.140625" style="465" customWidth="1"/>
    <col min="15132" max="15132" width="1.28515625" style="465" customWidth="1"/>
    <col min="15133" max="15134" width="2.5703125" style="465" customWidth="1"/>
    <col min="15135" max="15135" width="3.42578125" style="465" customWidth="1"/>
    <col min="15136" max="15136" width="2.7109375" style="465" customWidth="1"/>
    <col min="15137" max="15137" width="2.28515625" style="465" customWidth="1"/>
    <col min="15138" max="15138" width="3" style="465" customWidth="1"/>
    <col min="15139" max="15140" width="2.85546875" style="465" customWidth="1"/>
    <col min="15141" max="15141" width="4.28515625" style="465" customWidth="1"/>
    <col min="15142" max="15142" width="3.28515625" style="465" customWidth="1"/>
    <col min="15143" max="15143" width="4.140625" style="465" customWidth="1"/>
    <col min="15144" max="15144" width="9.140625" style="465" customWidth="1"/>
    <col min="15145" max="15145" width="12" style="465" bestFit="1" customWidth="1"/>
    <col min="15146" max="15147" width="9.140625" style="465" customWidth="1"/>
    <col min="15148" max="15148" width="2.140625" style="465" customWidth="1"/>
    <col min="15149" max="15150" width="9.140625" style="465" customWidth="1"/>
    <col min="15151" max="15360" width="11.42578125" style="465"/>
    <col min="15361" max="15361" width="4.85546875" style="465" customWidth="1"/>
    <col min="15362" max="15362" width="3.28515625" style="465" customWidth="1"/>
    <col min="15363" max="15363" width="2.5703125" style="465" customWidth="1"/>
    <col min="15364" max="15364" width="3.140625" style="465" customWidth="1"/>
    <col min="15365" max="15366" width="2.5703125" style="465" customWidth="1"/>
    <col min="15367" max="15367" width="3.42578125" style="465" customWidth="1"/>
    <col min="15368" max="15368" width="3.7109375" style="465" customWidth="1"/>
    <col min="15369" max="15369" width="2.140625" style="465" customWidth="1"/>
    <col min="15370" max="15370" width="2.5703125" style="465" customWidth="1"/>
    <col min="15371" max="15371" width="3.5703125" style="465" customWidth="1"/>
    <col min="15372" max="15372" width="2.7109375" style="465" customWidth="1"/>
    <col min="15373" max="15373" width="2.28515625" style="465" customWidth="1"/>
    <col min="15374" max="15374" width="2.42578125" style="465" customWidth="1"/>
    <col min="15375" max="15375" width="3.140625" style="465" customWidth="1"/>
    <col min="15376" max="15376" width="1.85546875" style="465" customWidth="1"/>
    <col min="15377" max="15377" width="2.28515625" style="465" customWidth="1"/>
    <col min="15378" max="15378" width="2.7109375" style="465" customWidth="1"/>
    <col min="15379" max="15379" width="2.140625" style="465" customWidth="1"/>
    <col min="15380" max="15380" width="3.42578125" style="465" customWidth="1"/>
    <col min="15381" max="15381" width="2.42578125" style="465" customWidth="1"/>
    <col min="15382" max="15382" width="1.85546875" style="465" customWidth="1"/>
    <col min="15383" max="15383" width="3.42578125" style="465" customWidth="1"/>
    <col min="15384" max="15384" width="3" style="465" customWidth="1"/>
    <col min="15385" max="15385" width="3.7109375" style="465" customWidth="1"/>
    <col min="15386" max="15386" width="3.42578125" style="465" customWidth="1"/>
    <col min="15387" max="15387" width="1.140625" style="465" customWidth="1"/>
    <col min="15388" max="15388" width="1.28515625" style="465" customWidth="1"/>
    <col min="15389" max="15390" width="2.5703125" style="465" customWidth="1"/>
    <col min="15391" max="15391" width="3.42578125" style="465" customWidth="1"/>
    <col min="15392" max="15392" width="2.7109375" style="465" customWidth="1"/>
    <col min="15393" max="15393" width="2.28515625" style="465" customWidth="1"/>
    <col min="15394" max="15394" width="3" style="465" customWidth="1"/>
    <col min="15395" max="15396" width="2.85546875" style="465" customWidth="1"/>
    <col min="15397" max="15397" width="4.28515625" style="465" customWidth="1"/>
    <col min="15398" max="15398" width="3.28515625" style="465" customWidth="1"/>
    <col min="15399" max="15399" width="4.140625" style="465" customWidth="1"/>
    <col min="15400" max="15400" width="9.140625" style="465" customWidth="1"/>
    <col min="15401" max="15401" width="12" style="465" bestFit="1" customWidth="1"/>
    <col min="15402" max="15403" width="9.140625" style="465" customWidth="1"/>
    <col min="15404" max="15404" width="2.140625" style="465" customWidth="1"/>
    <col min="15405" max="15406" width="9.140625" style="465" customWidth="1"/>
    <col min="15407" max="15616" width="11.42578125" style="465"/>
    <col min="15617" max="15617" width="4.85546875" style="465" customWidth="1"/>
    <col min="15618" max="15618" width="3.28515625" style="465" customWidth="1"/>
    <col min="15619" max="15619" width="2.5703125" style="465" customWidth="1"/>
    <col min="15620" max="15620" width="3.140625" style="465" customWidth="1"/>
    <col min="15621" max="15622" width="2.5703125" style="465" customWidth="1"/>
    <col min="15623" max="15623" width="3.42578125" style="465" customWidth="1"/>
    <col min="15624" max="15624" width="3.7109375" style="465" customWidth="1"/>
    <col min="15625" max="15625" width="2.140625" style="465" customWidth="1"/>
    <col min="15626" max="15626" width="2.5703125" style="465" customWidth="1"/>
    <col min="15627" max="15627" width="3.5703125" style="465" customWidth="1"/>
    <col min="15628" max="15628" width="2.7109375" style="465" customWidth="1"/>
    <col min="15629" max="15629" width="2.28515625" style="465" customWidth="1"/>
    <col min="15630" max="15630" width="2.42578125" style="465" customWidth="1"/>
    <col min="15631" max="15631" width="3.140625" style="465" customWidth="1"/>
    <col min="15632" max="15632" width="1.85546875" style="465" customWidth="1"/>
    <col min="15633" max="15633" width="2.28515625" style="465" customWidth="1"/>
    <col min="15634" max="15634" width="2.7109375" style="465" customWidth="1"/>
    <col min="15635" max="15635" width="2.140625" style="465" customWidth="1"/>
    <col min="15636" max="15636" width="3.42578125" style="465" customWidth="1"/>
    <col min="15637" max="15637" width="2.42578125" style="465" customWidth="1"/>
    <col min="15638" max="15638" width="1.85546875" style="465" customWidth="1"/>
    <col min="15639" max="15639" width="3.42578125" style="465" customWidth="1"/>
    <col min="15640" max="15640" width="3" style="465" customWidth="1"/>
    <col min="15641" max="15641" width="3.7109375" style="465" customWidth="1"/>
    <col min="15642" max="15642" width="3.42578125" style="465" customWidth="1"/>
    <col min="15643" max="15643" width="1.140625" style="465" customWidth="1"/>
    <col min="15644" max="15644" width="1.28515625" style="465" customWidth="1"/>
    <col min="15645" max="15646" width="2.5703125" style="465" customWidth="1"/>
    <col min="15647" max="15647" width="3.42578125" style="465" customWidth="1"/>
    <col min="15648" max="15648" width="2.7109375" style="465" customWidth="1"/>
    <col min="15649" max="15649" width="2.28515625" style="465" customWidth="1"/>
    <col min="15650" max="15650" width="3" style="465" customWidth="1"/>
    <col min="15651" max="15652" width="2.85546875" style="465" customWidth="1"/>
    <col min="15653" max="15653" width="4.28515625" style="465" customWidth="1"/>
    <col min="15654" max="15654" width="3.28515625" style="465" customWidth="1"/>
    <col min="15655" max="15655" width="4.140625" style="465" customWidth="1"/>
    <col min="15656" max="15656" width="9.140625" style="465" customWidth="1"/>
    <col min="15657" max="15657" width="12" style="465" bestFit="1" customWidth="1"/>
    <col min="15658" max="15659" width="9.140625" style="465" customWidth="1"/>
    <col min="15660" max="15660" width="2.140625" style="465" customWidth="1"/>
    <col min="15661" max="15662" width="9.140625" style="465" customWidth="1"/>
    <col min="15663" max="15872" width="11.42578125" style="465"/>
    <col min="15873" max="15873" width="4.85546875" style="465" customWidth="1"/>
    <col min="15874" max="15874" width="3.28515625" style="465" customWidth="1"/>
    <col min="15875" max="15875" width="2.5703125" style="465" customWidth="1"/>
    <col min="15876" max="15876" width="3.140625" style="465" customWidth="1"/>
    <col min="15877" max="15878" width="2.5703125" style="465" customWidth="1"/>
    <col min="15879" max="15879" width="3.42578125" style="465" customWidth="1"/>
    <col min="15880" max="15880" width="3.7109375" style="465" customWidth="1"/>
    <col min="15881" max="15881" width="2.140625" style="465" customWidth="1"/>
    <col min="15882" max="15882" width="2.5703125" style="465" customWidth="1"/>
    <col min="15883" max="15883" width="3.5703125" style="465" customWidth="1"/>
    <col min="15884" max="15884" width="2.7109375" style="465" customWidth="1"/>
    <col min="15885" max="15885" width="2.28515625" style="465" customWidth="1"/>
    <col min="15886" max="15886" width="2.42578125" style="465" customWidth="1"/>
    <col min="15887" max="15887" width="3.140625" style="465" customWidth="1"/>
    <col min="15888" max="15888" width="1.85546875" style="465" customWidth="1"/>
    <col min="15889" max="15889" width="2.28515625" style="465" customWidth="1"/>
    <col min="15890" max="15890" width="2.7109375" style="465" customWidth="1"/>
    <col min="15891" max="15891" width="2.140625" style="465" customWidth="1"/>
    <col min="15892" max="15892" width="3.42578125" style="465" customWidth="1"/>
    <col min="15893" max="15893" width="2.42578125" style="465" customWidth="1"/>
    <col min="15894" max="15894" width="1.85546875" style="465" customWidth="1"/>
    <col min="15895" max="15895" width="3.42578125" style="465" customWidth="1"/>
    <col min="15896" max="15896" width="3" style="465" customWidth="1"/>
    <col min="15897" max="15897" width="3.7109375" style="465" customWidth="1"/>
    <col min="15898" max="15898" width="3.42578125" style="465" customWidth="1"/>
    <col min="15899" max="15899" width="1.140625" style="465" customWidth="1"/>
    <col min="15900" max="15900" width="1.28515625" style="465" customWidth="1"/>
    <col min="15901" max="15902" width="2.5703125" style="465" customWidth="1"/>
    <col min="15903" max="15903" width="3.42578125" style="465" customWidth="1"/>
    <col min="15904" max="15904" width="2.7109375" style="465" customWidth="1"/>
    <col min="15905" max="15905" width="2.28515625" style="465" customWidth="1"/>
    <col min="15906" max="15906" width="3" style="465" customWidth="1"/>
    <col min="15907" max="15908" width="2.85546875" style="465" customWidth="1"/>
    <col min="15909" max="15909" width="4.28515625" style="465" customWidth="1"/>
    <col min="15910" max="15910" width="3.28515625" style="465" customWidth="1"/>
    <col min="15911" max="15911" width="4.140625" style="465" customWidth="1"/>
    <col min="15912" max="15912" width="9.140625" style="465" customWidth="1"/>
    <col min="15913" max="15913" width="12" style="465" bestFit="1" customWidth="1"/>
    <col min="15914" max="15915" width="9.140625" style="465" customWidth="1"/>
    <col min="15916" max="15916" width="2.140625" style="465" customWidth="1"/>
    <col min="15917" max="15918" width="9.140625" style="465" customWidth="1"/>
    <col min="15919" max="16128" width="11.42578125" style="465"/>
    <col min="16129" max="16129" width="4.85546875" style="465" customWidth="1"/>
    <col min="16130" max="16130" width="3.28515625" style="465" customWidth="1"/>
    <col min="16131" max="16131" width="2.5703125" style="465" customWidth="1"/>
    <col min="16132" max="16132" width="3.140625" style="465" customWidth="1"/>
    <col min="16133" max="16134" width="2.5703125" style="465" customWidth="1"/>
    <col min="16135" max="16135" width="3.42578125" style="465" customWidth="1"/>
    <col min="16136" max="16136" width="3.7109375" style="465" customWidth="1"/>
    <col min="16137" max="16137" width="2.140625" style="465" customWidth="1"/>
    <col min="16138" max="16138" width="2.5703125" style="465" customWidth="1"/>
    <col min="16139" max="16139" width="3.5703125" style="465" customWidth="1"/>
    <col min="16140" max="16140" width="2.7109375" style="465" customWidth="1"/>
    <col min="16141" max="16141" width="2.28515625" style="465" customWidth="1"/>
    <col min="16142" max="16142" width="2.42578125" style="465" customWidth="1"/>
    <col min="16143" max="16143" width="3.140625" style="465" customWidth="1"/>
    <col min="16144" max="16144" width="1.85546875" style="465" customWidth="1"/>
    <col min="16145" max="16145" width="2.28515625" style="465" customWidth="1"/>
    <col min="16146" max="16146" width="2.7109375" style="465" customWidth="1"/>
    <col min="16147" max="16147" width="2.140625" style="465" customWidth="1"/>
    <col min="16148" max="16148" width="3.42578125" style="465" customWidth="1"/>
    <col min="16149" max="16149" width="2.42578125" style="465" customWidth="1"/>
    <col min="16150" max="16150" width="1.85546875" style="465" customWidth="1"/>
    <col min="16151" max="16151" width="3.42578125" style="465" customWidth="1"/>
    <col min="16152" max="16152" width="3" style="465" customWidth="1"/>
    <col min="16153" max="16153" width="3.7109375" style="465" customWidth="1"/>
    <col min="16154" max="16154" width="3.42578125" style="465" customWidth="1"/>
    <col min="16155" max="16155" width="1.140625" style="465" customWidth="1"/>
    <col min="16156" max="16156" width="1.28515625" style="465" customWidth="1"/>
    <col min="16157" max="16158" width="2.5703125" style="465" customWidth="1"/>
    <col min="16159" max="16159" width="3.42578125" style="465" customWidth="1"/>
    <col min="16160" max="16160" width="2.7109375" style="465" customWidth="1"/>
    <col min="16161" max="16161" width="2.28515625" style="465" customWidth="1"/>
    <col min="16162" max="16162" width="3" style="465" customWidth="1"/>
    <col min="16163" max="16164" width="2.85546875" style="465" customWidth="1"/>
    <col min="16165" max="16165" width="4.28515625" style="465" customWidth="1"/>
    <col min="16166" max="16166" width="3.28515625" style="465" customWidth="1"/>
    <col min="16167" max="16167" width="4.140625" style="465" customWidth="1"/>
    <col min="16168" max="16168" width="9.140625" style="465" customWidth="1"/>
    <col min="16169" max="16169" width="12" style="465" bestFit="1" customWidth="1"/>
    <col min="16170" max="16171" width="9.140625" style="465" customWidth="1"/>
    <col min="16172" max="16172" width="2.140625" style="465" customWidth="1"/>
    <col min="16173" max="16174" width="9.140625" style="465" customWidth="1"/>
    <col min="16175" max="16384" width="11.42578125" style="465"/>
  </cols>
  <sheetData>
    <row r="2" spans="1:46" ht="20.25" customHeight="1">
      <c r="A2" s="1362" t="s">
        <v>833</v>
      </c>
      <c r="B2" s="1362"/>
      <c r="C2" s="1362"/>
      <c r="D2" s="1362"/>
      <c r="E2" s="1362"/>
      <c r="F2" s="1362"/>
      <c r="G2" s="1362"/>
      <c r="H2" s="1362"/>
      <c r="I2" s="1362"/>
      <c r="J2" s="1362"/>
      <c r="K2" s="1362"/>
      <c r="L2" s="1362"/>
      <c r="M2" s="1362"/>
      <c r="N2" s="1362"/>
      <c r="O2" s="1362"/>
      <c r="P2" s="1362"/>
      <c r="Q2" s="1362"/>
      <c r="R2" s="1362"/>
      <c r="S2" s="1362"/>
      <c r="T2" s="1362"/>
      <c r="U2" s="1362"/>
      <c r="V2" s="1362"/>
      <c r="W2" s="1362"/>
      <c r="X2" s="1362"/>
      <c r="Y2" s="1362"/>
      <c r="Z2" s="1362"/>
      <c r="AA2" s="1362"/>
      <c r="AB2" s="1362"/>
      <c r="AC2" s="1362"/>
      <c r="AD2" s="1362"/>
      <c r="AE2" s="1362"/>
      <c r="AF2" s="1362"/>
      <c r="AG2" s="1362"/>
      <c r="AH2" s="1362"/>
      <c r="AI2" s="1362"/>
      <c r="AJ2" s="1362"/>
      <c r="AK2" s="1362"/>
      <c r="AL2" s="1362"/>
      <c r="AM2" s="1362"/>
    </row>
    <row r="3" spans="1:46" ht="24.75" customHeight="1">
      <c r="A3" s="466"/>
      <c r="B3" s="465"/>
      <c r="C3" s="465"/>
      <c r="D3" s="467"/>
      <c r="E3" s="465"/>
      <c r="F3" s="467"/>
      <c r="G3" s="467"/>
      <c r="H3" s="468"/>
      <c r="I3" s="469"/>
      <c r="J3" s="469"/>
      <c r="K3" s="469"/>
      <c r="L3" s="469"/>
      <c r="M3" s="1363" t="s">
        <v>0</v>
      </c>
      <c r="N3" s="1363"/>
      <c r="O3" s="1363"/>
      <c r="P3" s="1363"/>
      <c r="Q3" s="1363"/>
      <c r="R3" s="1363"/>
      <c r="S3" s="1363"/>
      <c r="T3" s="1363"/>
      <c r="U3" s="1363"/>
      <c r="V3" s="1363"/>
      <c r="W3" s="1363"/>
      <c r="X3" s="1363"/>
      <c r="Y3" s="1363"/>
      <c r="Z3" s="470"/>
      <c r="AA3" s="471"/>
      <c r="AB3" s="471"/>
      <c r="AC3" s="1364"/>
      <c r="AD3" s="1364"/>
      <c r="AE3" s="1364"/>
      <c r="AF3" s="1364"/>
      <c r="AG3" s="1364"/>
      <c r="AH3" s="1364"/>
      <c r="AI3" s="1364"/>
      <c r="AJ3" s="1364"/>
      <c r="AK3" s="1364"/>
      <c r="AL3" s="1364"/>
      <c r="AM3" s="1364"/>
    </row>
    <row r="4" spans="1:46" ht="14.25" customHeight="1">
      <c r="A4" s="466"/>
      <c r="B4" s="472"/>
      <c r="C4" s="465"/>
      <c r="D4" s="473"/>
      <c r="E4" s="465"/>
      <c r="F4" s="473"/>
      <c r="G4" s="473"/>
      <c r="H4" s="465"/>
      <c r="I4" s="474"/>
      <c r="J4" s="474"/>
      <c r="K4" s="468"/>
      <c r="L4" s="474"/>
      <c r="M4" s="1365" t="str">
        <f>+'Data Input'!D2</f>
        <v>wmw×iMÄ kvLv, bvivqYMÄ</v>
      </c>
      <c r="N4" s="1365"/>
      <c r="O4" s="1365"/>
      <c r="P4" s="1365"/>
      <c r="Q4" s="1365"/>
      <c r="R4" s="1365"/>
      <c r="S4" s="1365"/>
      <c r="T4" s="1365"/>
      <c r="U4" s="1365"/>
      <c r="V4" s="1365"/>
      <c r="W4" s="1365"/>
      <c r="X4" s="1365"/>
      <c r="Y4" s="1365"/>
      <c r="Z4" s="1365"/>
      <c r="AA4" s="475"/>
      <c r="AB4" s="475"/>
      <c r="AC4" s="1367"/>
      <c r="AD4" s="1367"/>
      <c r="AE4" s="1367"/>
      <c r="AF4" s="1367"/>
      <c r="AG4" s="1367"/>
      <c r="AH4" s="1367"/>
      <c r="AI4" s="1367"/>
      <c r="AJ4" s="1367"/>
      <c r="AK4" s="1367"/>
      <c r="AL4" s="1367"/>
      <c r="AM4" s="1367"/>
    </row>
    <row r="5" spans="1:46" ht="6.75" customHeight="1" thickBot="1">
      <c r="A5" s="476"/>
      <c r="B5" s="477"/>
      <c r="C5" s="478"/>
      <c r="D5" s="478"/>
      <c r="E5" s="479"/>
      <c r="F5" s="478"/>
      <c r="G5" s="478"/>
      <c r="H5" s="480"/>
      <c r="I5" s="480"/>
      <c r="J5" s="480"/>
      <c r="K5" s="480"/>
      <c r="L5" s="480"/>
      <c r="M5" s="1366"/>
      <c r="N5" s="1366"/>
      <c r="O5" s="1366"/>
      <c r="P5" s="1366"/>
      <c r="Q5" s="1366"/>
      <c r="R5" s="1366"/>
      <c r="S5" s="1366"/>
      <c r="T5" s="1366"/>
      <c r="U5" s="1366"/>
      <c r="V5" s="1366"/>
      <c r="W5" s="1366"/>
      <c r="X5" s="1366"/>
      <c r="Y5" s="1366"/>
      <c r="Z5" s="1366"/>
      <c r="AA5" s="481"/>
      <c r="AB5" s="1368"/>
      <c r="AC5" s="1368"/>
      <c r="AD5" s="1368"/>
      <c r="AE5" s="1368"/>
      <c r="AF5" s="1368"/>
      <c r="AG5" s="1368"/>
      <c r="AH5" s="1368"/>
      <c r="AI5" s="1368"/>
      <c r="AJ5" s="1368"/>
      <c r="AK5" s="1368"/>
      <c r="AL5" s="1368"/>
      <c r="AM5" s="1368"/>
    </row>
    <row r="6" spans="1:46" ht="9" customHeight="1">
      <c r="A6" s="1374" t="s">
        <v>832</v>
      </c>
      <c r="B6" s="1374"/>
      <c r="C6" s="1374"/>
      <c r="D6" s="1374"/>
      <c r="E6" s="1374"/>
      <c r="F6" s="1374"/>
      <c r="G6" s="1374"/>
      <c r="H6" s="1374"/>
      <c r="I6" s="1374"/>
      <c r="J6" s="1374"/>
      <c r="K6" s="1374"/>
      <c r="L6" s="1374"/>
      <c r="M6" s="1374"/>
      <c r="N6" s="1374"/>
      <c r="O6" s="1374"/>
      <c r="P6" s="1374"/>
      <c r="Q6" s="1374"/>
      <c r="R6" s="1374"/>
      <c r="S6" s="1374"/>
      <c r="T6" s="1374"/>
      <c r="U6" s="1374"/>
      <c r="V6" s="1374"/>
      <c r="W6" s="1374"/>
      <c r="X6" s="1374"/>
      <c r="Y6" s="1374"/>
      <c r="Z6" s="1374"/>
      <c r="AA6" s="1374"/>
      <c r="AB6" s="1374"/>
      <c r="AC6" s="1374"/>
      <c r="AD6" s="1374"/>
      <c r="AE6" s="1374"/>
      <c r="AF6" s="1374"/>
      <c r="AG6" s="1374"/>
      <c r="AH6" s="1374"/>
      <c r="AI6" s="1374"/>
      <c r="AJ6" s="1374"/>
      <c r="AK6" s="1374"/>
      <c r="AL6" s="1374"/>
      <c r="AM6" s="1374"/>
    </row>
    <row r="7" spans="1:46" ht="20.25" customHeight="1">
      <c r="A7" s="1362"/>
      <c r="B7" s="1362"/>
      <c r="C7" s="1362"/>
      <c r="D7" s="1362"/>
      <c r="E7" s="1362"/>
      <c r="F7" s="1362"/>
      <c r="G7" s="1362"/>
      <c r="H7" s="1362"/>
      <c r="I7" s="1362"/>
      <c r="J7" s="1362"/>
      <c r="K7" s="1362"/>
      <c r="L7" s="1362"/>
      <c r="M7" s="1362"/>
      <c r="N7" s="1362"/>
      <c r="O7" s="1362"/>
      <c r="P7" s="1362"/>
      <c r="Q7" s="1362"/>
      <c r="R7" s="1362"/>
      <c r="S7" s="1362"/>
      <c r="T7" s="1362"/>
      <c r="U7" s="1362"/>
      <c r="V7" s="1362"/>
      <c r="W7" s="1362"/>
      <c r="X7" s="1362"/>
      <c r="Y7" s="1362"/>
      <c r="Z7" s="1362"/>
      <c r="AA7" s="1362"/>
      <c r="AB7" s="1362"/>
      <c r="AC7" s="1362"/>
      <c r="AD7" s="1362"/>
      <c r="AE7" s="1362"/>
      <c r="AF7" s="1362"/>
      <c r="AG7" s="1362"/>
      <c r="AH7" s="1362"/>
      <c r="AI7" s="1362"/>
      <c r="AJ7" s="1362"/>
      <c r="AK7" s="1362"/>
      <c r="AL7" s="1362"/>
      <c r="AM7" s="1362"/>
    </row>
    <row r="8" spans="1:46" ht="20.25" customHeight="1">
      <c r="A8" s="1375" t="str">
        <f>"D‡`¨v³v/cÖwZôv‡bi bvg I e¨emvwqK wVKvbv t  "&amp;'Data Input'!D8&amp;",  ‡cÖvcvBUi t "&amp;'Data Input'!D12</f>
        <v>D‡`¨v³v/cÖwZôv‡bi bvg I e¨emvwqK wVKvbv t  ‡gmvm© mvbd¬vIqvi †UBjvm© GÛ †dweªK&amp;ª,  ‡cÖvcvBUi t ‡gvt Rwb</v>
      </c>
      <c r="B8" s="1375"/>
      <c r="C8" s="1375"/>
      <c r="D8" s="1375"/>
      <c r="E8" s="1375"/>
      <c r="F8" s="1375"/>
      <c r="G8" s="1375"/>
      <c r="H8" s="1375"/>
      <c r="I8" s="1375"/>
      <c r="J8" s="1375"/>
      <c r="K8" s="1375"/>
      <c r="L8" s="1375"/>
      <c r="M8" s="1375"/>
      <c r="N8" s="1375"/>
      <c r="O8" s="1375"/>
      <c r="P8" s="1375"/>
      <c r="Q8" s="1375"/>
      <c r="R8" s="1375"/>
      <c r="S8" s="1375"/>
      <c r="T8" s="1375"/>
      <c r="U8" s="1375"/>
      <c r="V8" s="1375"/>
      <c r="W8" s="1375"/>
      <c r="X8" s="1375"/>
      <c r="Y8" s="1375"/>
      <c r="Z8" s="1375"/>
      <c r="AA8" s="1375"/>
      <c r="AB8" s="1375"/>
      <c r="AC8" s="1375"/>
      <c r="AD8" s="1375"/>
      <c r="AE8" s="1375"/>
      <c r="AF8" s="1375"/>
      <c r="AG8" s="1375"/>
      <c r="AH8" s="1375"/>
      <c r="AI8" s="1375"/>
      <c r="AJ8" s="1375"/>
      <c r="AK8" s="1375"/>
      <c r="AL8" s="1375"/>
      <c r="AM8" s="1375"/>
      <c r="AO8" s="482"/>
    </row>
    <row r="9" spans="1:46" s="485" customFormat="1" ht="18.75" customHeight="1">
      <c r="A9" s="1376" t="s">
        <v>170</v>
      </c>
      <c r="B9" s="1379" t="s">
        <v>834</v>
      </c>
      <c r="C9" s="1380"/>
      <c r="D9" s="1380"/>
      <c r="E9" s="1380"/>
      <c r="F9" s="1380"/>
      <c r="G9" s="1380"/>
      <c r="H9" s="1380"/>
      <c r="I9" s="1380"/>
      <c r="J9" s="1380"/>
      <c r="K9" s="1380"/>
      <c r="L9" s="1380"/>
      <c r="M9" s="1382" t="str">
        <f>+'Data Input'!B12</f>
        <v>‡cÖvcvBUi</v>
      </c>
      <c r="N9" s="1382"/>
      <c r="O9" s="1382"/>
      <c r="P9" s="1382"/>
      <c r="Q9" s="694"/>
      <c r="R9" s="483" t="s">
        <v>1</v>
      </c>
      <c r="S9" s="1384" t="str">
        <f>'Data Input'!D12</f>
        <v>‡gvt Rwb</v>
      </c>
      <c r="T9" s="1384"/>
      <c r="U9" s="1384"/>
      <c r="V9" s="1384"/>
      <c r="W9" s="1384"/>
      <c r="X9" s="1384"/>
      <c r="Y9" s="1384"/>
      <c r="Z9" s="1384"/>
      <c r="AA9" s="1384"/>
      <c r="AB9" s="1384"/>
      <c r="AC9" s="1384"/>
      <c r="AD9" s="1384"/>
      <c r="AE9" s="1384"/>
      <c r="AF9" s="1384"/>
      <c r="AG9" s="1384"/>
      <c r="AH9" s="1384"/>
      <c r="AI9" s="1384"/>
      <c r="AJ9" s="1384"/>
      <c r="AK9" s="1384"/>
      <c r="AL9" s="1384"/>
      <c r="AM9" s="1385"/>
      <c r="AN9" s="463"/>
      <c r="AO9" s="484"/>
      <c r="AP9" s="484"/>
      <c r="AQ9" s="484"/>
      <c r="AR9" s="484"/>
      <c r="AS9" s="484"/>
      <c r="AT9" s="484"/>
    </row>
    <row r="10" spans="1:46" s="485" customFormat="1" ht="18.75" customHeight="1">
      <c r="A10" s="1369"/>
      <c r="B10" s="1381"/>
      <c r="C10" s="1371"/>
      <c r="D10" s="1371"/>
      <c r="E10" s="1371"/>
      <c r="F10" s="1371"/>
      <c r="G10" s="1371"/>
      <c r="H10" s="1371"/>
      <c r="I10" s="1371"/>
      <c r="J10" s="1371"/>
      <c r="K10" s="1371"/>
      <c r="L10" s="1371"/>
      <c r="M10" s="1383" t="str">
        <f>+'Data Input'!B13</f>
        <v>wcZv/¯^vgxi bvg</v>
      </c>
      <c r="N10" s="1383"/>
      <c r="O10" s="1383"/>
      <c r="P10" s="1383"/>
      <c r="R10" s="510" t="s">
        <v>1</v>
      </c>
      <c r="S10" s="1386" t="str">
        <f>'Data Input'!D13</f>
        <v>g„Z †gvt Bw`ªm Avjx</v>
      </c>
      <c r="T10" s="1386"/>
      <c r="U10" s="1386"/>
      <c r="V10" s="1386"/>
      <c r="W10" s="1386"/>
      <c r="X10" s="1386"/>
      <c r="Y10" s="1386"/>
      <c r="Z10" s="1386"/>
      <c r="AA10" s="1386"/>
      <c r="AB10" s="1386"/>
      <c r="AC10" s="1386"/>
      <c r="AD10" s="1386"/>
      <c r="AE10" s="1386"/>
      <c r="AF10" s="1386"/>
      <c r="AG10" s="1386"/>
      <c r="AH10" s="1386"/>
      <c r="AI10" s="1386"/>
      <c r="AJ10" s="1386"/>
      <c r="AK10" s="1386"/>
      <c r="AL10" s="1386"/>
      <c r="AM10" s="1387"/>
      <c r="AN10" s="463"/>
      <c r="AO10" s="484"/>
      <c r="AP10" s="484"/>
      <c r="AQ10" s="484"/>
      <c r="AR10" s="484"/>
      <c r="AS10" s="484"/>
      <c r="AT10" s="484"/>
    </row>
    <row r="11" spans="1:46" s="485" customFormat="1" ht="18.75" customHeight="1">
      <c r="A11" s="1369"/>
      <c r="B11" s="1381"/>
      <c r="C11" s="1371"/>
      <c r="D11" s="1371"/>
      <c r="E11" s="1371"/>
      <c r="F11" s="1371"/>
      <c r="G11" s="1371"/>
      <c r="H11" s="1371"/>
      <c r="I11" s="1371"/>
      <c r="J11" s="1371"/>
      <c r="K11" s="1371"/>
      <c r="L11" s="1371"/>
      <c r="M11" s="1383" t="str">
        <f>+'Data Input'!B14</f>
        <v>gvZvi bvg</v>
      </c>
      <c r="N11" s="1383"/>
      <c r="O11" s="1383"/>
      <c r="P11" s="1383"/>
      <c r="R11" s="510" t="s">
        <v>1</v>
      </c>
      <c r="S11" s="1386" t="str">
        <f>'Data Input'!D14</f>
        <v>gvmvt Avgexqv LvZzb</v>
      </c>
      <c r="T11" s="1386"/>
      <c r="U11" s="1386"/>
      <c r="V11" s="1386"/>
      <c r="W11" s="1386"/>
      <c r="X11" s="1386"/>
      <c r="Y11" s="1386"/>
      <c r="Z11" s="1386"/>
      <c r="AA11" s="1386"/>
      <c r="AB11" s="1386"/>
      <c r="AC11" s="1386"/>
      <c r="AD11" s="1386"/>
      <c r="AE11" s="1386"/>
      <c r="AF11" s="1386"/>
      <c r="AG11" s="1386"/>
      <c r="AH11" s="1386"/>
      <c r="AI11" s="1386"/>
      <c r="AJ11" s="1386"/>
      <c r="AK11" s="1386"/>
      <c r="AL11" s="1386"/>
      <c r="AM11" s="1387"/>
      <c r="AN11" s="463"/>
      <c r="AO11" s="484"/>
      <c r="AP11" s="484"/>
      <c r="AQ11" s="484"/>
      <c r="AR11" s="484"/>
      <c r="AS11" s="484"/>
      <c r="AT11" s="484"/>
    </row>
    <row r="12" spans="1:46" ht="34.5" customHeight="1">
      <c r="A12" s="1377"/>
      <c r="B12" s="1369"/>
      <c r="C12" s="1371"/>
      <c r="D12" s="1371"/>
      <c r="E12" s="1371"/>
      <c r="F12" s="1371"/>
      <c r="G12" s="1371"/>
      <c r="H12" s="1371"/>
      <c r="M12" s="487" t="s">
        <v>103</v>
      </c>
      <c r="N12" s="1371" t="s">
        <v>835</v>
      </c>
      <c r="O12" s="1371"/>
      <c r="P12" s="1371"/>
      <c r="R12" s="510" t="s">
        <v>1</v>
      </c>
      <c r="S12" s="1388" t="str">
        <f>+'Data Input'!D17</f>
        <v>`vcv B`ªvKcyi, dZzjøv, bvivqYMÄ</v>
      </c>
      <c r="T12" s="1388"/>
      <c r="U12" s="1388"/>
      <c r="V12" s="1388"/>
      <c r="W12" s="1388"/>
      <c r="X12" s="1388"/>
      <c r="Y12" s="1388"/>
      <c r="Z12" s="1388"/>
      <c r="AA12" s="1388"/>
      <c r="AB12" s="1388"/>
      <c r="AC12" s="1388"/>
      <c r="AD12" s="1388"/>
      <c r="AE12" s="1388"/>
      <c r="AF12" s="1388"/>
      <c r="AG12" s="1388"/>
      <c r="AH12" s="1388"/>
      <c r="AI12" s="1388"/>
      <c r="AJ12" s="1388"/>
      <c r="AK12" s="1388"/>
      <c r="AL12" s="1388"/>
      <c r="AM12" s="1389"/>
    </row>
    <row r="13" spans="1:46" ht="34.5" customHeight="1">
      <c r="A13" s="1378"/>
      <c r="B13" s="1370"/>
      <c r="C13" s="1372"/>
      <c r="D13" s="1372"/>
      <c r="E13" s="1372"/>
      <c r="F13" s="1372"/>
      <c r="G13" s="1372"/>
      <c r="H13" s="1372"/>
      <c r="I13" s="488"/>
      <c r="J13" s="488"/>
      <c r="K13" s="488"/>
      <c r="L13" s="488"/>
      <c r="M13" s="489" t="s">
        <v>116</v>
      </c>
      <c r="N13" s="1373" t="s">
        <v>836</v>
      </c>
      <c r="O13" s="1373"/>
      <c r="P13" s="1373"/>
      <c r="Q13" s="488"/>
      <c r="R13" s="490" t="s">
        <v>1</v>
      </c>
      <c r="S13" s="1390" t="str">
        <f>+'Data Input'!D27</f>
        <v>`vcv B`ªvKcyi, dZzjøv, bvivqYMÄ</v>
      </c>
      <c r="T13" s="1390"/>
      <c r="U13" s="1390"/>
      <c r="V13" s="1390"/>
      <c r="W13" s="1390"/>
      <c r="X13" s="1390"/>
      <c r="Y13" s="1390"/>
      <c r="Z13" s="1390"/>
      <c r="AA13" s="1390"/>
      <c r="AB13" s="1390"/>
      <c r="AC13" s="1390"/>
      <c r="AD13" s="1390"/>
      <c r="AE13" s="1390"/>
      <c r="AF13" s="1390"/>
      <c r="AG13" s="1390"/>
      <c r="AH13" s="1390"/>
      <c r="AI13" s="1390"/>
      <c r="AJ13" s="1390"/>
      <c r="AK13" s="1390"/>
      <c r="AL13" s="1390"/>
      <c r="AM13" s="1391"/>
    </row>
    <row r="14" spans="1:46" ht="36" customHeight="1">
      <c r="A14" s="491" t="s">
        <v>171</v>
      </c>
      <c r="B14" s="1415" t="s">
        <v>273</v>
      </c>
      <c r="C14" s="1416"/>
      <c r="D14" s="1416"/>
      <c r="E14" s="1416"/>
      <c r="F14" s="1416"/>
      <c r="G14" s="1416"/>
      <c r="H14" s="1416"/>
      <c r="I14" s="1416"/>
      <c r="J14" s="1416"/>
      <c r="K14" s="1416"/>
      <c r="L14" s="1416"/>
      <c r="M14" s="1416"/>
      <c r="N14" s="1416"/>
      <c r="O14" s="1416"/>
      <c r="P14" s="1416"/>
      <c r="Q14" s="1417"/>
      <c r="R14" s="492" t="s">
        <v>1</v>
      </c>
      <c r="S14" s="1418" t="s">
        <v>172</v>
      </c>
      <c r="T14" s="1419"/>
      <c r="U14" s="1419"/>
      <c r="V14" s="1419"/>
      <c r="W14" s="1419"/>
      <c r="X14" s="1419"/>
      <c r="Y14" s="1419"/>
      <c r="Z14" s="1419"/>
      <c r="AA14" s="1419"/>
      <c r="AB14" s="1419"/>
      <c r="AC14" s="1419"/>
      <c r="AD14" s="1419"/>
      <c r="AE14" s="1419"/>
      <c r="AF14" s="1419"/>
      <c r="AG14" s="1419"/>
      <c r="AH14" s="1419"/>
      <c r="AI14" s="1419"/>
      <c r="AJ14" s="1419"/>
      <c r="AK14" s="1419"/>
      <c r="AL14" s="1419"/>
      <c r="AM14" s="1420"/>
    </row>
    <row r="15" spans="1:46" ht="126" customHeight="1">
      <c r="A15" s="491" t="s">
        <v>2</v>
      </c>
      <c r="B15" s="1421" t="s">
        <v>837</v>
      </c>
      <c r="C15" s="1422"/>
      <c r="D15" s="1422"/>
      <c r="E15" s="1422"/>
      <c r="F15" s="1422"/>
      <c r="G15" s="1422"/>
      <c r="H15" s="1422"/>
      <c r="I15" s="1422"/>
      <c r="J15" s="1422"/>
      <c r="K15" s="1422"/>
      <c r="L15" s="1422"/>
      <c r="M15" s="1422"/>
      <c r="N15" s="1422"/>
      <c r="O15" s="1422"/>
      <c r="P15" s="1422"/>
      <c r="Q15" s="1422"/>
      <c r="R15" s="685" t="s">
        <v>1</v>
      </c>
      <c r="S15" s="1423" t="s">
        <v>1165</v>
      </c>
      <c r="T15" s="1424"/>
      <c r="U15" s="1424"/>
      <c r="V15" s="1424"/>
      <c r="W15" s="1424"/>
      <c r="X15" s="1424"/>
      <c r="Y15" s="1424"/>
      <c r="Z15" s="1424"/>
      <c r="AA15" s="1424"/>
      <c r="AB15" s="1424"/>
      <c r="AC15" s="1424"/>
      <c r="AD15" s="1424"/>
      <c r="AE15" s="1424"/>
      <c r="AF15" s="1424"/>
      <c r="AG15" s="1424"/>
      <c r="AH15" s="1424"/>
      <c r="AI15" s="1424"/>
      <c r="AJ15" s="1424"/>
      <c r="AK15" s="1424"/>
      <c r="AL15" s="1424"/>
      <c r="AM15" s="1425"/>
    </row>
    <row r="16" spans="1:46" ht="37.5" customHeight="1">
      <c r="A16" s="1376" t="s">
        <v>91</v>
      </c>
      <c r="B16" s="1392" t="s">
        <v>173</v>
      </c>
      <c r="C16" s="1393"/>
      <c r="D16" s="1393"/>
      <c r="E16" s="1393"/>
      <c r="F16" s="1393"/>
      <c r="G16" s="1393"/>
      <c r="H16" s="1393"/>
      <c r="I16" s="1393"/>
      <c r="J16" s="1393"/>
      <c r="K16" s="1393"/>
      <c r="L16" s="1393"/>
      <c r="M16" s="1393"/>
      <c r="N16" s="1393"/>
      <c r="O16" s="1393"/>
      <c r="P16" s="1393"/>
      <c r="Q16" s="1393"/>
      <c r="R16" s="1393"/>
      <c r="S16" s="1393"/>
      <c r="T16" s="1393"/>
      <c r="U16" s="1393"/>
      <c r="V16" s="1393"/>
      <c r="W16" s="1393"/>
      <c r="X16" s="1393"/>
      <c r="Y16" s="1393"/>
      <c r="Z16" s="1393"/>
      <c r="AA16" s="1393"/>
      <c r="AB16" s="1393"/>
      <c r="AC16" s="1393"/>
      <c r="AD16" s="1393"/>
      <c r="AE16" s="1393"/>
      <c r="AF16" s="1393"/>
      <c r="AG16" s="1393"/>
      <c r="AH16" s="1393"/>
      <c r="AI16" s="1393"/>
      <c r="AJ16" s="1393"/>
      <c r="AK16" s="1393"/>
      <c r="AL16" s="1393"/>
      <c r="AM16" s="1394"/>
    </row>
    <row r="17" spans="1:57" s="495" customFormat="1" ht="20.25" customHeight="1">
      <c r="A17" s="1369"/>
      <c r="B17" s="1395" t="s">
        <v>174</v>
      </c>
      <c r="C17" s="1395"/>
      <c r="D17" s="1395"/>
      <c r="E17" s="1395" t="s">
        <v>729</v>
      </c>
      <c r="F17" s="1395"/>
      <c r="G17" s="1395"/>
      <c r="H17" s="1395" t="s">
        <v>176</v>
      </c>
      <c r="I17" s="1395"/>
      <c r="J17" s="1395"/>
      <c r="K17" s="1396" t="s">
        <v>177</v>
      </c>
      <c r="L17" s="1397"/>
      <c r="M17" s="1397"/>
      <c r="N17" s="1397"/>
      <c r="O17" s="1397"/>
      <c r="P17" s="1398"/>
      <c r="Q17" s="1396" t="s">
        <v>178</v>
      </c>
      <c r="R17" s="1397"/>
      <c r="S17" s="1397"/>
      <c r="T17" s="1397"/>
      <c r="U17" s="1398"/>
      <c r="V17" s="1396" t="s">
        <v>179</v>
      </c>
      <c r="W17" s="1397"/>
      <c r="X17" s="1397"/>
      <c r="Y17" s="1397"/>
      <c r="Z17" s="1398"/>
      <c r="AA17" s="1396" t="s">
        <v>838</v>
      </c>
      <c r="AB17" s="1397"/>
      <c r="AC17" s="1397"/>
      <c r="AD17" s="1397"/>
      <c r="AE17" s="1397"/>
      <c r="AF17" s="1398"/>
      <c r="AG17" s="1399" t="s">
        <v>180</v>
      </c>
      <c r="AH17" s="1400"/>
      <c r="AI17" s="1400"/>
      <c r="AJ17" s="1400"/>
      <c r="AK17" s="1400"/>
      <c r="AL17" s="1400"/>
      <c r="AM17" s="1401"/>
      <c r="AN17" s="493"/>
      <c r="AO17" s="494"/>
      <c r="AP17" s="494"/>
      <c r="AQ17" s="494"/>
      <c r="AR17" s="494"/>
      <c r="AS17" s="494"/>
      <c r="AT17" s="494"/>
    </row>
    <row r="18" spans="1:57" s="500" customFormat="1" ht="32.25" customHeight="1">
      <c r="A18" s="1369"/>
      <c r="B18" s="1402" t="str">
        <f>+'Data Input'!D23</f>
        <v>bvivqYMÄ</v>
      </c>
      <c r="C18" s="1402"/>
      <c r="D18" s="1402"/>
      <c r="E18" s="1402" t="str">
        <f>'Data Input'!K2</f>
        <v>wmw×iMÄ</v>
      </c>
      <c r="F18" s="1402"/>
      <c r="G18" s="1402"/>
      <c r="H18" s="1403" t="str">
        <f>+'LF-5'!E17</f>
        <v/>
      </c>
      <c r="I18" s="1403"/>
      <c r="J18" s="1403"/>
      <c r="K18" s="1404" t="str">
        <f>+AO18</f>
        <v/>
      </c>
      <c r="L18" s="1404"/>
      <c r="M18" s="1404"/>
      <c r="N18" s="1404"/>
      <c r="O18" s="1404"/>
      <c r="P18" s="1404"/>
      <c r="Q18" s="1404" t="str">
        <f>AP18</f>
        <v/>
      </c>
      <c r="R18" s="1404"/>
      <c r="S18" s="1404"/>
      <c r="T18" s="1404"/>
      <c r="U18" s="1404"/>
      <c r="V18" s="1405">
        <f>AS18</f>
        <v>0</v>
      </c>
      <c r="W18" s="1405"/>
      <c r="X18" s="1405"/>
      <c r="Y18" s="1405"/>
      <c r="Z18" s="1405"/>
      <c r="AA18" s="1406"/>
      <c r="AB18" s="1406"/>
      <c r="AC18" s="1406"/>
      <c r="AD18" s="1406"/>
      <c r="AE18" s="1406"/>
      <c r="AF18" s="1406"/>
      <c r="AG18" s="1426" t="s">
        <v>956</v>
      </c>
      <c r="AH18" s="1427"/>
      <c r="AI18" s="1427"/>
      <c r="AJ18" s="1427"/>
      <c r="AK18" s="1427"/>
      <c r="AL18" s="1427"/>
      <c r="AM18" s="1428"/>
      <c r="AN18" s="493"/>
      <c r="AO18" s="496" t="str">
        <f>+'LF-5'!I17</f>
        <v/>
      </c>
      <c r="AP18" s="584" t="str">
        <f>+'LF-5'!N17</f>
        <v/>
      </c>
      <c r="AQ18" s="496" t="str">
        <f>+'LF-5'!R17</f>
        <v/>
      </c>
      <c r="AR18" s="496"/>
      <c r="AS18" s="497">
        <f>+'LF-5'!S17</f>
        <v>0</v>
      </c>
      <c r="AT18" s="498"/>
      <c r="AU18" s="499"/>
      <c r="AV18" s="499"/>
      <c r="AW18" s="499"/>
      <c r="AX18" s="499"/>
      <c r="AY18" s="499"/>
      <c r="AZ18" s="499"/>
      <c r="BA18" s="499"/>
      <c r="BB18" s="499"/>
      <c r="BC18" s="499"/>
      <c r="BD18" s="499"/>
      <c r="BE18" s="499"/>
    </row>
    <row r="19" spans="1:57" s="495" customFormat="1" ht="26.25" customHeight="1">
      <c r="A19" s="1369"/>
      <c r="B19" s="1402"/>
      <c r="C19" s="1402"/>
      <c r="D19" s="1402"/>
      <c r="E19" s="1402" t="str">
        <f>'Data Input'!K2</f>
        <v>wmw×iMÄ</v>
      </c>
      <c r="F19" s="1402"/>
      <c r="G19" s="1402"/>
      <c r="H19" s="1403" t="str">
        <f>+'LF-5'!E20</f>
        <v/>
      </c>
      <c r="I19" s="1403"/>
      <c r="J19" s="1403"/>
      <c r="K19" s="1404" t="str">
        <f>+AO19</f>
        <v/>
      </c>
      <c r="L19" s="1404"/>
      <c r="M19" s="1404"/>
      <c r="N19" s="1404"/>
      <c r="O19" s="1404"/>
      <c r="P19" s="1404"/>
      <c r="Q19" s="1404" t="str">
        <f>AP19</f>
        <v/>
      </c>
      <c r="R19" s="1404"/>
      <c r="S19" s="1404"/>
      <c r="T19" s="1404"/>
      <c r="U19" s="1404"/>
      <c r="V19" s="1405">
        <f>AS19</f>
        <v>0</v>
      </c>
      <c r="W19" s="1405"/>
      <c r="X19" s="1405"/>
      <c r="Y19" s="1405"/>
      <c r="Z19" s="1405"/>
      <c r="AA19" s="1406"/>
      <c r="AB19" s="1406"/>
      <c r="AC19" s="1406"/>
      <c r="AD19" s="1406"/>
      <c r="AE19" s="1406"/>
      <c r="AF19" s="1406"/>
      <c r="AG19" s="1429"/>
      <c r="AH19" s="1430"/>
      <c r="AI19" s="1430"/>
      <c r="AJ19" s="1430"/>
      <c r="AK19" s="1430"/>
      <c r="AL19" s="1430"/>
      <c r="AM19" s="1431"/>
      <c r="AN19" s="493"/>
      <c r="AO19" s="496" t="str">
        <f>+'LF-5'!I20</f>
        <v/>
      </c>
      <c r="AP19" s="584" t="str">
        <f>+'LF-5'!N20</f>
        <v/>
      </c>
      <c r="AQ19" s="496" t="str">
        <f>+'LF-5'!R20</f>
        <v/>
      </c>
      <c r="AR19" s="496"/>
      <c r="AS19" s="497">
        <f>+'LF-5'!S20</f>
        <v>0</v>
      </c>
      <c r="AT19" s="494"/>
    </row>
    <row r="20" spans="1:57" ht="15" customHeight="1">
      <c r="A20" s="1370"/>
      <c r="B20" s="1392" t="s">
        <v>260</v>
      </c>
      <c r="C20" s="1393"/>
      <c r="D20" s="1393"/>
      <c r="E20" s="1393"/>
      <c r="F20" s="1393"/>
      <c r="G20" s="1393"/>
      <c r="H20" s="1393"/>
      <c r="I20" s="1393"/>
      <c r="J20" s="1393"/>
      <c r="K20" s="1393"/>
      <c r="L20" s="1393"/>
      <c r="M20" s="1393"/>
      <c r="N20" s="1393"/>
      <c r="O20" s="1393"/>
      <c r="P20" s="1393"/>
      <c r="Q20" s="625" t="s">
        <v>1</v>
      </c>
      <c r="R20" s="1407">
        <f>SUM(AS18:AS19)</f>
        <v>0</v>
      </c>
      <c r="S20" s="1407"/>
      <c r="T20" s="1407"/>
      <c r="U20" s="1407"/>
      <c r="V20" s="1407"/>
      <c r="W20" s="1407"/>
      <c r="X20" s="1407"/>
      <c r="Y20" s="1407"/>
      <c r="Z20" s="1407"/>
      <c r="AA20" s="1432" t="s">
        <v>259</v>
      </c>
      <c r="AB20" s="1432"/>
      <c r="AC20" s="1432"/>
      <c r="AD20" s="1432"/>
      <c r="AE20" s="684"/>
      <c r="AF20" s="684"/>
      <c r="AK20" s="683"/>
      <c r="AL20" s="683"/>
      <c r="AM20" s="682"/>
      <c r="AO20" s="501" t="str">
        <f>+'[2]LF-5'!I29</f>
        <v/>
      </c>
      <c r="AP20" s="502" t="str">
        <f>+'[2]LF-5'!N29</f>
        <v/>
      </c>
      <c r="AQ20" s="501" t="str">
        <f>+'[2]LF-5'!Q29</f>
        <v/>
      </c>
      <c r="AR20" s="501"/>
      <c r="AS20" s="501" t="str">
        <f>+'[2]LF-5'!T29</f>
        <v/>
      </c>
    </row>
    <row r="21" spans="1:57" ht="17.25" customHeight="1">
      <c r="A21" s="1435" t="s">
        <v>102</v>
      </c>
      <c r="B21" s="1438" t="s">
        <v>261</v>
      </c>
      <c r="C21" s="1439"/>
      <c r="D21" s="1439"/>
      <c r="E21" s="1439"/>
      <c r="F21" s="1439"/>
      <c r="G21" s="1439"/>
      <c r="H21" s="1439"/>
      <c r="I21" s="1439"/>
      <c r="J21" s="1439"/>
      <c r="K21" s="1439"/>
      <c r="L21" s="1439"/>
      <c r="M21" s="1439"/>
      <c r="N21" s="1439"/>
      <c r="O21" s="1439"/>
      <c r="P21" s="1439"/>
      <c r="Q21" s="1438" t="s">
        <v>638</v>
      </c>
      <c r="R21" s="1439"/>
      <c r="S21" s="1439"/>
      <c r="T21" s="1439"/>
      <c r="U21" s="1439"/>
      <c r="V21" s="1439"/>
      <c r="W21" s="1439"/>
      <c r="X21" s="1439"/>
      <c r="Y21" s="1439"/>
      <c r="Z21" s="1439"/>
      <c r="AA21" s="1439"/>
      <c r="AB21" s="1439"/>
      <c r="AC21" s="1439"/>
      <c r="AD21" s="1439"/>
      <c r="AE21" s="1439"/>
      <c r="AF21" s="1439"/>
      <c r="AG21" s="1439"/>
      <c r="AH21" s="1439"/>
      <c r="AI21" s="1439"/>
      <c r="AJ21" s="1439"/>
      <c r="AK21" s="1439"/>
      <c r="AL21" s="1439"/>
      <c r="AM21" s="1440"/>
      <c r="AO21" s="501" t="str">
        <f>+'[2]LF-5'!I30</f>
        <v/>
      </c>
      <c r="AP21" s="502" t="str">
        <f>+'[2]LF-5'!N30</f>
        <v/>
      </c>
      <c r="AQ21" s="501" t="str">
        <f>+'[2]LF-5'!Q30</f>
        <v/>
      </c>
      <c r="AR21" s="501"/>
      <c r="AS21" s="501" t="str">
        <f>+'[2]LF-5'!T30</f>
        <v/>
      </c>
    </row>
    <row r="22" spans="1:57" s="503" customFormat="1" ht="14.25" customHeight="1">
      <c r="A22" s="1436"/>
      <c r="B22" s="1441"/>
      <c r="C22" s="1442"/>
      <c r="D22" s="1442"/>
      <c r="E22" s="1442"/>
      <c r="F22" s="1442"/>
      <c r="G22" s="1442"/>
      <c r="H22" s="1442"/>
      <c r="I22" s="1442"/>
      <c r="J22" s="1442"/>
      <c r="K22" s="1442"/>
      <c r="L22" s="1442"/>
      <c r="M22" s="1442"/>
      <c r="N22" s="1442"/>
      <c r="O22" s="1442"/>
      <c r="P22" s="1442"/>
      <c r="Q22" s="1443" t="s">
        <v>961</v>
      </c>
      <c r="R22" s="1444"/>
      <c r="S22" s="1444"/>
      <c r="T22" s="1444"/>
      <c r="U22" s="1444"/>
      <c r="V22" s="1452" t="str">
        <f>'Data Input'!K51</f>
        <v>Kwei</v>
      </c>
      <c r="W22" s="1452"/>
      <c r="X22" s="1452"/>
      <c r="Y22" s="1452"/>
      <c r="Z22" s="1452"/>
      <c r="AA22" s="1452"/>
      <c r="AB22" s="1452"/>
      <c r="AC22" s="1452"/>
      <c r="AD22" s="1452"/>
      <c r="AE22" s="1452"/>
      <c r="AF22" s="1452"/>
      <c r="AG22" s="1452"/>
      <c r="AH22" s="1452"/>
      <c r="AI22" s="1452"/>
      <c r="AJ22" s="1452"/>
      <c r="AK22" s="1452"/>
      <c r="AL22" s="1452"/>
      <c r="AM22" s="1457"/>
      <c r="AN22" s="463"/>
      <c r="AO22" s="501" t="str">
        <f>+'[2]LF-5'!I31</f>
        <v/>
      </c>
      <c r="AP22" s="502" t="str">
        <f>+'[2]LF-5'!N31</f>
        <v/>
      </c>
      <c r="AQ22" s="501" t="str">
        <f>+'[2]LF-5'!Q31</f>
        <v/>
      </c>
      <c r="AR22" s="501"/>
      <c r="AS22" s="501" t="str">
        <f>+'[2]LF-5'!T31</f>
        <v/>
      </c>
      <c r="AT22" s="484"/>
    </row>
    <row r="23" spans="1:57" s="485" customFormat="1" ht="15.75" customHeight="1">
      <c r="A23" s="1436"/>
      <c r="B23" s="1441"/>
      <c r="C23" s="1442"/>
      <c r="D23" s="1442"/>
      <c r="E23" s="1442"/>
      <c r="F23" s="1442"/>
      <c r="G23" s="1442"/>
      <c r="H23" s="1445"/>
      <c r="I23" s="1445"/>
      <c r="J23" s="1445"/>
      <c r="K23" s="1446"/>
      <c r="L23" s="1446"/>
      <c r="M23" s="1446"/>
      <c r="N23" s="1447"/>
      <c r="O23" s="1448"/>
      <c r="P23" s="1448"/>
      <c r="Q23" s="1449" t="s">
        <v>962</v>
      </c>
      <c r="R23" s="1450"/>
      <c r="S23" s="1450"/>
      <c r="T23" s="1450"/>
      <c r="U23" s="1450"/>
      <c r="V23" s="1452" t="str">
        <f>'Data Input'!K52</f>
        <v>ev`kv wgqv I gwZb Ms</v>
      </c>
      <c r="W23" s="1452"/>
      <c r="X23" s="1452"/>
      <c r="Y23" s="1452"/>
      <c r="Z23" s="1452"/>
      <c r="AA23" s="1452"/>
      <c r="AB23" s="1452"/>
      <c r="AC23" s="1452"/>
      <c r="AD23" s="1452"/>
      <c r="AE23" s="1452"/>
      <c r="AF23" s="1452"/>
      <c r="AG23" s="1452"/>
      <c r="AH23" s="1452"/>
      <c r="AI23" s="1452"/>
      <c r="AJ23" s="1452"/>
      <c r="AK23" s="1452"/>
      <c r="AL23" s="1452"/>
      <c r="AM23" s="1457"/>
      <c r="AN23" s="463"/>
      <c r="AO23" s="501" t="str">
        <f>+'[2]LF-5'!I32</f>
        <v/>
      </c>
      <c r="AP23" s="502" t="str">
        <f>+'[2]LF-5'!N32</f>
        <v/>
      </c>
      <c r="AQ23" s="501" t="str">
        <f>+'[2]LF-5'!Q32</f>
        <v/>
      </c>
      <c r="AR23" s="501"/>
      <c r="AS23" s="501" t="str">
        <f>+'[2]LF-5'!T32</f>
        <v/>
      </c>
      <c r="AT23" s="484"/>
    </row>
    <row r="24" spans="1:57" s="485" customFormat="1" ht="14.25" customHeight="1">
      <c r="A24" s="1436"/>
      <c r="B24" s="1451"/>
      <c r="C24" s="1452"/>
      <c r="D24" s="1452"/>
      <c r="E24" s="1452"/>
      <c r="F24" s="1452"/>
      <c r="G24" s="1452"/>
      <c r="H24" s="1453" t="str">
        <f>+'[2]LF-5'!E21</f>
        <v/>
      </c>
      <c r="I24" s="1453"/>
      <c r="J24" s="1453"/>
      <c r="K24" s="1454" t="str">
        <f>+'[2]LF-5'!I21</f>
        <v/>
      </c>
      <c r="L24" s="1454"/>
      <c r="M24" s="1454"/>
      <c r="N24" s="1455" t="str">
        <f>+'[2]LF-5'!N21</f>
        <v/>
      </c>
      <c r="O24" s="1456"/>
      <c r="P24" s="1456"/>
      <c r="Q24" s="1449" t="s">
        <v>963</v>
      </c>
      <c r="R24" s="1450"/>
      <c r="S24" s="1450"/>
      <c r="T24" s="1450"/>
      <c r="U24" s="1450"/>
      <c r="V24" s="1452" t="str">
        <f>'Data Input'!K53</f>
        <v>gwZb Ms</v>
      </c>
      <c r="W24" s="1452"/>
      <c r="X24" s="1452"/>
      <c r="Y24" s="1452"/>
      <c r="Z24" s="1452"/>
      <c r="AA24" s="1452"/>
      <c r="AB24" s="1452"/>
      <c r="AC24" s="1452"/>
      <c r="AD24" s="1452"/>
      <c r="AE24" s="1452"/>
      <c r="AF24" s="1452"/>
      <c r="AG24" s="1452"/>
      <c r="AH24" s="1452"/>
      <c r="AI24" s="1452"/>
      <c r="AJ24" s="1452"/>
      <c r="AK24" s="1452"/>
      <c r="AL24" s="1452"/>
      <c r="AM24" s="1457"/>
      <c r="AN24" s="463"/>
      <c r="AO24" s="501" t="str">
        <f>+'[2]LF-5'!I33</f>
        <v/>
      </c>
      <c r="AP24" s="502" t="str">
        <f>+'[2]LF-5'!N33</f>
        <v/>
      </c>
      <c r="AQ24" s="501" t="str">
        <f>+'[2]LF-5'!Q33</f>
        <v/>
      </c>
      <c r="AR24" s="501"/>
      <c r="AS24" s="501" t="str">
        <f>+'[2]LF-5'!T33</f>
        <v/>
      </c>
      <c r="AT24" s="484"/>
    </row>
    <row r="25" spans="1:57" s="485" customFormat="1" ht="30.75" customHeight="1">
      <c r="A25" s="1437"/>
      <c r="B25" s="1410"/>
      <c r="C25" s="1408"/>
      <c r="D25" s="1408"/>
      <c r="E25" s="1408"/>
      <c r="F25" s="1408"/>
      <c r="G25" s="1408"/>
      <c r="H25" s="1411" t="str">
        <f>+'[2]LF-5'!E22</f>
        <v/>
      </c>
      <c r="I25" s="1411"/>
      <c r="J25" s="1411"/>
      <c r="K25" s="1412" t="str">
        <f>+'[2]LF-5'!I22</f>
        <v/>
      </c>
      <c r="L25" s="1412"/>
      <c r="M25" s="1412"/>
      <c r="N25" s="1413" t="str">
        <f>+'[2]LF-5'!N22</f>
        <v/>
      </c>
      <c r="O25" s="1414"/>
      <c r="P25" s="1414"/>
      <c r="Q25" s="1433" t="s">
        <v>964</v>
      </c>
      <c r="R25" s="1434"/>
      <c r="S25" s="1434"/>
      <c r="T25" s="1434"/>
      <c r="U25" s="1434"/>
      <c r="V25" s="1408" t="str">
        <f>'Data Input'!K54</f>
        <v>byiæbœvnvi</v>
      </c>
      <c r="W25" s="1408"/>
      <c r="X25" s="1408"/>
      <c r="Y25" s="1408"/>
      <c r="Z25" s="1408"/>
      <c r="AA25" s="1408"/>
      <c r="AB25" s="1408"/>
      <c r="AC25" s="1408"/>
      <c r="AD25" s="1408"/>
      <c r="AE25" s="1408"/>
      <c r="AF25" s="1408"/>
      <c r="AG25" s="1408"/>
      <c r="AH25" s="1408"/>
      <c r="AI25" s="1408"/>
      <c r="AJ25" s="1408"/>
      <c r="AK25" s="1408"/>
      <c r="AL25" s="1408"/>
      <c r="AM25" s="1409"/>
      <c r="AN25" s="463"/>
      <c r="AO25" s="501" t="str">
        <f>+'[2]LF-5'!I34</f>
        <v/>
      </c>
      <c r="AP25" s="502" t="str">
        <f>+'[2]LF-5'!N34</f>
        <v/>
      </c>
      <c r="AQ25" s="501" t="str">
        <f>+'[2]LF-5'!Q34</f>
        <v/>
      </c>
      <c r="AR25" s="501"/>
      <c r="AS25" s="501" t="str">
        <f>+'[2]LF-5'!T34</f>
        <v/>
      </c>
      <c r="AT25" s="484"/>
    </row>
    <row r="26" spans="1:57" ht="124.5" customHeight="1">
      <c r="A26" s="752" t="s">
        <v>181</v>
      </c>
      <c r="B26" s="1418" t="s">
        <v>839</v>
      </c>
      <c r="C26" s="1477"/>
      <c r="D26" s="1477"/>
      <c r="E26" s="1477"/>
      <c r="F26" s="1477"/>
      <c r="G26" s="1477"/>
      <c r="H26" s="1477"/>
      <c r="I26" s="1477"/>
      <c r="J26" s="1477"/>
      <c r="K26" s="1477"/>
      <c r="L26" s="1477"/>
      <c r="M26" s="1477"/>
      <c r="N26" s="1477"/>
      <c r="O26" s="1477"/>
      <c r="P26" s="1477"/>
      <c r="Q26" s="1477"/>
      <c r="R26" s="1477"/>
      <c r="S26" s="1477"/>
      <c r="T26" s="1477"/>
      <c r="U26" s="1477"/>
      <c r="V26" s="1477"/>
      <c r="W26" s="1477"/>
      <c r="X26" s="1477"/>
      <c r="Y26" s="1477"/>
      <c r="Z26" s="1477"/>
      <c r="AA26" s="1478"/>
      <c r="AB26" s="1479" t="s">
        <v>1160</v>
      </c>
      <c r="AC26" s="1480"/>
      <c r="AD26" s="1480"/>
      <c r="AE26" s="1480"/>
      <c r="AF26" s="1480"/>
      <c r="AG26" s="1480"/>
      <c r="AH26" s="1480"/>
      <c r="AI26" s="1480"/>
      <c r="AJ26" s="1480"/>
      <c r="AK26" s="1480"/>
      <c r="AL26" s="1480"/>
      <c r="AM26" s="1481"/>
      <c r="AO26" s="501" t="str">
        <f>+'[2]LF-5'!I39</f>
        <v/>
      </c>
      <c r="AP26" s="502" t="str">
        <f>+'[2]LF-5'!N39</f>
        <v/>
      </c>
      <c r="AQ26" s="501" t="str">
        <f>+'[2]LF-5'!Q39</f>
        <v/>
      </c>
      <c r="AR26" s="501"/>
      <c r="AS26" s="501" t="str">
        <f>+'[2]LF-5'!T39</f>
        <v/>
      </c>
    </row>
    <row r="27" spans="1:57" ht="33" customHeight="1">
      <c r="A27" s="756"/>
      <c r="B27" s="753"/>
      <c r="C27" s="757"/>
      <c r="D27" s="757"/>
      <c r="E27" s="757"/>
      <c r="F27" s="757"/>
      <c r="G27" s="757"/>
      <c r="H27" s="757"/>
      <c r="I27" s="757"/>
      <c r="J27" s="757"/>
      <c r="K27" s="757"/>
      <c r="L27" s="757"/>
      <c r="M27" s="757"/>
      <c r="N27" s="757"/>
      <c r="O27" s="757"/>
      <c r="P27" s="757"/>
      <c r="Q27" s="757"/>
      <c r="R27" s="757"/>
      <c r="S27" s="757"/>
      <c r="T27" s="757"/>
      <c r="U27" s="757"/>
      <c r="V27" s="757"/>
      <c r="W27" s="757"/>
      <c r="X27" s="757"/>
      <c r="Y27" s="757"/>
      <c r="Z27" s="757"/>
      <c r="AA27" s="757"/>
      <c r="AB27" s="758"/>
      <c r="AC27" s="758"/>
      <c r="AD27" s="758"/>
      <c r="AE27" s="758"/>
      <c r="AF27" s="758"/>
      <c r="AG27" s="758"/>
      <c r="AH27" s="758"/>
      <c r="AI27" s="758"/>
      <c r="AJ27" s="758"/>
      <c r="AK27" s="758"/>
      <c r="AL27" s="758"/>
      <c r="AM27" s="758"/>
      <c r="AN27" s="755"/>
      <c r="AO27" s="501"/>
      <c r="AP27" s="502"/>
      <c r="AQ27" s="501"/>
      <c r="AR27" s="501"/>
      <c r="AS27" s="501"/>
    </row>
    <row r="28" spans="1:57" ht="27" customHeight="1">
      <c r="A28" s="756"/>
      <c r="B28" s="753"/>
      <c r="C28" s="757"/>
      <c r="D28" s="757"/>
      <c r="E28" s="757"/>
      <c r="F28" s="757"/>
      <c r="G28" s="757"/>
      <c r="H28" s="757"/>
      <c r="I28" s="757"/>
      <c r="J28" s="757"/>
      <c r="K28" s="757"/>
      <c r="L28" s="757"/>
      <c r="M28" s="757"/>
      <c r="N28" s="757"/>
      <c r="O28" s="757"/>
      <c r="P28" s="757"/>
      <c r="Q28" s="757"/>
      <c r="R28" s="757"/>
      <c r="S28" s="757"/>
      <c r="T28" s="757"/>
      <c r="U28" s="757"/>
      <c r="V28" s="757"/>
      <c r="W28" s="757"/>
      <c r="X28" s="757"/>
      <c r="Y28" s="757"/>
      <c r="Z28" s="757"/>
      <c r="AA28" s="757"/>
      <c r="AB28" s="758"/>
      <c r="AC28" s="758"/>
      <c r="AD28" s="758"/>
      <c r="AE28" s="758"/>
      <c r="AF28" s="758"/>
      <c r="AG28" s="758"/>
      <c r="AH28" s="758"/>
      <c r="AI28" s="758"/>
      <c r="AJ28" s="758"/>
      <c r="AK28" s="758"/>
      <c r="AL28" s="758"/>
      <c r="AM28" s="758"/>
      <c r="AN28" s="755"/>
      <c r="AO28" s="501"/>
      <c r="AP28" s="502"/>
      <c r="AQ28" s="501"/>
      <c r="AR28" s="501"/>
      <c r="AS28" s="501"/>
    </row>
    <row r="29" spans="1:57" ht="18.75" customHeight="1">
      <c r="A29" s="756"/>
      <c r="B29" s="753"/>
      <c r="C29" s="757"/>
      <c r="D29" s="757"/>
      <c r="E29" s="757"/>
      <c r="F29" s="757"/>
      <c r="G29" s="757"/>
      <c r="H29" s="757"/>
      <c r="I29" s="757"/>
      <c r="J29" s="757"/>
      <c r="K29" s="757"/>
      <c r="L29" s="757"/>
      <c r="M29" s="757"/>
      <c r="N29" s="757"/>
      <c r="O29" s="757"/>
      <c r="P29" s="757"/>
      <c r="Q29" s="757"/>
      <c r="R29" s="757"/>
      <c r="S29" s="757"/>
      <c r="T29" s="757"/>
      <c r="U29" s="757"/>
      <c r="V29" s="757"/>
      <c r="W29" s="757"/>
      <c r="X29" s="757"/>
      <c r="Y29" s="757"/>
      <c r="Z29" s="757"/>
      <c r="AA29" s="757"/>
      <c r="AB29" s="758"/>
      <c r="AC29" s="758"/>
      <c r="AD29" s="758"/>
      <c r="AE29" s="758"/>
      <c r="AF29" s="758"/>
      <c r="AG29" s="758"/>
      <c r="AH29" s="758"/>
      <c r="AI29" s="758"/>
      <c r="AJ29" s="758"/>
      <c r="AK29" s="758"/>
      <c r="AL29" s="758"/>
      <c r="AM29" s="758"/>
      <c r="AN29" s="755"/>
      <c r="AO29" s="501"/>
      <c r="AP29" s="502"/>
      <c r="AQ29" s="501"/>
      <c r="AR29" s="501"/>
      <c r="AS29" s="501"/>
    </row>
    <row r="30" spans="1:57" ht="18.75" customHeight="1">
      <c r="A30" s="1460" t="s">
        <v>182</v>
      </c>
      <c r="B30" s="1376" t="s">
        <v>183</v>
      </c>
      <c r="C30" s="1432"/>
      <c r="D30" s="1432"/>
      <c r="E30" s="1432"/>
      <c r="F30" s="1432"/>
      <c r="G30" s="504" t="s">
        <v>103</v>
      </c>
      <c r="H30" s="1462" t="s">
        <v>203</v>
      </c>
      <c r="I30" s="1462"/>
      <c r="J30" s="1462"/>
      <c r="K30" s="1462"/>
      <c r="L30" s="1462"/>
      <c r="M30" s="1462"/>
      <c r="N30" s="1462"/>
      <c r="O30" s="1462"/>
      <c r="P30" s="1462"/>
      <c r="Q30" s="1462"/>
      <c r="R30" s="1462"/>
      <c r="S30" s="1462"/>
      <c r="T30" s="1462"/>
      <c r="U30" s="1462"/>
      <c r="V30" s="1462"/>
      <c r="W30" s="1462"/>
      <c r="X30" s="1462"/>
      <c r="Y30" s="1462"/>
      <c r="Z30" s="1462"/>
      <c r="AA30" s="1463"/>
      <c r="AB30" s="1464" t="s">
        <v>1161</v>
      </c>
      <c r="AC30" s="1465"/>
      <c r="AD30" s="1465"/>
      <c r="AE30" s="1465"/>
      <c r="AF30" s="1465"/>
      <c r="AG30" s="1465"/>
      <c r="AH30" s="1465"/>
      <c r="AI30" s="1465"/>
      <c r="AJ30" s="1465"/>
      <c r="AK30" s="1465"/>
      <c r="AL30" s="1465"/>
      <c r="AM30" s="1466"/>
      <c r="AO30" s="501" t="str">
        <f>+'[2]LF-5'!I41</f>
        <v/>
      </c>
      <c r="AP30" s="502" t="str">
        <f>+'[2]LF-5'!N41</f>
        <v/>
      </c>
      <c r="AQ30" s="501" t="str">
        <f>+'[2]LF-5'!Q41</f>
        <v/>
      </c>
      <c r="AR30" s="501"/>
      <c r="AS30" s="501" t="str">
        <f>+'[2]LF-5'!T41</f>
        <v/>
      </c>
    </row>
    <row r="31" spans="1:57" ht="18.75" customHeight="1">
      <c r="A31" s="1460"/>
      <c r="B31" s="1369"/>
      <c r="C31" s="1388"/>
      <c r="D31" s="1388"/>
      <c r="E31" s="1388"/>
      <c r="F31" s="1388"/>
      <c r="G31" s="505" t="s">
        <v>116</v>
      </c>
      <c r="H31" s="1485" t="s">
        <v>204</v>
      </c>
      <c r="I31" s="1485"/>
      <c r="J31" s="1485"/>
      <c r="K31" s="1485"/>
      <c r="L31" s="1485"/>
      <c r="M31" s="1485"/>
      <c r="N31" s="1485"/>
      <c r="O31" s="1485"/>
      <c r="P31" s="1485"/>
      <c r="Q31" s="1485"/>
      <c r="R31" s="1485"/>
      <c r="S31" s="1485"/>
      <c r="T31" s="1485"/>
      <c r="U31" s="1485"/>
      <c r="V31" s="1485"/>
      <c r="W31" s="1485"/>
      <c r="X31" s="1485"/>
      <c r="Y31" s="1485"/>
      <c r="Z31" s="1485"/>
      <c r="AA31" s="1486"/>
      <c r="AB31" s="1482"/>
      <c r="AC31" s="1483"/>
      <c r="AD31" s="1483"/>
      <c r="AE31" s="1483"/>
      <c r="AF31" s="1483"/>
      <c r="AG31" s="1483"/>
      <c r="AH31" s="1483"/>
      <c r="AI31" s="1483"/>
      <c r="AJ31" s="1483"/>
      <c r="AK31" s="1483"/>
      <c r="AL31" s="1483"/>
      <c r="AM31" s="1484"/>
      <c r="AO31" s="501" t="str">
        <f>+'[2]LF-5'!I42</f>
        <v/>
      </c>
      <c r="AP31" s="502" t="str">
        <f>+'[2]LF-5'!N42</f>
        <v/>
      </c>
      <c r="AQ31" s="501" t="str">
        <f>+'[2]LF-5'!Q42</f>
        <v/>
      </c>
      <c r="AR31" s="501"/>
      <c r="AS31" s="501" t="str">
        <f>+'[2]LF-5'!T42</f>
        <v/>
      </c>
    </row>
    <row r="32" spans="1:57" ht="18.75" customHeight="1">
      <c r="A32" s="1460"/>
      <c r="B32" s="1370"/>
      <c r="C32" s="1390"/>
      <c r="D32" s="1390"/>
      <c r="E32" s="1390"/>
      <c r="F32" s="1390"/>
      <c r="G32" s="489" t="s">
        <v>121</v>
      </c>
      <c r="H32" s="1458" t="s">
        <v>205</v>
      </c>
      <c r="I32" s="1458"/>
      <c r="J32" s="1458"/>
      <c r="K32" s="1458"/>
      <c r="L32" s="1458"/>
      <c r="M32" s="1458"/>
      <c r="N32" s="1458"/>
      <c r="O32" s="1458"/>
      <c r="P32" s="1458"/>
      <c r="Q32" s="1458"/>
      <c r="R32" s="1458"/>
      <c r="S32" s="1458"/>
      <c r="T32" s="1458"/>
      <c r="U32" s="1458"/>
      <c r="V32" s="1458"/>
      <c r="W32" s="1458"/>
      <c r="X32" s="1458"/>
      <c r="Y32" s="1458"/>
      <c r="Z32" s="1458"/>
      <c r="AA32" s="1459"/>
      <c r="AB32" s="1467"/>
      <c r="AC32" s="1468"/>
      <c r="AD32" s="1468"/>
      <c r="AE32" s="1468"/>
      <c r="AF32" s="1468"/>
      <c r="AG32" s="1468"/>
      <c r="AH32" s="1468"/>
      <c r="AI32" s="1468"/>
      <c r="AJ32" s="1468"/>
      <c r="AK32" s="1468"/>
      <c r="AL32" s="1468"/>
      <c r="AM32" s="1469"/>
      <c r="AO32" s="501" t="str">
        <f>+'[2]LF-5'!I43</f>
        <v/>
      </c>
      <c r="AP32" s="502" t="str">
        <f>+'[2]LF-5'!N43</f>
        <v/>
      </c>
      <c r="AQ32" s="501" t="str">
        <f>+'[2]LF-5'!Q43</f>
        <v/>
      </c>
      <c r="AR32" s="501"/>
      <c r="AS32" s="501" t="str">
        <f>+'[2]LF-5'!T43</f>
        <v/>
      </c>
    </row>
    <row r="33" spans="1:45" ht="20.25" customHeight="1">
      <c r="A33" s="1460" t="s">
        <v>184</v>
      </c>
      <c r="B33" s="1461" t="s">
        <v>1065</v>
      </c>
      <c r="C33" s="1462"/>
      <c r="D33" s="1462"/>
      <c r="E33" s="1462"/>
      <c r="F33" s="1462"/>
      <c r="G33" s="1462"/>
      <c r="H33" s="1462"/>
      <c r="I33" s="1462"/>
      <c r="J33" s="1462"/>
      <c r="K33" s="1462"/>
      <c r="L33" s="1462"/>
      <c r="M33" s="1462"/>
      <c r="N33" s="1462"/>
      <c r="O33" s="1462"/>
      <c r="P33" s="1462"/>
      <c r="Q33" s="1462"/>
      <c r="R33" s="1462"/>
      <c r="S33" s="1462"/>
      <c r="T33" s="1462"/>
      <c r="U33" s="1462"/>
      <c r="V33" s="1462"/>
      <c r="W33" s="1462"/>
      <c r="X33" s="1462"/>
      <c r="Y33" s="1462"/>
      <c r="Z33" s="1462"/>
      <c r="AA33" s="1463"/>
      <c r="AB33" s="1464" t="s">
        <v>1162</v>
      </c>
      <c r="AC33" s="1465"/>
      <c r="AD33" s="1465"/>
      <c r="AE33" s="1465"/>
      <c r="AF33" s="1465"/>
      <c r="AG33" s="1465"/>
      <c r="AH33" s="1465"/>
      <c r="AI33" s="1465"/>
      <c r="AJ33" s="1465"/>
      <c r="AK33" s="1465"/>
      <c r="AL33" s="1465"/>
      <c r="AM33" s="1466"/>
      <c r="AO33" s="501" t="str">
        <f>+'[2]LF-5'!I44</f>
        <v/>
      </c>
      <c r="AP33" s="502" t="str">
        <f>+'[2]LF-5'!N44</f>
        <v/>
      </c>
      <c r="AQ33" s="501" t="str">
        <f>+'[2]LF-5'!Q44</f>
        <v/>
      </c>
      <c r="AR33" s="501"/>
      <c r="AS33" s="501" t="str">
        <f>+'[2]LF-5'!T44</f>
        <v/>
      </c>
    </row>
    <row r="34" spans="1:45" ht="20.25" customHeight="1">
      <c r="A34" s="1460"/>
      <c r="B34" s="1470" t="s">
        <v>262</v>
      </c>
      <c r="C34" s="1458"/>
      <c r="D34" s="1458"/>
      <c r="E34" s="1458"/>
      <c r="F34" s="1458"/>
      <c r="G34" s="1458"/>
      <c r="H34" s="1458"/>
      <c r="I34" s="1458"/>
      <c r="J34" s="1458"/>
      <c r="K34" s="1458"/>
      <c r="L34" s="1458"/>
      <c r="M34" s="1458"/>
      <c r="N34" s="1458"/>
      <c r="O34" s="1458"/>
      <c r="P34" s="1458"/>
      <c r="Q34" s="1458"/>
      <c r="R34" s="1458"/>
      <c r="S34" s="1458"/>
      <c r="T34" s="1458"/>
      <c r="U34" s="1458"/>
      <c r="V34" s="1458"/>
      <c r="W34" s="1458"/>
      <c r="X34" s="1458"/>
      <c r="Y34" s="1458"/>
      <c r="Z34" s="1458"/>
      <c r="AA34" s="1459"/>
      <c r="AB34" s="1467"/>
      <c r="AC34" s="1468"/>
      <c r="AD34" s="1468"/>
      <c r="AE34" s="1468"/>
      <c r="AF34" s="1468"/>
      <c r="AG34" s="1468"/>
      <c r="AH34" s="1468"/>
      <c r="AI34" s="1468"/>
      <c r="AJ34" s="1468"/>
      <c r="AK34" s="1468"/>
      <c r="AL34" s="1468"/>
      <c r="AM34" s="1469"/>
      <c r="AO34" s="501" t="str">
        <f>+'[2]LF-5'!I45</f>
        <v/>
      </c>
      <c r="AP34" s="502" t="str">
        <f>+'[2]LF-5'!N45</f>
        <v/>
      </c>
      <c r="AQ34" s="501" t="str">
        <f>+'[2]LF-5'!Q45</f>
        <v/>
      </c>
      <c r="AR34" s="501"/>
      <c r="AS34" s="501" t="str">
        <f>+'[2]LF-5'!T45</f>
        <v/>
      </c>
    </row>
    <row r="35" spans="1:45" ht="20.25" customHeight="1">
      <c r="A35" s="1471" t="s">
        <v>185</v>
      </c>
      <c r="B35" s="1472" t="s">
        <v>840</v>
      </c>
      <c r="C35" s="1472"/>
      <c r="D35" s="1472"/>
      <c r="E35" s="1472"/>
      <c r="F35" s="1472"/>
      <c r="G35" s="1472"/>
      <c r="H35" s="1472"/>
      <c r="I35" s="1472"/>
      <c r="J35" s="1472"/>
      <c r="K35" s="1472"/>
      <c r="L35" s="1472"/>
      <c r="M35" s="1472"/>
      <c r="N35" s="1472"/>
      <c r="O35" s="1472"/>
      <c r="P35" s="1472"/>
      <c r="Q35" s="1472"/>
      <c r="R35" s="1472"/>
      <c r="S35" s="1472"/>
      <c r="T35" s="1472"/>
      <c r="U35" s="1472"/>
      <c r="V35" s="1472"/>
      <c r="W35" s="1472"/>
      <c r="X35" s="1472"/>
      <c r="Y35" s="1472"/>
      <c r="Z35" s="1472"/>
      <c r="AA35" s="1472"/>
      <c r="AB35" s="1435" t="s">
        <v>1163</v>
      </c>
      <c r="AC35" s="1473"/>
      <c r="AD35" s="1473"/>
      <c r="AE35" s="1473"/>
      <c r="AF35" s="1473"/>
      <c r="AG35" s="1473"/>
      <c r="AH35" s="1473"/>
      <c r="AI35" s="1473"/>
      <c r="AJ35" s="1473"/>
      <c r="AK35" s="1473"/>
      <c r="AL35" s="1473"/>
      <c r="AM35" s="1474"/>
      <c r="AO35" s="501" t="str">
        <f>+'[2]LF-5'!I46</f>
        <v/>
      </c>
      <c r="AP35" s="502" t="str">
        <f>+'[2]LF-5'!N46</f>
        <v/>
      </c>
      <c r="AQ35" s="501" t="str">
        <f>+'[2]LF-5'!Q46</f>
        <v/>
      </c>
      <c r="AR35" s="501"/>
      <c r="AS35" s="501" t="str">
        <f>+'[2]LF-5'!T46</f>
        <v/>
      </c>
    </row>
    <row r="36" spans="1:45" ht="36.75" customHeight="1">
      <c r="A36" s="1471"/>
      <c r="B36" s="1472"/>
      <c r="C36" s="1472"/>
      <c r="D36" s="1472"/>
      <c r="E36" s="1472"/>
      <c r="F36" s="1472"/>
      <c r="G36" s="1472"/>
      <c r="H36" s="1472"/>
      <c r="I36" s="1472"/>
      <c r="J36" s="1472"/>
      <c r="K36" s="1472"/>
      <c r="L36" s="1472"/>
      <c r="M36" s="1472"/>
      <c r="N36" s="1472"/>
      <c r="O36" s="1472"/>
      <c r="P36" s="1472"/>
      <c r="Q36" s="1472"/>
      <c r="R36" s="1472"/>
      <c r="S36" s="1472"/>
      <c r="T36" s="1472"/>
      <c r="U36" s="1472"/>
      <c r="V36" s="1472"/>
      <c r="W36" s="1472"/>
      <c r="X36" s="1472"/>
      <c r="Y36" s="1472"/>
      <c r="Z36" s="1472"/>
      <c r="AA36" s="1472"/>
      <c r="AB36" s="1437"/>
      <c r="AC36" s="1475"/>
      <c r="AD36" s="1475"/>
      <c r="AE36" s="1475"/>
      <c r="AF36" s="1475"/>
      <c r="AG36" s="1475"/>
      <c r="AH36" s="1475"/>
      <c r="AI36" s="1475"/>
      <c r="AJ36" s="1475"/>
      <c r="AK36" s="1475"/>
      <c r="AL36" s="1475"/>
      <c r="AM36" s="1476"/>
      <c r="AO36" s="501" t="str">
        <f>+'[2]LF-5'!I47</f>
        <v/>
      </c>
      <c r="AP36" s="502" t="str">
        <f>+'[2]LF-5'!N47</f>
        <v/>
      </c>
      <c r="AQ36" s="501" t="str">
        <f>+'[2]LF-5'!Q47</f>
        <v/>
      </c>
      <c r="AR36" s="501"/>
      <c r="AS36" s="501" t="str">
        <f>+'[2]LF-5'!T47</f>
        <v/>
      </c>
    </row>
    <row r="37" spans="1:45" ht="44.25" customHeight="1">
      <c r="A37" s="506" t="s">
        <v>186</v>
      </c>
      <c r="B37" s="1487" t="s">
        <v>841</v>
      </c>
      <c r="C37" s="1488"/>
      <c r="D37" s="1488"/>
      <c r="E37" s="1488"/>
      <c r="F37" s="1488"/>
      <c r="G37" s="1488"/>
      <c r="H37" s="1488"/>
      <c r="I37" s="1488"/>
      <c r="J37" s="1488"/>
      <c r="K37" s="1488"/>
      <c r="L37" s="1488"/>
      <c r="M37" s="1488"/>
      <c r="N37" s="1488"/>
      <c r="O37" s="1488"/>
      <c r="P37" s="1488"/>
      <c r="Q37" s="1488"/>
      <c r="R37" s="1488"/>
      <c r="S37" s="1488"/>
      <c r="T37" s="1488"/>
      <c r="U37" s="1488"/>
      <c r="V37" s="1488"/>
      <c r="W37" s="1488"/>
      <c r="X37" s="1488"/>
      <c r="Y37" s="1488"/>
      <c r="Z37" s="1488"/>
      <c r="AA37" s="1488"/>
      <c r="AB37" s="1489" t="s">
        <v>45</v>
      </c>
      <c r="AC37" s="1490"/>
      <c r="AD37" s="1490"/>
      <c r="AE37" s="1490"/>
      <c r="AF37" s="1490"/>
      <c r="AG37" s="1490"/>
      <c r="AH37" s="1490"/>
      <c r="AI37" s="1490"/>
      <c r="AJ37" s="1490"/>
      <c r="AK37" s="1490"/>
      <c r="AL37" s="1490"/>
      <c r="AM37" s="1491"/>
      <c r="AO37" s="501"/>
      <c r="AP37" s="502"/>
      <c r="AQ37" s="501"/>
      <c r="AR37" s="501"/>
      <c r="AS37" s="501"/>
    </row>
    <row r="38" spans="1:45" ht="22.5" customHeight="1">
      <c r="A38" s="1471" t="s">
        <v>187</v>
      </c>
      <c r="B38" s="1472" t="s">
        <v>842</v>
      </c>
      <c r="C38" s="1472"/>
      <c r="D38" s="1472"/>
      <c r="E38" s="1472"/>
      <c r="F38" s="1472"/>
      <c r="G38" s="1472"/>
      <c r="H38" s="1472"/>
      <c r="I38" s="1472"/>
      <c r="J38" s="1472"/>
      <c r="K38" s="1472"/>
      <c r="L38" s="1472"/>
      <c r="M38" s="1472"/>
      <c r="N38" s="1472"/>
      <c r="O38" s="1472"/>
      <c r="P38" s="1472"/>
      <c r="Q38" s="1472"/>
      <c r="R38" s="1472"/>
      <c r="S38" s="1472"/>
      <c r="T38" s="1472"/>
      <c r="U38" s="1472"/>
      <c r="V38" s="1472"/>
      <c r="W38" s="1472"/>
      <c r="X38" s="1472"/>
      <c r="Y38" s="1472"/>
      <c r="Z38" s="1472"/>
      <c r="AA38" s="1472"/>
      <c r="AB38" s="1435" t="s">
        <v>45</v>
      </c>
      <c r="AC38" s="1473"/>
      <c r="AD38" s="1473"/>
      <c r="AE38" s="1473"/>
      <c r="AF38" s="1473"/>
      <c r="AG38" s="1473"/>
      <c r="AH38" s="1473"/>
      <c r="AI38" s="1473"/>
      <c r="AJ38" s="1473"/>
      <c r="AK38" s="1473"/>
      <c r="AL38" s="1473"/>
      <c r="AM38" s="1474"/>
      <c r="AO38" s="501"/>
      <c r="AP38" s="502"/>
      <c r="AQ38" s="501"/>
      <c r="AR38" s="501"/>
      <c r="AS38" s="501"/>
    </row>
    <row r="39" spans="1:45" ht="30" customHeight="1">
      <c r="A39" s="1471"/>
      <c r="B39" s="1492"/>
      <c r="C39" s="1492"/>
      <c r="D39" s="1492"/>
      <c r="E39" s="1492"/>
      <c r="F39" s="1492"/>
      <c r="G39" s="1492"/>
      <c r="H39" s="1492"/>
      <c r="I39" s="1492"/>
      <c r="J39" s="1492"/>
      <c r="K39" s="1492"/>
      <c r="L39" s="1492"/>
      <c r="M39" s="1492"/>
      <c r="N39" s="1492"/>
      <c r="O39" s="1492"/>
      <c r="P39" s="1492"/>
      <c r="Q39" s="1492"/>
      <c r="R39" s="1492"/>
      <c r="S39" s="1492"/>
      <c r="T39" s="1492"/>
      <c r="U39" s="1492"/>
      <c r="V39" s="1492"/>
      <c r="W39" s="1492"/>
      <c r="X39" s="1492"/>
      <c r="Y39" s="1492"/>
      <c r="Z39" s="1492"/>
      <c r="AA39" s="1492"/>
      <c r="AB39" s="1437"/>
      <c r="AC39" s="1475"/>
      <c r="AD39" s="1475"/>
      <c r="AE39" s="1475"/>
      <c r="AF39" s="1475"/>
      <c r="AG39" s="1475"/>
      <c r="AH39" s="1475"/>
      <c r="AI39" s="1475"/>
      <c r="AJ39" s="1475"/>
      <c r="AK39" s="1475"/>
      <c r="AL39" s="1475"/>
      <c r="AM39" s="1476"/>
      <c r="AO39" s="501"/>
      <c r="AP39" s="502"/>
      <c r="AQ39" s="501"/>
      <c r="AR39" s="501"/>
      <c r="AS39" s="501"/>
    </row>
    <row r="40" spans="1:45" ht="26.25" customHeight="1">
      <c r="A40" s="1493" t="s">
        <v>188</v>
      </c>
      <c r="B40" s="1461" t="s">
        <v>274</v>
      </c>
      <c r="C40" s="1462"/>
      <c r="D40" s="1462"/>
      <c r="E40" s="1462"/>
      <c r="F40" s="1462"/>
      <c r="G40" s="1462"/>
      <c r="H40" s="1462"/>
      <c r="I40" s="1462"/>
      <c r="J40" s="1462"/>
      <c r="K40" s="1462"/>
      <c r="L40" s="1462"/>
      <c r="M40" s="1462"/>
      <c r="N40" s="1462"/>
      <c r="O40" s="1462"/>
      <c r="P40" s="1462"/>
      <c r="Q40" s="1462"/>
      <c r="R40" s="1462"/>
      <c r="S40" s="1462"/>
      <c r="T40" s="1462"/>
      <c r="U40" s="1462"/>
      <c r="V40" s="1462"/>
      <c r="W40" s="1462"/>
      <c r="X40" s="1462"/>
      <c r="Y40" s="1462"/>
      <c r="Z40" s="1462"/>
      <c r="AA40" s="1463"/>
      <c r="AB40" s="1435" t="s">
        <v>45</v>
      </c>
      <c r="AC40" s="1473"/>
      <c r="AD40" s="1473"/>
      <c r="AE40" s="1473"/>
      <c r="AF40" s="1473"/>
      <c r="AG40" s="1473"/>
      <c r="AH40" s="1473"/>
      <c r="AI40" s="1473"/>
      <c r="AJ40" s="1473"/>
      <c r="AK40" s="1473"/>
      <c r="AL40" s="1473"/>
      <c r="AM40" s="1474"/>
      <c r="AO40" s="501"/>
      <c r="AP40" s="502"/>
      <c r="AQ40" s="501"/>
      <c r="AR40" s="501"/>
      <c r="AS40" s="501"/>
    </row>
    <row r="41" spans="1:45" ht="24" customHeight="1">
      <c r="A41" s="1494"/>
      <c r="B41" s="1369" t="s">
        <v>272</v>
      </c>
      <c r="C41" s="1388"/>
      <c r="D41" s="1388"/>
      <c r="E41" s="1388"/>
      <c r="F41" s="1388"/>
      <c r="G41" s="1388"/>
      <c r="H41" s="1388"/>
      <c r="I41" s="1388"/>
      <c r="J41" s="1388"/>
      <c r="K41" s="1388"/>
      <c r="L41" s="1388"/>
      <c r="M41" s="1388"/>
      <c r="N41" s="1388"/>
      <c r="O41" s="1388"/>
      <c r="P41" s="1388"/>
      <c r="Q41" s="1388"/>
      <c r="R41" s="1388"/>
      <c r="S41" s="1388"/>
      <c r="T41" s="1388"/>
      <c r="U41" s="1388"/>
      <c r="V41" s="1388"/>
      <c r="W41" s="1388"/>
      <c r="X41" s="1388"/>
      <c r="Y41" s="1388"/>
      <c r="Z41" s="1388"/>
      <c r="AA41" s="1389"/>
      <c r="AB41" s="1436"/>
      <c r="AC41" s="1496"/>
      <c r="AD41" s="1496"/>
      <c r="AE41" s="1496"/>
      <c r="AF41" s="1496"/>
      <c r="AG41" s="1496"/>
      <c r="AH41" s="1496"/>
      <c r="AI41" s="1496"/>
      <c r="AJ41" s="1496"/>
      <c r="AK41" s="1496"/>
      <c r="AL41" s="1496"/>
      <c r="AM41" s="1497"/>
      <c r="AO41" s="501"/>
      <c r="AP41" s="502"/>
      <c r="AQ41" s="501"/>
      <c r="AR41" s="501"/>
      <c r="AS41" s="501"/>
    </row>
    <row r="42" spans="1:45" ht="17.25" customHeight="1">
      <c r="A42" s="1495"/>
      <c r="B42" s="1370"/>
      <c r="C42" s="1390"/>
      <c r="D42" s="1390"/>
      <c r="E42" s="1390"/>
      <c r="F42" s="1390"/>
      <c r="G42" s="1390"/>
      <c r="H42" s="1390"/>
      <c r="I42" s="1390"/>
      <c r="J42" s="1390"/>
      <c r="K42" s="1390"/>
      <c r="L42" s="1390"/>
      <c r="M42" s="1390"/>
      <c r="N42" s="1390"/>
      <c r="O42" s="1390"/>
      <c r="P42" s="1390"/>
      <c r="Q42" s="1390"/>
      <c r="R42" s="1390"/>
      <c r="S42" s="1390"/>
      <c r="T42" s="1390"/>
      <c r="U42" s="1390"/>
      <c r="V42" s="1390"/>
      <c r="W42" s="1390"/>
      <c r="X42" s="1390"/>
      <c r="Y42" s="1390"/>
      <c r="Z42" s="1390"/>
      <c r="AA42" s="1391"/>
      <c r="AB42" s="1437"/>
      <c r="AC42" s="1475"/>
      <c r="AD42" s="1475"/>
      <c r="AE42" s="1475"/>
      <c r="AF42" s="1475"/>
      <c r="AG42" s="1475"/>
      <c r="AH42" s="1475"/>
      <c r="AI42" s="1475"/>
      <c r="AJ42" s="1475"/>
      <c r="AK42" s="1475"/>
      <c r="AL42" s="1475"/>
      <c r="AM42" s="1476"/>
      <c r="AO42" s="501"/>
      <c r="AP42" s="502"/>
      <c r="AQ42" s="501"/>
      <c r="AR42" s="501"/>
      <c r="AS42" s="501"/>
    </row>
    <row r="43" spans="1:45" ht="20.25" customHeight="1">
      <c r="A43" s="1503" t="s">
        <v>189</v>
      </c>
      <c r="B43" s="1493" t="s">
        <v>639</v>
      </c>
      <c r="C43" s="1506"/>
      <c r="D43" s="1506"/>
      <c r="E43" s="1506"/>
      <c r="F43" s="1506"/>
      <c r="G43" s="1506"/>
      <c r="H43" s="1506"/>
      <c r="I43" s="1506"/>
      <c r="J43" s="1506"/>
      <c r="K43" s="1507" t="s">
        <v>965</v>
      </c>
      <c r="L43" s="1507"/>
      <c r="M43" s="1507"/>
      <c r="N43" s="1508"/>
      <c r="O43" s="1508"/>
      <c r="P43" s="1508"/>
      <c r="Q43" s="483" t="s">
        <v>640</v>
      </c>
      <c r="R43" s="483"/>
      <c r="S43" s="483"/>
      <c r="T43" s="483"/>
      <c r="U43" s="483"/>
      <c r="V43" s="483"/>
      <c r="W43" s="507" t="s">
        <v>103</v>
      </c>
      <c r="X43" s="1462" t="s">
        <v>267</v>
      </c>
      <c r="Y43" s="1462"/>
      <c r="Z43" s="1462"/>
      <c r="AA43" s="1462"/>
      <c r="AB43" s="1462"/>
      <c r="AC43" s="1462"/>
      <c r="AD43" s="1462"/>
      <c r="AE43" s="508" t="s">
        <v>264</v>
      </c>
      <c r="AF43" s="1509">
        <f>R20*N43*100000*100</f>
        <v>0</v>
      </c>
      <c r="AG43" s="1509"/>
      <c r="AH43" s="1509"/>
      <c r="AI43" s="1509"/>
      <c r="AJ43" s="1509"/>
      <c r="AK43" s="1509"/>
      <c r="AL43" s="1498" t="str">
        <f>IF(AF43&gt;0,"UvKv","")</f>
        <v/>
      </c>
      <c r="AM43" s="1499"/>
      <c r="AO43" s="501"/>
      <c r="AP43" s="502"/>
      <c r="AQ43" s="501"/>
      <c r="AR43" s="501"/>
      <c r="AS43" s="501"/>
    </row>
    <row r="44" spans="1:45" ht="20.25" customHeight="1">
      <c r="A44" s="1504"/>
      <c r="B44" s="509" t="s">
        <v>641</v>
      </c>
      <c r="C44" s="510"/>
      <c r="D44" s="510"/>
      <c r="E44" s="510"/>
      <c r="F44" s="510"/>
      <c r="G44" s="510"/>
      <c r="H44" s="510"/>
      <c r="I44" s="510"/>
      <c r="J44" s="510"/>
      <c r="K44" s="510"/>
      <c r="L44" s="510"/>
      <c r="M44" s="510"/>
      <c r="N44" s="510"/>
      <c r="O44" s="510"/>
      <c r="P44" s="510"/>
      <c r="Q44" s="510"/>
      <c r="R44" s="510"/>
      <c r="S44" s="510"/>
      <c r="T44" s="510"/>
      <c r="U44" s="510"/>
      <c r="V44" s="510"/>
      <c r="W44" s="511" t="s">
        <v>116</v>
      </c>
      <c r="X44" s="1485" t="s">
        <v>266</v>
      </c>
      <c r="Y44" s="1485"/>
      <c r="Z44" s="1485"/>
      <c r="AA44" s="1485"/>
      <c r="AB44" s="1485"/>
      <c r="AC44" s="1485"/>
      <c r="AD44" s="1485"/>
      <c r="AE44" s="512" t="s">
        <v>264</v>
      </c>
      <c r="AF44" s="1500">
        <f>IF(AF48&gt;1,+AF48*2,0)</f>
        <v>0</v>
      </c>
      <c r="AG44" s="1500"/>
      <c r="AH44" s="1500"/>
      <c r="AI44" s="1500"/>
      <c r="AJ44" s="1500"/>
      <c r="AK44" s="1500"/>
      <c r="AL44" s="1375" t="str">
        <f>IF(AF44&gt;0,"UvKv","")</f>
        <v/>
      </c>
      <c r="AM44" s="1501"/>
      <c r="AO44" s="501"/>
      <c r="AP44" s="502"/>
      <c r="AQ44" s="501"/>
      <c r="AR44" s="501"/>
      <c r="AS44" s="501"/>
    </row>
    <row r="45" spans="1:45" ht="20.25" customHeight="1">
      <c r="A45" s="1504"/>
      <c r="B45" s="513"/>
      <c r="C45" s="510"/>
      <c r="D45" s="510"/>
      <c r="E45" s="510"/>
      <c r="F45" s="510"/>
      <c r="G45" s="510"/>
      <c r="H45" s="510"/>
      <c r="I45" s="510"/>
      <c r="J45" s="510"/>
      <c r="K45" s="510"/>
      <c r="L45" s="510"/>
      <c r="M45" s="510"/>
      <c r="N45" s="510"/>
      <c r="O45" s="510"/>
      <c r="P45" s="510"/>
      <c r="Q45" s="510"/>
      <c r="R45" s="510"/>
      <c r="S45" s="510"/>
      <c r="T45" s="510"/>
      <c r="U45" s="510"/>
      <c r="V45" s="510"/>
      <c r="W45" s="511" t="s">
        <v>121</v>
      </c>
      <c r="X45" s="1485" t="s">
        <v>265</v>
      </c>
      <c r="Y45" s="1485"/>
      <c r="Z45" s="1485"/>
      <c r="AA45" s="1485"/>
      <c r="AB45" s="1485"/>
      <c r="AC45" s="1485"/>
      <c r="AD45" s="1485"/>
      <c r="AE45" s="512" t="s">
        <v>264</v>
      </c>
      <c r="AF45" s="1502">
        <f>IF(AF49&gt;1,+AF49*2,0)</f>
        <v>0</v>
      </c>
      <c r="AG45" s="1502"/>
      <c r="AH45" s="1502"/>
      <c r="AI45" s="1502"/>
      <c r="AJ45" s="1502"/>
      <c r="AK45" s="1502"/>
      <c r="AL45" s="1375" t="str">
        <f>IF(AF45&gt;0,"UvKv","")</f>
        <v/>
      </c>
      <c r="AM45" s="1501"/>
      <c r="AO45" s="501"/>
      <c r="AP45" s="502"/>
    </row>
    <row r="46" spans="1:45" ht="20.25" customHeight="1">
      <c r="A46" s="1505"/>
      <c r="B46" s="514"/>
      <c r="C46" s="490"/>
      <c r="D46" s="490"/>
      <c r="E46" s="490"/>
      <c r="F46" s="490"/>
      <c r="G46" s="490"/>
      <c r="H46" s="490"/>
      <c r="I46" s="490"/>
      <c r="J46" s="490"/>
      <c r="K46" s="490"/>
      <c r="L46" s="490"/>
      <c r="M46" s="490"/>
      <c r="N46" s="490"/>
      <c r="O46" s="490"/>
      <c r="P46" s="490"/>
      <c r="Q46" s="490"/>
      <c r="R46" s="490"/>
      <c r="S46" s="490"/>
      <c r="T46" s="490"/>
      <c r="U46" s="490"/>
      <c r="V46" s="490"/>
      <c r="W46" s="1510" t="s">
        <v>129</v>
      </c>
      <c r="X46" s="1511"/>
      <c r="Y46" s="1511"/>
      <c r="Z46" s="1511"/>
      <c r="AA46" s="1511"/>
      <c r="AB46" s="1511"/>
      <c r="AC46" s="1511"/>
      <c r="AD46" s="1511"/>
      <c r="AE46" s="515" t="s">
        <v>264</v>
      </c>
      <c r="AF46" s="1512">
        <f>SUM(AF43:AK45)</f>
        <v>0</v>
      </c>
      <c r="AG46" s="1512"/>
      <c r="AH46" s="1512"/>
      <c r="AI46" s="1512"/>
      <c r="AJ46" s="1512"/>
      <c r="AK46" s="1512"/>
      <c r="AL46" s="1477" t="s">
        <v>263</v>
      </c>
      <c r="AM46" s="1478"/>
      <c r="AO46" s="501"/>
      <c r="AP46" s="502"/>
    </row>
    <row r="47" spans="1:45" ht="20.25" customHeight="1">
      <c r="A47" s="1503" t="s">
        <v>190</v>
      </c>
      <c r="B47" s="1493" t="s">
        <v>1066</v>
      </c>
      <c r="C47" s="1506"/>
      <c r="D47" s="1506"/>
      <c r="E47" s="1506"/>
      <c r="F47" s="1506"/>
      <c r="G47" s="1506"/>
      <c r="H47" s="1506"/>
      <c r="I47" s="1506"/>
      <c r="J47" s="1506"/>
      <c r="K47" s="1507" t="s">
        <v>965</v>
      </c>
      <c r="L47" s="1507"/>
      <c r="M47" s="1507"/>
      <c r="N47" s="1513"/>
      <c r="O47" s="1513"/>
      <c r="P47" s="1513"/>
      <c r="Q47" s="629" t="s">
        <v>640</v>
      </c>
      <c r="R47" s="629"/>
      <c r="S47" s="629"/>
      <c r="T47" s="629"/>
      <c r="U47" s="629"/>
      <c r="V47" s="681"/>
      <c r="W47" s="507" t="s">
        <v>103</v>
      </c>
      <c r="X47" s="1462" t="s">
        <v>267</v>
      </c>
      <c r="Y47" s="1462"/>
      <c r="Z47" s="1462"/>
      <c r="AA47" s="1462"/>
      <c r="AB47" s="1462"/>
      <c r="AC47" s="1462"/>
      <c r="AD47" s="1462"/>
      <c r="AE47" s="508" t="s">
        <v>264</v>
      </c>
      <c r="AF47" s="1509">
        <f>R20*N47*100000*100</f>
        <v>0</v>
      </c>
      <c r="AG47" s="1509"/>
      <c r="AH47" s="1509"/>
      <c r="AI47" s="1509"/>
      <c r="AJ47" s="1509"/>
      <c r="AK47" s="1509"/>
      <c r="AL47" s="1498" t="str">
        <f>IF(AF47&gt;0,"UvKv","")</f>
        <v/>
      </c>
      <c r="AM47" s="1499"/>
      <c r="AO47" s="501"/>
      <c r="AP47" s="502"/>
    </row>
    <row r="48" spans="1:45" ht="20.25" customHeight="1">
      <c r="A48" s="1504"/>
      <c r="B48" s="511" t="s">
        <v>843</v>
      </c>
      <c r="C48" s="512"/>
      <c r="D48" s="512"/>
      <c r="E48" s="512"/>
      <c r="F48" s="512"/>
      <c r="G48" s="512"/>
      <c r="H48" s="512"/>
      <c r="I48" s="510" t="s">
        <v>1158</v>
      </c>
      <c r="J48" s="512"/>
      <c r="K48" s="512"/>
      <c r="L48" s="512"/>
      <c r="M48" s="512"/>
      <c r="N48" s="512"/>
      <c r="O48" s="512"/>
      <c r="P48" s="512"/>
      <c r="Q48" s="512"/>
      <c r="R48" s="512"/>
      <c r="S48" s="512"/>
      <c r="T48" s="512"/>
      <c r="U48" s="512"/>
      <c r="V48" s="706"/>
      <c r="W48" s="511" t="s">
        <v>116</v>
      </c>
      <c r="X48" s="1485" t="s">
        <v>266</v>
      </c>
      <c r="Y48" s="1485"/>
      <c r="Z48" s="1485"/>
      <c r="AA48" s="1485"/>
      <c r="AB48" s="1485"/>
      <c r="AC48" s="1485"/>
      <c r="AD48" s="1485"/>
      <c r="AE48" s="512" t="s">
        <v>264</v>
      </c>
      <c r="AF48" s="1500">
        <f>'LF-5'!AB75</f>
        <v>0</v>
      </c>
      <c r="AG48" s="1500"/>
      <c r="AH48" s="1500"/>
      <c r="AI48" s="1500"/>
      <c r="AJ48" s="1500"/>
      <c r="AK48" s="1500"/>
      <c r="AL48" s="1375" t="str">
        <f>IF(AF48&gt;0,"UvKv","")</f>
        <v/>
      </c>
      <c r="AM48" s="1501"/>
      <c r="AO48" s="501"/>
      <c r="AP48" s="502"/>
    </row>
    <row r="49" spans="1:42" ht="20.25" customHeight="1">
      <c r="A49" s="1504"/>
      <c r="B49" s="513"/>
      <c r="C49" s="510"/>
      <c r="D49" s="510"/>
      <c r="E49" s="510"/>
      <c r="F49" s="510"/>
      <c r="G49" s="510"/>
      <c r="H49" s="510"/>
      <c r="I49" s="510"/>
      <c r="J49" s="510"/>
      <c r="V49" s="516"/>
      <c r="W49" s="511" t="s">
        <v>121</v>
      </c>
      <c r="X49" s="1485" t="s">
        <v>265</v>
      </c>
      <c r="Y49" s="1485"/>
      <c r="Z49" s="1485"/>
      <c r="AA49" s="1485"/>
      <c r="AB49" s="1485"/>
      <c r="AC49" s="1485"/>
      <c r="AD49" s="1485"/>
      <c r="AE49" s="512" t="s">
        <v>264</v>
      </c>
      <c r="AF49" s="1500"/>
      <c r="AG49" s="1500"/>
      <c r="AH49" s="1500"/>
      <c r="AI49" s="1500"/>
      <c r="AJ49" s="1500"/>
      <c r="AK49" s="1500"/>
      <c r="AL49" s="1375" t="str">
        <f>IF(AF49&gt;0,"UvKv","")</f>
        <v/>
      </c>
      <c r="AM49" s="1501"/>
      <c r="AO49" s="501"/>
      <c r="AP49" s="502"/>
    </row>
    <row r="50" spans="1:42" ht="20.25" customHeight="1">
      <c r="A50" s="1505"/>
      <c r="B50" s="514"/>
      <c r="C50" s="490"/>
      <c r="D50" s="490"/>
      <c r="E50" s="490"/>
      <c r="F50" s="490"/>
      <c r="G50" s="490"/>
      <c r="H50" s="490"/>
      <c r="I50" s="490"/>
      <c r="J50" s="490"/>
      <c r="K50" s="490"/>
      <c r="L50" s="490"/>
      <c r="M50" s="490"/>
      <c r="N50" s="490"/>
      <c r="O50" s="490"/>
      <c r="P50" s="490"/>
      <c r="Q50" s="490"/>
      <c r="R50" s="490"/>
      <c r="S50" s="490"/>
      <c r="T50" s="490"/>
      <c r="U50" s="490"/>
      <c r="V50" s="517"/>
      <c r="W50" s="1510" t="s">
        <v>129</v>
      </c>
      <c r="X50" s="1511"/>
      <c r="Y50" s="1511"/>
      <c r="Z50" s="1511"/>
      <c r="AA50" s="1511"/>
      <c r="AB50" s="1511"/>
      <c r="AC50" s="1511"/>
      <c r="AD50" s="1511"/>
      <c r="AE50" s="515" t="s">
        <v>264</v>
      </c>
      <c r="AF50" s="1512">
        <f>SUM(AF47:AK49)</f>
        <v>0</v>
      </c>
      <c r="AG50" s="1512"/>
      <c r="AH50" s="1512"/>
      <c r="AI50" s="1512"/>
      <c r="AJ50" s="1512"/>
      <c r="AK50" s="1512"/>
      <c r="AL50" s="1498" t="s">
        <v>263</v>
      </c>
      <c r="AM50" s="1499"/>
      <c r="AO50" s="501"/>
      <c r="AP50" s="502"/>
    </row>
    <row r="51" spans="1:42" ht="20.25" customHeight="1">
      <c r="A51" s="1503" t="s">
        <v>191</v>
      </c>
      <c r="B51" s="1520" t="s">
        <v>844</v>
      </c>
      <c r="C51" s="1382"/>
      <c r="D51" s="1382"/>
      <c r="E51" s="1382"/>
      <c r="F51" s="1382"/>
      <c r="G51" s="1382"/>
      <c r="H51" s="1382"/>
      <c r="I51" s="1382"/>
      <c r="J51" s="1382"/>
      <c r="K51" s="1382"/>
      <c r="L51" s="1382"/>
      <c r="M51" s="1382"/>
      <c r="N51" s="1382"/>
      <c r="O51" s="1382"/>
      <c r="P51" s="1382"/>
      <c r="Q51" s="1382"/>
      <c r="R51" s="1382"/>
      <c r="S51" s="1382"/>
      <c r="T51" s="1382"/>
      <c r="U51" s="1382"/>
      <c r="V51" s="1521"/>
      <c r="W51" s="507" t="s">
        <v>103</v>
      </c>
      <c r="X51" s="1462" t="s">
        <v>267</v>
      </c>
      <c r="Y51" s="1462"/>
      <c r="Z51" s="1462"/>
      <c r="AA51" s="1462"/>
      <c r="AB51" s="1462"/>
      <c r="AC51" s="1462"/>
      <c r="AD51" s="1462"/>
      <c r="AE51" s="508" t="s">
        <v>264</v>
      </c>
      <c r="AF51" s="1509"/>
      <c r="AG51" s="1509"/>
      <c r="AH51" s="1509"/>
      <c r="AI51" s="1509"/>
      <c r="AJ51" s="1509"/>
      <c r="AK51" s="1509"/>
      <c r="AL51" s="1498" t="s">
        <v>263</v>
      </c>
      <c r="AM51" s="1498"/>
      <c r="AO51" s="501"/>
      <c r="AP51" s="502"/>
    </row>
    <row r="52" spans="1:42" ht="20.25" customHeight="1">
      <c r="A52" s="1504"/>
      <c r="B52" s="1522" t="s">
        <v>845</v>
      </c>
      <c r="C52" s="1523"/>
      <c r="D52" s="1523"/>
      <c r="E52" s="1523"/>
      <c r="F52" s="1523"/>
      <c r="G52" s="1523"/>
      <c r="H52" s="1523"/>
      <c r="I52" s="1523"/>
      <c r="J52" s="1523"/>
      <c r="K52" s="1523"/>
      <c r="L52" s="1523"/>
      <c r="M52" s="1523"/>
      <c r="N52" s="1523"/>
      <c r="O52" s="1523"/>
      <c r="P52" s="1523"/>
      <c r="Q52" s="1523"/>
      <c r="R52" s="1523"/>
      <c r="S52" s="1523"/>
      <c r="T52" s="1523"/>
      <c r="U52" s="1523"/>
      <c r="V52" s="1524"/>
      <c r="W52" s="511" t="s">
        <v>116</v>
      </c>
      <c r="X52" s="1485" t="s">
        <v>266</v>
      </c>
      <c r="Y52" s="1485"/>
      <c r="Z52" s="1485"/>
      <c r="AA52" s="1485"/>
      <c r="AB52" s="1485"/>
      <c r="AC52" s="1485"/>
      <c r="AD52" s="1485"/>
      <c r="AE52" s="512" t="s">
        <v>264</v>
      </c>
      <c r="AF52" s="1500">
        <f>'LF-5'!AB79</f>
        <v>0</v>
      </c>
      <c r="AG52" s="1500"/>
      <c r="AH52" s="1500"/>
      <c r="AI52" s="1500"/>
      <c r="AJ52" s="1500"/>
      <c r="AK52" s="1500"/>
      <c r="AL52" s="1375" t="s">
        <v>263</v>
      </c>
      <c r="AM52" s="1375"/>
      <c r="AO52" s="501"/>
      <c r="AP52" s="502"/>
    </row>
    <row r="53" spans="1:42" ht="20.25" customHeight="1">
      <c r="A53" s="1504"/>
      <c r="B53" s="513"/>
      <c r="C53" s="510"/>
      <c r="D53" s="510"/>
      <c r="E53" s="510"/>
      <c r="F53" s="510"/>
      <c r="G53" s="510"/>
      <c r="H53" s="510"/>
      <c r="I53" s="510"/>
      <c r="J53" s="510"/>
      <c r="K53" s="510"/>
      <c r="L53" s="510"/>
      <c r="M53" s="510"/>
      <c r="N53" s="510"/>
      <c r="O53" s="510"/>
      <c r="P53" s="510"/>
      <c r="Q53" s="510"/>
      <c r="R53" s="510"/>
      <c r="S53" s="510"/>
      <c r="T53" s="510"/>
      <c r="U53" s="510"/>
      <c r="V53" s="516"/>
      <c r="W53" s="511" t="s">
        <v>121</v>
      </c>
      <c r="X53" s="1485" t="s">
        <v>265</v>
      </c>
      <c r="Y53" s="1485"/>
      <c r="Z53" s="1485"/>
      <c r="AA53" s="1485"/>
      <c r="AB53" s="1485"/>
      <c r="AC53" s="1485"/>
      <c r="AD53" s="1485"/>
      <c r="AE53" s="512" t="s">
        <v>264</v>
      </c>
      <c r="AF53" s="1500"/>
      <c r="AG53" s="1500"/>
      <c r="AH53" s="1500"/>
      <c r="AI53" s="1500"/>
      <c r="AJ53" s="1500"/>
      <c r="AK53" s="1500"/>
      <c r="AL53" s="1514" t="s">
        <v>263</v>
      </c>
      <c r="AM53" s="1514"/>
      <c r="AO53" s="501"/>
      <c r="AP53" s="502"/>
    </row>
    <row r="54" spans="1:42" ht="20.25" customHeight="1">
      <c r="A54" s="1505"/>
      <c r="B54" s="514"/>
      <c r="C54" s="490"/>
      <c r="D54" s="490"/>
      <c r="E54" s="490"/>
      <c r="F54" s="490"/>
      <c r="G54" s="490"/>
      <c r="H54" s="490"/>
      <c r="I54" s="490"/>
      <c r="J54" s="490"/>
      <c r="K54" s="490"/>
      <c r="L54" s="490"/>
      <c r="M54" s="490"/>
      <c r="N54" s="490"/>
      <c r="O54" s="490"/>
      <c r="P54" s="490"/>
      <c r="Q54" s="490"/>
      <c r="R54" s="490"/>
      <c r="S54" s="490"/>
      <c r="T54" s="490"/>
      <c r="U54" s="490"/>
      <c r="V54" s="517"/>
      <c r="W54" s="1510" t="s">
        <v>129</v>
      </c>
      <c r="X54" s="1511"/>
      <c r="Y54" s="1511"/>
      <c r="Z54" s="1511"/>
      <c r="AA54" s="1511"/>
      <c r="AB54" s="1511"/>
      <c r="AC54" s="1511"/>
      <c r="AD54" s="1511"/>
      <c r="AE54" s="515" t="s">
        <v>264</v>
      </c>
      <c r="AF54" s="1512">
        <f>SUM(AF51:AK53)</f>
        <v>0</v>
      </c>
      <c r="AG54" s="1512"/>
      <c r="AH54" s="1512"/>
      <c r="AI54" s="1512"/>
      <c r="AJ54" s="1512"/>
      <c r="AK54" s="1512"/>
      <c r="AL54" s="1514" t="s">
        <v>263</v>
      </c>
      <c r="AM54" s="1515"/>
      <c r="AO54" s="501"/>
      <c r="AP54" s="502"/>
    </row>
    <row r="55" spans="1:42" ht="20.25" customHeight="1">
      <c r="A55" s="1435" t="s">
        <v>132</v>
      </c>
      <c r="B55" s="1461" t="s">
        <v>1076</v>
      </c>
      <c r="C55" s="1462"/>
      <c r="D55" s="1462"/>
      <c r="E55" s="1462"/>
      <c r="F55" s="1462"/>
      <c r="G55" s="1462"/>
      <c r="H55" s="1462"/>
      <c r="I55" s="1462"/>
      <c r="J55" s="1462"/>
      <c r="K55" s="1462"/>
      <c r="L55" s="1462"/>
      <c r="M55" s="1462"/>
      <c r="N55" s="1462"/>
      <c r="O55" s="1462"/>
      <c r="P55" s="1462"/>
      <c r="Q55" s="1462"/>
      <c r="R55" s="1462"/>
      <c r="S55" s="1462"/>
      <c r="T55" s="1462"/>
      <c r="U55" s="1462"/>
      <c r="V55" s="1463"/>
      <c r="W55" s="1516" t="s">
        <v>268</v>
      </c>
      <c r="X55" s="1517"/>
      <c r="Y55" s="1517"/>
      <c r="Z55" s="1517"/>
      <c r="AA55" s="1517"/>
      <c r="AB55" s="1517"/>
      <c r="AC55" s="1517"/>
      <c r="AD55" s="1517"/>
      <c r="AE55" s="1518" t="s">
        <v>87</v>
      </c>
      <c r="AF55" s="1477"/>
      <c r="AG55" s="1477"/>
      <c r="AH55" s="1477"/>
      <c r="AI55" s="1477"/>
      <c r="AJ55" s="1477"/>
      <c r="AK55" s="1477"/>
      <c r="AL55" s="1477"/>
      <c r="AM55" s="1478"/>
      <c r="AO55" s="501"/>
      <c r="AP55" s="502"/>
    </row>
    <row r="56" spans="1:42" ht="20.25" customHeight="1">
      <c r="A56" s="1436"/>
      <c r="B56" s="1519" t="s">
        <v>1071</v>
      </c>
      <c r="C56" s="1485"/>
      <c r="D56" s="1485"/>
      <c r="E56" s="1485"/>
      <c r="F56" s="1485"/>
      <c r="G56" s="1485"/>
      <c r="H56" s="1485"/>
      <c r="I56" s="1485"/>
      <c r="J56" s="1485"/>
      <c r="K56" s="1485"/>
      <c r="L56" s="1485"/>
      <c r="M56" s="1485"/>
      <c r="N56" s="1485"/>
      <c r="O56" s="1485"/>
      <c r="P56" s="1485"/>
      <c r="Q56" s="1485"/>
      <c r="R56" s="1485"/>
      <c r="S56" s="1485"/>
      <c r="T56" s="1485"/>
      <c r="U56" s="1485"/>
      <c r="V56" s="1486"/>
      <c r="W56" s="1525">
        <v>45666</v>
      </c>
      <c r="X56" s="1526"/>
      <c r="Y56" s="1526"/>
      <c r="Z56" s="1526"/>
      <c r="AA56" s="1526"/>
      <c r="AB56" s="1526"/>
      <c r="AC56" s="1526"/>
      <c r="AD56" s="1526"/>
      <c r="AE56" s="1527">
        <f>W60</f>
        <v>0</v>
      </c>
      <c r="AF56" s="1528"/>
      <c r="AG56" s="1528"/>
      <c r="AH56" s="1528"/>
      <c r="AI56" s="1528"/>
      <c r="AJ56" s="1528"/>
      <c r="AK56" s="1528"/>
      <c r="AL56" s="1528"/>
      <c r="AM56" s="1529"/>
      <c r="AO56" s="501"/>
      <c r="AP56" s="502"/>
    </row>
    <row r="57" spans="1:42" ht="20.25" customHeight="1">
      <c r="A57" s="1437"/>
      <c r="B57" s="1470" t="s">
        <v>846</v>
      </c>
      <c r="C57" s="1458"/>
      <c r="D57" s="1458"/>
      <c r="E57" s="1458"/>
      <c r="F57" s="1458"/>
      <c r="G57" s="1458"/>
      <c r="H57" s="1458"/>
      <c r="I57" s="1458"/>
      <c r="J57" s="1458"/>
      <c r="K57" s="1458"/>
      <c r="L57" s="1458"/>
      <c r="M57" s="1458"/>
      <c r="N57" s="1458"/>
      <c r="O57" s="1458"/>
      <c r="P57" s="1458"/>
      <c r="Q57" s="1458"/>
      <c r="R57" s="1458"/>
      <c r="S57" s="1458"/>
      <c r="T57" s="1458"/>
      <c r="U57" s="1458"/>
      <c r="V57" s="1459"/>
      <c r="W57" s="1530" t="s">
        <v>152</v>
      </c>
      <c r="X57" s="1471"/>
      <c r="Y57" s="1471"/>
      <c r="Z57" s="1471"/>
      <c r="AA57" s="1471"/>
      <c r="AB57" s="1471"/>
      <c r="AC57" s="1471"/>
      <c r="AD57" s="1471"/>
      <c r="AE57" s="1531"/>
      <c r="AF57" s="1532"/>
      <c r="AG57" s="1532"/>
      <c r="AH57" s="1532"/>
      <c r="AI57" s="1532"/>
      <c r="AJ57" s="1532"/>
      <c r="AK57" s="1532"/>
      <c r="AL57" s="1532"/>
      <c r="AM57" s="1516"/>
      <c r="AO57" s="501"/>
      <c r="AP57" s="502"/>
    </row>
    <row r="58" spans="1:42" ht="20.25" customHeight="1">
      <c r="A58" s="1533" t="s">
        <v>193</v>
      </c>
      <c r="B58" s="1520" t="s">
        <v>194</v>
      </c>
      <c r="C58" s="1382"/>
      <c r="D58" s="1382"/>
      <c r="E58" s="1382"/>
      <c r="F58" s="1382"/>
      <c r="G58" s="1382"/>
      <c r="H58" s="1382"/>
      <c r="I58" s="1382"/>
      <c r="J58" s="1382"/>
      <c r="K58" s="1382"/>
      <c r="L58" s="1382"/>
      <c r="M58" s="1382"/>
      <c r="N58" s="1382"/>
      <c r="O58" s="1382"/>
      <c r="P58" s="1382"/>
      <c r="Q58" s="1382"/>
      <c r="R58" s="1382"/>
      <c r="S58" s="1382"/>
      <c r="T58" s="1382"/>
      <c r="U58" s="1382"/>
      <c r="V58" s="1521"/>
      <c r="W58" s="507" t="s">
        <v>269</v>
      </c>
      <c r="X58" s="508"/>
      <c r="Y58" s="508"/>
      <c r="Z58" s="518"/>
      <c r="AA58" s="1536" t="s">
        <v>270</v>
      </c>
      <c r="AB58" s="1536"/>
      <c r="AC58" s="1536"/>
      <c r="AD58" s="1536"/>
      <c r="AE58" s="1536"/>
      <c r="AF58" s="1536"/>
      <c r="AG58" s="1536"/>
      <c r="AH58" s="1536"/>
      <c r="AI58" s="1536"/>
      <c r="AJ58" s="1536"/>
      <c r="AK58" s="1536"/>
      <c r="AL58" s="1536"/>
      <c r="AM58" s="1536"/>
      <c r="AO58" s="501"/>
      <c r="AP58" s="502"/>
    </row>
    <row r="59" spans="1:42" ht="20.25" customHeight="1">
      <c r="A59" s="1534"/>
      <c r="B59" s="1378" t="s">
        <v>642</v>
      </c>
      <c r="C59" s="1537"/>
      <c r="D59" s="1537"/>
      <c r="E59" s="1537"/>
      <c r="F59" s="1537"/>
      <c r="G59" s="1537"/>
      <c r="H59" s="1537"/>
      <c r="I59" s="1537"/>
      <c r="J59" s="1537"/>
      <c r="K59" s="1537"/>
      <c r="L59" s="1537"/>
      <c r="M59" s="1537"/>
      <c r="N59" s="1537"/>
      <c r="O59" s="1537"/>
      <c r="P59" s="1537"/>
      <c r="Q59" s="1537"/>
      <c r="R59" s="1537"/>
      <c r="S59" s="1537"/>
      <c r="T59" s="1537"/>
      <c r="U59" s="1537"/>
      <c r="V59" s="1538"/>
      <c r="W59" s="1539" t="s">
        <v>847</v>
      </c>
      <c r="X59" s="1540"/>
      <c r="Y59" s="1540"/>
      <c r="Z59" s="1541"/>
      <c r="AA59" s="1546" t="s">
        <v>848</v>
      </c>
      <c r="AB59" s="1546"/>
      <c r="AC59" s="1546"/>
      <c r="AD59" s="1546"/>
      <c r="AE59" s="1546"/>
      <c r="AF59" s="1547" t="s">
        <v>849</v>
      </c>
      <c r="AG59" s="1548"/>
      <c r="AH59" s="1548"/>
      <c r="AI59" s="1548"/>
      <c r="AJ59" s="1548"/>
      <c r="AK59" s="1548"/>
      <c r="AL59" s="1548"/>
      <c r="AM59" s="1549"/>
      <c r="AO59" s="501"/>
      <c r="AP59" s="502"/>
    </row>
    <row r="60" spans="1:42" ht="20.25" customHeight="1">
      <c r="A60" s="1436"/>
      <c r="B60" s="519"/>
      <c r="C60" s="520"/>
      <c r="D60" s="508"/>
      <c r="E60" s="508"/>
      <c r="F60" s="521"/>
      <c r="G60" s="521"/>
      <c r="H60" s="521"/>
      <c r="I60" s="521"/>
      <c r="J60" s="521"/>
      <c r="K60" s="508"/>
      <c r="L60" s="508"/>
      <c r="M60" s="508"/>
      <c r="N60" s="508"/>
      <c r="O60" s="508"/>
      <c r="P60" s="508" t="s">
        <v>103</v>
      </c>
      <c r="Q60" s="508" t="s">
        <v>267</v>
      </c>
      <c r="R60" s="508"/>
      <c r="S60" s="508"/>
      <c r="T60" s="508"/>
      <c r="U60" s="508"/>
      <c r="V60" s="522" t="s">
        <v>264</v>
      </c>
      <c r="W60" s="1550">
        <f>AF64</f>
        <v>0</v>
      </c>
      <c r="X60" s="1550"/>
      <c r="Y60" s="1550"/>
      <c r="Z60" s="1550"/>
      <c r="AA60" s="1551">
        <v>0.75</v>
      </c>
      <c r="AB60" s="1552"/>
      <c r="AC60" s="1552"/>
      <c r="AD60" s="1552"/>
      <c r="AE60" s="1553"/>
      <c r="AF60" s="1509">
        <f>W60*AA60</f>
        <v>0</v>
      </c>
      <c r="AG60" s="1509"/>
      <c r="AH60" s="1509"/>
      <c r="AI60" s="1509"/>
      <c r="AJ60" s="1509"/>
      <c r="AK60" s="1509"/>
      <c r="AL60" s="1462" t="str">
        <f t="shared" ref="AL60:AL66" si="0">IF(AF60&gt;0,"UvKv","")</f>
        <v/>
      </c>
      <c r="AM60" s="1463"/>
      <c r="AO60" s="501"/>
      <c r="AP60" s="502"/>
    </row>
    <row r="61" spans="1:42" ht="20.25" customHeight="1">
      <c r="A61" s="1436"/>
      <c r="B61" s="523"/>
      <c r="C61" s="524"/>
      <c r="D61" s="512"/>
      <c r="E61" s="512"/>
      <c r="K61" s="512"/>
      <c r="L61" s="512"/>
      <c r="M61" s="512"/>
      <c r="N61" s="512"/>
      <c r="O61" s="512"/>
      <c r="P61" s="512" t="s">
        <v>116</v>
      </c>
      <c r="Q61" s="512" t="s">
        <v>266</v>
      </c>
      <c r="R61" s="512"/>
      <c r="S61" s="512"/>
      <c r="T61" s="512"/>
      <c r="U61" s="512"/>
      <c r="V61" s="525" t="s">
        <v>264</v>
      </c>
      <c r="W61" s="1542"/>
      <c r="X61" s="1542"/>
      <c r="Y61" s="1542"/>
      <c r="Z61" s="1542"/>
      <c r="AA61" s="1543"/>
      <c r="AB61" s="1544"/>
      <c r="AC61" s="1544"/>
      <c r="AD61" s="1544"/>
      <c r="AE61" s="1545"/>
      <c r="AF61" s="1500"/>
      <c r="AG61" s="1500"/>
      <c r="AH61" s="1500"/>
      <c r="AI61" s="1500"/>
      <c r="AJ61" s="1500"/>
      <c r="AK61" s="1500"/>
      <c r="AL61" s="1485" t="str">
        <f t="shared" si="0"/>
        <v/>
      </c>
      <c r="AM61" s="1486"/>
      <c r="AO61" s="501"/>
      <c r="AP61" s="502"/>
    </row>
    <row r="62" spans="1:42" ht="20.25" customHeight="1">
      <c r="A62" s="1436"/>
      <c r="B62" s="526"/>
      <c r="C62" s="527"/>
      <c r="D62" s="528"/>
      <c r="E62" s="528"/>
      <c r="F62" s="488"/>
      <c r="G62" s="488"/>
      <c r="H62" s="488"/>
      <c r="I62" s="488"/>
      <c r="J62" s="488"/>
      <c r="K62" s="528"/>
      <c r="L62" s="528"/>
      <c r="M62" s="528"/>
      <c r="N62" s="528"/>
      <c r="O62" s="528"/>
      <c r="P62" s="528" t="s">
        <v>121</v>
      </c>
      <c r="Q62" s="528" t="s">
        <v>265</v>
      </c>
      <c r="R62" s="528"/>
      <c r="S62" s="528"/>
      <c r="T62" s="528"/>
      <c r="U62" s="528"/>
      <c r="V62" s="529" t="s">
        <v>264</v>
      </c>
      <c r="W62" s="1542"/>
      <c r="X62" s="1542"/>
      <c r="Y62" s="1542"/>
      <c r="Z62" s="1542"/>
      <c r="AA62" s="1543"/>
      <c r="AB62" s="1544"/>
      <c r="AC62" s="1544"/>
      <c r="AD62" s="1544"/>
      <c r="AE62" s="1545"/>
      <c r="AF62" s="1500"/>
      <c r="AG62" s="1500"/>
      <c r="AH62" s="1500"/>
      <c r="AI62" s="1500"/>
      <c r="AJ62" s="1500"/>
      <c r="AK62" s="1500"/>
      <c r="AL62" s="1458" t="str">
        <f t="shared" si="0"/>
        <v/>
      </c>
      <c r="AM62" s="1459"/>
      <c r="AO62" s="501"/>
      <c r="AP62" s="502"/>
    </row>
    <row r="63" spans="1:42" ht="20.25" customHeight="1">
      <c r="A63" s="1535"/>
      <c r="B63" s="1518" t="s">
        <v>129</v>
      </c>
      <c r="C63" s="1477"/>
      <c r="D63" s="1477"/>
      <c r="E63" s="1477"/>
      <c r="F63" s="1477"/>
      <c r="G63" s="1477"/>
      <c r="H63" s="1477"/>
      <c r="I63" s="1477"/>
      <c r="J63" s="1477"/>
      <c r="K63" s="1477"/>
      <c r="L63" s="1477"/>
      <c r="M63" s="1477"/>
      <c r="N63" s="1477"/>
      <c r="O63" s="1477"/>
      <c r="P63" s="1477"/>
      <c r="Q63" s="1477"/>
      <c r="R63" s="1477"/>
      <c r="S63" s="1477"/>
      <c r="T63" s="1477"/>
      <c r="U63" s="1477"/>
      <c r="V63" s="530" t="s">
        <v>264</v>
      </c>
      <c r="W63" s="1554">
        <f>SUM(W60:X62)</f>
        <v>0</v>
      </c>
      <c r="X63" s="1554"/>
      <c r="Y63" s="1554"/>
      <c r="Z63" s="1554"/>
      <c r="AA63" s="1555"/>
      <c r="AB63" s="1512"/>
      <c r="AC63" s="1512"/>
      <c r="AD63" s="1512"/>
      <c r="AE63" s="1556"/>
      <c r="AF63" s="1555">
        <f>SUM(AF60:AK62)</f>
        <v>0</v>
      </c>
      <c r="AG63" s="1512"/>
      <c r="AH63" s="1512"/>
      <c r="AI63" s="1512"/>
      <c r="AJ63" s="1512"/>
      <c r="AK63" s="1512"/>
      <c r="AL63" s="1557" t="str">
        <f t="shared" si="0"/>
        <v/>
      </c>
      <c r="AM63" s="1558"/>
      <c r="AO63" s="501"/>
      <c r="AP63" s="502"/>
    </row>
    <row r="64" spans="1:42" ht="20.25" customHeight="1">
      <c r="A64" s="1591" t="s">
        <v>195</v>
      </c>
      <c r="B64" s="1559" t="s">
        <v>192</v>
      </c>
      <c r="C64" s="1560"/>
      <c r="D64" s="1560"/>
      <c r="E64" s="1560"/>
      <c r="F64" s="1560"/>
      <c r="G64" s="1560"/>
      <c r="H64" s="1507" t="s">
        <v>965</v>
      </c>
      <c r="I64" s="1507"/>
      <c r="J64" s="1507"/>
      <c r="K64" s="1561"/>
      <c r="L64" s="1561"/>
      <c r="M64" s="1561"/>
      <c r="N64" s="1561"/>
      <c r="O64" s="531" t="s">
        <v>640</v>
      </c>
      <c r="P64" s="531"/>
      <c r="Q64" s="531"/>
      <c r="R64" s="531"/>
      <c r="S64" s="532"/>
      <c r="W64" s="533" t="s">
        <v>103</v>
      </c>
      <c r="X64" s="1562" t="s">
        <v>267</v>
      </c>
      <c r="Y64" s="1562"/>
      <c r="Z64" s="1562"/>
      <c r="AA64" s="1562"/>
      <c r="AB64" s="1562"/>
      <c r="AC64" s="1562"/>
      <c r="AD64" s="1562"/>
      <c r="AE64" s="534" t="s">
        <v>264</v>
      </c>
      <c r="AF64" s="1509">
        <f>R20*K64*100000*100</f>
        <v>0</v>
      </c>
      <c r="AG64" s="1509"/>
      <c r="AH64" s="1509"/>
      <c r="AI64" s="1509"/>
      <c r="AJ64" s="1509"/>
      <c r="AK64" s="1509"/>
      <c r="AL64" s="1571" t="str">
        <f t="shared" si="0"/>
        <v/>
      </c>
      <c r="AM64" s="1572"/>
      <c r="AO64" s="501"/>
      <c r="AP64" s="502"/>
    </row>
    <row r="65" spans="1:42" ht="20.25" customHeight="1">
      <c r="A65" s="1592"/>
      <c r="B65" s="535" t="s">
        <v>643</v>
      </c>
      <c r="C65" s="536"/>
      <c r="D65" s="536"/>
      <c r="E65" s="536"/>
      <c r="F65" s="536"/>
      <c r="G65" s="536"/>
      <c r="H65" s="536"/>
      <c r="I65" s="510" t="s">
        <v>1159</v>
      </c>
      <c r="J65" s="536"/>
      <c r="K65" s="536"/>
      <c r="L65" s="536"/>
      <c r="M65" s="536"/>
      <c r="N65" s="536"/>
      <c r="O65" s="536"/>
      <c r="P65" s="536"/>
      <c r="Q65" s="536"/>
      <c r="R65" s="536"/>
      <c r="S65" s="536"/>
      <c r="T65" s="536"/>
      <c r="U65" s="536"/>
      <c r="V65" s="537"/>
      <c r="W65" s="538" t="s">
        <v>116</v>
      </c>
      <c r="X65" s="1593" t="s">
        <v>266</v>
      </c>
      <c r="Y65" s="1593"/>
      <c r="Z65" s="1593"/>
      <c r="AA65" s="1593"/>
      <c r="AB65" s="1593"/>
      <c r="AC65" s="1593"/>
      <c r="AD65" s="1593"/>
      <c r="AE65" s="539" t="s">
        <v>264</v>
      </c>
      <c r="AF65" s="1594">
        <f>IF(AF48&gt;1,+AF48*1.5,0)</f>
        <v>0</v>
      </c>
      <c r="AG65" s="1594"/>
      <c r="AH65" s="1594"/>
      <c r="AI65" s="1594"/>
      <c r="AJ65" s="1594"/>
      <c r="AK65" s="1594"/>
      <c r="AL65" s="1595" t="str">
        <f t="shared" si="0"/>
        <v/>
      </c>
      <c r="AM65" s="1596"/>
      <c r="AO65" s="501"/>
      <c r="AP65" s="502"/>
    </row>
    <row r="66" spans="1:42" ht="20.25" customHeight="1">
      <c r="A66" s="1592"/>
      <c r="B66" s="540"/>
      <c r="C66" s="536"/>
      <c r="D66" s="536"/>
      <c r="E66" s="536"/>
      <c r="F66" s="536"/>
      <c r="G66" s="536"/>
      <c r="H66" s="536"/>
      <c r="I66" s="536"/>
      <c r="J66" s="536"/>
      <c r="K66" s="536"/>
      <c r="L66" s="536"/>
      <c r="M66" s="536"/>
      <c r="N66" s="536"/>
      <c r="O66" s="536"/>
      <c r="P66" s="536"/>
      <c r="Q66" s="536"/>
      <c r="R66" s="536"/>
      <c r="S66" s="536"/>
      <c r="T66" s="536"/>
      <c r="U66" s="536"/>
      <c r="V66" s="537"/>
      <c r="W66" s="538" t="s">
        <v>121</v>
      </c>
      <c r="X66" s="1593" t="s">
        <v>265</v>
      </c>
      <c r="Y66" s="1593"/>
      <c r="Z66" s="1593"/>
      <c r="AA66" s="1593"/>
      <c r="AB66" s="1593"/>
      <c r="AC66" s="1593"/>
      <c r="AD66" s="1593"/>
      <c r="AE66" s="539" t="s">
        <v>264</v>
      </c>
      <c r="AF66" s="1597">
        <f>IF(AF49&gt;1,+AF49*1.5,0)</f>
        <v>0</v>
      </c>
      <c r="AG66" s="1597"/>
      <c r="AH66" s="1597"/>
      <c r="AI66" s="1597"/>
      <c r="AJ66" s="1597"/>
      <c r="AK66" s="1597"/>
      <c r="AL66" s="1595" t="str">
        <f t="shared" si="0"/>
        <v/>
      </c>
      <c r="AM66" s="1596"/>
      <c r="AO66" s="501"/>
      <c r="AP66" s="502"/>
    </row>
    <row r="67" spans="1:42" ht="20.25" customHeight="1">
      <c r="A67" s="1592"/>
      <c r="B67" s="540"/>
      <c r="C67" s="536"/>
      <c r="D67" s="536"/>
      <c r="E67" s="536"/>
      <c r="F67" s="536"/>
      <c r="G67" s="536"/>
      <c r="H67" s="536"/>
      <c r="I67" s="536"/>
      <c r="J67" s="536"/>
      <c r="K67" s="536"/>
      <c r="L67" s="536"/>
      <c r="M67" s="536"/>
      <c r="N67" s="536"/>
      <c r="O67" s="536"/>
      <c r="P67" s="536"/>
      <c r="Q67" s="536"/>
      <c r="R67" s="536"/>
      <c r="S67" s="536"/>
      <c r="T67" s="536"/>
      <c r="U67" s="536"/>
      <c r="V67" s="537"/>
      <c r="W67" s="1568" t="s">
        <v>129</v>
      </c>
      <c r="X67" s="1569"/>
      <c r="Y67" s="1569"/>
      <c r="Z67" s="1569"/>
      <c r="AA67" s="1569"/>
      <c r="AB67" s="1569"/>
      <c r="AC67" s="1569"/>
      <c r="AD67" s="1569"/>
      <c r="AE67" s="534" t="s">
        <v>264</v>
      </c>
      <c r="AF67" s="1570">
        <f>SUM(AF64:AK66)</f>
        <v>0</v>
      </c>
      <c r="AG67" s="1562"/>
      <c r="AH67" s="1562"/>
      <c r="AI67" s="1562"/>
      <c r="AJ67" s="1562"/>
      <c r="AK67" s="1562"/>
      <c r="AL67" s="1571" t="s">
        <v>263</v>
      </c>
      <c r="AM67" s="1572"/>
      <c r="AO67" s="501"/>
      <c r="AP67" s="502"/>
    </row>
    <row r="68" spans="1:42" ht="20.25" customHeight="1">
      <c r="A68" s="751"/>
      <c r="B68" s="531"/>
      <c r="C68" s="531"/>
      <c r="D68" s="531"/>
      <c r="E68" s="531"/>
      <c r="F68" s="531"/>
      <c r="G68" s="531"/>
      <c r="H68" s="531"/>
      <c r="I68" s="531"/>
      <c r="J68" s="531"/>
      <c r="K68" s="531"/>
      <c r="L68" s="531"/>
      <c r="M68" s="531"/>
      <c r="N68" s="531"/>
      <c r="O68" s="531"/>
      <c r="P68" s="531"/>
      <c r="Q68" s="531"/>
      <c r="R68" s="531"/>
      <c r="S68" s="531"/>
      <c r="T68" s="531"/>
      <c r="U68" s="531"/>
      <c r="V68" s="531"/>
      <c r="W68" s="759"/>
      <c r="X68" s="759"/>
      <c r="Y68" s="759"/>
      <c r="Z68" s="759"/>
      <c r="AA68" s="759"/>
      <c r="AB68" s="759"/>
      <c r="AC68" s="759"/>
      <c r="AD68" s="759"/>
      <c r="AE68" s="534"/>
      <c r="AF68" s="760"/>
      <c r="AG68" s="534"/>
      <c r="AH68" s="534"/>
      <c r="AI68" s="534"/>
      <c r="AJ68" s="534"/>
      <c r="AK68" s="534"/>
      <c r="AL68" s="750"/>
      <c r="AM68" s="750"/>
      <c r="AO68" s="501"/>
      <c r="AP68" s="502"/>
    </row>
    <row r="69" spans="1:42" ht="20.25" customHeight="1">
      <c r="A69" s="761"/>
      <c r="B69" s="536"/>
      <c r="C69" s="536"/>
      <c r="D69" s="536"/>
      <c r="E69" s="536"/>
      <c r="F69" s="536"/>
      <c r="G69" s="536"/>
      <c r="H69" s="536"/>
      <c r="I69" s="536"/>
      <c r="J69" s="536"/>
      <c r="K69" s="536"/>
      <c r="L69" s="536"/>
      <c r="M69" s="536"/>
      <c r="N69" s="536"/>
      <c r="O69" s="536"/>
      <c r="P69" s="536"/>
      <c r="Q69" s="536"/>
      <c r="R69" s="536"/>
      <c r="S69" s="536"/>
      <c r="T69" s="536"/>
      <c r="U69" s="536"/>
      <c r="V69" s="536"/>
      <c r="W69" s="762"/>
      <c r="X69" s="762"/>
      <c r="Y69" s="762"/>
      <c r="Z69" s="762"/>
      <c r="AA69" s="762"/>
      <c r="AB69" s="762"/>
      <c r="AC69" s="762"/>
      <c r="AD69" s="762"/>
      <c r="AE69" s="539"/>
      <c r="AF69" s="763"/>
      <c r="AG69" s="539"/>
      <c r="AH69" s="539"/>
      <c r="AI69" s="539"/>
      <c r="AJ69" s="539"/>
      <c r="AK69" s="539"/>
      <c r="AL69" s="764"/>
      <c r="AM69" s="764"/>
      <c r="AO69" s="501"/>
      <c r="AP69" s="502"/>
    </row>
    <row r="70" spans="1:42" ht="20.25" customHeight="1">
      <c r="A70" s="761"/>
      <c r="B70" s="536"/>
      <c r="C70" s="536"/>
      <c r="D70" s="536"/>
      <c r="E70" s="536"/>
      <c r="F70" s="536"/>
      <c r="G70" s="536"/>
      <c r="H70" s="536"/>
      <c r="I70" s="536"/>
      <c r="J70" s="536"/>
      <c r="K70" s="536"/>
      <c r="L70" s="536"/>
      <c r="M70" s="536"/>
      <c r="N70" s="536"/>
      <c r="O70" s="536"/>
      <c r="P70" s="536"/>
      <c r="Q70" s="536"/>
      <c r="R70" s="536"/>
      <c r="S70" s="536"/>
      <c r="T70" s="536"/>
      <c r="U70" s="536"/>
      <c r="V70" s="536"/>
      <c r="W70" s="762"/>
      <c r="X70" s="762"/>
      <c r="Y70" s="762"/>
      <c r="Z70" s="762"/>
      <c r="AA70" s="762"/>
      <c r="AB70" s="762"/>
      <c r="AC70" s="762"/>
      <c r="AD70" s="762"/>
      <c r="AE70" s="539"/>
      <c r="AF70" s="763"/>
      <c r="AG70" s="539"/>
      <c r="AH70" s="539"/>
      <c r="AI70" s="539"/>
      <c r="AJ70" s="539"/>
      <c r="AK70" s="539"/>
      <c r="AL70" s="764"/>
      <c r="AM70" s="764"/>
      <c r="AO70" s="501"/>
      <c r="AP70" s="502"/>
    </row>
    <row r="71" spans="1:42" ht="20.25" customHeight="1">
      <c r="A71" s="761"/>
      <c r="B71" s="536"/>
      <c r="C71" s="536"/>
      <c r="D71" s="536"/>
      <c r="E71" s="536"/>
      <c r="F71" s="536"/>
      <c r="G71" s="536"/>
      <c r="H71" s="536"/>
      <c r="I71" s="536"/>
      <c r="J71" s="536"/>
      <c r="K71" s="536"/>
      <c r="L71" s="536"/>
      <c r="M71" s="536"/>
      <c r="N71" s="536"/>
      <c r="O71" s="536"/>
      <c r="P71" s="536"/>
      <c r="Q71" s="536"/>
      <c r="R71" s="536"/>
      <c r="S71" s="536"/>
      <c r="T71" s="536"/>
      <c r="U71" s="536"/>
      <c r="V71" s="536"/>
      <c r="W71" s="762"/>
      <c r="X71" s="762"/>
      <c r="Y71" s="762"/>
      <c r="Z71" s="762"/>
      <c r="AA71" s="762"/>
      <c r="AB71" s="762"/>
      <c r="AC71" s="762"/>
      <c r="AD71" s="762"/>
      <c r="AE71" s="539"/>
      <c r="AF71" s="763"/>
      <c r="AG71" s="539"/>
      <c r="AH71" s="539"/>
      <c r="AI71" s="539"/>
      <c r="AJ71" s="539"/>
      <c r="AK71" s="539"/>
      <c r="AL71" s="764"/>
      <c r="AM71" s="764"/>
      <c r="AO71" s="501"/>
      <c r="AP71" s="502"/>
    </row>
    <row r="72" spans="1:42" ht="20.25" customHeight="1">
      <c r="A72" s="761"/>
      <c r="B72" s="536"/>
      <c r="C72" s="536"/>
      <c r="D72" s="536"/>
      <c r="E72" s="536"/>
      <c r="F72" s="536"/>
      <c r="G72" s="536"/>
      <c r="H72" s="536"/>
      <c r="I72" s="536"/>
      <c r="J72" s="536"/>
      <c r="K72" s="536"/>
      <c r="L72" s="536"/>
      <c r="M72" s="536"/>
      <c r="N72" s="536"/>
      <c r="O72" s="536"/>
      <c r="P72" s="536"/>
      <c r="Q72" s="536"/>
      <c r="R72" s="536"/>
      <c r="S72" s="536"/>
      <c r="T72" s="536"/>
      <c r="U72" s="536"/>
      <c r="V72" s="536"/>
      <c r="W72" s="762"/>
      <c r="X72" s="762"/>
      <c r="Y72" s="762"/>
      <c r="Z72" s="762"/>
      <c r="AA72" s="762"/>
      <c r="AB72" s="762"/>
      <c r="AC72" s="762"/>
      <c r="AD72" s="762"/>
      <c r="AE72" s="539"/>
      <c r="AF72" s="763"/>
      <c r="AG72" s="539"/>
      <c r="AH72" s="539"/>
      <c r="AI72" s="539"/>
      <c r="AJ72" s="539"/>
      <c r="AK72" s="539"/>
      <c r="AL72" s="764"/>
      <c r="AM72" s="764"/>
      <c r="AO72" s="501"/>
      <c r="AP72" s="502"/>
    </row>
    <row r="73" spans="1:42" ht="20.25" customHeight="1">
      <c r="A73" s="761"/>
      <c r="B73" s="536"/>
      <c r="C73" s="536"/>
      <c r="D73" s="536"/>
      <c r="E73" s="536"/>
      <c r="F73" s="536"/>
      <c r="G73" s="536"/>
      <c r="H73" s="536"/>
      <c r="I73" s="536"/>
      <c r="J73" s="536"/>
      <c r="K73" s="536"/>
      <c r="L73" s="536"/>
      <c r="M73" s="536"/>
      <c r="N73" s="536"/>
      <c r="O73" s="536"/>
      <c r="P73" s="536"/>
      <c r="Q73" s="536"/>
      <c r="R73" s="536"/>
      <c r="S73" s="536"/>
      <c r="T73" s="536"/>
      <c r="U73" s="536"/>
      <c r="V73" s="536"/>
      <c r="W73" s="762"/>
      <c r="X73" s="762"/>
      <c r="Y73" s="762"/>
      <c r="Z73" s="762"/>
      <c r="AA73" s="762"/>
      <c r="AB73" s="762"/>
      <c r="AC73" s="762"/>
      <c r="AD73" s="762"/>
      <c r="AE73" s="539"/>
      <c r="AF73" s="763"/>
      <c r="AG73" s="539"/>
      <c r="AH73" s="539"/>
      <c r="AI73" s="539"/>
      <c r="AJ73" s="539"/>
      <c r="AK73" s="539"/>
      <c r="AL73" s="764"/>
      <c r="AM73" s="764"/>
      <c r="AO73" s="501"/>
      <c r="AP73" s="502"/>
    </row>
    <row r="74" spans="1:42" ht="27" customHeight="1">
      <c r="A74" s="1503" t="s">
        <v>197</v>
      </c>
      <c r="B74" s="1461" t="s">
        <v>196</v>
      </c>
      <c r="C74" s="1462"/>
      <c r="D74" s="1462"/>
      <c r="E74" s="1462"/>
      <c r="F74" s="1462"/>
      <c r="G74" s="1462"/>
      <c r="H74" s="1462"/>
      <c r="I74" s="1462"/>
      <c r="J74" s="1462"/>
      <c r="K74" s="1462"/>
      <c r="L74" s="1462"/>
      <c r="M74" s="1462"/>
      <c r="N74" s="1462"/>
      <c r="O74" s="1462"/>
      <c r="P74" s="1462"/>
      <c r="Q74" s="1462"/>
      <c r="R74" s="1462"/>
      <c r="S74" s="1462"/>
      <c r="T74" s="1462"/>
      <c r="U74" s="508"/>
      <c r="V74" s="518"/>
      <c r="W74" s="1580" t="s">
        <v>1156</v>
      </c>
      <c r="X74" s="1581"/>
      <c r="Y74" s="1581"/>
      <c r="Z74" s="1581"/>
      <c r="AA74" s="1581"/>
      <c r="AB74" s="1581"/>
      <c r="AC74" s="1581"/>
      <c r="AD74" s="1581"/>
      <c r="AE74" s="1581"/>
      <c r="AF74" s="1581"/>
      <c r="AG74" s="1581"/>
      <c r="AH74" s="1581"/>
      <c r="AI74" s="1581"/>
      <c r="AJ74" s="1581"/>
      <c r="AK74" s="1581"/>
      <c r="AL74" s="1581"/>
      <c r="AM74" s="1582"/>
      <c r="AO74" s="501"/>
      <c r="AP74" s="502"/>
    </row>
    <row r="75" spans="1:42" ht="27.75" customHeight="1">
      <c r="A75" s="1504"/>
      <c r="B75" s="541"/>
      <c r="C75" s="512" t="s">
        <v>103</v>
      </c>
      <c r="D75" s="1589" t="s">
        <v>850</v>
      </c>
      <c r="E75" s="1589"/>
      <c r="F75" s="1589"/>
      <c r="G75" s="1589"/>
      <c r="H75" s="1589"/>
      <c r="I75" s="1589"/>
      <c r="J75" s="1589"/>
      <c r="K75" s="1589"/>
      <c r="L75" s="1589"/>
      <c r="M75" s="1589"/>
      <c r="N75" s="1589"/>
      <c r="O75" s="1589"/>
      <c r="P75" s="1589"/>
      <c r="Q75" s="1589"/>
      <c r="R75" s="1589"/>
      <c r="S75" s="1589"/>
      <c r="T75" s="1589"/>
      <c r="U75" s="1589"/>
      <c r="V75" s="1590"/>
      <c r="W75" s="1583"/>
      <c r="X75" s="1584"/>
      <c r="Y75" s="1584"/>
      <c r="Z75" s="1584"/>
      <c r="AA75" s="1584"/>
      <c r="AB75" s="1584"/>
      <c r="AC75" s="1584"/>
      <c r="AD75" s="1584"/>
      <c r="AE75" s="1584"/>
      <c r="AF75" s="1584"/>
      <c r="AG75" s="1584"/>
      <c r="AH75" s="1584"/>
      <c r="AI75" s="1584"/>
      <c r="AJ75" s="1584"/>
      <c r="AK75" s="1584"/>
      <c r="AL75" s="1584"/>
      <c r="AM75" s="1585"/>
      <c r="AO75" s="501"/>
      <c r="AP75" s="502"/>
    </row>
    <row r="76" spans="1:42" ht="27.75" customHeight="1">
      <c r="A76" s="1504"/>
      <c r="B76" s="541"/>
      <c r="C76" s="512" t="s">
        <v>116</v>
      </c>
      <c r="D76" s="1589" t="s">
        <v>851</v>
      </c>
      <c r="E76" s="1589"/>
      <c r="F76" s="1589"/>
      <c r="G76" s="1589"/>
      <c r="H76" s="1589"/>
      <c r="I76" s="1589"/>
      <c r="J76" s="1589"/>
      <c r="K76" s="1589"/>
      <c r="L76" s="1589"/>
      <c r="M76" s="1589"/>
      <c r="N76" s="1589"/>
      <c r="O76" s="1589"/>
      <c r="P76" s="1589"/>
      <c r="Q76" s="1589"/>
      <c r="R76" s="1589"/>
      <c r="S76" s="1589"/>
      <c r="T76" s="1589"/>
      <c r="U76" s="1589"/>
      <c r="V76" s="1590"/>
      <c r="W76" s="1583"/>
      <c r="X76" s="1584"/>
      <c r="Y76" s="1584"/>
      <c r="Z76" s="1584"/>
      <c r="AA76" s="1584"/>
      <c r="AB76" s="1584"/>
      <c r="AC76" s="1584"/>
      <c r="AD76" s="1584"/>
      <c r="AE76" s="1584"/>
      <c r="AF76" s="1584"/>
      <c r="AG76" s="1584"/>
      <c r="AH76" s="1584"/>
      <c r="AI76" s="1584"/>
      <c r="AJ76" s="1584"/>
      <c r="AK76" s="1584"/>
      <c r="AL76" s="1584"/>
      <c r="AM76" s="1585"/>
      <c r="AO76" s="501"/>
      <c r="AP76" s="502"/>
    </row>
    <row r="77" spans="1:42" ht="32.25" customHeight="1">
      <c r="A77" s="1505"/>
      <c r="B77" s="542"/>
      <c r="C77" s="528" t="s">
        <v>121</v>
      </c>
      <c r="D77" s="528" t="s">
        <v>852</v>
      </c>
      <c r="E77" s="528"/>
      <c r="F77" s="528"/>
      <c r="G77" s="528"/>
      <c r="H77" s="528"/>
      <c r="I77" s="528"/>
      <c r="J77" s="528"/>
      <c r="K77" s="528"/>
      <c r="L77" s="528"/>
      <c r="M77" s="528"/>
      <c r="N77" s="528"/>
      <c r="O77" s="528"/>
      <c r="P77" s="528"/>
      <c r="Q77" s="528"/>
      <c r="R77" s="528"/>
      <c r="S77" s="528"/>
      <c r="T77" s="528"/>
      <c r="U77" s="528"/>
      <c r="V77" s="530"/>
      <c r="W77" s="1586"/>
      <c r="X77" s="1587"/>
      <c r="Y77" s="1587"/>
      <c r="Z77" s="1587"/>
      <c r="AA77" s="1587"/>
      <c r="AB77" s="1587"/>
      <c r="AC77" s="1587"/>
      <c r="AD77" s="1587"/>
      <c r="AE77" s="1587"/>
      <c r="AF77" s="1587"/>
      <c r="AG77" s="1587"/>
      <c r="AH77" s="1587"/>
      <c r="AI77" s="1587"/>
      <c r="AJ77" s="1587"/>
      <c r="AK77" s="1587"/>
      <c r="AL77" s="1587"/>
      <c r="AM77" s="1588"/>
      <c r="AO77" s="501"/>
      <c r="AP77" s="502"/>
    </row>
    <row r="78" spans="1:42" ht="43.5" customHeight="1">
      <c r="A78" s="506" t="s">
        <v>148</v>
      </c>
      <c r="B78" s="1563" t="s">
        <v>853</v>
      </c>
      <c r="C78" s="1458"/>
      <c r="D78" s="1458"/>
      <c r="E78" s="1458"/>
      <c r="F78" s="1458"/>
      <c r="G78" s="1458"/>
      <c r="H78" s="1458"/>
      <c r="I78" s="1458"/>
      <c r="J78" s="1458"/>
      <c r="K78" s="1458"/>
      <c r="L78" s="1458"/>
      <c r="M78" s="1458"/>
      <c r="N78" s="1458"/>
      <c r="O78" s="1458"/>
      <c r="P78" s="1458"/>
      <c r="Q78" s="1458"/>
      <c r="R78" s="1458"/>
      <c r="S78" s="1458"/>
      <c r="T78" s="1458"/>
      <c r="U78" s="1458"/>
      <c r="V78" s="1459"/>
      <c r="W78" s="1564" t="s">
        <v>124</v>
      </c>
      <c r="X78" s="1557"/>
      <c r="Y78" s="1557"/>
      <c r="Z78" s="1557"/>
      <c r="AA78" s="1557"/>
      <c r="AB78" s="1557"/>
      <c r="AC78" s="1557"/>
      <c r="AD78" s="1557"/>
      <c r="AE78" s="1557"/>
      <c r="AF78" s="1557"/>
      <c r="AG78" s="1557"/>
      <c r="AH78" s="1557"/>
      <c r="AI78" s="1557"/>
      <c r="AJ78" s="1557"/>
      <c r="AK78" s="1557"/>
      <c r="AL78" s="1557"/>
      <c r="AM78" s="1558"/>
    </row>
    <row r="79" spans="1:42" ht="31.5" customHeight="1">
      <c r="A79" s="506" t="s">
        <v>149</v>
      </c>
      <c r="B79" s="1565" t="s">
        <v>198</v>
      </c>
      <c r="C79" s="1566"/>
      <c r="D79" s="1566"/>
      <c r="E79" s="1566"/>
      <c r="F79" s="1566"/>
      <c r="G79" s="1566"/>
      <c r="H79" s="1566"/>
      <c r="I79" s="1566"/>
      <c r="J79" s="1566"/>
      <c r="K79" s="1566"/>
      <c r="L79" s="1566"/>
      <c r="M79" s="1566"/>
      <c r="N79" s="1566"/>
      <c r="O79" s="1566"/>
      <c r="P79" s="1566"/>
      <c r="Q79" s="1566"/>
      <c r="R79" s="1566"/>
      <c r="S79" s="1566"/>
      <c r="T79" s="1566"/>
      <c r="U79" s="1566"/>
      <c r="V79" s="1567"/>
      <c r="W79" s="1564" t="s">
        <v>854</v>
      </c>
      <c r="X79" s="1557"/>
      <c r="Y79" s="1557"/>
      <c r="Z79" s="1557"/>
      <c r="AA79" s="1557"/>
      <c r="AB79" s="1557"/>
      <c r="AC79" s="1557"/>
      <c r="AD79" s="1557"/>
      <c r="AE79" s="1557"/>
      <c r="AF79" s="1557"/>
      <c r="AG79" s="1557"/>
      <c r="AH79" s="1557"/>
      <c r="AI79" s="1557"/>
      <c r="AJ79" s="1557"/>
      <c r="AK79" s="1557"/>
      <c r="AL79" s="1557"/>
      <c r="AM79" s="1558"/>
    </row>
    <row r="80" spans="1:42" ht="20.25" customHeight="1">
      <c r="A80" s="1503" t="s">
        <v>151</v>
      </c>
      <c r="B80" s="1376" t="s">
        <v>855</v>
      </c>
      <c r="C80" s="1432"/>
      <c r="D80" s="1432"/>
      <c r="E80" s="1432"/>
      <c r="F80" s="1432"/>
      <c r="G80" s="1432"/>
      <c r="H80" s="1432"/>
      <c r="I80" s="1432"/>
      <c r="J80" s="1432"/>
      <c r="K80" s="1432"/>
      <c r="L80" s="1432"/>
      <c r="M80" s="1432"/>
      <c r="N80" s="1432"/>
      <c r="O80" s="1432"/>
      <c r="P80" s="1432"/>
      <c r="Q80" s="1432"/>
      <c r="R80" s="1432"/>
      <c r="S80" s="1432"/>
      <c r="T80" s="1432"/>
      <c r="U80" s="1432"/>
      <c r="V80" s="1573"/>
      <c r="W80" s="1574" t="s">
        <v>1053</v>
      </c>
      <c r="X80" s="1575"/>
      <c r="Y80" s="1575"/>
      <c r="Z80" s="1575"/>
      <c r="AA80" s="1575"/>
      <c r="AB80" s="1575"/>
      <c r="AC80" s="1575"/>
      <c r="AD80" s="1575"/>
      <c r="AE80" s="1575"/>
      <c r="AF80" s="1575"/>
      <c r="AG80" s="1575"/>
      <c r="AH80" s="1575"/>
      <c r="AI80" s="1575"/>
      <c r="AJ80" s="1575"/>
      <c r="AK80" s="1575"/>
      <c r="AL80" s="1575"/>
      <c r="AM80" s="1576"/>
    </row>
    <row r="81" spans="1:39" ht="33.75" customHeight="1">
      <c r="A81" s="1505"/>
      <c r="B81" s="1370"/>
      <c r="C81" s="1390"/>
      <c r="D81" s="1390"/>
      <c r="E81" s="1390"/>
      <c r="F81" s="1390"/>
      <c r="G81" s="1390"/>
      <c r="H81" s="1390"/>
      <c r="I81" s="1390"/>
      <c r="J81" s="1390"/>
      <c r="K81" s="1390"/>
      <c r="L81" s="1390"/>
      <c r="M81" s="1390"/>
      <c r="N81" s="1390"/>
      <c r="O81" s="1390"/>
      <c r="P81" s="1390"/>
      <c r="Q81" s="1390"/>
      <c r="R81" s="1390"/>
      <c r="S81" s="1390"/>
      <c r="T81" s="1390"/>
      <c r="U81" s="1390"/>
      <c r="V81" s="1391"/>
      <c r="W81" s="1577"/>
      <c r="X81" s="1578"/>
      <c r="Y81" s="1578"/>
      <c r="Z81" s="1578"/>
      <c r="AA81" s="1578"/>
      <c r="AB81" s="1578"/>
      <c r="AC81" s="1578"/>
      <c r="AD81" s="1578"/>
      <c r="AE81" s="1578"/>
      <c r="AF81" s="1578"/>
      <c r="AG81" s="1578"/>
      <c r="AH81" s="1578"/>
      <c r="AI81" s="1578"/>
      <c r="AJ81" s="1578"/>
      <c r="AK81" s="1578"/>
      <c r="AL81" s="1578"/>
      <c r="AM81" s="1579"/>
    </row>
    <row r="82" spans="1:39" ht="20.25" customHeight="1">
      <c r="A82" s="1503" t="s">
        <v>199</v>
      </c>
      <c r="B82" s="1376" t="s">
        <v>856</v>
      </c>
      <c r="C82" s="1432"/>
      <c r="D82" s="1432"/>
      <c r="E82" s="1432"/>
      <c r="F82" s="1432"/>
      <c r="G82" s="1432"/>
      <c r="H82" s="1432"/>
      <c r="I82" s="1432"/>
      <c r="J82" s="1432"/>
      <c r="K82" s="1432"/>
      <c r="L82" s="1432"/>
      <c r="M82" s="1432"/>
      <c r="N82" s="1432"/>
      <c r="O82" s="1432"/>
      <c r="P82" s="1432"/>
      <c r="Q82" s="1432"/>
      <c r="R82" s="1432"/>
      <c r="S82" s="1432"/>
      <c r="T82" s="1432"/>
      <c r="U82" s="1432"/>
      <c r="V82" s="1573"/>
      <c r="W82" s="1493" t="s">
        <v>857</v>
      </c>
      <c r="X82" s="1506"/>
      <c r="Y82" s="1506"/>
      <c r="Z82" s="1506"/>
      <c r="AA82" s="1506"/>
      <c r="AB82" s="1506"/>
      <c r="AC82" s="1506"/>
      <c r="AD82" s="1506"/>
      <c r="AE82" s="1506"/>
      <c r="AF82" s="1506"/>
      <c r="AG82" s="1506"/>
      <c r="AH82" s="1506"/>
      <c r="AI82" s="1506"/>
      <c r="AJ82" s="1506"/>
      <c r="AK82" s="1506"/>
      <c r="AL82" s="1506"/>
      <c r="AM82" s="1599"/>
    </row>
    <row r="83" spans="1:39" ht="31.5" customHeight="1">
      <c r="A83" s="1505"/>
      <c r="B83" s="1370"/>
      <c r="C83" s="1390"/>
      <c r="D83" s="1390"/>
      <c r="E83" s="1390"/>
      <c r="F83" s="1390"/>
      <c r="G83" s="1390"/>
      <c r="H83" s="1390"/>
      <c r="I83" s="1390"/>
      <c r="J83" s="1390"/>
      <c r="K83" s="1390"/>
      <c r="L83" s="1390"/>
      <c r="M83" s="1390"/>
      <c r="N83" s="1390"/>
      <c r="O83" s="1390"/>
      <c r="P83" s="1390"/>
      <c r="Q83" s="1390"/>
      <c r="R83" s="1390"/>
      <c r="S83" s="1390"/>
      <c r="T83" s="1390"/>
      <c r="U83" s="1390"/>
      <c r="V83" s="1391"/>
      <c r="W83" s="1495"/>
      <c r="X83" s="1600"/>
      <c r="Y83" s="1600"/>
      <c r="Z83" s="1600"/>
      <c r="AA83" s="1600"/>
      <c r="AB83" s="1600"/>
      <c r="AC83" s="1600"/>
      <c r="AD83" s="1600"/>
      <c r="AE83" s="1600"/>
      <c r="AF83" s="1600"/>
      <c r="AG83" s="1600"/>
      <c r="AH83" s="1600"/>
      <c r="AI83" s="1600"/>
      <c r="AJ83" s="1600"/>
      <c r="AK83" s="1600"/>
      <c r="AL83" s="1600"/>
      <c r="AM83" s="1601"/>
    </row>
    <row r="84" spans="1:39" ht="44.25" customHeight="1">
      <c r="A84" s="506" t="s">
        <v>201</v>
      </c>
      <c r="B84" s="1565" t="s">
        <v>200</v>
      </c>
      <c r="C84" s="1566"/>
      <c r="D84" s="1566"/>
      <c r="E84" s="1566"/>
      <c r="F84" s="1566"/>
      <c r="G84" s="1566"/>
      <c r="H84" s="1566"/>
      <c r="I84" s="1566"/>
      <c r="J84" s="1566"/>
      <c r="K84" s="1566"/>
      <c r="L84" s="1566"/>
      <c r="M84" s="1566"/>
      <c r="N84" s="1566"/>
      <c r="O84" s="1566"/>
      <c r="P84" s="1566"/>
      <c r="Q84" s="1566"/>
      <c r="R84" s="1566"/>
      <c r="S84" s="1566"/>
      <c r="T84" s="1566"/>
      <c r="U84" s="1566"/>
      <c r="V84" s="1567"/>
      <c r="W84" s="1602" t="s">
        <v>858</v>
      </c>
      <c r="X84" s="1603"/>
      <c r="Y84" s="1603"/>
      <c r="Z84" s="1603"/>
      <c r="AA84" s="1603"/>
      <c r="AB84" s="1603"/>
      <c r="AC84" s="1603"/>
      <c r="AD84" s="1603"/>
      <c r="AE84" s="1603"/>
      <c r="AF84" s="1603"/>
      <c r="AG84" s="1603"/>
      <c r="AH84" s="1603"/>
      <c r="AI84" s="1603"/>
      <c r="AJ84" s="1603"/>
      <c r="AK84" s="1603"/>
      <c r="AL84" s="1603"/>
      <c r="AM84" s="1604"/>
    </row>
    <row r="85" spans="1:39" ht="20.25" customHeight="1">
      <c r="A85" s="1503" t="s">
        <v>859</v>
      </c>
      <c r="B85" s="1564" t="s">
        <v>202</v>
      </c>
      <c r="C85" s="1557"/>
      <c r="D85" s="1557"/>
      <c r="E85" s="1557"/>
      <c r="F85" s="1557"/>
      <c r="G85" s="1557"/>
      <c r="H85" s="1557"/>
      <c r="I85" s="1557"/>
      <c r="J85" s="1557"/>
      <c r="K85" s="1557"/>
      <c r="L85" s="1557"/>
      <c r="M85" s="1557"/>
      <c r="N85" s="1557"/>
      <c r="O85" s="1557"/>
      <c r="P85" s="1557"/>
      <c r="Q85" s="1557"/>
      <c r="R85" s="1557"/>
      <c r="S85" s="1557"/>
      <c r="T85" s="1557"/>
      <c r="U85" s="1557"/>
      <c r="V85" s="1557"/>
      <c r="W85" s="1557"/>
      <c r="X85" s="1557"/>
      <c r="Y85" s="1557"/>
      <c r="Z85" s="1557"/>
      <c r="AA85" s="1557"/>
      <c r="AB85" s="1557"/>
      <c r="AC85" s="1557"/>
      <c r="AD85" s="1557"/>
      <c r="AE85" s="1557"/>
      <c r="AF85" s="1557"/>
      <c r="AG85" s="1557"/>
      <c r="AH85" s="1557"/>
      <c r="AI85" s="1557"/>
      <c r="AJ85" s="1557"/>
      <c r="AK85" s="1557"/>
      <c r="AL85" s="1557"/>
      <c r="AM85" s="1558"/>
    </row>
    <row r="86" spans="1:39" ht="18" customHeight="1">
      <c r="A86" s="1504"/>
      <c r="B86" s="1605" t="s">
        <v>860</v>
      </c>
      <c r="C86" s="1606"/>
      <c r="D86" s="1606"/>
      <c r="E86" s="1606"/>
      <c r="F86" s="1606"/>
      <c r="G86" s="1606"/>
      <c r="H86" s="1606"/>
      <c r="I86" s="1606"/>
      <c r="J86" s="1606"/>
      <c r="K86" s="1606"/>
      <c r="L86" s="1606"/>
      <c r="M86" s="1606"/>
      <c r="N86" s="1606"/>
      <c r="O86" s="1606"/>
      <c r="P86" s="1606"/>
      <c r="Q86" s="1606"/>
      <c r="R86" s="1606"/>
      <c r="S86" s="1606"/>
      <c r="T86" s="1606"/>
      <c r="U86" s="1606"/>
      <c r="V86" s="1606"/>
      <c r="W86" s="1606"/>
      <c r="X86" s="1606"/>
      <c r="Y86" s="1606"/>
      <c r="Z86" s="1606"/>
      <c r="AA86" s="1606"/>
      <c r="AB86" s="1606"/>
      <c r="AC86" s="1606"/>
      <c r="AD86" s="1606"/>
      <c r="AE86" s="1606"/>
      <c r="AF86" s="1606"/>
      <c r="AG86" s="1606"/>
      <c r="AH86" s="1606"/>
      <c r="AI86" s="1606"/>
      <c r="AJ86" s="1606"/>
      <c r="AK86" s="1606"/>
      <c r="AL86" s="1606"/>
      <c r="AM86" s="1607"/>
    </row>
    <row r="87" spans="1:39" ht="18" customHeight="1">
      <c r="A87" s="1504"/>
      <c r="B87" s="1608"/>
      <c r="C87" s="1609"/>
      <c r="D87" s="1609"/>
      <c r="E87" s="1609"/>
      <c r="F87" s="1609"/>
      <c r="G87" s="1609"/>
      <c r="H87" s="1609"/>
      <c r="I87" s="1609"/>
      <c r="J87" s="1609"/>
      <c r="K87" s="1609"/>
      <c r="L87" s="1609"/>
      <c r="M87" s="1609"/>
      <c r="N87" s="1609"/>
      <c r="O87" s="1609"/>
      <c r="P87" s="1609"/>
      <c r="Q87" s="1609"/>
      <c r="R87" s="1609"/>
      <c r="S87" s="1609"/>
      <c r="T87" s="1609"/>
      <c r="U87" s="1609"/>
      <c r="V87" s="1609"/>
      <c r="W87" s="1609"/>
      <c r="X87" s="1609"/>
      <c r="Y87" s="1609"/>
      <c r="Z87" s="1609"/>
      <c r="AA87" s="1609"/>
      <c r="AB87" s="1609"/>
      <c r="AC87" s="1609"/>
      <c r="AD87" s="1609"/>
      <c r="AE87" s="1609"/>
      <c r="AF87" s="1609"/>
      <c r="AG87" s="1609"/>
      <c r="AH87" s="1609"/>
      <c r="AI87" s="1609"/>
      <c r="AJ87" s="1609"/>
      <c r="AK87" s="1609"/>
      <c r="AL87" s="1609"/>
      <c r="AM87" s="1610"/>
    </row>
    <row r="88" spans="1:39" ht="18" customHeight="1">
      <c r="A88" s="1505"/>
      <c r="B88" s="1611"/>
      <c r="C88" s="1612"/>
      <c r="D88" s="1612"/>
      <c r="E88" s="1612"/>
      <c r="F88" s="1612"/>
      <c r="G88" s="1612"/>
      <c r="H88" s="1612"/>
      <c r="I88" s="1612"/>
      <c r="J88" s="1612"/>
      <c r="K88" s="1612"/>
      <c r="L88" s="1612"/>
      <c r="M88" s="1612"/>
      <c r="N88" s="1612"/>
      <c r="O88" s="1612"/>
      <c r="P88" s="1612"/>
      <c r="Q88" s="1612"/>
      <c r="R88" s="1612"/>
      <c r="S88" s="1612"/>
      <c r="T88" s="1612"/>
      <c r="U88" s="1612"/>
      <c r="V88" s="1612"/>
      <c r="W88" s="1612"/>
      <c r="X88" s="1612"/>
      <c r="Y88" s="1612"/>
      <c r="Z88" s="1612"/>
      <c r="AA88" s="1612"/>
      <c r="AB88" s="1612"/>
      <c r="AC88" s="1612"/>
      <c r="AD88" s="1612"/>
      <c r="AE88" s="1612"/>
      <c r="AF88" s="1612"/>
      <c r="AG88" s="1612"/>
      <c r="AH88" s="1612"/>
      <c r="AI88" s="1612"/>
      <c r="AJ88" s="1612"/>
      <c r="AK88" s="1612"/>
      <c r="AL88" s="1612"/>
      <c r="AM88" s="1613"/>
    </row>
    <row r="89" spans="1:39" ht="18" customHeight="1">
      <c r="A89" s="543"/>
      <c r="B89" s="524"/>
      <c r="C89" s="524"/>
      <c r="D89" s="524"/>
      <c r="E89" s="524"/>
      <c r="F89" s="524"/>
      <c r="G89" s="524"/>
      <c r="H89" s="524"/>
      <c r="I89" s="524"/>
      <c r="J89" s="524"/>
      <c r="K89" s="524"/>
      <c r="L89" s="524"/>
      <c r="M89" s="524"/>
      <c r="N89" s="524"/>
      <c r="O89" s="524"/>
      <c r="P89" s="524"/>
      <c r="Q89" s="524"/>
      <c r="R89" s="524"/>
      <c r="S89" s="524"/>
      <c r="T89" s="524"/>
      <c r="U89" s="524"/>
      <c r="V89" s="524"/>
      <c r="W89" s="524"/>
      <c r="X89" s="524"/>
      <c r="Y89" s="524"/>
      <c r="Z89" s="524"/>
      <c r="AA89" s="524"/>
      <c r="AB89" s="524"/>
      <c r="AC89" s="524"/>
      <c r="AD89" s="524"/>
      <c r="AE89" s="524"/>
      <c r="AF89" s="524"/>
      <c r="AG89" s="524"/>
      <c r="AH89" s="524"/>
      <c r="AI89" s="524"/>
      <c r="AJ89" s="524"/>
      <c r="AK89" s="524"/>
      <c r="AL89" s="524"/>
      <c r="AM89" s="524"/>
    </row>
    <row r="90" spans="1:39" ht="21.75" customHeight="1">
      <c r="A90" s="1589" t="s">
        <v>875</v>
      </c>
      <c r="B90" s="1589"/>
      <c r="C90" s="1589"/>
      <c r="D90" s="1589"/>
      <c r="E90" s="1589"/>
      <c r="F90" s="1589"/>
      <c r="G90" s="1589"/>
      <c r="H90" s="1589"/>
      <c r="I90" s="1589"/>
      <c r="J90" s="1589"/>
      <c r="K90" s="1589"/>
      <c r="L90" s="1589"/>
      <c r="M90" s="1589"/>
      <c r="N90" s="1589"/>
      <c r="O90" s="1589"/>
      <c r="P90" s="1589"/>
      <c r="Q90" s="1589"/>
      <c r="R90" s="1589"/>
      <c r="S90" s="1589"/>
      <c r="T90" s="1589"/>
      <c r="U90" s="1589"/>
      <c r="V90" s="1589"/>
      <c r="W90" s="1589"/>
      <c r="X90" s="1589"/>
      <c r="Y90" s="1589"/>
      <c r="Z90" s="1589"/>
      <c r="AA90" s="1589"/>
      <c r="AB90" s="1589"/>
      <c r="AC90" s="1589"/>
      <c r="AD90" s="1589"/>
      <c r="AE90" s="1589"/>
      <c r="AF90" s="1589"/>
      <c r="AG90" s="1589"/>
      <c r="AH90" s="1589"/>
      <c r="AI90" s="1589"/>
      <c r="AJ90" s="1589"/>
      <c r="AK90" s="1589"/>
      <c r="AL90" s="1589"/>
      <c r="AM90" s="1589"/>
    </row>
    <row r="91" spans="1:39" ht="18" customHeight="1">
      <c r="A91" s="544" t="s">
        <v>271</v>
      </c>
      <c r="B91" s="545"/>
      <c r="C91" s="545"/>
      <c r="D91" s="545"/>
      <c r="E91" s="545"/>
      <c r="F91" s="545"/>
      <c r="G91" s="545"/>
      <c r="H91" s="545"/>
      <c r="I91" s="545"/>
      <c r="J91" s="545"/>
      <c r="K91" s="545"/>
      <c r="L91" s="545"/>
      <c r="M91" s="545"/>
      <c r="N91" s="545"/>
      <c r="O91" s="545"/>
      <c r="P91" s="545"/>
      <c r="Q91" s="545"/>
      <c r="R91" s="545"/>
      <c r="S91" s="545"/>
      <c r="T91" s="545"/>
      <c r="U91" s="545"/>
      <c r="V91" s="545"/>
      <c r="W91" s="545"/>
      <c r="X91" s="545"/>
      <c r="Y91" s="545"/>
      <c r="Z91" s="545"/>
      <c r="AA91" s="545"/>
      <c r="AB91" s="545"/>
      <c r="AC91" s="545"/>
      <c r="AD91" s="545"/>
      <c r="AE91" s="545"/>
      <c r="AF91" s="545"/>
      <c r="AG91" s="545"/>
      <c r="AH91" s="545"/>
      <c r="AI91" s="545"/>
      <c r="AJ91" s="545"/>
      <c r="AK91" s="545"/>
      <c r="AL91" s="545"/>
      <c r="AM91" s="545"/>
    </row>
    <row r="92" spans="1:39" ht="18">
      <c r="A92" s="546"/>
      <c r="B92" s="546"/>
      <c r="C92" s="547"/>
      <c r="D92" s="547"/>
      <c r="E92" s="547"/>
      <c r="F92" s="547"/>
      <c r="G92" s="547"/>
      <c r="H92" s="547"/>
      <c r="I92" s="547"/>
      <c r="J92" s="547"/>
      <c r="K92" s="546"/>
      <c r="L92" s="546"/>
      <c r="M92" s="546"/>
      <c r="N92" s="546"/>
      <c r="O92" s="546"/>
      <c r="P92" s="546"/>
      <c r="Q92" s="546"/>
      <c r="R92" s="546"/>
      <c r="S92" s="546"/>
      <c r="T92" s="546"/>
      <c r="U92" s="546"/>
      <c r="V92" s="546"/>
      <c r="W92" s="546"/>
      <c r="X92" s="546"/>
      <c r="Y92" s="546"/>
      <c r="Z92" s="546"/>
      <c r="AA92" s="546"/>
      <c r="AB92" s="546"/>
      <c r="AC92" s="546"/>
      <c r="AD92" s="546"/>
      <c r="AE92" s="546"/>
      <c r="AF92" s="546"/>
      <c r="AG92" s="546"/>
      <c r="AH92" s="546"/>
      <c r="AI92" s="546"/>
      <c r="AJ92" s="548"/>
      <c r="AK92" s="548"/>
      <c r="AL92" s="548"/>
      <c r="AM92" s="548"/>
    </row>
    <row r="93" spans="1:39" ht="18">
      <c r="A93" s="546"/>
      <c r="B93" s="546"/>
      <c r="C93" s="546"/>
      <c r="D93" s="546"/>
      <c r="E93" s="546"/>
      <c r="F93" s="546"/>
      <c r="G93" s="546"/>
      <c r="H93" s="546"/>
      <c r="I93" s="546"/>
      <c r="J93" s="546"/>
      <c r="K93" s="546"/>
      <c r="L93" s="546"/>
      <c r="M93" s="546"/>
      <c r="N93" s="546"/>
      <c r="O93" s="546"/>
      <c r="P93" s="546"/>
      <c r="Q93" s="546"/>
      <c r="R93" s="546"/>
      <c r="S93" s="546"/>
      <c r="T93" s="546"/>
      <c r="U93" s="546"/>
      <c r="V93" s="546"/>
      <c r="W93" s="546"/>
      <c r="X93" s="546"/>
      <c r="Y93" s="546"/>
      <c r="Z93" s="546"/>
      <c r="AA93" s="546"/>
      <c r="AB93" s="546"/>
      <c r="AC93" s="546"/>
      <c r="AD93" s="546"/>
      <c r="AE93" s="546"/>
      <c r="AF93" s="546"/>
      <c r="AG93" s="546"/>
      <c r="AH93" s="546"/>
      <c r="AI93" s="546"/>
      <c r="AJ93" s="548"/>
      <c r="AK93" s="548"/>
      <c r="AL93" s="548"/>
      <c r="AM93" s="548"/>
    </row>
    <row r="94" spans="1:39" ht="18">
      <c r="A94" s="546"/>
      <c r="B94" s="546"/>
      <c r="C94" s="546"/>
      <c r="D94" s="546"/>
      <c r="E94" s="546"/>
      <c r="F94" s="546"/>
      <c r="G94" s="546"/>
      <c r="H94" s="546"/>
      <c r="I94" s="546"/>
      <c r="J94" s="546"/>
      <c r="K94" s="546"/>
      <c r="L94" s="546"/>
      <c r="M94" s="546"/>
      <c r="N94" s="546"/>
      <c r="O94" s="546"/>
      <c r="P94" s="546"/>
      <c r="Q94" s="546"/>
      <c r="R94" s="546"/>
      <c r="S94" s="546"/>
      <c r="T94" s="546"/>
      <c r="U94" s="546"/>
      <c r="V94" s="546"/>
      <c r="W94" s="546"/>
      <c r="X94" s="546"/>
      <c r="Y94" s="546"/>
      <c r="Z94" s="546"/>
      <c r="AA94" s="546"/>
      <c r="AB94" s="546"/>
      <c r="AC94" s="546"/>
      <c r="AD94" s="546"/>
      <c r="AE94" s="546"/>
      <c r="AF94" s="546"/>
      <c r="AG94" s="546"/>
      <c r="AH94" s="546"/>
      <c r="AI94" s="546"/>
      <c r="AJ94" s="548"/>
      <c r="AK94" s="548"/>
      <c r="AL94" s="548"/>
      <c r="AM94" s="548"/>
    </row>
    <row r="95" spans="1:39" ht="19.5">
      <c r="A95" s="1598" t="str">
        <f>'Information Sheet'!B173</f>
        <v>gyj¨vqbKvix Kg©KZv©</v>
      </c>
      <c r="B95" s="1598"/>
      <c r="C95" s="1598"/>
      <c r="D95" s="1598"/>
      <c r="E95" s="1598"/>
      <c r="F95" s="1598"/>
      <c r="G95" s="1598"/>
      <c r="H95" s="1598"/>
      <c r="I95" s="1598"/>
      <c r="J95" s="1598"/>
      <c r="K95" s="1598"/>
      <c r="L95" s="1598"/>
      <c r="M95" s="1598" t="s">
        <v>162</v>
      </c>
      <c r="N95" s="1598"/>
      <c r="O95" s="1598"/>
      <c r="P95" s="1598"/>
      <c r="Q95" s="1598"/>
      <c r="R95" s="1598"/>
      <c r="S95" s="1598"/>
      <c r="T95" s="1598"/>
      <c r="U95" s="1598"/>
      <c r="V95" s="1598"/>
      <c r="W95" s="1598"/>
      <c r="X95" s="1598"/>
      <c r="Y95" s="1598"/>
      <c r="Z95" s="1598"/>
      <c r="AA95" s="1598"/>
      <c r="AB95" s="1598"/>
      <c r="AC95" s="1598"/>
      <c r="AD95" s="1598"/>
      <c r="AE95" s="1598"/>
      <c r="AF95" s="1598"/>
      <c r="AG95" s="1598"/>
      <c r="AH95" s="1598"/>
      <c r="AI95" s="1598"/>
      <c r="AJ95" s="1598"/>
      <c r="AK95" s="1598"/>
      <c r="AL95" s="1598"/>
      <c r="AM95" s="1598"/>
    </row>
    <row r="96" spans="1:39" ht="19.5">
      <c r="A96" s="1598"/>
      <c r="B96" s="1598"/>
      <c r="C96" s="1598"/>
      <c r="D96" s="1598"/>
      <c r="E96" s="1598"/>
      <c r="F96" s="1598"/>
      <c r="G96" s="1598"/>
      <c r="H96" s="1598"/>
      <c r="I96" s="1598"/>
      <c r="J96" s="1598"/>
      <c r="K96" s="1598"/>
      <c r="L96" s="1598"/>
      <c r="M96" s="1598"/>
      <c r="N96" s="1598"/>
      <c r="O96" s="1598"/>
      <c r="P96" s="1598"/>
      <c r="Q96" s="1598"/>
      <c r="R96" s="1598"/>
      <c r="S96" s="1598"/>
      <c r="T96" s="1598"/>
      <c r="U96" s="1598"/>
      <c r="V96" s="1598"/>
      <c r="W96" s="1598"/>
      <c r="X96" s="1598"/>
      <c r="Y96" s="1598"/>
      <c r="Z96" s="1598"/>
      <c r="AA96" s="1598"/>
      <c r="AB96" s="1598"/>
      <c r="AC96" s="1598"/>
      <c r="AD96" s="1598"/>
      <c r="AE96" s="1598"/>
      <c r="AF96" s="1598"/>
      <c r="AG96" s="1598"/>
      <c r="AH96" s="1598"/>
      <c r="AI96" s="1598"/>
      <c r="AJ96" s="1598"/>
      <c r="AK96" s="1598"/>
      <c r="AL96" s="1598"/>
      <c r="AM96" s="1598"/>
    </row>
    <row r="97" spans="1:39" ht="19.5">
      <c r="A97" s="1598"/>
      <c r="B97" s="1598"/>
      <c r="C97" s="1598"/>
      <c r="D97" s="1598"/>
      <c r="E97" s="1598"/>
      <c r="F97" s="1598"/>
      <c r="G97" s="1598"/>
      <c r="H97" s="1598"/>
      <c r="I97" s="1598"/>
      <c r="J97" s="1598"/>
      <c r="K97" s="1598"/>
      <c r="L97" s="1598"/>
      <c r="M97" s="1598"/>
      <c r="N97" s="1598"/>
      <c r="O97" s="1598"/>
      <c r="P97" s="1598"/>
      <c r="Q97" s="1598"/>
      <c r="R97" s="1598"/>
      <c r="S97" s="1598"/>
      <c r="T97" s="1598"/>
      <c r="U97" s="1598"/>
      <c r="V97" s="1598"/>
      <c r="W97" s="1598"/>
      <c r="X97" s="1598"/>
      <c r="Y97" s="1598"/>
      <c r="Z97" s="1598"/>
      <c r="AA97" s="1598"/>
      <c r="AB97" s="1598"/>
      <c r="AC97" s="1598"/>
      <c r="AD97" s="1598"/>
      <c r="AE97" s="1598"/>
      <c r="AF97" s="1598"/>
      <c r="AG97" s="1598"/>
      <c r="AH97" s="1598"/>
      <c r="AI97" s="1598"/>
      <c r="AJ97" s="1598"/>
      <c r="AK97" s="1598"/>
      <c r="AL97" s="1598"/>
      <c r="AM97" s="1598"/>
    </row>
    <row r="98" spans="1:39" ht="19.5">
      <c r="A98" s="1598"/>
      <c r="B98" s="1598"/>
      <c r="C98" s="1598"/>
      <c r="D98" s="1598"/>
      <c r="E98" s="1598"/>
      <c r="F98" s="1598"/>
      <c r="G98" s="1598"/>
      <c r="H98" s="1598"/>
      <c r="I98" s="1598"/>
      <c r="J98" s="1598"/>
      <c r="K98" s="1598"/>
      <c r="L98" s="1598"/>
      <c r="M98" s="1598"/>
      <c r="N98" s="1598"/>
      <c r="O98" s="1598"/>
      <c r="P98" s="1598"/>
      <c r="Q98" s="1598"/>
      <c r="R98" s="1598"/>
      <c r="S98" s="1598"/>
      <c r="T98" s="1598"/>
      <c r="U98" s="1598"/>
      <c r="V98" s="1598"/>
      <c r="W98" s="1598"/>
      <c r="X98" s="1598"/>
      <c r="Y98" s="1598"/>
      <c r="Z98" s="1598"/>
      <c r="AA98" s="1598"/>
      <c r="AB98" s="1598"/>
      <c r="AC98" s="1598"/>
      <c r="AD98" s="1598"/>
      <c r="AE98" s="1598"/>
      <c r="AF98" s="1598"/>
      <c r="AG98" s="1598"/>
      <c r="AH98" s="1598"/>
      <c r="AI98" s="1598"/>
      <c r="AJ98" s="1598"/>
      <c r="AK98" s="1598"/>
      <c r="AL98" s="1598"/>
      <c r="AM98" s="1598"/>
    </row>
    <row r="99" spans="1:39" ht="19.5">
      <c r="A99" s="1598"/>
      <c r="B99" s="1598"/>
      <c r="C99" s="1598"/>
      <c r="D99" s="1598"/>
      <c r="E99" s="1598"/>
      <c r="F99" s="1598"/>
      <c r="G99" s="1598"/>
      <c r="H99" s="1598"/>
      <c r="I99" s="1598"/>
      <c r="J99" s="1598"/>
      <c r="K99" s="1598"/>
      <c r="L99" s="1598"/>
      <c r="M99" s="1598"/>
      <c r="N99" s="1598"/>
      <c r="O99" s="1598"/>
      <c r="P99" s="1598"/>
      <c r="Q99" s="1598"/>
      <c r="R99" s="1598"/>
      <c r="S99" s="1598"/>
      <c r="T99" s="1598"/>
      <c r="U99" s="1598"/>
      <c r="V99" s="1598"/>
      <c r="W99" s="1598"/>
      <c r="X99" s="1598"/>
      <c r="Y99" s="1598"/>
      <c r="Z99" s="1598"/>
      <c r="AA99" s="1598"/>
      <c r="AB99" s="1598"/>
      <c r="AC99" s="1598"/>
      <c r="AD99" s="1598"/>
      <c r="AE99" s="1598"/>
      <c r="AF99" s="1598"/>
      <c r="AG99" s="1598"/>
      <c r="AH99" s="1598"/>
      <c r="AI99" s="1598"/>
      <c r="AJ99" s="1598"/>
      <c r="AK99" s="1598"/>
      <c r="AL99" s="1598"/>
      <c r="AM99" s="1598"/>
    </row>
    <row r="100" spans="1:39" ht="19.5">
      <c r="A100" s="1598"/>
      <c r="B100" s="1598"/>
      <c r="C100" s="1598"/>
      <c r="D100" s="1598"/>
      <c r="E100" s="1598"/>
      <c r="F100" s="1598"/>
      <c r="G100" s="1598"/>
      <c r="H100" s="1598"/>
      <c r="I100" s="1598"/>
      <c r="J100" s="1598"/>
      <c r="K100" s="1598"/>
      <c r="L100" s="1598"/>
      <c r="M100" s="1598"/>
      <c r="N100" s="1598"/>
      <c r="O100" s="1598"/>
      <c r="P100" s="1598"/>
      <c r="Q100" s="1598"/>
      <c r="R100" s="1598"/>
      <c r="S100" s="1598"/>
      <c r="T100" s="1598"/>
      <c r="U100" s="1598"/>
      <c r="V100" s="1598"/>
      <c r="W100" s="1598"/>
      <c r="X100" s="1598"/>
      <c r="Y100" s="1598"/>
      <c r="Z100" s="1598"/>
      <c r="AA100" s="1598"/>
      <c r="AB100" s="1598"/>
      <c r="AC100" s="1598"/>
      <c r="AD100" s="1598"/>
      <c r="AE100" s="1598"/>
      <c r="AF100" s="1598"/>
      <c r="AG100" s="1598"/>
      <c r="AH100" s="1598"/>
      <c r="AI100" s="1598"/>
      <c r="AJ100" s="1598"/>
      <c r="AK100" s="1598"/>
      <c r="AL100" s="1598"/>
      <c r="AM100" s="1598"/>
    </row>
    <row r="101" spans="1:39" ht="19.5">
      <c r="A101" s="1598"/>
      <c r="B101" s="1598"/>
      <c r="C101" s="1598"/>
      <c r="D101" s="1598"/>
      <c r="E101" s="1598"/>
      <c r="F101" s="1598"/>
      <c r="G101" s="1598"/>
      <c r="H101" s="1598"/>
      <c r="I101" s="1598"/>
      <c r="J101" s="1598"/>
      <c r="K101" s="1598"/>
      <c r="L101" s="1598"/>
      <c r="M101" s="1598"/>
      <c r="N101" s="1598"/>
      <c r="O101" s="1598"/>
      <c r="P101" s="1598"/>
      <c r="Q101" s="1598"/>
      <c r="R101" s="1598"/>
      <c r="S101" s="1598"/>
      <c r="T101" s="1598"/>
      <c r="U101" s="1598"/>
      <c r="V101" s="1598"/>
      <c r="W101" s="1598"/>
      <c r="X101" s="1598"/>
      <c r="Y101" s="1598"/>
      <c r="Z101" s="1598"/>
      <c r="AA101" s="1598"/>
      <c r="AB101" s="1598"/>
      <c r="AC101" s="1598"/>
      <c r="AD101" s="1598"/>
      <c r="AE101" s="1598"/>
      <c r="AF101" s="1598"/>
      <c r="AG101" s="1598"/>
      <c r="AH101" s="1598"/>
      <c r="AI101" s="1598"/>
      <c r="AJ101" s="1598"/>
      <c r="AK101" s="1598"/>
      <c r="AL101" s="1598"/>
      <c r="AM101" s="1598"/>
    </row>
    <row r="102" spans="1:39" ht="19.5">
      <c r="A102" s="1598"/>
      <c r="B102" s="1598"/>
      <c r="C102" s="1598"/>
      <c r="D102" s="1598"/>
      <c r="E102" s="1598"/>
      <c r="F102" s="1598"/>
      <c r="G102" s="1598"/>
      <c r="H102" s="1598"/>
      <c r="I102" s="1598"/>
      <c r="J102" s="1598"/>
      <c r="K102" s="1598"/>
      <c r="L102" s="1598"/>
      <c r="M102" s="1598"/>
      <c r="N102" s="1598"/>
      <c r="O102" s="1598"/>
      <c r="P102" s="1598"/>
      <c r="Q102" s="1598"/>
      <c r="R102" s="1598"/>
      <c r="S102" s="1598"/>
      <c r="T102" s="1598"/>
      <c r="U102" s="1598"/>
      <c r="V102" s="1598"/>
      <c r="W102" s="1598"/>
      <c r="X102" s="1598"/>
      <c r="Y102" s="1598"/>
      <c r="Z102" s="1598"/>
      <c r="AA102" s="1598"/>
      <c r="AB102" s="1598"/>
      <c r="AC102" s="1598"/>
      <c r="AD102" s="1598"/>
      <c r="AE102" s="1598"/>
      <c r="AF102" s="1598"/>
      <c r="AG102" s="1598"/>
      <c r="AH102" s="1598"/>
      <c r="AI102" s="1598"/>
      <c r="AJ102" s="1598"/>
      <c r="AK102" s="1598"/>
      <c r="AL102" s="1598"/>
      <c r="AM102" s="1598"/>
    </row>
    <row r="103" spans="1:39" ht="19.5">
      <c r="A103" s="1598"/>
      <c r="B103" s="1598"/>
      <c r="C103" s="1598"/>
      <c r="D103" s="1598"/>
      <c r="E103" s="1598"/>
      <c r="F103" s="1598"/>
      <c r="G103" s="1598"/>
      <c r="H103" s="1598"/>
      <c r="I103" s="1598"/>
      <c r="J103" s="1598"/>
      <c r="K103" s="1598"/>
      <c r="L103" s="1598"/>
      <c r="M103" s="1598"/>
      <c r="N103" s="1598"/>
      <c r="O103" s="1598"/>
      <c r="P103" s="1598"/>
      <c r="Q103" s="1598"/>
      <c r="R103" s="1598"/>
      <c r="S103" s="1598"/>
      <c r="T103" s="1598"/>
      <c r="U103" s="1598"/>
      <c r="V103" s="1598"/>
      <c r="W103" s="1598"/>
      <c r="X103" s="1598"/>
      <c r="Y103" s="1598"/>
      <c r="Z103" s="1598"/>
      <c r="AA103" s="1598"/>
      <c r="AB103" s="1598"/>
      <c r="AC103" s="1598"/>
      <c r="AD103" s="1598"/>
      <c r="AE103" s="1598"/>
      <c r="AF103" s="1598"/>
      <c r="AG103" s="1598"/>
      <c r="AH103" s="1598"/>
      <c r="AI103" s="1598"/>
      <c r="AJ103" s="1598"/>
      <c r="AK103" s="1598"/>
      <c r="AL103" s="1598"/>
      <c r="AM103" s="1598"/>
    </row>
    <row r="104" spans="1:39" ht="19.5">
      <c r="A104" s="1598"/>
      <c r="B104" s="1598"/>
      <c r="C104" s="1598"/>
      <c r="D104" s="1598"/>
      <c r="E104" s="1598"/>
      <c r="F104" s="1598"/>
      <c r="G104" s="1598"/>
      <c r="H104" s="1598"/>
      <c r="I104" s="1598"/>
      <c r="J104" s="1598"/>
      <c r="K104" s="1598"/>
      <c r="L104" s="1598"/>
      <c r="M104" s="1598"/>
      <c r="N104" s="1598"/>
      <c r="O104" s="1598"/>
      <c r="P104" s="1598"/>
      <c r="Q104" s="1598"/>
      <c r="R104" s="1598"/>
      <c r="S104" s="1598"/>
      <c r="T104" s="1598"/>
      <c r="U104" s="1598"/>
      <c r="V104" s="1598"/>
      <c r="W104" s="1598"/>
      <c r="X104" s="1598"/>
      <c r="Y104" s="1598"/>
      <c r="Z104" s="1598"/>
      <c r="AA104" s="1598"/>
      <c r="AB104" s="1598"/>
      <c r="AC104" s="1598"/>
      <c r="AD104" s="1598"/>
      <c r="AE104" s="1598"/>
      <c r="AF104" s="1598"/>
      <c r="AG104" s="1598"/>
      <c r="AH104" s="1598"/>
      <c r="AI104" s="1598"/>
      <c r="AJ104" s="1598"/>
      <c r="AK104" s="1598"/>
      <c r="AL104" s="1598"/>
      <c r="AM104" s="1598"/>
    </row>
    <row r="105" spans="1:39" ht="19.5">
      <c r="A105" s="1598"/>
      <c r="B105" s="1598"/>
      <c r="C105" s="1598"/>
      <c r="D105" s="1598"/>
      <c r="E105" s="1598"/>
      <c r="F105" s="1598"/>
      <c r="G105" s="1598"/>
      <c r="H105" s="1598"/>
      <c r="I105" s="1598"/>
      <c r="J105" s="1598"/>
      <c r="K105" s="1598"/>
      <c r="L105" s="1598"/>
      <c r="M105" s="1598"/>
      <c r="N105" s="1598"/>
      <c r="O105" s="1598"/>
      <c r="P105" s="1598"/>
      <c r="Q105" s="1598"/>
      <c r="R105" s="1598"/>
      <c r="S105" s="1598"/>
      <c r="T105" s="1598"/>
      <c r="U105" s="1598"/>
      <c r="V105" s="1598"/>
      <c r="W105" s="1598"/>
      <c r="X105" s="1598"/>
      <c r="Y105" s="1598"/>
      <c r="Z105" s="1598"/>
      <c r="AA105" s="1598"/>
      <c r="AB105" s="1598"/>
      <c r="AC105" s="1598"/>
      <c r="AD105" s="1598"/>
      <c r="AE105" s="1598"/>
      <c r="AF105" s="1598"/>
      <c r="AG105" s="1598"/>
      <c r="AH105" s="1598"/>
      <c r="AI105" s="1598"/>
      <c r="AJ105" s="1598"/>
      <c r="AK105" s="1598"/>
      <c r="AL105" s="1598"/>
      <c r="AM105" s="1598"/>
    </row>
    <row r="106" spans="1:39" ht="19.5">
      <c r="A106" s="1598"/>
      <c r="B106" s="1598"/>
      <c r="C106" s="1598"/>
      <c r="D106" s="1598"/>
      <c r="E106" s="1598"/>
      <c r="F106" s="1598"/>
      <c r="G106" s="1598"/>
      <c r="H106" s="1598"/>
      <c r="I106" s="1598"/>
      <c r="J106" s="1598"/>
      <c r="K106" s="1598"/>
      <c r="L106" s="1598"/>
      <c r="M106" s="1598"/>
      <c r="N106" s="1598"/>
      <c r="O106" s="1598"/>
      <c r="P106" s="1598"/>
      <c r="Q106" s="1598"/>
      <c r="R106" s="1598"/>
      <c r="S106" s="1598"/>
      <c r="T106" s="1598"/>
      <c r="U106" s="1598"/>
      <c r="V106" s="1598"/>
      <c r="W106" s="1598"/>
      <c r="X106" s="1598"/>
      <c r="Y106" s="1598"/>
      <c r="Z106" s="1598"/>
      <c r="AA106" s="1598"/>
      <c r="AB106" s="1598"/>
      <c r="AC106" s="1598"/>
      <c r="AD106" s="1598"/>
      <c r="AE106" s="1598"/>
      <c r="AF106" s="1598"/>
      <c r="AG106" s="1598"/>
      <c r="AH106" s="1598"/>
      <c r="AI106" s="1598"/>
      <c r="AJ106" s="1598"/>
      <c r="AK106" s="1598"/>
      <c r="AL106" s="1598"/>
      <c r="AM106" s="1598"/>
    </row>
    <row r="107" spans="1:39" ht="19.5">
      <c r="A107" s="1598"/>
      <c r="B107" s="1598"/>
      <c r="C107" s="1598"/>
      <c r="D107" s="1598"/>
      <c r="E107" s="1598"/>
      <c r="F107" s="1598"/>
      <c r="G107" s="1598"/>
      <c r="H107" s="1598"/>
      <c r="I107" s="1598"/>
      <c r="J107" s="1598"/>
      <c r="K107" s="1598"/>
      <c r="L107" s="1598"/>
      <c r="M107" s="1598"/>
      <c r="N107" s="1598"/>
      <c r="O107" s="1598"/>
      <c r="P107" s="1598"/>
      <c r="Q107" s="1598"/>
      <c r="R107" s="1598"/>
      <c r="S107" s="1598"/>
      <c r="T107" s="1598"/>
      <c r="U107" s="1598"/>
      <c r="V107" s="1598"/>
      <c r="W107" s="1598"/>
      <c r="X107" s="1598"/>
      <c r="Y107" s="1598"/>
      <c r="Z107" s="1598"/>
      <c r="AA107" s="1598"/>
      <c r="AB107" s="1598"/>
      <c r="AC107" s="1598"/>
      <c r="AD107" s="1598"/>
      <c r="AE107" s="1598"/>
      <c r="AF107" s="1598"/>
      <c r="AG107" s="1598"/>
      <c r="AH107" s="1598"/>
      <c r="AI107" s="1598"/>
      <c r="AJ107" s="1598"/>
      <c r="AK107" s="1598"/>
      <c r="AL107" s="1598"/>
      <c r="AM107" s="1598"/>
    </row>
    <row r="108" spans="1:39" ht="19.5">
      <c r="A108" s="1598"/>
      <c r="B108" s="1598"/>
      <c r="C108" s="1598"/>
      <c r="D108" s="1598"/>
      <c r="E108" s="1598"/>
      <c r="F108" s="1598"/>
      <c r="G108" s="1598"/>
      <c r="H108" s="1598"/>
      <c r="I108" s="1598"/>
      <c r="J108" s="1598"/>
      <c r="K108" s="1598"/>
      <c r="L108" s="1598"/>
      <c r="M108" s="1598"/>
      <c r="N108" s="1598"/>
      <c r="O108" s="1598"/>
      <c r="P108" s="1598"/>
      <c r="Q108" s="1598"/>
      <c r="R108" s="1598"/>
      <c r="S108" s="1598"/>
      <c r="T108" s="1598"/>
      <c r="U108" s="1598"/>
      <c r="V108" s="1598"/>
      <c r="W108" s="1598"/>
      <c r="X108" s="1598"/>
      <c r="Y108" s="1598"/>
      <c r="Z108" s="1598"/>
      <c r="AA108" s="1598"/>
      <c r="AB108" s="1598"/>
      <c r="AC108" s="1598"/>
      <c r="AD108" s="1598"/>
      <c r="AE108" s="1598"/>
      <c r="AF108" s="1598"/>
      <c r="AG108" s="1598"/>
      <c r="AH108" s="1598"/>
      <c r="AI108" s="1598"/>
      <c r="AJ108" s="1598"/>
      <c r="AK108" s="1598"/>
      <c r="AL108" s="1598"/>
      <c r="AM108" s="1598"/>
    </row>
    <row r="109" spans="1:39" ht="19.5">
      <c r="A109" s="1598"/>
      <c r="B109" s="1598"/>
      <c r="C109" s="1598"/>
      <c r="D109" s="1598"/>
      <c r="E109" s="1598"/>
      <c r="F109" s="1598"/>
      <c r="G109" s="1598"/>
      <c r="H109" s="1598"/>
      <c r="I109" s="1598"/>
      <c r="J109" s="1598"/>
      <c r="K109" s="1598"/>
      <c r="L109" s="1598"/>
      <c r="M109" s="1598"/>
      <c r="N109" s="1598"/>
      <c r="O109" s="1598"/>
      <c r="P109" s="1598"/>
      <c r="Q109" s="1598"/>
      <c r="R109" s="1598"/>
      <c r="S109" s="1598"/>
      <c r="T109" s="1598"/>
      <c r="U109" s="1598"/>
      <c r="V109" s="1598"/>
      <c r="W109" s="1598"/>
      <c r="X109" s="1598"/>
      <c r="Y109" s="1598"/>
      <c r="Z109" s="1598"/>
      <c r="AA109" s="1598"/>
      <c r="AB109" s="1598"/>
      <c r="AC109" s="1598"/>
      <c r="AD109" s="1598"/>
      <c r="AE109" s="1598"/>
      <c r="AF109" s="1598"/>
      <c r="AG109" s="1598"/>
      <c r="AH109" s="1598"/>
      <c r="AI109" s="1598"/>
      <c r="AJ109" s="1598"/>
      <c r="AK109" s="1598"/>
      <c r="AL109" s="1598"/>
      <c r="AM109" s="1598"/>
    </row>
    <row r="110" spans="1:39" ht="19.5">
      <c r="A110" s="1598"/>
      <c r="B110" s="1598"/>
      <c r="C110" s="1598"/>
      <c r="D110" s="1598"/>
      <c r="E110" s="1598"/>
      <c r="F110" s="1598"/>
      <c r="G110" s="1598"/>
      <c r="H110" s="1598"/>
      <c r="I110" s="1598"/>
      <c r="J110" s="1598"/>
      <c r="K110" s="1598"/>
      <c r="L110" s="1598"/>
      <c r="M110" s="1598"/>
      <c r="N110" s="1598"/>
      <c r="O110" s="1598"/>
      <c r="P110" s="1598"/>
      <c r="Q110" s="1598"/>
      <c r="R110" s="1598"/>
      <c r="S110" s="1598"/>
      <c r="T110" s="1598"/>
      <c r="U110" s="1598"/>
      <c r="V110" s="1598"/>
      <c r="W110" s="1598"/>
      <c r="X110" s="1598"/>
      <c r="Y110" s="1598"/>
      <c r="Z110" s="1598"/>
      <c r="AA110" s="1598"/>
      <c r="AB110" s="1598"/>
      <c r="AC110" s="1598"/>
      <c r="AD110" s="1598"/>
      <c r="AE110" s="1598"/>
      <c r="AF110" s="1598"/>
      <c r="AG110" s="1598"/>
      <c r="AH110" s="1598"/>
      <c r="AI110" s="1598"/>
      <c r="AJ110" s="1598"/>
      <c r="AK110" s="1598"/>
      <c r="AL110" s="1598"/>
      <c r="AM110" s="1598"/>
    </row>
    <row r="111" spans="1:39" ht="19.5">
      <c r="A111" s="1598"/>
      <c r="B111" s="1598"/>
      <c r="C111" s="1598"/>
      <c r="D111" s="1598"/>
      <c r="E111" s="1598"/>
      <c r="F111" s="1598"/>
      <c r="G111" s="1598"/>
      <c r="H111" s="1598"/>
      <c r="I111" s="1598"/>
      <c r="J111" s="1598"/>
      <c r="K111" s="1598"/>
      <c r="L111" s="1598"/>
      <c r="M111" s="1598"/>
      <c r="N111" s="1598"/>
      <c r="O111" s="1598"/>
      <c r="P111" s="1598"/>
      <c r="Q111" s="1598"/>
      <c r="R111" s="1598"/>
      <c r="S111" s="1598"/>
      <c r="T111" s="1598"/>
      <c r="U111" s="1598"/>
      <c r="V111" s="1598"/>
      <c r="W111" s="1598"/>
      <c r="X111" s="1598"/>
      <c r="Y111" s="1598"/>
      <c r="Z111" s="1598"/>
      <c r="AA111" s="1598"/>
      <c r="AB111" s="1598"/>
      <c r="AC111" s="1598"/>
      <c r="AD111" s="1598"/>
      <c r="AE111" s="1598"/>
      <c r="AF111" s="1598"/>
      <c r="AG111" s="1598"/>
      <c r="AH111" s="1598"/>
      <c r="AI111" s="1598"/>
      <c r="AJ111" s="1598"/>
      <c r="AK111" s="1598"/>
      <c r="AL111" s="1598"/>
      <c r="AM111" s="1598"/>
    </row>
    <row r="112" spans="1:39" ht="19.5">
      <c r="A112" s="1598"/>
      <c r="B112" s="1598"/>
      <c r="C112" s="1598"/>
      <c r="D112" s="1598"/>
      <c r="E112" s="1598"/>
      <c r="F112" s="1598"/>
      <c r="G112" s="1598"/>
      <c r="H112" s="1598"/>
      <c r="I112" s="1598"/>
      <c r="J112" s="1598"/>
      <c r="K112" s="1598"/>
      <c r="L112" s="1598"/>
      <c r="M112" s="1598"/>
      <c r="N112" s="1598"/>
      <c r="O112" s="1598"/>
      <c r="P112" s="1598"/>
      <c r="Q112" s="1598"/>
      <c r="R112" s="1598"/>
      <c r="S112" s="1598"/>
      <c r="T112" s="1598"/>
      <c r="U112" s="1598"/>
      <c r="V112" s="1598"/>
      <c r="W112" s="1598"/>
      <c r="X112" s="1598"/>
      <c r="Y112" s="1598"/>
      <c r="Z112" s="1598"/>
      <c r="AA112" s="1598"/>
      <c r="AB112" s="1598"/>
      <c r="AC112" s="1598"/>
      <c r="AD112" s="1598"/>
      <c r="AE112" s="1598"/>
      <c r="AF112" s="1598"/>
      <c r="AG112" s="1598"/>
      <c r="AH112" s="1598"/>
      <c r="AI112" s="1598"/>
      <c r="AJ112" s="1598"/>
      <c r="AK112" s="1598"/>
      <c r="AL112" s="1598"/>
      <c r="AM112" s="1598"/>
    </row>
    <row r="113" spans="1:39" ht="19.5">
      <c r="A113" s="1598"/>
      <c r="B113" s="1598"/>
      <c r="C113" s="1598"/>
      <c r="D113" s="1598"/>
      <c r="E113" s="1598"/>
      <c r="F113" s="1598"/>
      <c r="G113" s="1598"/>
      <c r="H113" s="1598"/>
      <c r="I113" s="1598"/>
      <c r="J113" s="1598"/>
      <c r="K113" s="1598"/>
      <c r="L113" s="1598"/>
      <c r="M113" s="1598"/>
      <c r="N113" s="1598"/>
      <c r="O113" s="1598"/>
      <c r="P113" s="1598"/>
      <c r="Q113" s="1598"/>
      <c r="R113" s="1598"/>
      <c r="S113" s="1598"/>
      <c r="T113" s="1598"/>
      <c r="U113" s="1598"/>
      <c r="V113" s="1598"/>
      <c r="W113" s="1598"/>
      <c r="X113" s="1598"/>
      <c r="Y113" s="1598"/>
      <c r="Z113" s="1598"/>
      <c r="AA113" s="1598"/>
      <c r="AB113" s="1598"/>
      <c r="AC113" s="1598"/>
      <c r="AD113" s="1598"/>
      <c r="AE113" s="1598"/>
      <c r="AF113" s="1598"/>
      <c r="AG113" s="1598"/>
      <c r="AH113" s="1598"/>
      <c r="AI113" s="1598"/>
      <c r="AJ113" s="1598"/>
      <c r="AK113" s="1598"/>
      <c r="AL113" s="1598"/>
      <c r="AM113" s="1598"/>
    </row>
    <row r="114" spans="1:39" ht="19.5">
      <c r="A114" s="1598"/>
      <c r="B114" s="1598"/>
      <c r="C114" s="1598"/>
      <c r="D114" s="1598"/>
      <c r="E114" s="1598"/>
      <c r="F114" s="1598"/>
      <c r="G114" s="1598"/>
      <c r="H114" s="1598"/>
      <c r="I114" s="1598"/>
      <c r="J114" s="1598"/>
      <c r="K114" s="1598"/>
      <c r="L114" s="1598"/>
      <c r="M114" s="1598"/>
      <c r="N114" s="1598"/>
      <c r="O114" s="1598"/>
      <c r="P114" s="1598"/>
      <c r="Q114" s="1598"/>
      <c r="R114" s="1598"/>
      <c r="S114" s="1598"/>
      <c r="T114" s="1598"/>
      <c r="U114" s="1598"/>
      <c r="V114" s="1598"/>
      <c r="W114" s="1598"/>
      <c r="X114" s="1598"/>
      <c r="Y114" s="1598"/>
      <c r="Z114" s="1598"/>
      <c r="AA114" s="1598"/>
      <c r="AB114" s="1598"/>
      <c r="AC114" s="1598"/>
      <c r="AD114" s="1598"/>
      <c r="AE114" s="1598"/>
      <c r="AF114" s="1598"/>
      <c r="AG114" s="1598"/>
      <c r="AH114" s="1598"/>
      <c r="AI114" s="1598"/>
      <c r="AJ114" s="1598"/>
      <c r="AK114" s="1598"/>
      <c r="AL114" s="1598"/>
      <c r="AM114" s="1598"/>
    </row>
    <row r="115" spans="1:39" ht="19.5">
      <c r="A115" s="1598"/>
      <c r="B115" s="1598"/>
      <c r="C115" s="1598"/>
      <c r="D115" s="1598"/>
      <c r="E115" s="1598"/>
      <c r="F115" s="1598"/>
      <c r="G115" s="1598"/>
      <c r="H115" s="1598"/>
      <c r="I115" s="1598"/>
      <c r="J115" s="1598"/>
      <c r="K115" s="1598"/>
      <c r="L115" s="1598"/>
      <c r="M115" s="1598"/>
      <c r="N115" s="1598"/>
      <c r="O115" s="1598"/>
      <c r="P115" s="1598"/>
      <c r="Q115" s="1598"/>
      <c r="R115" s="1598"/>
      <c r="S115" s="1598"/>
      <c r="T115" s="1598"/>
      <c r="U115" s="1598"/>
      <c r="V115" s="1598"/>
      <c r="W115" s="1598"/>
      <c r="X115" s="1598"/>
      <c r="Y115" s="1598"/>
      <c r="Z115" s="1598"/>
      <c r="AA115" s="1598"/>
      <c r="AB115" s="1598"/>
      <c r="AC115" s="1598"/>
      <c r="AD115" s="1598"/>
      <c r="AE115" s="1598"/>
      <c r="AF115" s="1598"/>
      <c r="AG115" s="1598"/>
      <c r="AH115" s="1598"/>
      <c r="AI115" s="1598"/>
      <c r="AJ115" s="1598"/>
      <c r="AK115" s="1598"/>
      <c r="AL115" s="1598"/>
      <c r="AM115" s="1598"/>
    </row>
    <row r="116" spans="1:39" ht="12" customHeight="1">
      <c r="A116" s="1598"/>
      <c r="B116" s="1598"/>
      <c r="C116" s="1598"/>
      <c r="D116" s="1598"/>
      <c r="E116" s="1598"/>
      <c r="F116" s="1598"/>
      <c r="G116" s="1598"/>
      <c r="H116" s="1598"/>
      <c r="I116" s="1598"/>
      <c r="J116" s="1598"/>
      <c r="K116" s="1598"/>
      <c r="L116" s="1598"/>
      <c r="M116" s="1598"/>
      <c r="N116" s="1598"/>
      <c r="O116" s="1598"/>
      <c r="P116" s="1598"/>
      <c r="Q116" s="1598"/>
      <c r="R116" s="1598"/>
      <c r="S116" s="1598"/>
      <c r="T116" s="1598"/>
      <c r="U116" s="1598"/>
      <c r="V116" s="1598"/>
      <c r="W116" s="1598"/>
      <c r="X116" s="1598"/>
      <c r="Y116" s="1598"/>
      <c r="Z116" s="1598"/>
      <c r="AA116" s="1598"/>
      <c r="AB116" s="1598"/>
      <c r="AC116" s="1598"/>
      <c r="AD116" s="1598"/>
      <c r="AE116" s="1598"/>
      <c r="AF116" s="1598"/>
      <c r="AG116" s="1598"/>
      <c r="AH116" s="1598"/>
      <c r="AI116" s="1598"/>
      <c r="AJ116" s="1598"/>
      <c r="AK116" s="1598"/>
      <c r="AL116" s="1598"/>
      <c r="AM116" s="1598"/>
    </row>
    <row r="117" spans="1:39" ht="12.75" customHeight="1">
      <c r="A117" s="1598"/>
      <c r="B117" s="1598"/>
      <c r="C117" s="1598"/>
      <c r="D117" s="1598"/>
      <c r="E117" s="1598"/>
      <c r="F117" s="1598"/>
      <c r="G117" s="1598"/>
      <c r="H117" s="1598"/>
      <c r="I117" s="1598"/>
      <c r="J117" s="1598"/>
      <c r="K117" s="1598"/>
      <c r="L117" s="1598"/>
      <c r="M117" s="1598"/>
      <c r="N117" s="1598"/>
      <c r="O117" s="1598"/>
      <c r="P117" s="1598"/>
      <c r="Q117" s="1598"/>
      <c r="R117" s="1598"/>
      <c r="S117" s="1598"/>
      <c r="T117" s="1598"/>
      <c r="U117" s="1598"/>
      <c r="V117" s="1598"/>
      <c r="W117" s="1598"/>
      <c r="X117" s="1598"/>
      <c r="Y117" s="1598"/>
      <c r="Z117" s="1598"/>
      <c r="AA117" s="1598"/>
      <c r="AB117" s="1598"/>
      <c r="AC117" s="1598"/>
      <c r="AD117" s="1598"/>
      <c r="AE117" s="1598"/>
      <c r="AF117" s="1598"/>
      <c r="AG117" s="1598"/>
      <c r="AH117" s="1598"/>
      <c r="AI117" s="1598"/>
      <c r="AJ117" s="1598"/>
      <c r="AK117" s="1598"/>
      <c r="AL117" s="1598"/>
      <c r="AM117" s="1598"/>
    </row>
    <row r="118" spans="1:39" ht="12.75" customHeight="1">
      <c r="A118" s="1598"/>
      <c r="B118" s="1598"/>
      <c r="C118" s="1598"/>
      <c r="D118" s="1598"/>
      <c r="E118" s="1598"/>
      <c r="F118" s="1598"/>
      <c r="G118" s="1598"/>
      <c r="H118" s="1598"/>
      <c r="I118" s="1598"/>
      <c r="J118" s="1598"/>
      <c r="K118" s="1598"/>
      <c r="L118" s="1598"/>
      <c r="M118" s="1598"/>
      <c r="N118" s="1598"/>
      <c r="O118" s="1598"/>
      <c r="P118" s="1598"/>
      <c r="Q118" s="1598"/>
      <c r="R118" s="1598"/>
      <c r="S118" s="1598"/>
      <c r="T118" s="1598"/>
      <c r="U118" s="1598"/>
      <c r="V118" s="1598"/>
      <c r="W118" s="1598"/>
      <c r="X118" s="1598"/>
      <c r="Y118" s="1598"/>
      <c r="Z118" s="1598"/>
      <c r="AA118" s="1598"/>
      <c r="AB118" s="1598"/>
      <c r="AC118" s="1598"/>
      <c r="AD118" s="1598"/>
      <c r="AE118" s="1598"/>
      <c r="AF118" s="1598"/>
      <c r="AG118" s="1598"/>
      <c r="AH118" s="1598"/>
      <c r="AI118" s="1598"/>
      <c r="AJ118" s="1598"/>
      <c r="AK118" s="1598"/>
      <c r="AL118" s="1598"/>
      <c r="AM118" s="1598"/>
    </row>
    <row r="119" spans="1:39" ht="19.5">
      <c r="A119" s="1598"/>
      <c r="B119" s="1598"/>
      <c r="C119" s="1598"/>
      <c r="D119" s="1598"/>
      <c r="E119" s="1598"/>
      <c r="F119" s="1598"/>
      <c r="G119" s="1598"/>
      <c r="H119" s="1598"/>
      <c r="I119" s="1598"/>
      <c r="J119" s="1598"/>
      <c r="K119" s="1598"/>
      <c r="L119" s="1598"/>
      <c r="M119" s="1598"/>
      <c r="N119" s="1598"/>
      <c r="O119" s="1598"/>
      <c r="P119" s="1598"/>
      <c r="Q119" s="1598"/>
      <c r="R119" s="1598"/>
      <c r="S119" s="1598"/>
      <c r="T119" s="1598"/>
      <c r="U119" s="1598"/>
      <c r="V119" s="1598"/>
      <c r="W119" s="1598"/>
      <c r="X119" s="1598"/>
      <c r="Y119" s="1598"/>
      <c r="Z119" s="1598"/>
      <c r="AA119" s="1598"/>
      <c r="AB119" s="1598"/>
      <c r="AC119" s="1598"/>
      <c r="AD119" s="1598"/>
      <c r="AE119" s="1598"/>
      <c r="AF119" s="1598"/>
      <c r="AG119" s="1598"/>
      <c r="AH119" s="1598"/>
      <c r="AI119" s="1598"/>
      <c r="AJ119" s="1598"/>
      <c r="AK119" s="1598"/>
      <c r="AL119" s="1598"/>
      <c r="AM119" s="1598"/>
    </row>
    <row r="120" spans="1:39" ht="19.5">
      <c r="A120" s="1598"/>
      <c r="B120" s="1598"/>
      <c r="C120" s="1598"/>
      <c r="D120" s="1598"/>
      <c r="E120" s="1598"/>
      <c r="F120" s="1598"/>
      <c r="G120" s="1598"/>
      <c r="H120" s="1598"/>
      <c r="I120" s="1598"/>
      <c r="J120" s="1598"/>
      <c r="K120" s="1598"/>
      <c r="L120" s="1598"/>
      <c r="M120" s="1598"/>
      <c r="N120" s="1598"/>
      <c r="O120" s="1598"/>
      <c r="P120" s="1598"/>
      <c r="Q120" s="1598"/>
      <c r="R120" s="1598"/>
      <c r="S120" s="1598"/>
      <c r="T120" s="1598"/>
      <c r="U120" s="1598"/>
      <c r="V120" s="1598"/>
      <c r="W120" s="1598"/>
      <c r="X120" s="1598"/>
      <c r="Y120" s="1598"/>
      <c r="Z120" s="1598"/>
      <c r="AA120" s="1598"/>
      <c r="AB120" s="1598"/>
      <c r="AC120" s="1598"/>
      <c r="AD120" s="1598"/>
      <c r="AE120" s="1598"/>
      <c r="AF120" s="1598"/>
      <c r="AG120" s="1598"/>
      <c r="AH120" s="1598"/>
      <c r="AI120" s="1598"/>
      <c r="AJ120" s="1598"/>
      <c r="AK120" s="1598"/>
      <c r="AL120" s="1598"/>
      <c r="AM120" s="1598"/>
    </row>
    <row r="121" spans="1:39" ht="19.5">
      <c r="A121" s="1598"/>
      <c r="B121" s="1598"/>
      <c r="C121" s="1598"/>
      <c r="D121" s="1598"/>
      <c r="E121" s="1598"/>
      <c r="F121" s="1598"/>
      <c r="G121" s="1598"/>
      <c r="H121" s="1598"/>
      <c r="I121" s="1598"/>
      <c r="J121" s="1598"/>
      <c r="K121" s="1598"/>
      <c r="L121" s="1598"/>
      <c r="M121" s="1598"/>
      <c r="N121" s="1598"/>
      <c r="O121" s="1598"/>
      <c r="P121" s="1598"/>
      <c r="Q121" s="1598"/>
      <c r="R121" s="1598"/>
      <c r="S121" s="1598"/>
      <c r="T121" s="1598"/>
      <c r="U121" s="1598"/>
      <c r="V121" s="1598"/>
      <c r="W121" s="1598"/>
      <c r="X121" s="1598"/>
      <c r="Y121" s="1598"/>
      <c r="Z121" s="1598"/>
      <c r="AA121" s="1598"/>
      <c r="AB121" s="1598"/>
      <c r="AC121" s="1598"/>
      <c r="AD121" s="1598"/>
      <c r="AE121" s="1598"/>
      <c r="AF121" s="1598"/>
      <c r="AG121" s="1598"/>
      <c r="AH121" s="1598"/>
      <c r="AI121" s="1598"/>
      <c r="AJ121" s="1598"/>
      <c r="AK121" s="1598"/>
      <c r="AL121" s="1598"/>
      <c r="AM121" s="1598"/>
    </row>
    <row r="122" spans="1:39" ht="9.75" customHeight="1">
      <c r="A122" s="1598"/>
      <c r="B122" s="1598"/>
      <c r="C122" s="1598"/>
      <c r="D122" s="1598"/>
      <c r="E122" s="1598"/>
      <c r="F122" s="1598"/>
      <c r="G122" s="1598"/>
      <c r="H122" s="1598"/>
      <c r="I122" s="1598"/>
      <c r="J122" s="1598"/>
      <c r="K122" s="1598"/>
      <c r="L122" s="1598"/>
      <c r="M122" s="1598"/>
      <c r="N122" s="1598"/>
      <c r="O122" s="1598"/>
      <c r="P122" s="1598"/>
      <c r="Q122" s="1598"/>
      <c r="R122" s="1598"/>
      <c r="S122" s="1598"/>
      <c r="T122" s="1598"/>
      <c r="U122" s="1598"/>
      <c r="V122" s="1598"/>
      <c r="W122" s="1598"/>
      <c r="X122" s="1598"/>
      <c r="Y122" s="1598"/>
      <c r="Z122" s="1598"/>
      <c r="AA122" s="1598"/>
      <c r="AB122" s="1598"/>
      <c r="AC122" s="1598"/>
      <c r="AD122" s="1598"/>
      <c r="AE122" s="1598"/>
      <c r="AF122" s="1598"/>
      <c r="AG122" s="1598"/>
      <c r="AH122" s="1598"/>
      <c r="AI122" s="1598"/>
      <c r="AJ122" s="1598"/>
      <c r="AK122" s="1598"/>
      <c r="AL122" s="1598"/>
      <c r="AM122" s="1598"/>
    </row>
    <row r="123" spans="1:39" ht="9" customHeight="1">
      <c r="A123" s="1598"/>
      <c r="B123" s="1598"/>
      <c r="C123" s="1598"/>
      <c r="D123" s="1598"/>
      <c r="E123" s="1598"/>
      <c r="F123" s="1598"/>
      <c r="G123" s="1598"/>
      <c r="H123" s="1598"/>
      <c r="I123" s="1598"/>
      <c r="J123" s="1598"/>
      <c r="K123" s="1598"/>
      <c r="L123" s="1598"/>
      <c r="M123" s="1598"/>
      <c r="N123" s="1598"/>
      <c r="O123" s="1598"/>
      <c r="P123" s="1598"/>
      <c r="Q123" s="1598"/>
      <c r="R123" s="1598"/>
      <c r="S123" s="1598"/>
      <c r="T123" s="1598"/>
      <c r="U123" s="1598"/>
      <c r="V123" s="1598"/>
      <c r="W123" s="1598"/>
      <c r="X123" s="1598"/>
      <c r="Y123" s="1598"/>
      <c r="Z123" s="1598"/>
      <c r="AA123" s="1598"/>
      <c r="AB123" s="1598"/>
      <c r="AC123" s="1598"/>
      <c r="AD123" s="1598"/>
      <c r="AE123" s="1598"/>
      <c r="AF123" s="1598"/>
      <c r="AG123" s="1598"/>
      <c r="AH123" s="1598"/>
      <c r="AI123" s="1598"/>
      <c r="AJ123" s="1598"/>
      <c r="AK123" s="1598"/>
      <c r="AL123" s="1598"/>
      <c r="AM123" s="1598"/>
    </row>
    <row r="124" spans="1:39" ht="19.5">
      <c r="A124" s="1598"/>
      <c r="B124" s="1598"/>
      <c r="C124" s="1598"/>
      <c r="D124" s="1598"/>
      <c r="E124" s="1598"/>
      <c r="F124" s="1598"/>
      <c r="G124" s="1598"/>
      <c r="H124" s="1598"/>
      <c r="I124" s="1598"/>
      <c r="J124" s="1598"/>
      <c r="K124" s="1598"/>
      <c r="L124" s="1598"/>
      <c r="M124" s="1598"/>
      <c r="N124" s="1598"/>
      <c r="O124" s="1598"/>
      <c r="P124" s="1598"/>
      <c r="Q124" s="1598"/>
      <c r="R124" s="1598"/>
      <c r="S124" s="1598"/>
      <c r="T124" s="1598"/>
      <c r="U124" s="1598"/>
      <c r="V124" s="1598"/>
      <c r="W124" s="1598"/>
      <c r="X124" s="1598"/>
      <c r="Y124" s="1598"/>
      <c r="Z124" s="1598"/>
      <c r="AA124" s="1598"/>
      <c r="AB124" s="1598"/>
      <c r="AC124" s="1598"/>
      <c r="AD124" s="1598"/>
      <c r="AE124" s="1598"/>
      <c r="AF124" s="1598"/>
      <c r="AG124" s="1598"/>
      <c r="AH124" s="1598"/>
      <c r="AI124" s="1598"/>
      <c r="AJ124" s="1598"/>
      <c r="AK124" s="1598"/>
      <c r="AL124" s="1598"/>
      <c r="AM124" s="1598"/>
    </row>
    <row r="125" spans="1:39" ht="19.5">
      <c r="A125" s="549"/>
      <c r="B125" s="549"/>
      <c r="C125" s="549"/>
      <c r="D125" s="549"/>
      <c r="E125" s="549"/>
      <c r="F125" s="549"/>
      <c r="G125" s="549"/>
      <c r="H125" s="549"/>
      <c r="I125" s="549"/>
      <c r="J125" s="549"/>
      <c r="K125" s="549"/>
      <c r="L125" s="549"/>
      <c r="M125" s="1598"/>
      <c r="N125" s="1598"/>
      <c r="O125" s="1598"/>
      <c r="P125" s="1598"/>
      <c r="Q125" s="1598"/>
      <c r="R125" s="1598"/>
      <c r="S125" s="1598"/>
      <c r="T125" s="1598"/>
      <c r="U125" s="1598"/>
      <c r="V125" s="1598"/>
      <c r="W125" s="1598"/>
      <c r="X125" s="1598"/>
      <c r="Y125" s="1598"/>
      <c r="Z125" s="1598"/>
      <c r="AA125" s="549"/>
      <c r="AB125" s="549"/>
      <c r="AC125" s="549"/>
      <c r="AD125" s="549"/>
      <c r="AE125" s="549"/>
      <c r="AF125" s="549"/>
      <c r="AG125" s="549"/>
      <c r="AH125" s="549"/>
      <c r="AI125" s="549"/>
      <c r="AJ125" s="549"/>
      <c r="AK125" s="549"/>
      <c r="AL125" s="549"/>
      <c r="AM125" s="549"/>
    </row>
  </sheetData>
  <protectedRanges>
    <protectedRange sqref="AN18:AN19" name="Range2"/>
    <protectedRange sqref="S15:AM15 N43:P43 K64:N64 W56:AM57 AA60:AE62 W78:AM84 AB18:AB19 AB26:AM42 B18:Z19 V22:AM22 AD18:AM19 N47:P47 B23:AM25" name="Range1"/>
  </protectedRanges>
  <mergeCells count="318">
    <mergeCell ref="A119:L119"/>
    <mergeCell ref="M119:Y119"/>
    <mergeCell ref="Z119:AM119"/>
    <mergeCell ref="A120:L120"/>
    <mergeCell ref="M120:Y120"/>
    <mergeCell ref="Z120:AM120"/>
    <mergeCell ref="A117:L117"/>
    <mergeCell ref="M117:Y117"/>
    <mergeCell ref="M125:Z125"/>
    <mergeCell ref="A123:L123"/>
    <mergeCell ref="M123:Y123"/>
    <mergeCell ref="Z123:AM123"/>
    <mergeCell ref="A124:L124"/>
    <mergeCell ref="M124:Y124"/>
    <mergeCell ref="Z124:AM124"/>
    <mergeCell ref="A121:L121"/>
    <mergeCell ref="M121:Y121"/>
    <mergeCell ref="Z121:AM121"/>
    <mergeCell ref="A122:L122"/>
    <mergeCell ref="M122:Y122"/>
    <mergeCell ref="Z122:AM122"/>
    <mergeCell ref="Z117:AM117"/>
    <mergeCell ref="A118:L118"/>
    <mergeCell ref="M118:Y118"/>
    <mergeCell ref="Z118:AM118"/>
    <mergeCell ref="A115:L115"/>
    <mergeCell ref="M115:Y115"/>
    <mergeCell ref="Z115:AM115"/>
    <mergeCell ref="A116:L116"/>
    <mergeCell ref="M116:Y116"/>
    <mergeCell ref="Z116:AM116"/>
    <mergeCell ref="A113:L113"/>
    <mergeCell ref="M113:Y113"/>
    <mergeCell ref="Z113:AM113"/>
    <mergeCell ref="A114:L114"/>
    <mergeCell ref="M114:Y114"/>
    <mergeCell ref="Z114:AM114"/>
    <mergeCell ref="A111:L111"/>
    <mergeCell ref="M111:Y111"/>
    <mergeCell ref="Z111:AM111"/>
    <mergeCell ref="A112:L112"/>
    <mergeCell ref="M112:Y112"/>
    <mergeCell ref="Z112:AM112"/>
    <mergeCell ref="A109:L109"/>
    <mergeCell ref="M109:Y109"/>
    <mergeCell ref="Z109:AM109"/>
    <mergeCell ref="A110:L110"/>
    <mergeCell ref="M110:Y110"/>
    <mergeCell ref="Z110:AM110"/>
    <mergeCell ref="A107:L107"/>
    <mergeCell ref="M107:Y107"/>
    <mergeCell ref="Z107:AM107"/>
    <mergeCell ref="A108:L108"/>
    <mergeCell ref="M108:Y108"/>
    <mergeCell ref="Z108:AM108"/>
    <mergeCell ref="A105:L105"/>
    <mergeCell ref="M105:Y105"/>
    <mergeCell ref="Z105:AM105"/>
    <mergeCell ref="A106:L106"/>
    <mergeCell ref="M106:Y106"/>
    <mergeCell ref="Z106:AM106"/>
    <mergeCell ref="A103:L103"/>
    <mergeCell ref="M103:Y103"/>
    <mergeCell ref="Z103:AM103"/>
    <mergeCell ref="A104:L104"/>
    <mergeCell ref="M104:Y104"/>
    <mergeCell ref="Z104:AM104"/>
    <mergeCell ref="A101:L101"/>
    <mergeCell ref="M101:Y101"/>
    <mergeCell ref="Z101:AM101"/>
    <mergeCell ref="A102:L102"/>
    <mergeCell ref="M102:Y102"/>
    <mergeCell ref="Z102:AM102"/>
    <mergeCell ref="A99:L99"/>
    <mergeCell ref="M99:Y99"/>
    <mergeCell ref="Z99:AM99"/>
    <mergeCell ref="A100:L100"/>
    <mergeCell ref="M100:Y100"/>
    <mergeCell ref="Z100:AM100"/>
    <mergeCell ref="A97:L97"/>
    <mergeCell ref="M97:Y97"/>
    <mergeCell ref="Z97:AM97"/>
    <mergeCell ref="A98:L98"/>
    <mergeCell ref="M98:Y98"/>
    <mergeCell ref="Z98:AM98"/>
    <mergeCell ref="A90:AM90"/>
    <mergeCell ref="A95:L95"/>
    <mergeCell ref="M95:Y95"/>
    <mergeCell ref="Z95:AM95"/>
    <mergeCell ref="A96:L96"/>
    <mergeCell ref="M96:Y96"/>
    <mergeCell ref="Z96:AM96"/>
    <mergeCell ref="A82:A83"/>
    <mergeCell ref="B82:V83"/>
    <mergeCell ref="W82:AM83"/>
    <mergeCell ref="B84:V84"/>
    <mergeCell ref="W84:AM84"/>
    <mergeCell ref="A85:A88"/>
    <mergeCell ref="B85:AM85"/>
    <mergeCell ref="B86:AM88"/>
    <mergeCell ref="A80:A81"/>
    <mergeCell ref="B80:V81"/>
    <mergeCell ref="W80:AM81"/>
    <mergeCell ref="A74:A77"/>
    <mergeCell ref="B74:T74"/>
    <mergeCell ref="W74:AM77"/>
    <mergeCell ref="D75:V75"/>
    <mergeCell ref="D76:V76"/>
    <mergeCell ref="A64:A67"/>
    <mergeCell ref="AL64:AM64"/>
    <mergeCell ref="X65:AD65"/>
    <mergeCell ref="AF65:AK65"/>
    <mergeCell ref="AL65:AM65"/>
    <mergeCell ref="X66:AD66"/>
    <mergeCell ref="AF66:AK66"/>
    <mergeCell ref="AL66:AM66"/>
    <mergeCell ref="H64:J64"/>
    <mergeCell ref="AL63:AM63"/>
    <mergeCell ref="B64:G64"/>
    <mergeCell ref="K64:N64"/>
    <mergeCell ref="X64:AD64"/>
    <mergeCell ref="AF64:AK64"/>
    <mergeCell ref="B78:V78"/>
    <mergeCell ref="W78:AM78"/>
    <mergeCell ref="B79:V79"/>
    <mergeCell ref="W79:AM79"/>
    <mergeCell ref="W67:AD67"/>
    <mergeCell ref="AF67:AK67"/>
    <mergeCell ref="AL67:AM67"/>
    <mergeCell ref="AE57:AM57"/>
    <mergeCell ref="A58:A63"/>
    <mergeCell ref="B58:V58"/>
    <mergeCell ref="AA58:AM58"/>
    <mergeCell ref="B59:V59"/>
    <mergeCell ref="W59:Z59"/>
    <mergeCell ref="W61:Z61"/>
    <mergeCell ref="AA61:AE61"/>
    <mergeCell ref="AF61:AK61"/>
    <mergeCell ref="AL61:AM61"/>
    <mergeCell ref="W62:Z62"/>
    <mergeCell ref="AA62:AE62"/>
    <mergeCell ref="AF62:AK62"/>
    <mergeCell ref="AL62:AM62"/>
    <mergeCell ref="AA59:AE59"/>
    <mergeCell ref="AF59:AM59"/>
    <mergeCell ref="W60:Z60"/>
    <mergeCell ref="AA60:AE60"/>
    <mergeCell ref="AF60:AK60"/>
    <mergeCell ref="AL60:AM60"/>
    <mergeCell ref="B63:U63"/>
    <mergeCell ref="W63:Z63"/>
    <mergeCell ref="AA63:AE63"/>
    <mergeCell ref="AF63:AK63"/>
    <mergeCell ref="AF53:AK53"/>
    <mergeCell ref="AL53:AM53"/>
    <mergeCell ref="W54:AD54"/>
    <mergeCell ref="AF54:AK54"/>
    <mergeCell ref="AL54:AM54"/>
    <mergeCell ref="A55:A57"/>
    <mergeCell ref="B55:V55"/>
    <mergeCell ref="W55:AD55"/>
    <mergeCell ref="AE55:AM55"/>
    <mergeCell ref="B56:V56"/>
    <mergeCell ref="A51:A54"/>
    <mergeCell ref="B51:V51"/>
    <mergeCell ref="X51:AD51"/>
    <mergeCell ref="AF51:AK51"/>
    <mergeCell ref="AL51:AM51"/>
    <mergeCell ref="B52:V52"/>
    <mergeCell ref="X52:AD52"/>
    <mergeCell ref="AF52:AK52"/>
    <mergeCell ref="AL52:AM52"/>
    <mergeCell ref="X53:AD53"/>
    <mergeCell ref="W56:AD56"/>
    <mergeCell ref="AE56:AM56"/>
    <mergeCell ref="B57:V57"/>
    <mergeCell ref="W57:AD57"/>
    <mergeCell ref="X49:AD49"/>
    <mergeCell ref="AF49:AK49"/>
    <mergeCell ref="AL49:AM49"/>
    <mergeCell ref="W50:AD50"/>
    <mergeCell ref="AF50:AK50"/>
    <mergeCell ref="AL50:AM50"/>
    <mergeCell ref="AL46:AM46"/>
    <mergeCell ref="A47:A50"/>
    <mergeCell ref="X47:AD47"/>
    <mergeCell ref="AF47:AK47"/>
    <mergeCell ref="AL47:AM47"/>
    <mergeCell ref="X48:AD48"/>
    <mergeCell ref="AF48:AK48"/>
    <mergeCell ref="AL48:AM48"/>
    <mergeCell ref="K47:M47"/>
    <mergeCell ref="N47:P47"/>
    <mergeCell ref="B47:J47"/>
    <mergeCell ref="AL43:AM43"/>
    <mergeCell ref="X44:AD44"/>
    <mergeCell ref="AF44:AK44"/>
    <mergeCell ref="AL44:AM44"/>
    <mergeCell ref="X45:AD45"/>
    <mergeCell ref="AF45:AK45"/>
    <mergeCell ref="AL45:AM45"/>
    <mergeCell ref="A43:A46"/>
    <mergeCell ref="B43:J43"/>
    <mergeCell ref="K43:M43"/>
    <mergeCell ref="N43:P43"/>
    <mergeCell ref="X43:AD43"/>
    <mergeCell ref="AF43:AK43"/>
    <mergeCell ref="W46:AD46"/>
    <mergeCell ref="AF46:AK46"/>
    <mergeCell ref="B37:AA37"/>
    <mergeCell ref="AB37:AM37"/>
    <mergeCell ref="A38:A39"/>
    <mergeCell ref="B38:AA39"/>
    <mergeCell ref="AB38:AM39"/>
    <mergeCell ref="A40:A42"/>
    <mergeCell ref="B40:AA40"/>
    <mergeCell ref="AB40:AM42"/>
    <mergeCell ref="B41:AA42"/>
    <mergeCell ref="H32:AA32"/>
    <mergeCell ref="A33:A34"/>
    <mergeCell ref="B33:AA33"/>
    <mergeCell ref="AB33:AM34"/>
    <mergeCell ref="B34:AA34"/>
    <mergeCell ref="A35:A36"/>
    <mergeCell ref="B35:AA36"/>
    <mergeCell ref="AB35:AM36"/>
    <mergeCell ref="B26:AA26"/>
    <mergeCell ref="AB26:AM26"/>
    <mergeCell ref="A30:A32"/>
    <mergeCell ref="B30:F32"/>
    <mergeCell ref="H30:AA30"/>
    <mergeCell ref="AB30:AM32"/>
    <mergeCell ref="H31:AA31"/>
    <mergeCell ref="A21:A25"/>
    <mergeCell ref="B21:P21"/>
    <mergeCell ref="Q21:AM21"/>
    <mergeCell ref="B22:D22"/>
    <mergeCell ref="E22:G22"/>
    <mergeCell ref="H22:J22"/>
    <mergeCell ref="K22:M22"/>
    <mergeCell ref="N22:P22"/>
    <mergeCell ref="Q22:U22"/>
    <mergeCell ref="B23:D23"/>
    <mergeCell ref="E23:G23"/>
    <mergeCell ref="H23:J23"/>
    <mergeCell ref="K23:M23"/>
    <mergeCell ref="N23:P23"/>
    <mergeCell ref="Q23:U23"/>
    <mergeCell ref="B24:D24"/>
    <mergeCell ref="E24:G24"/>
    <mergeCell ref="H24:J24"/>
    <mergeCell ref="K24:M24"/>
    <mergeCell ref="N24:P24"/>
    <mergeCell ref="Q24:U24"/>
    <mergeCell ref="V23:AM23"/>
    <mergeCell ref="V22:AM22"/>
    <mergeCell ref="V24:AM24"/>
    <mergeCell ref="V25:AM25"/>
    <mergeCell ref="B25:D25"/>
    <mergeCell ref="E25:G25"/>
    <mergeCell ref="H25:J25"/>
    <mergeCell ref="K25:M25"/>
    <mergeCell ref="N25:P25"/>
    <mergeCell ref="B14:Q14"/>
    <mergeCell ref="S14:AM14"/>
    <mergeCell ref="B15:Q15"/>
    <mergeCell ref="S15:AM15"/>
    <mergeCell ref="AG18:AM19"/>
    <mergeCell ref="B19:D19"/>
    <mergeCell ref="E19:G19"/>
    <mergeCell ref="H19:J19"/>
    <mergeCell ref="K19:P19"/>
    <mergeCell ref="Q19:U19"/>
    <mergeCell ref="V19:Z19"/>
    <mergeCell ref="AA19:AF19"/>
    <mergeCell ref="B20:P20"/>
    <mergeCell ref="AA20:AD20"/>
    <mergeCell ref="Q25:U25"/>
    <mergeCell ref="A16:A20"/>
    <mergeCell ref="B16:AM16"/>
    <mergeCell ref="B17:D17"/>
    <mergeCell ref="E17:G17"/>
    <mergeCell ref="H17:J17"/>
    <mergeCell ref="K17:P17"/>
    <mergeCell ref="Q17:U17"/>
    <mergeCell ref="V17:Z17"/>
    <mergeCell ref="AA17:AF17"/>
    <mergeCell ref="AG17:AM17"/>
    <mergeCell ref="B18:D18"/>
    <mergeCell ref="E18:G18"/>
    <mergeCell ref="H18:J18"/>
    <mergeCell ref="K18:P18"/>
    <mergeCell ref="Q18:U18"/>
    <mergeCell ref="V18:Z18"/>
    <mergeCell ref="AA18:AF18"/>
    <mergeCell ref="R20:Z20"/>
    <mergeCell ref="A2:AM2"/>
    <mergeCell ref="M3:Y3"/>
    <mergeCell ref="AC3:AM3"/>
    <mergeCell ref="M4:Z5"/>
    <mergeCell ref="AC4:AM4"/>
    <mergeCell ref="AB5:AM5"/>
    <mergeCell ref="B12:B13"/>
    <mergeCell ref="C12:H13"/>
    <mergeCell ref="N12:P12"/>
    <mergeCell ref="N13:P13"/>
    <mergeCell ref="A6:AM7"/>
    <mergeCell ref="A8:AM8"/>
    <mergeCell ref="A9:A13"/>
    <mergeCell ref="B9:L11"/>
    <mergeCell ref="M9:P9"/>
    <mergeCell ref="M10:P10"/>
    <mergeCell ref="M11:P11"/>
    <mergeCell ref="S9:AM9"/>
    <mergeCell ref="S10:AM10"/>
    <mergeCell ref="S11:AM11"/>
    <mergeCell ref="S12:AM12"/>
    <mergeCell ref="S13:AM13"/>
  </mergeCells>
  <conditionalFormatting sqref="A92:AI94 A95:A125 M95:M125 Z95:Z125">
    <cfRule type="cellIs" dxfId="1" priority="1" stopIfTrue="1" operator="equal">
      <formula>0</formula>
    </cfRule>
  </conditionalFormatting>
  <pageMargins left="0.39370078740157499" right="0.39370078740157499" top="0.59055118110236204" bottom="0.59055118110236204" header="0.196850393700787" footer="0.31496062992126"/>
  <pageSetup paperSize="9" scale="82" fitToWidth="0" fitToHeight="0" orientation="portrait" blackAndWhite="1" horizontalDpi="300" verticalDpi="300" r:id="rId1"/>
  <headerFooter>
    <oddFooter>&amp;L&amp;Z&amp;F&amp;R&amp;"SutonnyMJ,Regular"evsjv‡`k K…wl e¨vsK, c„ôv &amp;P &amp;"-,Regular"of&amp;"SutonnyMJ,Regular" &amp;N</oddFooter>
  </headerFooter>
  <rowBreaks count="2" manualBreakCount="2">
    <brk id="27" max="38" man="1"/>
    <brk id="70" max="38"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2D050"/>
    <outlinePr summaryBelow="0" summaryRight="0"/>
    <pageSetUpPr autoPageBreaks="0" fitToPage="1"/>
  </sheetPr>
  <dimension ref="A1:AN233"/>
  <sheetViews>
    <sheetView showGridLines="0" view="pageBreakPreview" topLeftCell="A176" zoomScaleSheetLayoutView="100" zoomScalePageLayoutView="80" workbookViewId="0">
      <selection activeCell="B189" sqref="B189:AB193"/>
    </sheetView>
  </sheetViews>
  <sheetFormatPr defaultColWidth="11.42578125" defaultRowHeight="17.25" customHeight="1"/>
  <cols>
    <col min="1" max="1" width="4.42578125" style="562" customWidth="1"/>
    <col min="2" max="2" width="4.85546875" style="465" customWidth="1"/>
    <col min="3" max="3" width="3.7109375" style="465" customWidth="1"/>
    <col min="4" max="4" width="3.28515625" style="465" customWidth="1"/>
    <col min="5" max="5" width="3.140625" style="465" customWidth="1"/>
    <col min="6" max="6" width="2.5703125" style="465" customWidth="1"/>
    <col min="7" max="7" width="2.7109375" style="465" customWidth="1"/>
    <col min="8" max="8" width="4" style="465" customWidth="1"/>
    <col min="9" max="9" width="2.42578125" style="465" customWidth="1"/>
    <col min="10" max="10" width="2.85546875" style="465" customWidth="1"/>
    <col min="11" max="12" width="3" style="465" customWidth="1"/>
    <col min="13" max="14" width="2.5703125" style="465" customWidth="1"/>
    <col min="15" max="15" width="2.7109375" style="465" customWidth="1"/>
    <col min="16" max="16" width="1.5703125" style="465" customWidth="1"/>
    <col min="17" max="17" width="2.140625" style="465" customWidth="1"/>
    <col min="18" max="18" width="6" style="465" customWidth="1"/>
    <col min="19" max="19" width="3.85546875" style="465" customWidth="1"/>
    <col min="20" max="20" width="4.140625" style="465" customWidth="1"/>
    <col min="21" max="21" width="4.7109375" style="465" customWidth="1"/>
    <col min="22" max="22" width="4.42578125" style="465" customWidth="1"/>
    <col min="23" max="23" width="4.7109375" style="465" customWidth="1"/>
    <col min="24" max="24" width="2.5703125" style="465" customWidth="1"/>
    <col min="25" max="25" width="3.28515625" style="465" customWidth="1"/>
    <col min="26" max="26" width="5.85546875" style="465" customWidth="1"/>
    <col min="27" max="27" width="3.7109375" style="465" customWidth="1"/>
    <col min="28" max="28" width="3.28515625" style="465" customWidth="1"/>
    <col min="29" max="29" width="1.7109375" style="465" customWidth="1"/>
    <col min="30" max="30" width="8.140625" style="465" customWidth="1"/>
    <col min="31" max="31" width="11.28515625" style="465" customWidth="1"/>
    <col min="32" max="32" width="5.85546875" style="465" customWidth="1"/>
    <col min="33" max="33" width="23" style="465" bestFit="1" customWidth="1"/>
    <col min="34" max="35" width="3.28515625" style="465" customWidth="1"/>
    <col min="36" max="36" width="4.28515625" style="465" customWidth="1"/>
    <col min="37" max="256" width="11.42578125" style="465"/>
    <col min="257" max="257" width="4.42578125" style="465" customWidth="1"/>
    <col min="258" max="258" width="4.85546875" style="465" customWidth="1"/>
    <col min="259" max="259" width="3.7109375" style="465" customWidth="1"/>
    <col min="260" max="260" width="3.28515625" style="465" customWidth="1"/>
    <col min="261" max="261" width="3.140625" style="465" customWidth="1"/>
    <col min="262" max="262" width="2.5703125" style="465" customWidth="1"/>
    <col min="263" max="263" width="2.7109375" style="465" customWidth="1"/>
    <col min="264" max="264" width="4" style="465" customWidth="1"/>
    <col min="265" max="265" width="2.42578125" style="465" customWidth="1"/>
    <col min="266" max="266" width="2.85546875" style="465" customWidth="1"/>
    <col min="267" max="268" width="3" style="465" customWidth="1"/>
    <col min="269" max="270" width="2.5703125" style="465" customWidth="1"/>
    <col min="271" max="271" width="2.7109375" style="465" customWidth="1"/>
    <col min="272" max="272" width="1.5703125" style="465" customWidth="1"/>
    <col min="273" max="273" width="2.140625" style="465" customWidth="1"/>
    <col min="274" max="274" width="6" style="465" customWidth="1"/>
    <col min="275" max="275" width="3.85546875" style="465" customWidth="1"/>
    <col min="276" max="276" width="4.140625" style="465" customWidth="1"/>
    <col min="277" max="277" width="4.7109375" style="465" customWidth="1"/>
    <col min="278" max="278" width="4.42578125" style="465" customWidth="1"/>
    <col min="279" max="279" width="4.7109375" style="465" customWidth="1"/>
    <col min="280" max="280" width="2.5703125" style="465" customWidth="1"/>
    <col min="281" max="281" width="3.28515625" style="465" customWidth="1"/>
    <col min="282" max="282" width="5.85546875" style="465" customWidth="1"/>
    <col min="283" max="283" width="3.7109375" style="465" customWidth="1"/>
    <col min="284" max="284" width="3.28515625" style="465" customWidth="1"/>
    <col min="285" max="285" width="1.7109375" style="465" customWidth="1"/>
    <col min="286" max="286" width="8.140625" style="465" customWidth="1"/>
    <col min="287" max="287" width="11.28515625" style="465" customWidth="1"/>
    <col min="288" max="288" width="5.85546875" style="465" customWidth="1"/>
    <col min="289" max="289" width="23" style="465" bestFit="1" customWidth="1"/>
    <col min="290" max="291" width="3.28515625" style="465" customWidth="1"/>
    <col min="292" max="292" width="4.28515625" style="465" customWidth="1"/>
    <col min="293" max="512" width="11.42578125" style="465"/>
    <col min="513" max="513" width="4.42578125" style="465" customWidth="1"/>
    <col min="514" max="514" width="4.85546875" style="465" customWidth="1"/>
    <col min="515" max="515" width="3.7109375" style="465" customWidth="1"/>
    <col min="516" max="516" width="3.28515625" style="465" customWidth="1"/>
    <col min="517" max="517" width="3.140625" style="465" customWidth="1"/>
    <col min="518" max="518" width="2.5703125" style="465" customWidth="1"/>
    <col min="519" max="519" width="2.7109375" style="465" customWidth="1"/>
    <col min="520" max="520" width="4" style="465" customWidth="1"/>
    <col min="521" max="521" width="2.42578125" style="465" customWidth="1"/>
    <col min="522" max="522" width="2.85546875" style="465" customWidth="1"/>
    <col min="523" max="524" width="3" style="465" customWidth="1"/>
    <col min="525" max="526" width="2.5703125" style="465" customWidth="1"/>
    <col min="527" max="527" width="2.7109375" style="465" customWidth="1"/>
    <col min="528" max="528" width="1.5703125" style="465" customWidth="1"/>
    <col min="529" max="529" width="2.140625" style="465" customWidth="1"/>
    <col min="530" max="530" width="6" style="465" customWidth="1"/>
    <col min="531" max="531" width="3.85546875" style="465" customWidth="1"/>
    <col min="532" max="532" width="4.140625" style="465" customWidth="1"/>
    <col min="533" max="533" width="4.7109375" style="465" customWidth="1"/>
    <col min="534" max="534" width="4.42578125" style="465" customWidth="1"/>
    <col min="535" max="535" width="4.7109375" style="465" customWidth="1"/>
    <col min="536" max="536" width="2.5703125" style="465" customWidth="1"/>
    <col min="537" max="537" width="3.28515625" style="465" customWidth="1"/>
    <col min="538" max="538" width="5.85546875" style="465" customWidth="1"/>
    <col min="539" max="539" width="3.7109375" style="465" customWidth="1"/>
    <col min="540" max="540" width="3.28515625" style="465" customWidth="1"/>
    <col min="541" max="541" width="1.7109375" style="465" customWidth="1"/>
    <col min="542" max="542" width="8.140625" style="465" customWidth="1"/>
    <col min="543" max="543" width="11.28515625" style="465" customWidth="1"/>
    <col min="544" max="544" width="5.85546875" style="465" customWidth="1"/>
    <col min="545" max="545" width="23" style="465" bestFit="1" customWidth="1"/>
    <col min="546" max="547" width="3.28515625" style="465" customWidth="1"/>
    <col min="548" max="548" width="4.28515625" style="465" customWidth="1"/>
    <col min="549" max="768" width="11.42578125" style="465"/>
    <col min="769" max="769" width="4.42578125" style="465" customWidth="1"/>
    <col min="770" max="770" width="4.85546875" style="465" customWidth="1"/>
    <col min="771" max="771" width="3.7109375" style="465" customWidth="1"/>
    <col min="772" max="772" width="3.28515625" style="465" customWidth="1"/>
    <col min="773" max="773" width="3.140625" style="465" customWidth="1"/>
    <col min="774" max="774" width="2.5703125" style="465" customWidth="1"/>
    <col min="775" max="775" width="2.7109375" style="465" customWidth="1"/>
    <col min="776" max="776" width="4" style="465" customWidth="1"/>
    <col min="777" max="777" width="2.42578125" style="465" customWidth="1"/>
    <col min="778" max="778" width="2.85546875" style="465" customWidth="1"/>
    <col min="779" max="780" width="3" style="465" customWidth="1"/>
    <col min="781" max="782" width="2.5703125" style="465" customWidth="1"/>
    <col min="783" max="783" width="2.7109375" style="465" customWidth="1"/>
    <col min="784" max="784" width="1.5703125" style="465" customWidth="1"/>
    <col min="785" max="785" width="2.140625" style="465" customWidth="1"/>
    <col min="786" max="786" width="6" style="465" customWidth="1"/>
    <col min="787" max="787" width="3.85546875" style="465" customWidth="1"/>
    <col min="788" max="788" width="4.140625" style="465" customWidth="1"/>
    <col min="789" max="789" width="4.7109375" style="465" customWidth="1"/>
    <col min="790" max="790" width="4.42578125" style="465" customWidth="1"/>
    <col min="791" max="791" width="4.7109375" style="465" customWidth="1"/>
    <col min="792" max="792" width="2.5703125" style="465" customWidth="1"/>
    <col min="793" max="793" width="3.28515625" style="465" customWidth="1"/>
    <col min="794" max="794" width="5.85546875" style="465" customWidth="1"/>
    <col min="795" max="795" width="3.7109375" style="465" customWidth="1"/>
    <col min="796" max="796" width="3.28515625" style="465" customWidth="1"/>
    <col min="797" max="797" width="1.7109375" style="465" customWidth="1"/>
    <col min="798" max="798" width="8.140625" style="465" customWidth="1"/>
    <col min="799" max="799" width="11.28515625" style="465" customWidth="1"/>
    <col min="800" max="800" width="5.85546875" style="465" customWidth="1"/>
    <col min="801" max="801" width="23" style="465" bestFit="1" customWidth="1"/>
    <col min="802" max="803" width="3.28515625" style="465" customWidth="1"/>
    <col min="804" max="804" width="4.28515625" style="465" customWidth="1"/>
    <col min="805" max="1024" width="11.42578125" style="465"/>
    <col min="1025" max="1025" width="4.42578125" style="465" customWidth="1"/>
    <col min="1026" max="1026" width="4.85546875" style="465" customWidth="1"/>
    <col min="1027" max="1027" width="3.7109375" style="465" customWidth="1"/>
    <col min="1028" max="1028" width="3.28515625" style="465" customWidth="1"/>
    <col min="1029" max="1029" width="3.140625" style="465" customWidth="1"/>
    <col min="1030" max="1030" width="2.5703125" style="465" customWidth="1"/>
    <col min="1031" max="1031" width="2.7109375" style="465" customWidth="1"/>
    <col min="1032" max="1032" width="4" style="465" customWidth="1"/>
    <col min="1033" max="1033" width="2.42578125" style="465" customWidth="1"/>
    <col min="1034" max="1034" width="2.85546875" style="465" customWidth="1"/>
    <col min="1035" max="1036" width="3" style="465" customWidth="1"/>
    <col min="1037" max="1038" width="2.5703125" style="465" customWidth="1"/>
    <col min="1039" max="1039" width="2.7109375" style="465" customWidth="1"/>
    <col min="1040" max="1040" width="1.5703125" style="465" customWidth="1"/>
    <col min="1041" max="1041" width="2.140625" style="465" customWidth="1"/>
    <col min="1042" max="1042" width="6" style="465" customWidth="1"/>
    <col min="1043" max="1043" width="3.85546875" style="465" customWidth="1"/>
    <col min="1044" max="1044" width="4.140625" style="465" customWidth="1"/>
    <col min="1045" max="1045" width="4.7109375" style="465" customWidth="1"/>
    <col min="1046" max="1046" width="4.42578125" style="465" customWidth="1"/>
    <col min="1047" max="1047" width="4.7109375" style="465" customWidth="1"/>
    <col min="1048" max="1048" width="2.5703125" style="465" customWidth="1"/>
    <col min="1049" max="1049" width="3.28515625" style="465" customWidth="1"/>
    <col min="1050" max="1050" width="5.85546875" style="465" customWidth="1"/>
    <col min="1051" max="1051" width="3.7109375" style="465" customWidth="1"/>
    <col min="1052" max="1052" width="3.28515625" style="465" customWidth="1"/>
    <col min="1053" max="1053" width="1.7109375" style="465" customWidth="1"/>
    <col min="1054" max="1054" width="8.140625" style="465" customWidth="1"/>
    <col min="1055" max="1055" width="11.28515625" style="465" customWidth="1"/>
    <col min="1056" max="1056" width="5.85546875" style="465" customWidth="1"/>
    <col min="1057" max="1057" width="23" style="465" bestFit="1" customWidth="1"/>
    <col min="1058" max="1059" width="3.28515625" style="465" customWidth="1"/>
    <col min="1060" max="1060" width="4.28515625" style="465" customWidth="1"/>
    <col min="1061" max="1280" width="11.42578125" style="465"/>
    <col min="1281" max="1281" width="4.42578125" style="465" customWidth="1"/>
    <col min="1282" max="1282" width="4.85546875" style="465" customWidth="1"/>
    <col min="1283" max="1283" width="3.7109375" style="465" customWidth="1"/>
    <col min="1284" max="1284" width="3.28515625" style="465" customWidth="1"/>
    <col min="1285" max="1285" width="3.140625" style="465" customWidth="1"/>
    <col min="1286" max="1286" width="2.5703125" style="465" customWidth="1"/>
    <col min="1287" max="1287" width="2.7109375" style="465" customWidth="1"/>
    <col min="1288" max="1288" width="4" style="465" customWidth="1"/>
    <col min="1289" max="1289" width="2.42578125" style="465" customWidth="1"/>
    <col min="1290" max="1290" width="2.85546875" style="465" customWidth="1"/>
    <col min="1291" max="1292" width="3" style="465" customWidth="1"/>
    <col min="1293" max="1294" width="2.5703125" style="465" customWidth="1"/>
    <col min="1295" max="1295" width="2.7109375" style="465" customWidth="1"/>
    <col min="1296" max="1296" width="1.5703125" style="465" customWidth="1"/>
    <col min="1297" max="1297" width="2.140625" style="465" customWidth="1"/>
    <col min="1298" max="1298" width="6" style="465" customWidth="1"/>
    <col min="1299" max="1299" width="3.85546875" style="465" customWidth="1"/>
    <col min="1300" max="1300" width="4.140625" style="465" customWidth="1"/>
    <col min="1301" max="1301" width="4.7109375" style="465" customWidth="1"/>
    <col min="1302" max="1302" width="4.42578125" style="465" customWidth="1"/>
    <col min="1303" max="1303" width="4.7109375" style="465" customWidth="1"/>
    <col min="1304" max="1304" width="2.5703125" style="465" customWidth="1"/>
    <col min="1305" max="1305" width="3.28515625" style="465" customWidth="1"/>
    <col min="1306" max="1306" width="5.85546875" style="465" customWidth="1"/>
    <col min="1307" max="1307" width="3.7109375" style="465" customWidth="1"/>
    <col min="1308" max="1308" width="3.28515625" style="465" customWidth="1"/>
    <col min="1309" max="1309" width="1.7109375" style="465" customWidth="1"/>
    <col min="1310" max="1310" width="8.140625" style="465" customWidth="1"/>
    <col min="1311" max="1311" width="11.28515625" style="465" customWidth="1"/>
    <col min="1312" max="1312" width="5.85546875" style="465" customWidth="1"/>
    <col min="1313" max="1313" width="23" style="465" bestFit="1" customWidth="1"/>
    <col min="1314" max="1315" width="3.28515625" style="465" customWidth="1"/>
    <col min="1316" max="1316" width="4.28515625" style="465" customWidth="1"/>
    <col min="1317" max="1536" width="11.42578125" style="465"/>
    <col min="1537" max="1537" width="4.42578125" style="465" customWidth="1"/>
    <col min="1538" max="1538" width="4.85546875" style="465" customWidth="1"/>
    <col min="1539" max="1539" width="3.7109375" style="465" customWidth="1"/>
    <col min="1540" max="1540" width="3.28515625" style="465" customWidth="1"/>
    <col min="1541" max="1541" width="3.140625" style="465" customWidth="1"/>
    <col min="1542" max="1542" width="2.5703125" style="465" customWidth="1"/>
    <col min="1543" max="1543" width="2.7109375" style="465" customWidth="1"/>
    <col min="1544" max="1544" width="4" style="465" customWidth="1"/>
    <col min="1545" max="1545" width="2.42578125" style="465" customWidth="1"/>
    <col min="1546" max="1546" width="2.85546875" style="465" customWidth="1"/>
    <col min="1547" max="1548" width="3" style="465" customWidth="1"/>
    <col min="1549" max="1550" width="2.5703125" style="465" customWidth="1"/>
    <col min="1551" max="1551" width="2.7109375" style="465" customWidth="1"/>
    <col min="1552" max="1552" width="1.5703125" style="465" customWidth="1"/>
    <col min="1553" max="1553" width="2.140625" style="465" customWidth="1"/>
    <col min="1554" max="1554" width="6" style="465" customWidth="1"/>
    <col min="1555" max="1555" width="3.85546875" style="465" customWidth="1"/>
    <col min="1556" max="1556" width="4.140625" style="465" customWidth="1"/>
    <col min="1557" max="1557" width="4.7109375" style="465" customWidth="1"/>
    <col min="1558" max="1558" width="4.42578125" style="465" customWidth="1"/>
    <col min="1559" max="1559" width="4.7109375" style="465" customWidth="1"/>
    <col min="1560" max="1560" width="2.5703125" style="465" customWidth="1"/>
    <col min="1561" max="1561" width="3.28515625" style="465" customWidth="1"/>
    <col min="1562" max="1562" width="5.85546875" style="465" customWidth="1"/>
    <col min="1563" max="1563" width="3.7109375" style="465" customWidth="1"/>
    <col min="1564" max="1564" width="3.28515625" style="465" customWidth="1"/>
    <col min="1565" max="1565" width="1.7109375" style="465" customWidth="1"/>
    <col min="1566" max="1566" width="8.140625" style="465" customWidth="1"/>
    <col min="1567" max="1567" width="11.28515625" style="465" customWidth="1"/>
    <col min="1568" max="1568" width="5.85546875" style="465" customWidth="1"/>
    <col min="1569" max="1569" width="23" style="465" bestFit="1" customWidth="1"/>
    <col min="1570" max="1571" width="3.28515625" style="465" customWidth="1"/>
    <col min="1572" max="1572" width="4.28515625" style="465" customWidth="1"/>
    <col min="1573" max="1792" width="11.42578125" style="465"/>
    <col min="1793" max="1793" width="4.42578125" style="465" customWidth="1"/>
    <col min="1794" max="1794" width="4.85546875" style="465" customWidth="1"/>
    <col min="1795" max="1795" width="3.7109375" style="465" customWidth="1"/>
    <col min="1796" max="1796" width="3.28515625" style="465" customWidth="1"/>
    <col min="1797" max="1797" width="3.140625" style="465" customWidth="1"/>
    <col min="1798" max="1798" width="2.5703125" style="465" customWidth="1"/>
    <col min="1799" max="1799" width="2.7109375" style="465" customWidth="1"/>
    <col min="1800" max="1800" width="4" style="465" customWidth="1"/>
    <col min="1801" max="1801" width="2.42578125" style="465" customWidth="1"/>
    <col min="1802" max="1802" width="2.85546875" style="465" customWidth="1"/>
    <col min="1803" max="1804" width="3" style="465" customWidth="1"/>
    <col min="1805" max="1806" width="2.5703125" style="465" customWidth="1"/>
    <col min="1807" max="1807" width="2.7109375" style="465" customWidth="1"/>
    <col min="1808" max="1808" width="1.5703125" style="465" customWidth="1"/>
    <col min="1809" max="1809" width="2.140625" style="465" customWidth="1"/>
    <col min="1810" max="1810" width="6" style="465" customWidth="1"/>
    <col min="1811" max="1811" width="3.85546875" style="465" customWidth="1"/>
    <col min="1812" max="1812" width="4.140625" style="465" customWidth="1"/>
    <col min="1813" max="1813" width="4.7109375" style="465" customWidth="1"/>
    <col min="1814" max="1814" width="4.42578125" style="465" customWidth="1"/>
    <col min="1815" max="1815" width="4.7109375" style="465" customWidth="1"/>
    <col min="1816" max="1816" width="2.5703125" style="465" customWidth="1"/>
    <col min="1817" max="1817" width="3.28515625" style="465" customWidth="1"/>
    <col min="1818" max="1818" width="5.85546875" style="465" customWidth="1"/>
    <col min="1819" max="1819" width="3.7109375" style="465" customWidth="1"/>
    <col min="1820" max="1820" width="3.28515625" style="465" customWidth="1"/>
    <col min="1821" max="1821" width="1.7109375" style="465" customWidth="1"/>
    <col min="1822" max="1822" width="8.140625" style="465" customWidth="1"/>
    <col min="1823" max="1823" width="11.28515625" style="465" customWidth="1"/>
    <col min="1824" max="1824" width="5.85546875" style="465" customWidth="1"/>
    <col min="1825" max="1825" width="23" style="465" bestFit="1" customWidth="1"/>
    <col min="1826" max="1827" width="3.28515625" style="465" customWidth="1"/>
    <col min="1828" max="1828" width="4.28515625" style="465" customWidth="1"/>
    <col min="1829" max="2048" width="11.42578125" style="465"/>
    <col min="2049" max="2049" width="4.42578125" style="465" customWidth="1"/>
    <col min="2050" max="2050" width="4.85546875" style="465" customWidth="1"/>
    <col min="2051" max="2051" width="3.7109375" style="465" customWidth="1"/>
    <col min="2052" max="2052" width="3.28515625" style="465" customWidth="1"/>
    <col min="2053" max="2053" width="3.140625" style="465" customWidth="1"/>
    <col min="2054" max="2054" width="2.5703125" style="465" customWidth="1"/>
    <col min="2055" max="2055" width="2.7109375" style="465" customWidth="1"/>
    <col min="2056" max="2056" width="4" style="465" customWidth="1"/>
    <col min="2057" max="2057" width="2.42578125" style="465" customWidth="1"/>
    <col min="2058" max="2058" width="2.85546875" style="465" customWidth="1"/>
    <col min="2059" max="2060" width="3" style="465" customWidth="1"/>
    <col min="2061" max="2062" width="2.5703125" style="465" customWidth="1"/>
    <col min="2063" max="2063" width="2.7109375" style="465" customWidth="1"/>
    <col min="2064" max="2064" width="1.5703125" style="465" customWidth="1"/>
    <col min="2065" max="2065" width="2.140625" style="465" customWidth="1"/>
    <col min="2066" max="2066" width="6" style="465" customWidth="1"/>
    <col min="2067" max="2067" width="3.85546875" style="465" customWidth="1"/>
    <col min="2068" max="2068" width="4.140625" style="465" customWidth="1"/>
    <col min="2069" max="2069" width="4.7109375" style="465" customWidth="1"/>
    <col min="2070" max="2070" width="4.42578125" style="465" customWidth="1"/>
    <col min="2071" max="2071" width="4.7109375" style="465" customWidth="1"/>
    <col min="2072" max="2072" width="2.5703125" style="465" customWidth="1"/>
    <col min="2073" max="2073" width="3.28515625" style="465" customWidth="1"/>
    <col min="2074" max="2074" width="5.85546875" style="465" customWidth="1"/>
    <col min="2075" max="2075" width="3.7109375" style="465" customWidth="1"/>
    <col min="2076" max="2076" width="3.28515625" style="465" customWidth="1"/>
    <col min="2077" max="2077" width="1.7109375" style="465" customWidth="1"/>
    <col min="2078" max="2078" width="8.140625" style="465" customWidth="1"/>
    <col min="2079" max="2079" width="11.28515625" style="465" customWidth="1"/>
    <col min="2080" max="2080" width="5.85546875" style="465" customWidth="1"/>
    <col min="2081" max="2081" width="23" style="465" bestFit="1" customWidth="1"/>
    <col min="2082" max="2083" width="3.28515625" style="465" customWidth="1"/>
    <col min="2084" max="2084" width="4.28515625" style="465" customWidth="1"/>
    <col min="2085" max="2304" width="11.42578125" style="465"/>
    <col min="2305" max="2305" width="4.42578125" style="465" customWidth="1"/>
    <col min="2306" max="2306" width="4.85546875" style="465" customWidth="1"/>
    <col min="2307" max="2307" width="3.7109375" style="465" customWidth="1"/>
    <col min="2308" max="2308" width="3.28515625" style="465" customWidth="1"/>
    <col min="2309" max="2309" width="3.140625" style="465" customWidth="1"/>
    <col min="2310" max="2310" width="2.5703125" style="465" customWidth="1"/>
    <col min="2311" max="2311" width="2.7109375" style="465" customWidth="1"/>
    <col min="2312" max="2312" width="4" style="465" customWidth="1"/>
    <col min="2313" max="2313" width="2.42578125" style="465" customWidth="1"/>
    <col min="2314" max="2314" width="2.85546875" style="465" customWidth="1"/>
    <col min="2315" max="2316" width="3" style="465" customWidth="1"/>
    <col min="2317" max="2318" width="2.5703125" style="465" customWidth="1"/>
    <col min="2319" max="2319" width="2.7109375" style="465" customWidth="1"/>
    <col min="2320" max="2320" width="1.5703125" style="465" customWidth="1"/>
    <col min="2321" max="2321" width="2.140625" style="465" customWidth="1"/>
    <col min="2322" max="2322" width="6" style="465" customWidth="1"/>
    <col min="2323" max="2323" width="3.85546875" style="465" customWidth="1"/>
    <col min="2324" max="2324" width="4.140625" style="465" customWidth="1"/>
    <col min="2325" max="2325" width="4.7109375" style="465" customWidth="1"/>
    <col min="2326" max="2326" width="4.42578125" style="465" customWidth="1"/>
    <col min="2327" max="2327" width="4.7109375" style="465" customWidth="1"/>
    <col min="2328" max="2328" width="2.5703125" style="465" customWidth="1"/>
    <col min="2329" max="2329" width="3.28515625" style="465" customWidth="1"/>
    <col min="2330" max="2330" width="5.85546875" style="465" customWidth="1"/>
    <col min="2331" max="2331" width="3.7109375" style="465" customWidth="1"/>
    <col min="2332" max="2332" width="3.28515625" style="465" customWidth="1"/>
    <col min="2333" max="2333" width="1.7109375" style="465" customWidth="1"/>
    <col min="2334" max="2334" width="8.140625" style="465" customWidth="1"/>
    <col min="2335" max="2335" width="11.28515625" style="465" customWidth="1"/>
    <col min="2336" max="2336" width="5.85546875" style="465" customWidth="1"/>
    <col min="2337" max="2337" width="23" style="465" bestFit="1" customWidth="1"/>
    <col min="2338" max="2339" width="3.28515625" style="465" customWidth="1"/>
    <col min="2340" max="2340" width="4.28515625" style="465" customWidth="1"/>
    <col min="2341" max="2560" width="11.42578125" style="465"/>
    <col min="2561" max="2561" width="4.42578125" style="465" customWidth="1"/>
    <col min="2562" max="2562" width="4.85546875" style="465" customWidth="1"/>
    <col min="2563" max="2563" width="3.7109375" style="465" customWidth="1"/>
    <col min="2564" max="2564" width="3.28515625" style="465" customWidth="1"/>
    <col min="2565" max="2565" width="3.140625" style="465" customWidth="1"/>
    <col min="2566" max="2566" width="2.5703125" style="465" customWidth="1"/>
    <col min="2567" max="2567" width="2.7109375" style="465" customWidth="1"/>
    <col min="2568" max="2568" width="4" style="465" customWidth="1"/>
    <col min="2569" max="2569" width="2.42578125" style="465" customWidth="1"/>
    <col min="2570" max="2570" width="2.85546875" style="465" customWidth="1"/>
    <col min="2571" max="2572" width="3" style="465" customWidth="1"/>
    <col min="2573" max="2574" width="2.5703125" style="465" customWidth="1"/>
    <col min="2575" max="2575" width="2.7109375" style="465" customWidth="1"/>
    <col min="2576" max="2576" width="1.5703125" style="465" customWidth="1"/>
    <col min="2577" max="2577" width="2.140625" style="465" customWidth="1"/>
    <col min="2578" max="2578" width="6" style="465" customWidth="1"/>
    <col min="2579" max="2579" width="3.85546875" style="465" customWidth="1"/>
    <col min="2580" max="2580" width="4.140625" style="465" customWidth="1"/>
    <col min="2581" max="2581" width="4.7109375" style="465" customWidth="1"/>
    <col min="2582" max="2582" width="4.42578125" style="465" customWidth="1"/>
    <col min="2583" max="2583" width="4.7109375" style="465" customWidth="1"/>
    <col min="2584" max="2584" width="2.5703125" style="465" customWidth="1"/>
    <col min="2585" max="2585" width="3.28515625" style="465" customWidth="1"/>
    <col min="2586" max="2586" width="5.85546875" style="465" customWidth="1"/>
    <col min="2587" max="2587" width="3.7109375" style="465" customWidth="1"/>
    <col min="2588" max="2588" width="3.28515625" style="465" customWidth="1"/>
    <col min="2589" max="2589" width="1.7109375" style="465" customWidth="1"/>
    <col min="2590" max="2590" width="8.140625" style="465" customWidth="1"/>
    <col min="2591" max="2591" width="11.28515625" style="465" customWidth="1"/>
    <col min="2592" max="2592" width="5.85546875" style="465" customWidth="1"/>
    <col min="2593" max="2593" width="23" style="465" bestFit="1" customWidth="1"/>
    <col min="2594" max="2595" width="3.28515625" style="465" customWidth="1"/>
    <col min="2596" max="2596" width="4.28515625" style="465" customWidth="1"/>
    <col min="2597" max="2816" width="11.42578125" style="465"/>
    <col min="2817" max="2817" width="4.42578125" style="465" customWidth="1"/>
    <col min="2818" max="2818" width="4.85546875" style="465" customWidth="1"/>
    <col min="2819" max="2819" width="3.7109375" style="465" customWidth="1"/>
    <col min="2820" max="2820" width="3.28515625" style="465" customWidth="1"/>
    <col min="2821" max="2821" width="3.140625" style="465" customWidth="1"/>
    <col min="2822" max="2822" width="2.5703125" style="465" customWidth="1"/>
    <col min="2823" max="2823" width="2.7109375" style="465" customWidth="1"/>
    <col min="2824" max="2824" width="4" style="465" customWidth="1"/>
    <col min="2825" max="2825" width="2.42578125" style="465" customWidth="1"/>
    <col min="2826" max="2826" width="2.85546875" style="465" customWidth="1"/>
    <col min="2827" max="2828" width="3" style="465" customWidth="1"/>
    <col min="2829" max="2830" width="2.5703125" style="465" customWidth="1"/>
    <col min="2831" max="2831" width="2.7109375" style="465" customWidth="1"/>
    <col min="2832" max="2832" width="1.5703125" style="465" customWidth="1"/>
    <col min="2833" max="2833" width="2.140625" style="465" customWidth="1"/>
    <col min="2834" max="2834" width="6" style="465" customWidth="1"/>
    <col min="2835" max="2835" width="3.85546875" style="465" customWidth="1"/>
    <col min="2836" max="2836" width="4.140625" style="465" customWidth="1"/>
    <col min="2837" max="2837" width="4.7109375" style="465" customWidth="1"/>
    <col min="2838" max="2838" width="4.42578125" style="465" customWidth="1"/>
    <col min="2839" max="2839" width="4.7109375" style="465" customWidth="1"/>
    <col min="2840" max="2840" width="2.5703125" style="465" customWidth="1"/>
    <col min="2841" max="2841" width="3.28515625" style="465" customWidth="1"/>
    <col min="2842" max="2842" width="5.85546875" style="465" customWidth="1"/>
    <col min="2843" max="2843" width="3.7109375" style="465" customWidth="1"/>
    <col min="2844" max="2844" width="3.28515625" style="465" customWidth="1"/>
    <col min="2845" max="2845" width="1.7109375" style="465" customWidth="1"/>
    <col min="2846" max="2846" width="8.140625" style="465" customWidth="1"/>
    <col min="2847" max="2847" width="11.28515625" style="465" customWidth="1"/>
    <col min="2848" max="2848" width="5.85546875" style="465" customWidth="1"/>
    <col min="2849" max="2849" width="23" style="465" bestFit="1" customWidth="1"/>
    <col min="2850" max="2851" width="3.28515625" style="465" customWidth="1"/>
    <col min="2852" max="2852" width="4.28515625" style="465" customWidth="1"/>
    <col min="2853" max="3072" width="11.42578125" style="465"/>
    <col min="3073" max="3073" width="4.42578125" style="465" customWidth="1"/>
    <col min="3074" max="3074" width="4.85546875" style="465" customWidth="1"/>
    <col min="3075" max="3075" width="3.7109375" style="465" customWidth="1"/>
    <col min="3076" max="3076" width="3.28515625" style="465" customWidth="1"/>
    <col min="3077" max="3077" width="3.140625" style="465" customWidth="1"/>
    <col min="3078" max="3078" width="2.5703125" style="465" customWidth="1"/>
    <col min="3079" max="3079" width="2.7109375" style="465" customWidth="1"/>
    <col min="3080" max="3080" width="4" style="465" customWidth="1"/>
    <col min="3081" max="3081" width="2.42578125" style="465" customWidth="1"/>
    <col min="3082" max="3082" width="2.85546875" style="465" customWidth="1"/>
    <col min="3083" max="3084" width="3" style="465" customWidth="1"/>
    <col min="3085" max="3086" width="2.5703125" style="465" customWidth="1"/>
    <col min="3087" max="3087" width="2.7109375" style="465" customWidth="1"/>
    <col min="3088" max="3088" width="1.5703125" style="465" customWidth="1"/>
    <col min="3089" max="3089" width="2.140625" style="465" customWidth="1"/>
    <col min="3090" max="3090" width="6" style="465" customWidth="1"/>
    <col min="3091" max="3091" width="3.85546875" style="465" customWidth="1"/>
    <col min="3092" max="3092" width="4.140625" style="465" customWidth="1"/>
    <col min="3093" max="3093" width="4.7109375" style="465" customWidth="1"/>
    <col min="3094" max="3094" width="4.42578125" style="465" customWidth="1"/>
    <col min="3095" max="3095" width="4.7109375" style="465" customWidth="1"/>
    <col min="3096" max="3096" width="2.5703125" style="465" customWidth="1"/>
    <col min="3097" max="3097" width="3.28515625" style="465" customWidth="1"/>
    <col min="3098" max="3098" width="5.85546875" style="465" customWidth="1"/>
    <col min="3099" max="3099" width="3.7109375" style="465" customWidth="1"/>
    <col min="3100" max="3100" width="3.28515625" style="465" customWidth="1"/>
    <col min="3101" max="3101" width="1.7109375" style="465" customWidth="1"/>
    <col min="3102" max="3102" width="8.140625" style="465" customWidth="1"/>
    <col min="3103" max="3103" width="11.28515625" style="465" customWidth="1"/>
    <col min="3104" max="3104" width="5.85546875" style="465" customWidth="1"/>
    <col min="3105" max="3105" width="23" style="465" bestFit="1" customWidth="1"/>
    <col min="3106" max="3107" width="3.28515625" style="465" customWidth="1"/>
    <col min="3108" max="3108" width="4.28515625" style="465" customWidth="1"/>
    <col min="3109" max="3328" width="11.42578125" style="465"/>
    <col min="3329" max="3329" width="4.42578125" style="465" customWidth="1"/>
    <col min="3330" max="3330" width="4.85546875" style="465" customWidth="1"/>
    <col min="3331" max="3331" width="3.7109375" style="465" customWidth="1"/>
    <col min="3332" max="3332" width="3.28515625" style="465" customWidth="1"/>
    <col min="3333" max="3333" width="3.140625" style="465" customWidth="1"/>
    <col min="3334" max="3334" width="2.5703125" style="465" customWidth="1"/>
    <col min="3335" max="3335" width="2.7109375" style="465" customWidth="1"/>
    <col min="3336" max="3336" width="4" style="465" customWidth="1"/>
    <col min="3337" max="3337" width="2.42578125" style="465" customWidth="1"/>
    <col min="3338" max="3338" width="2.85546875" style="465" customWidth="1"/>
    <col min="3339" max="3340" width="3" style="465" customWidth="1"/>
    <col min="3341" max="3342" width="2.5703125" style="465" customWidth="1"/>
    <col min="3343" max="3343" width="2.7109375" style="465" customWidth="1"/>
    <col min="3344" max="3344" width="1.5703125" style="465" customWidth="1"/>
    <col min="3345" max="3345" width="2.140625" style="465" customWidth="1"/>
    <col min="3346" max="3346" width="6" style="465" customWidth="1"/>
    <col min="3347" max="3347" width="3.85546875" style="465" customWidth="1"/>
    <col min="3348" max="3348" width="4.140625" style="465" customWidth="1"/>
    <col min="3349" max="3349" width="4.7109375" style="465" customWidth="1"/>
    <col min="3350" max="3350" width="4.42578125" style="465" customWidth="1"/>
    <col min="3351" max="3351" width="4.7109375" style="465" customWidth="1"/>
    <col min="3352" max="3352" width="2.5703125" style="465" customWidth="1"/>
    <col min="3353" max="3353" width="3.28515625" style="465" customWidth="1"/>
    <col min="3354" max="3354" width="5.85546875" style="465" customWidth="1"/>
    <col min="3355" max="3355" width="3.7109375" style="465" customWidth="1"/>
    <col min="3356" max="3356" width="3.28515625" style="465" customWidth="1"/>
    <col min="3357" max="3357" width="1.7109375" style="465" customWidth="1"/>
    <col min="3358" max="3358" width="8.140625" style="465" customWidth="1"/>
    <col min="3359" max="3359" width="11.28515625" style="465" customWidth="1"/>
    <col min="3360" max="3360" width="5.85546875" style="465" customWidth="1"/>
    <col min="3361" max="3361" width="23" style="465" bestFit="1" customWidth="1"/>
    <col min="3362" max="3363" width="3.28515625" style="465" customWidth="1"/>
    <col min="3364" max="3364" width="4.28515625" style="465" customWidth="1"/>
    <col min="3365" max="3584" width="11.42578125" style="465"/>
    <col min="3585" max="3585" width="4.42578125" style="465" customWidth="1"/>
    <col min="3586" max="3586" width="4.85546875" style="465" customWidth="1"/>
    <col min="3587" max="3587" width="3.7109375" style="465" customWidth="1"/>
    <col min="3588" max="3588" width="3.28515625" style="465" customWidth="1"/>
    <col min="3589" max="3589" width="3.140625" style="465" customWidth="1"/>
    <col min="3590" max="3590" width="2.5703125" style="465" customWidth="1"/>
    <col min="3591" max="3591" width="2.7109375" style="465" customWidth="1"/>
    <col min="3592" max="3592" width="4" style="465" customWidth="1"/>
    <col min="3593" max="3593" width="2.42578125" style="465" customWidth="1"/>
    <col min="3594" max="3594" width="2.85546875" style="465" customWidth="1"/>
    <col min="3595" max="3596" width="3" style="465" customWidth="1"/>
    <col min="3597" max="3598" width="2.5703125" style="465" customWidth="1"/>
    <col min="3599" max="3599" width="2.7109375" style="465" customWidth="1"/>
    <col min="3600" max="3600" width="1.5703125" style="465" customWidth="1"/>
    <col min="3601" max="3601" width="2.140625" style="465" customWidth="1"/>
    <col min="3602" max="3602" width="6" style="465" customWidth="1"/>
    <col min="3603" max="3603" width="3.85546875" style="465" customWidth="1"/>
    <col min="3604" max="3604" width="4.140625" style="465" customWidth="1"/>
    <col min="3605" max="3605" width="4.7109375" style="465" customWidth="1"/>
    <col min="3606" max="3606" width="4.42578125" style="465" customWidth="1"/>
    <col min="3607" max="3607" width="4.7109375" style="465" customWidth="1"/>
    <col min="3608" max="3608" width="2.5703125" style="465" customWidth="1"/>
    <col min="3609" max="3609" width="3.28515625" style="465" customWidth="1"/>
    <col min="3610" max="3610" width="5.85546875" style="465" customWidth="1"/>
    <col min="3611" max="3611" width="3.7109375" style="465" customWidth="1"/>
    <col min="3612" max="3612" width="3.28515625" style="465" customWidth="1"/>
    <col min="3613" max="3613" width="1.7109375" style="465" customWidth="1"/>
    <col min="3614" max="3614" width="8.140625" style="465" customWidth="1"/>
    <col min="3615" max="3615" width="11.28515625" style="465" customWidth="1"/>
    <col min="3616" max="3616" width="5.85546875" style="465" customWidth="1"/>
    <col min="3617" max="3617" width="23" style="465" bestFit="1" customWidth="1"/>
    <col min="3618" max="3619" width="3.28515625" style="465" customWidth="1"/>
    <col min="3620" max="3620" width="4.28515625" style="465" customWidth="1"/>
    <col min="3621" max="3840" width="11.42578125" style="465"/>
    <col min="3841" max="3841" width="4.42578125" style="465" customWidth="1"/>
    <col min="3842" max="3842" width="4.85546875" style="465" customWidth="1"/>
    <col min="3843" max="3843" width="3.7109375" style="465" customWidth="1"/>
    <col min="3844" max="3844" width="3.28515625" style="465" customWidth="1"/>
    <col min="3845" max="3845" width="3.140625" style="465" customWidth="1"/>
    <col min="3846" max="3846" width="2.5703125" style="465" customWidth="1"/>
    <col min="3847" max="3847" width="2.7109375" style="465" customWidth="1"/>
    <col min="3848" max="3848" width="4" style="465" customWidth="1"/>
    <col min="3849" max="3849" width="2.42578125" style="465" customWidth="1"/>
    <col min="3850" max="3850" width="2.85546875" style="465" customWidth="1"/>
    <col min="3851" max="3852" width="3" style="465" customWidth="1"/>
    <col min="3853" max="3854" width="2.5703125" style="465" customWidth="1"/>
    <col min="3855" max="3855" width="2.7109375" style="465" customWidth="1"/>
    <col min="3856" max="3856" width="1.5703125" style="465" customWidth="1"/>
    <col min="3857" max="3857" width="2.140625" style="465" customWidth="1"/>
    <col min="3858" max="3858" width="6" style="465" customWidth="1"/>
    <col min="3859" max="3859" width="3.85546875" style="465" customWidth="1"/>
    <col min="3860" max="3860" width="4.140625" style="465" customWidth="1"/>
    <col min="3861" max="3861" width="4.7109375" style="465" customWidth="1"/>
    <col min="3862" max="3862" width="4.42578125" style="465" customWidth="1"/>
    <col min="3863" max="3863" width="4.7109375" style="465" customWidth="1"/>
    <col min="3864" max="3864" width="2.5703125" style="465" customWidth="1"/>
    <col min="3865" max="3865" width="3.28515625" style="465" customWidth="1"/>
    <col min="3866" max="3866" width="5.85546875" style="465" customWidth="1"/>
    <col min="3867" max="3867" width="3.7109375" style="465" customWidth="1"/>
    <col min="3868" max="3868" width="3.28515625" style="465" customWidth="1"/>
    <col min="3869" max="3869" width="1.7109375" style="465" customWidth="1"/>
    <col min="3870" max="3870" width="8.140625" style="465" customWidth="1"/>
    <col min="3871" max="3871" width="11.28515625" style="465" customWidth="1"/>
    <col min="3872" max="3872" width="5.85546875" style="465" customWidth="1"/>
    <col min="3873" max="3873" width="23" style="465" bestFit="1" customWidth="1"/>
    <col min="3874" max="3875" width="3.28515625" style="465" customWidth="1"/>
    <col min="3876" max="3876" width="4.28515625" style="465" customWidth="1"/>
    <col min="3877" max="4096" width="11.42578125" style="465"/>
    <col min="4097" max="4097" width="4.42578125" style="465" customWidth="1"/>
    <col min="4098" max="4098" width="4.85546875" style="465" customWidth="1"/>
    <col min="4099" max="4099" width="3.7109375" style="465" customWidth="1"/>
    <col min="4100" max="4100" width="3.28515625" style="465" customWidth="1"/>
    <col min="4101" max="4101" width="3.140625" style="465" customWidth="1"/>
    <col min="4102" max="4102" width="2.5703125" style="465" customWidth="1"/>
    <col min="4103" max="4103" width="2.7109375" style="465" customWidth="1"/>
    <col min="4104" max="4104" width="4" style="465" customWidth="1"/>
    <col min="4105" max="4105" width="2.42578125" style="465" customWidth="1"/>
    <col min="4106" max="4106" width="2.85546875" style="465" customWidth="1"/>
    <col min="4107" max="4108" width="3" style="465" customWidth="1"/>
    <col min="4109" max="4110" width="2.5703125" style="465" customWidth="1"/>
    <col min="4111" max="4111" width="2.7109375" style="465" customWidth="1"/>
    <col min="4112" max="4112" width="1.5703125" style="465" customWidth="1"/>
    <col min="4113" max="4113" width="2.140625" style="465" customWidth="1"/>
    <col min="4114" max="4114" width="6" style="465" customWidth="1"/>
    <col min="4115" max="4115" width="3.85546875" style="465" customWidth="1"/>
    <col min="4116" max="4116" width="4.140625" style="465" customWidth="1"/>
    <col min="4117" max="4117" width="4.7109375" style="465" customWidth="1"/>
    <col min="4118" max="4118" width="4.42578125" style="465" customWidth="1"/>
    <col min="4119" max="4119" width="4.7109375" style="465" customWidth="1"/>
    <col min="4120" max="4120" width="2.5703125" style="465" customWidth="1"/>
    <col min="4121" max="4121" width="3.28515625" style="465" customWidth="1"/>
    <col min="4122" max="4122" width="5.85546875" style="465" customWidth="1"/>
    <col min="4123" max="4123" width="3.7109375" style="465" customWidth="1"/>
    <col min="4124" max="4124" width="3.28515625" style="465" customWidth="1"/>
    <col min="4125" max="4125" width="1.7109375" style="465" customWidth="1"/>
    <col min="4126" max="4126" width="8.140625" style="465" customWidth="1"/>
    <col min="4127" max="4127" width="11.28515625" style="465" customWidth="1"/>
    <col min="4128" max="4128" width="5.85546875" style="465" customWidth="1"/>
    <col min="4129" max="4129" width="23" style="465" bestFit="1" customWidth="1"/>
    <col min="4130" max="4131" width="3.28515625" style="465" customWidth="1"/>
    <col min="4132" max="4132" width="4.28515625" style="465" customWidth="1"/>
    <col min="4133" max="4352" width="11.42578125" style="465"/>
    <col min="4353" max="4353" width="4.42578125" style="465" customWidth="1"/>
    <col min="4354" max="4354" width="4.85546875" style="465" customWidth="1"/>
    <col min="4355" max="4355" width="3.7109375" style="465" customWidth="1"/>
    <col min="4356" max="4356" width="3.28515625" style="465" customWidth="1"/>
    <col min="4357" max="4357" width="3.140625" style="465" customWidth="1"/>
    <col min="4358" max="4358" width="2.5703125" style="465" customWidth="1"/>
    <col min="4359" max="4359" width="2.7109375" style="465" customWidth="1"/>
    <col min="4360" max="4360" width="4" style="465" customWidth="1"/>
    <col min="4361" max="4361" width="2.42578125" style="465" customWidth="1"/>
    <col min="4362" max="4362" width="2.85546875" style="465" customWidth="1"/>
    <col min="4363" max="4364" width="3" style="465" customWidth="1"/>
    <col min="4365" max="4366" width="2.5703125" style="465" customWidth="1"/>
    <col min="4367" max="4367" width="2.7109375" style="465" customWidth="1"/>
    <col min="4368" max="4368" width="1.5703125" style="465" customWidth="1"/>
    <col min="4369" max="4369" width="2.140625" style="465" customWidth="1"/>
    <col min="4370" max="4370" width="6" style="465" customWidth="1"/>
    <col min="4371" max="4371" width="3.85546875" style="465" customWidth="1"/>
    <col min="4372" max="4372" width="4.140625" style="465" customWidth="1"/>
    <col min="4373" max="4373" width="4.7109375" style="465" customWidth="1"/>
    <col min="4374" max="4374" width="4.42578125" style="465" customWidth="1"/>
    <col min="4375" max="4375" width="4.7109375" style="465" customWidth="1"/>
    <col min="4376" max="4376" width="2.5703125" style="465" customWidth="1"/>
    <col min="4377" max="4377" width="3.28515625" style="465" customWidth="1"/>
    <col min="4378" max="4378" width="5.85546875" style="465" customWidth="1"/>
    <col min="4379" max="4379" width="3.7109375" style="465" customWidth="1"/>
    <col min="4380" max="4380" width="3.28515625" style="465" customWidth="1"/>
    <col min="4381" max="4381" width="1.7109375" style="465" customWidth="1"/>
    <col min="4382" max="4382" width="8.140625" style="465" customWidth="1"/>
    <col min="4383" max="4383" width="11.28515625" style="465" customWidth="1"/>
    <col min="4384" max="4384" width="5.85546875" style="465" customWidth="1"/>
    <col min="4385" max="4385" width="23" style="465" bestFit="1" customWidth="1"/>
    <col min="4386" max="4387" width="3.28515625" style="465" customWidth="1"/>
    <col min="4388" max="4388" width="4.28515625" style="465" customWidth="1"/>
    <col min="4389" max="4608" width="11.42578125" style="465"/>
    <col min="4609" max="4609" width="4.42578125" style="465" customWidth="1"/>
    <col min="4610" max="4610" width="4.85546875" style="465" customWidth="1"/>
    <col min="4611" max="4611" width="3.7109375" style="465" customWidth="1"/>
    <col min="4612" max="4612" width="3.28515625" style="465" customWidth="1"/>
    <col min="4613" max="4613" width="3.140625" style="465" customWidth="1"/>
    <col min="4614" max="4614" width="2.5703125" style="465" customWidth="1"/>
    <col min="4615" max="4615" width="2.7109375" style="465" customWidth="1"/>
    <col min="4616" max="4616" width="4" style="465" customWidth="1"/>
    <col min="4617" max="4617" width="2.42578125" style="465" customWidth="1"/>
    <col min="4618" max="4618" width="2.85546875" style="465" customWidth="1"/>
    <col min="4619" max="4620" width="3" style="465" customWidth="1"/>
    <col min="4621" max="4622" width="2.5703125" style="465" customWidth="1"/>
    <col min="4623" max="4623" width="2.7109375" style="465" customWidth="1"/>
    <col min="4624" max="4624" width="1.5703125" style="465" customWidth="1"/>
    <col min="4625" max="4625" width="2.140625" style="465" customWidth="1"/>
    <col min="4626" max="4626" width="6" style="465" customWidth="1"/>
    <col min="4627" max="4627" width="3.85546875" style="465" customWidth="1"/>
    <col min="4628" max="4628" width="4.140625" style="465" customWidth="1"/>
    <col min="4629" max="4629" width="4.7109375" style="465" customWidth="1"/>
    <col min="4630" max="4630" width="4.42578125" style="465" customWidth="1"/>
    <col min="4631" max="4631" width="4.7109375" style="465" customWidth="1"/>
    <col min="4632" max="4632" width="2.5703125" style="465" customWidth="1"/>
    <col min="4633" max="4633" width="3.28515625" style="465" customWidth="1"/>
    <col min="4634" max="4634" width="5.85546875" style="465" customWidth="1"/>
    <col min="4635" max="4635" width="3.7109375" style="465" customWidth="1"/>
    <col min="4636" max="4636" width="3.28515625" style="465" customWidth="1"/>
    <col min="4637" max="4637" width="1.7109375" style="465" customWidth="1"/>
    <col min="4638" max="4638" width="8.140625" style="465" customWidth="1"/>
    <col min="4639" max="4639" width="11.28515625" style="465" customWidth="1"/>
    <col min="4640" max="4640" width="5.85546875" style="465" customWidth="1"/>
    <col min="4641" max="4641" width="23" style="465" bestFit="1" customWidth="1"/>
    <col min="4642" max="4643" width="3.28515625" style="465" customWidth="1"/>
    <col min="4644" max="4644" width="4.28515625" style="465" customWidth="1"/>
    <col min="4645" max="4864" width="11.42578125" style="465"/>
    <col min="4865" max="4865" width="4.42578125" style="465" customWidth="1"/>
    <col min="4866" max="4866" width="4.85546875" style="465" customWidth="1"/>
    <col min="4867" max="4867" width="3.7109375" style="465" customWidth="1"/>
    <col min="4868" max="4868" width="3.28515625" style="465" customWidth="1"/>
    <col min="4869" max="4869" width="3.140625" style="465" customWidth="1"/>
    <col min="4870" max="4870" width="2.5703125" style="465" customWidth="1"/>
    <col min="4871" max="4871" width="2.7109375" style="465" customWidth="1"/>
    <col min="4872" max="4872" width="4" style="465" customWidth="1"/>
    <col min="4873" max="4873" width="2.42578125" style="465" customWidth="1"/>
    <col min="4874" max="4874" width="2.85546875" style="465" customWidth="1"/>
    <col min="4875" max="4876" width="3" style="465" customWidth="1"/>
    <col min="4877" max="4878" width="2.5703125" style="465" customWidth="1"/>
    <col min="4879" max="4879" width="2.7109375" style="465" customWidth="1"/>
    <col min="4880" max="4880" width="1.5703125" style="465" customWidth="1"/>
    <col min="4881" max="4881" width="2.140625" style="465" customWidth="1"/>
    <col min="4882" max="4882" width="6" style="465" customWidth="1"/>
    <col min="4883" max="4883" width="3.85546875" style="465" customWidth="1"/>
    <col min="4884" max="4884" width="4.140625" style="465" customWidth="1"/>
    <col min="4885" max="4885" width="4.7109375" style="465" customWidth="1"/>
    <col min="4886" max="4886" width="4.42578125" style="465" customWidth="1"/>
    <col min="4887" max="4887" width="4.7109375" style="465" customWidth="1"/>
    <col min="4888" max="4888" width="2.5703125" style="465" customWidth="1"/>
    <col min="4889" max="4889" width="3.28515625" style="465" customWidth="1"/>
    <col min="4890" max="4890" width="5.85546875" style="465" customWidth="1"/>
    <col min="4891" max="4891" width="3.7109375" style="465" customWidth="1"/>
    <col min="4892" max="4892" width="3.28515625" style="465" customWidth="1"/>
    <col min="4893" max="4893" width="1.7109375" style="465" customWidth="1"/>
    <col min="4894" max="4894" width="8.140625" style="465" customWidth="1"/>
    <col min="4895" max="4895" width="11.28515625" style="465" customWidth="1"/>
    <col min="4896" max="4896" width="5.85546875" style="465" customWidth="1"/>
    <col min="4897" max="4897" width="23" style="465" bestFit="1" customWidth="1"/>
    <col min="4898" max="4899" width="3.28515625" style="465" customWidth="1"/>
    <col min="4900" max="4900" width="4.28515625" style="465" customWidth="1"/>
    <col min="4901" max="5120" width="11.42578125" style="465"/>
    <col min="5121" max="5121" width="4.42578125" style="465" customWidth="1"/>
    <col min="5122" max="5122" width="4.85546875" style="465" customWidth="1"/>
    <col min="5123" max="5123" width="3.7109375" style="465" customWidth="1"/>
    <col min="5124" max="5124" width="3.28515625" style="465" customWidth="1"/>
    <col min="5125" max="5125" width="3.140625" style="465" customWidth="1"/>
    <col min="5126" max="5126" width="2.5703125" style="465" customWidth="1"/>
    <col min="5127" max="5127" width="2.7109375" style="465" customWidth="1"/>
    <col min="5128" max="5128" width="4" style="465" customWidth="1"/>
    <col min="5129" max="5129" width="2.42578125" style="465" customWidth="1"/>
    <col min="5130" max="5130" width="2.85546875" style="465" customWidth="1"/>
    <col min="5131" max="5132" width="3" style="465" customWidth="1"/>
    <col min="5133" max="5134" width="2.5703125" style="465" customWidth="1"/>
    <col min="5135" max="5135" width="2.7109375" style="465" customWidth="1"/>
    <col min="5136" max="5136" width="1.5703125" style="465" customWidth="1"/>
    <col min="5137" max="5137" width="2.140625" style="465" customWidth="1"/>
    <col min="5138" max="5138" width="6" style="465" customWidth="1"/>
    <col min="5139" max="5139" width="3.85546875" style="465" customWidth="1"/>
    <col min="5140" max="5140" width="4.140625" style="465" customWidth="1"/>
    <col min="5141" max="5141" width="4.7109375" style="465" customWidth="1"/>
    <col min="5142" max="5142" width="4.42578125" style="465" customWidth="1"/>
    <col min="5143" max="5143" width="4.7109375" style="465" customWidth="1"/>
    <col min="5144" max="5144" width="2.5703125" style="465" customWidth="1"/>
    <col min="5145" max="5145" width="3.28515625" style="465" customWidth="1"/>
    <col min="5146" max="5146" width="5.85546875" style="465" customWidth="1"/>
    <col min="5147" max="5147" width="3.7109375" style="465" customWidth="1"/>
    <col min="5148" max="5148" width="3.28515625" style="465" customWidth="1"/>
    <col min="5149" max="5149" width="1.7109375" style="465" customWidth="1"/>
    <col min="5150" max="5150" width="8.140625" style="465" customWidth="1"/>
    <col min="5151" max="5151" width="11.28515625" style="465" customWidth="1"/>
    <col min="5152" max="5152" width="5.85546875" style="465" customWidth="1"/>
    <col min="5153" max="5153" width="23" style="465" bestFit="1" customWidth="1"/>
    <col min="5154" max="5155" width="3.28515625" style="465" customWidth="1"/>
    <col min="5156" max="5156" width="4.28515625" style="465" customWidth="1"/>
    <col min="5157" max="5376" width="11.42578125" style="465"/>
    <col min="5377" max="5377" width="4.42578125" style="465" customWidth="1"/>
    <col min="5378" max="5378" width="4.85546875" style="465" customWidth="1"/>
    <col min="5379" max="5379" width="3.7109375" style="465" customWidth="1"/>
    <col min="5380" max="5380" width="3.28515625" style="465" customWidth="1"/>
    <col min="5381" max="5381" width="3.140625" style="465" customWidth="1"/>
    <col min="5382" max="5382" width="2.5703125" style="465" customWidth="1"/>
    <col min="5383" max="5383" width="2.7109375" style="465" customWidth="1"/>
    <col min="5384" max="5384" width="4" style="465" customWidth="1"/>
    <col min="5385" max="5385" width="2.42578125" style="465" customWidth="1"/>
    <col min="5386" max="5386" width="2.85546875" style="465" customWidth="1"/>
    <col min="5387" max="5388" width="3" style="465" customWidth="1"/>
    <col min="5389" max="5390" width="2.5703125" style="465" customWidth="1"/>
    <col min="5391" max="5391" width="2.7109375" style="465" customWidth="1"/>
    <col min="5392" max="5392" width="1.5703125" style="465" customWidth="1"/>
    <col min="5393" max="5393" width="2.140625" style="465" customWidth="1"/>
    <col min="5394" max="5394" width="6" style="465" customWidth="1"/>
    <col min="5395" max="5395" width="3.85546875" style="465" customWidth="1"/>
    <col min="5396" max="5396" width="4.140625" style="465" customWidth="1"/>
    <col min="5397" max="5397" width="4.7109375" style="465" customWidth="1"/>
    <col min="5398" max="5398" width="4.42578125" style="465" customWidth="1"/>
    <col min="5399" max="5399" width="4.7109375" style="465" customWidth="1"/>
    <col min="5400" max="5400" width="2.5703125" style="465" customWidth="1"/>
    <col min="5401" max="5401" width="3.28515625" style="465" customWidth="1"/>
    <col min="5402" max="5402" width="5.85546875" style="465" customWidth="1"/>
    <col min="5403" max="5403" width="3.7109375" style="465" customWidth="1"/>
    <col min="5404" max="5404" width="3.28515625" style="465" customWidth="1"/>
    <col min="5405" max="5405" width="1.7109375" style="465" customWidth="1"/>
    <col min="5406" max="5406" width="8.140625" style="465" customWidth="1"/>
    <col min="5407" max="5407" width="11.28515625" style="465" customWidth="1"/>
    <col min="5408" max="5408" width="5.85546875" style="465" customWidth="1"/>
    <col min="5409" max="5409" width="23" style="465" bestFit="1" customWidth="1"/>
    <col min="5410" max="5411" width="3.28515625" style="465" customWidth="1"/>
    <col min="5412" max="5412" width="4.28515625" style="465" customWidth="1"/>
    <col min="5413" max="5632" width="11.42578125" style="465"/>
    <col min="5633" max="5633" width="4.42578125" style="465" customWidth="1"/>
    <col min="5634" max="5634" width="4.85546875" style="465" customWidth="1"/>
    <col min="5635" max="5635" width="3.7109375" style="465" customWidth="1"/>
    <col min="5636" max="5636" width="3.28515625" style="465" customWidth="1"/>
    <col min="5637" max="5637" width="3.140625" style="465" customWidth="1"/>
    <col min="5638" max="5638" width="2.5703125" style="465" customWidth="1"/>
    <col min="5639" max="5639" width="2.7109375" style="465" customWidth="1"/>
    <col min="5640" max="5640" width="4" style="465" customWidth="1"/>
    <col min="5641" max="5641" width="2.42578125" style="465" customWidth="1"/>
    <col min="5642" max="5642" width="2.85546875" style="465" customWidth="1"/>
    <col min="5643" max="5644" width="3" style="465" customWidth="1"/>
    <col min="5645" max="5646" width="2.5703125" style="465" customWidth="1"/>
    <col min="5647" max="5647" width="2.7109375" style="465" customWidth="1"/>
    <col min="5648" max="5648" width="1.5703125" style="465" customWidth="1"/>
    <col min="5649" max="5649" width="2.140625" style="465" customWidth="1"/>
    <col min="5650" max="5650" width="6" style="465" customWidth="1"/>
    <col min="5651" max="5651" width="3.85546875" style="465" customWidth="1"/>
    <col min="5652" max="5652" width="4.140625" style="465" customWidth="1"/>
    <col min="5653" max="5653" width="4.7109375" style="465" customWidth="1"/>
    <col min="5654" max="5654" width="4.42578125" style="465" customWidth="1"/>
    <col min="5655" max="5655" width="4.7109375" style="465" customWidth="1"/>
    <col min="5656" max="5656" width="2.5703125" style="465" customWidth="1"/>
    <col min="5657" max="5657" width="3.28515625" style="465" customWidth="1"/>
    <col min="5658" max="5658" width="5.85546875" style="465" customWidth="1"/>
    <col min="5659" max="5659" width="3.7109375" style="465" customWidth="1"/>
    <col min="5660" max="5660" width="3.28515625" style="465" customWidth="1"/>
    <col min="5661" max="5661" width="1.7109375" style="465" customWidth="1"/>
    <col min="5662" max="5662" width="8.140625" style="465" customWidth="1"/>
    <col min="5663" max="5663" width="11.28515625" style="465" customWidth="1"/>
    <col min="5664" max="5664" width="5.85546875" style="465" customWidth="1"/>
    <col min="5665" max="5665" width="23" style="465" bestFit="1" customWidth="1"/>
    <col min="5666" max="5667" width="3.28515625" style="465" customWidth="1"/>
    <col min="5668" max="5668" width="4.28515625" style="465" customWidth="1"/>
    <col min="5669" max="5888" width="11.42578125" style="465"/>
    <col min="5889" max="5889" width="4.42578125" style="465" customWidth="1"/>
    <col min="5890" max="5890" width="4.85546875" style="465" customWidth="1"/>
    <col min="5891" max="5891" width="3.7109375" style="465" customWidth="1"/>
    <col min="5892" max="5892" width="3.28515625" style="465" customWidth="1"/>
    <col min="5893" max="5893" width="3.140625" style="465" customWidth="1"/>
    <col min="5894" max="5894" width="2.5703125" style="465" customWidth="1"/>
    <col min="5895" max="5895" width="2.7109375" style="465" customWidth="1"/>
    <col min="5896" max="5896" width="4" style="465" customWidth="1"/>
    <col min="5897" max="5897" width="2.42578125" style="465" customWidth="1"/>
    <col min="5898" max="5898" width="2.85546875" style="465" customWidth="1"/>
    <col min="5899" max="5900" width="3" style="465" customWidth="1"/>
    <col min="5901" max="5902" width="2.5703125" style="465" customWidth="1"/>
    <col min="5903" max="5903" width="2.7109375" style="465" customWidth="1"/>
    <col min="5904" max="5904" width="1.5703125" style="465" customWidth="1"/>
    <col min="5905" max="5905" width="2.140625" style="465" customWidth="1"/>
    <col min="5906" max="5906" width="6" style="465" customWidth="1"/>
    <col min="5907" max="5907" width="3.85546875" style="465" customWidth="1"/>
    <col min="5908" max="5908" width="4.140625" style="465" customWidth="1"/>
    <col min="5909" max="5909" width="4.7109375" style="465" customWidth="1"/>
    <col min="5910" max="5910" width="4.42578125" style="465" customWidth="1"/>
    <col min="5911" max="5911" width="4.7109375" style="465" customWidth="1"/>
    <col min="5912" max="5912" width="2.5703125" style="465" customWidth="1"/>
    <col min="5913" max="5913" width="3.28515625" style="465" customWidth="1"/>
    <col min="5914" max="5914" width="5.85546875" style="465" customWidth="1"/>
    <col min="5915" max="5915" width="3.7109375" style="465" customWidth="1"/>
    <col min="5916" max="5916" width="3.28515625" style="465" customWidth="1"/>
    <col min="5917" max="5917" width="1.7109375" style="465" customWidth="1"/>
    <col min="5918" max="5918" width="8.140625" style="465" customWidth="1"/>
    <col min="5919" max="5919" width="11.28515625" style="465" customWidth="1"/>
    <col min="5920" max="5920" width="5.85546875" style="465" customWidth="1"/>
    <col min="5921" max="5921" width="23" style="465" bestFit="1" customWidth="1"/>
    <col min="5922" max="5923" width="3.28515625" style="465" customWidth="1"/>
    <col min="5924" max="5924" width="4.28515625" style="465" customWidth="1"/>
    <col min="5925" max="6144" width="11.42578125" style="465"/>
    <col min="6145" max="6145" width="4.42578125" style="465" customWidth="1"/>
    <col min="6146" max="6146" width="4.85546875" style="465" customWidth="1"/>
    <col min="6147" max="6147" width="3.7109375" style="465" customWidth="1"/>
    <col min="6148" max="6148" width="3.28515625" style="465" customWidth="1"/>
    <col min="6149" max="6149" width="3.140625" style="465" customWidth="1"/>
    <col min="6150" max="6150" width="2.5703125" style="465" customWidth="1"/>
    <col min="6151" max="6151" width="2.7109375" style="465" customWidth="1"/>
    <col min="6152" max="6152" width="4" style="465" customWidth="1"/>
    <col min="6153" max="6153" width="2.42578125" style="465" customWidth="1"/>
    <col min="6154" max="6154" width="2.85546875" style="465" customWidth="1"/>
    <col min="6155" max="6156" width="3" style="465" customWidth="1"/>
    <col min="6157" max="6158" width="2.5703125" style="465" customWidth="1"/>
    <col min="6159" max="6159" width="2.7109375" style="465" customWidth="1"/>
    <col min="6160" max="6160" width="1.5703125" style="465" customWidth="1"/>
    <col min="6161" max="6161" width="2.140625" style="465" customWidth="1"/>
    <col min="6162" max="6162" width="6" style="465" customWidth="1"/>
    <col min="6163" max="6163" width="3.85546875" style="465" customWidth="1"/>
    <col min="6164" max="6164" width="4.140625" style="465" customWidth="1"/>
    <col min="6165" max="6165" width="4.7109375" style="465" customWidth="1"/>
    <col min="6166" max="6166" width="4.42578125" style="465" customWidth="1"/>
    <col min="6167" max="6167" width="4.7109375" style="465" customWidth="1"/>
    <col min="6168" max="6168" width="2.5703125" style="465" customWidth="1"/>
    <col min="6169" max="6169" width="3.28515625" style="465" customWidth="1"/>
    <col min="6170" max="6170" width="5.85546875" style="465" customWidth="1"/>
    <col min="6171" max="6171" width="3.7109375" style="465" customWidth="1"/>
    <col min="6172" max="6172" width="3.28515625" style="465" customWidth="1"/>
    <col min="6173" max="6173" width="1.7109375" style="465" customWidth="1"/>
    <col min="6174" max="6174" width="8.140625" style="465" customWidth="1"/>
    <col min="6175" max="6175" width="11.28515625" style="465" customWidth="1"/>
    <col min="6176" max="6176" width="5.85546875" style="465" customWidth="1"/>
    <col min="6177" max="6177" width="23" style="465" bestFit="1" customWidth="1"/>
    <col min="6178" max="6179" width="3.28515625" style="465" customWidth="1"/>
    <col min="6180" max="6180" width="4.28515625" style="465" customWidth="1"/>
    <col min="6181" max="6400" width="11.42578125" style="465"/>
    <col min="6401" max="6401" width="4.42578125" style="465" customWidth="1"/>
    <col min="6402" max="6402" width="4.85546875" style="465" customWidth="1"/>
    <col min="6403" max="6403" width="3.7109375" style="465" customWidth="1"/>
    <col min="6404" max="6404" width="3.28515625" style="465" customWidth="1"/>
    <col min="6405" max="6405" width="3.140625" style="465" customWidth="1"/>
    <col min="6406" max="6406" width="2.5703125" style="465" customWidth="1"/>
    <col min="6407" max="6407" width="2.7109375" style="465" customWidth="1"/>
    <col min="6408" max="6408" width="4" style="465" customWidth="1"/>
    <col min="6409" max="6409" width="2.42578125" style="465" customWidth="1"/>
    <col min="6410" max="6410" width="2.85546875" style="465" customWidth="1"/>
    <col min="6411" max="6412" width="3" style="465" customWidth="1"/>
    <col min="6413" max="6414" width="2.5703125" style="465" customWidth="1"/>
    <col min="6415" max="6415" width="2.7109375" style="465" customWidth="1"/>
    <col min="6416" max="6416" width="1.5703125" style="465" customWidth="1"/>
    <col min="6417" max="6417" width="2.140625" style="465" customWidth="1"/>
    <col min="6418" max="6418" width="6" style="465" customWidth="1"/>
    <col min="6419" max="6419" width="3.85546875" style="465" customWidth="1"/>
    <col min="6420" max="6420" width="4.140625" style="465" customWidth="1"/>
    <col min="6421" max="6421" width="4.7109375" style="465" customWidth="1"/>
    <col min="6422" max="6422" width="4.42578125" style="465" customWidth="1"/>
    <col min="6423" max="6423" width="4.7109375" style="465" customWidth="1"/>
    <col min="6424" max="6424" width="2.5703125" style="465" customWidth="1"/>
    <col min="6425" max="6425" width="3.28515625" style="465" customWidth="1"/>
    <col min="6426" max="6426" width="5.85546875" style="465" customWidth="1"/>
    <col min="6427" max="6427" width="3.7109375" style="465" customWidth="1"/>
    <col min="6428" max="6428" width="3.28515625" style="465" customWidth="1"/>
    <col min="6429" max="6429" width="1.7109375" style="465" customWidth="1"/>
    <col min="6430" max="6430" width="8.140625" style="465" customWidth="1"/>
    <col min="6431" max="6431" width="11.28515625" style="465" customWidth="1"/>
    <col min="6432" max="6432" width="5.85546875" style="465" customWidth="1"/>
    <col min="6433" max="6433" width="23" style="465" bestFit="1" customWidth="1"/>
    <col min="6434" max="6435" width="3.28515625" style="465" customWidth="1"/>
    <col min="6436" max="6436" width="4.28515625" style="465" customWidth="1"/>
    <col min="6437" max="6656" width="11.42578125" style="465"/>
    <col min="6657" max="6657" width="4.42578125" style="465" customWidth="1"/>
    <col min="6658" max="6658" width="4.85546875" style="465" customWidth="1"/>
    <col min="6659" max="6659" width="3.7109375" style="465" customWidth="1"/>
    <col min="6660" max="6660" width="3.28515625" style="465" customWidth="1"/>
    <col min="6661" max="6661" width="3.140625" style="465" customWidth="1"/>
    <col min="6662" max="6662" width="2.5703125" style="465" customWidth="1"/>
    <col min="6663" max="6663" width="2.7109375" style="465" customWidth="1"/>
    <col min="6664" max="6664" width="4" style="465" customWidth="1"/>
    <col min="6665" max="6665" width="2.42578125" style="465" customWidth="1"/>
    <col min="6666" max="6666" width="2.85546875" style="465" customWidth="1"/>
    <col min="6667" max="6668" width="3" style="465" customWidth="1"/>
    <col min="6669" max="6670" width="2.5703125" style="465" customWidth="1"/>
    <col min="6671" max="6671" width="2.7109375" style="465" customWidth="1"/>
    <col min="6672" max="6672" width="1.5703125" style="465" customWidth="1"/>
    <col min="6673" max="6673" width="2.140625" style="465" customWidth="1"/>
    <col min="6674" max="6674" width="6" style="465" customWidth="1"/>
    <col min="6675" max="6675" width="3.85546875" style="465" customWidth="1"/>
    <col min="6676" max="6676" width="4.140625" style="465" customWidth="1"/>
    <col min="6677" max="6677" width="4.7109375" style="465" customWidth="1"/>
    <col min="6678" max="6678" width="4.42578125" style="465" customWidth="1"/>
    <col min="6679" max="6679" width="4.7109375" style="465" customWidth="1"/>
    <col min="6680" max="6680" width="2.5703125" style="465" customWidth="1"/>
    <col min="6681" max="6681" width="3.28515625" style="465" customWidth="1"/>
    <col min="6682" max="6682" width="5.85546875" style="465" customWidth="1"/>
    <col min="6683" max="6683" width="3.7109375" style="465" customWidth="1"/>
    <col min="6684" max="6684" width="3.28515625" style="465" customWidth="1"/>
    <col min="6685" max="6685" width="1.7109375" style="465" customWidth="1"/>
    <col min="6686" max="6686" width="8.140625" style="465" customWidth="1"/>
    <col min="6687" max="6687" width="11.28515625" style="465" customWidth="1"/>
    <col min="6688" max="6688" width="5.85546875" style="465" customWidth="1"/>
    <col min="6689" max="6689" width="23" style="465" bestFit="1" customWidth="1"/>
    <col min="6690" max="6691" width="3.28515625" style="465" customWidth="1"/>
    <col min="6692" max="6692" width="4.28515625" style="465" customWidth="1"/>
    <col min="6693" max="6912" width="11.42578125" style="465"/>
    <col min="6913" max="6913" width="4.42578125" style="465" customWidth="1"/>
    <col min="6914" max="6914" width="4.85546875" style="465" customWidth="1"/>
    <col min="6915" max="6915" width="3.7109375" style="465" customWidth="1"/>
    <col min="6916" max="6916" width="3.28515625" style="465" customWidth="1"/>
    <col min="6917" max="6917" width="3.140625" style="465" customWidth="1"/>
    <col min="6918" max="6918" width="2.5703125" style="465" customWidth="1"/>
    <col min="6919" max="6919" width="2.7109375" style="465" customWidth="1"/>
    <col min="6920" max="6920" width="4" style="465" customWidth="1"/>
    <col min="6921" max="6921" width="2.42578125" style="465" customWidth="1"/>
    <col min="6922" max="6922" width="2.85546875" style="465" customWidth="1"/>
    <col min="6923" max="6924" width="3" style="465" customWidth="1"/>
    <col min="6925" max="6926" width="2.5703125" style="465" customWidth="1"/>
    <col min="6927" max="6927" width="2.7109375" style="465" customWidth="1"/>
    <col min="6928" max="6928" width="1.5703125" style="465" customWidth="1"/>
    <col min="6929" max="6929" width="2.140625" style="465" customWidth="1"/>
    <col min="6930" max="6930" width="6" style="465" customWidth="1"/>
    <col min="6931" max="6931" width="3.85546875" style="465" customWidth="1"/>
    <col min="6932" max="6932" width="4.140625" style="465" customWidth="1"/>
    <col min="6933" max="6933" width="4.7109375" style="465" customWidth="1"/>
    <col min="6934" max="6934" width="4.42578125" style="465" customWidth="1"/>
    <col min="6935" max="6935" width="4.7109375" style="465" customWidth="1"/>
    <col min="6936" max="6936" width="2.5703125" style="465" customWidth="1"/>
    <col min="6937" max="6937" width="3.28515625" style="465" customWidth="1"/>
    <col min="6938" max="6938" width="5.85546875" style="465" customWidth="1"/>
    <col min="6939" max="6939" width="3.7109375" style="465" customWidth="1"/>
    <col min="6940" max="6940" width="3.28515625" style="465" customWidth="1"/>
    <col min="6941" max="6941" width="1.7109375" style="465" customWidth="1"/>
    <col min="6942" max="6942" width="8.140625" style="465" customWidth="1"/>
    <col min="6943" max="6943" width="11.28515625" style="465" customWidth="1"/>
    <col min="6944" max="6944" width="5.85546875" style="465" customWidth="1"/>
    <col min="6945" max="6945" width="23" style="465" bestFit="1" customWidth="1"/>
    <col min="6946" max="6947" width="3.28515625" style="465" customWidth="1"/>
    <col min="6948" max="6948" width="4.28515625" style="465" customWidth="1"/>
    <col min="6949" max="7168" width="11.42578125" style="465"/>
    <col min="7169" max="7169" width="4.42578125" style="465" customWidth="1"/>
    <col min="7170" max="7170" width="4.85546875" style="465" customWidth="1"/>
    <col min="7171" max="7171" width="3.7109375" style="465" customWidth="1"/>
    <col min="7172" max="7172" width="3.28515625" style="465" customWidth="1"/>
    <col min="7173" max="7173" width="3.140625" style="465" customWidth="1"/>
    <col min="7174" max="7174" width="2.5703125" style="465" customWidth="1"/>
    <col min="7175" max="7175" width="2.7109375" style="465" customWidth="1"/>
    <col min="7176" max="7176" width="4" style="465" customWidth="1"/>
    <col min="7177" max="7177" width="2.42578125" style="465" customWidth="1"/>
    <col min="7178" max="7178" width="2.85546875" style="465" customWidth="1"/>
    <col min="7179" max="7180" width="3" style="465" customWidth="1"/>
    <col min="7181" max="7182" width="2.5703125" style="465" customWidth="1"/>
    <col min="7183" max="7183" width="2.7109375" style="465" customWidth="1"/>
    <col min="7184" max="7184" width="1.5703125" style="465" customWidth="1"/>
    <col min="7185" max="7185" width="2.140625" style="465" customWidth="1"/>
    <col min="7186" max="7186" width="6" style="465" customWidth="1"/>
    <col min="7187" max="7187" width="3.85546875" style="465" customWidth="1"/>
    <col min="7188" max="7188" width="4.140625" style="465" customWidth="1"/>
    <col min="7189" max="7189" width="4.7109375" style="465" customWidth="1"/>
    <col min="7190" max="7190" width="4.42578125" style="465" customWidth="1"/>
    <col min="7191" max="7191" width="4.7109375" style="465" customWidth="1"/>
    <col min="7192" max="7192" width="2.5703125" style="465" customWidth="1"/>
    <col min="7193" max="7193" width="3.28515625" style="465" customWidth="1"/>
    <col min="7194" max="7194" width="5.85546875" style="465" customWidth="1"/>
    <col min="7195" max="7195" width="3.7109375" style="465" customWidth="1"/>
    <col min="7196" max="7196" width="3.28515625" style="465" customWidth="1"/>
    <col min="7197" max="7197" width="1.7109375" style="465" customWidth="1"/>
    <col min="7198" max="7198" width="8.140625" style="465" customWidth="1"/>
    <col min="7199" max="7199" width="11.28515625" style="465" customWidth="1"/>
    <col min="7200" max="7200" width="5.85546875" style="465" customWidth="1"/>
    <col min="7201" max="7201" width="23" style="465" bestFit="1" customWidth="1"/>
    <col min="7202" max="7203" width="3.28515625" style="465" customWidth="1"/>
    <col min="7204" max="7204" width="4.28515625" style="465" customWidth="1"/>
    <col min="7205" max="7424" width="11.42578125" style="465"/>
    <col min="7425" max="7425" width="4.42578125" style="465" customWidth="1"/>
    <col min="7426" max="7426" width="4.85546875" style="465" customWidth="1"/>
    <col min="7427" max="7427" width="3.7109375" style="465" customWidth="1"/>
    <col min="7428" max="7428" width="3.28515625" style="465" customWidth="1"/>
    <col min="7429" max="7429" width="3.140625" style="465" customWidth="1"/>
    <col min="7430" max="7430" width="2.5703125" style="465" customWidth="1"/>
    <col min="7431" max="7431" width="2.7109375" style="465" customWidth="1"/>
    <col min="7432" max="7432" width="4" style="465" customWidth="1"/>
    <col min="7433" max="7433" width="2.42578125" style="465" customWidth="1"/>
    <col min="7434" max="7434" width="2.85546875" style="465" customWidth="1"/>
    <col min="7435" max="7436" width="3" style="465" customWidth="1"/>
    <col min="7437" max="7438" width="2.5703125" style="465" customWidth="1"/>
    <col min="7439" max="7439" width="2.7109375" style="465" customWidth="1"/>
    <col min="7440" max="7440" width="1.5703125" style="465" customWidth="1"/>
    <col min="7441" max="7441" width="2.140625" style="465" customWidth="1"/>
    <col min="7442" max="7442" width="6" style="465" customWidth="1"/>
    <col min="7443" max="7443" width="3.85546875" style="465" customWidth="1"/>
    <col min="7444" max="7444" width="4.140625" style="465" customWidth="1"/>
    <col min="7445" max="7445" width="4.7109375" style="465" customWidth="1"/>
    <col min="7446" max="7446" width="4.42578125" style="465" customWidth="1"/>
    <col min="7447" max="7447" width="4.7109375" style="465" customWidth="1"/>
    <col min="7448" max="7448" width="2.5703125" style="465" customWidth="1"/>
    <col min="7449" max="7449" width="3.28515625" style="465" customWidth="1"/>
    <col min="7450" max="7450" width="5.85546875" style="465" customWidth="1"/>
    <col min="7451" max="7451" width="3.7109375" style="465" customWidth="1"/>
    <col min="7452" max="7452" width="3.28515625" style="465" customWidth="1"/>
    <col min="7453" max="7453" width="1.7109375" style="465" customWidth="1"/>
    <col min="7454" max="7454" width="8.140625" style="465" customWidth="1"/>
    <col min="7455" max="7455" width="11.28515625" style="465" customWidth="1"/>
    <col min="7456" max="7456" width="5.85546875" style="465" customWidth="1"/>
    <col min="7457" max="7457" width="23" style="465" bestFit="1" customWidth="1"/>
    <col min="7458" max="7459" width="3.28515625" style="465" customWidth="1"/>
    <col min="7460" max="7460" width="4.28515625" style="465" customWidth="1"/>
    <col min="7461" max="7680" width="11.42578125" style="465"/>
    <col min="7681" max="7681" width="4.42578125" style="465" customWidth="1"/>
    <col min="7682" max="7682" width="4.85546875" style="465" customWidth="1"/>
    <col min="7683" max="7683" width="3.7109375" style="465" customWidth="1"/>
    <col min="7684" max="7684" width="3.28515625" style="465" customWidth="1"/>
    <col min="7685" max="7685" width="3.140625" style="465" customWidth="1"/>
    <col min="7686" max="7686" width="2.5703125" style="465" customWidth="1"/>
    <col min="7687" max="7687" width="2.7109375" style="465" customWidth="1"/>
    <col min="7688" max="7688" width="4" style="465" customWidth="1"/>
    <col min="7689" max="7689" width="2.42578125" style="465" customWidth="1"/>
    <col min="7690" max="7690" width="2.85546875" style="465" customWidth="1"/>
    <col min="7691" max="7692" width="3" style="465" customWidth="1"/>
    <col min="7693" max="7694" width="2.5703125" style="465" customWidth="1"/>
    <col min="7695" max="7695" width="2.7109375" style="465" customWidth="1"/>
    <col min="7696" max="7696" width="1.5703125" style="465" customWidth="1"/>
    <col min="7697" max="7697" width="2.140625" style="465" customWidth="1"/>
    <col min="7698" max="7698" width="6" style="465" customWidth="1"/>
    <col min="7699" max="7699" width="3.85546875" style="465" customWidth="1"/>
    <col min="7700" max="7700" width="4.140625" style="465" customWidth="1"/>
    <col min="7701" max="7701" width="4.7109375" style="465" customWidth="1"/>
    <col min="7702" max="7702" width="4.42578125" style="465" customWidth="1"/>
    <col min="7703" max="7703" width="4.7109375" style="465" customWidth="1"/>
    <col min="7704" max="7704" width="2.5703125" style="465" customWidth="1"/>
    <col min="7705" max="7705" width="3.28515625" style="465" customWidth="1"/>
    <col min="7706" max="7706" width="5.85546875" style="465" customWidth="1"/>
    <col min="7707" max="7707" width="3.7109375" style="465" customWidth="1"/>
    <col min="7708" max="7708" width="3.28515625" style="465" customWidth="1"/>
    <col min="7709" max="7709" width="1.7109375" style="465" customWidth="1"/>
    <col min="7710" max="7710" width="8.140625" style="465" customWidth="1"/>
    <col min="7711" max="7711" width="11.28515625" style="465" customWidth="1"/>
    <col min="7712" max="7712" width="5.85546875" style="465" customWidth="1"/>
    <col min="7713" max="7713" width="23" style="465" bestFit="1" customWidth="1"/>
    <col min="7714" max="7715" width="3.28515625" style="465" customWidth="1"/>
    <col min="7716" max="7716" width="4.28515625" style="465" customWidth="1"/>
    <col min="7717" max="7936" width="11.42578125" style="465"/>
    <col min="7937" max="7937" width="4.42578125" style="465" customWidth="1"/>
    <col min="7938" max="7938" width="4.85546875" style="465" customWidth="1"/>
    <col min="7939" max="7939" width="3.7109375" style="465" customWidth="1"/>
    <col min="7940" max="7940" width="3.28515625" style="465" customWidth="1"/>
    <col min="7941" max="7941" width="3.140625" style="465" customWidth="1"/>
    <col min="7942" max="7942" width="2.5703125" style="465" customWidth="1"/>
    <col min="7943" max="7943" width="2.7109375" style="465" customWidth="1"/>
    <col min="7944" max="7944" width="4" style="465" customWidth="1"/>
    <col min="7945" max="7945" width="2.42578125" style="465" customWidth="1"/>
    <col min="7946" max="7946" width="2.85546875" style="465" customWidth="1"/>
    <col min="7947" max="7948" width="3" style="465" customWidth="1"/>
    <col min="7949" max="7950" width="2.5703125" style="465" customWidth="1"/>
    <col min="7951" max="7951" width="2.7109375" style="465" customWidth="1"/>
    <col min="7952" max="7952" width="1.5703125" style="465" customWidth="1"/>
    <col min="7953" max="7953" width="2.140625" style="465" customWidth="1"/>
    <col min="7954" max="7954" width="6" style="465" customWidth="1"/>
    <col min="7955" max="7955" width="3.85546875" style="465" customWidth="1"/>
    <col min="7956" max="7956" width="4.140625" style="465" customWidth="1"/>
    <col min="7957" max="7957" width="4.7109375" style="465" customWidth="1"/>
    <col min="7958" max="7958" width="4.42578125" style="465" customWidth="1"/>
    <col min="7959" max="7959" width="4.7109375" style="465" customWidth="1"/>
    <col min="7960" max="7960" width="2.5703125" style="465" customWidth="1"/>
    <col min="7961" max="7961" width="3.28515625" style="465" customWidth="1"/>
    <col min="7962" max="7962" width="5.85546875" style="465" customWidth="1"/>
    <col min="7963" max="7963" width="3.7109375" style="465" customWidth="1"/>
    <col min="7964" max="7964" width="3.28515625" style="465" customWidth="1"/>
    <col min="7965" max="7965" width="1.7109375" style="465" customWidth="1"/>
    <col min="7966" max="7966" width="8.140625" style="465" customWidth="1"/>
    <col min="7967" max="7967" width="11.28515625" style="465" customWidth="1"/>
    <col min="7968" max="7968" width="5.85546875" style="465" customWidth="1"/>
    <col min="7969" max="7969" width="23" style="465" bestFit="1" customWidth="1"/>
    <col min="7970" max="7971" width="3.28515625" style="465" customWidth="1"/>
    <col min="7972" max="7972" width="4.28515625" style="465" customWidth="1"/>
    <col min="7973" max="8192" width="11.42578125" style="465"/>
    <col min="8193" max="8193" width="4.42578125" style="465" customWidth="1"/>
    <col min="8194" max="8194" width="4.85546875" style="465" customWidth="1"/>
    <col min="8195" max="8195" width="3.7109375" style="465" customWidth="1"/>
    <col min="8196" max="8196" width="3.28515625" style="465" customWidth="1"/>
    <col min="8197" max="8197" width="3.140625" style="465" customWidth="1"/>
    <col min="8198" max="8198" width="2.5703125" style="465" customWidth="1"/>
    <col min="8199" max="8199" width="2.7109375" style="465" customWidth="1"/>
    <col min="8200" max="8200" width="4" style="465" customWidth="1"/>
    <col min="8201" max="8201" width="2.42578125" style="465" customWidth="1"/>
    <col min="8202" max="8202" width="2.85546875" style="465" customWidth="1"/>
    <col min="8203" max="8204" width="3" style="465" customWidth="1"/>
    <col min="8205" max="8206" width="2.5703125" style="465" customWidth="1"/>
    <col min="8207" max="8207" width="2.7109375" style="465" customWidth="1"/>
    <col min="8208" max="8208" width="1.5703125" style="465" customWidth="1"/>
    <col min="8209" max="8209" width="2.140625" style="465" customWidth="1"/>
    <col min="8210" max="8210" width="6" style="465" customWidth="1"/>
    <col min="8211" max="8211" width="3.85546875" style="465" customWidth="1"/>
    <col min="8212" max="8212" width="4.140625" style="465" customWidth="1"/>
    <col min="8213" max="8213" width="4.7109375" style="465" customWidth="1"/>
    <col min="8214" max="8214" width="4.42578125" style="465" customWidth="1"/>
    <col min="8215" max="8215" width="4.7109375" style="465" customWidth="1"/>
    <col min="8216" max="8216" width="2.5703125" style="465" customWidth="1"/>
    <col min="8217" max="8217" width="3.28515625" style="465" customWidth="1"/>
    <col min="8218" max="8218" width="5.85546875" style="465" customWidth="1"/>
    <col min="8219" max="8219" width="3.7109375" style="465" customWidth="1"/>
    <col min="8220" max="8220" width="3.28515625" style="465" customWidth="1"/>
    <col min="8221" max="8221" width="1.7109375" style="465" customWidth="1"/>
    <col min="8222" max="8222" width="8.140625" style="465" customWidth="1"/>
    <col min="8223" max="8223" width="11.28515625" style="465" customWidth="1"/>
    <col min="8224" max="8224" width="5.85546875" style="465" customWidth="1"/>
    <col min="8225" max="8225" width="23" style="465" bestFit="1" customWidth="1"/>
    <col min="8226" max="8227" width="3.28515625" style="465" customWidth="1"/>
    <col min="8228" max="8228" width="4.28515625" style="465" customWidth="1"/>
    <col min="8229" max="8448" width="11.42578125" style="465"/>
    <col min="8449" max="8449" width="4.42578125" style="465" customWidth="1"/>
    <col min="8450" max="8450" width="4.85546875" style="465" customWidth="1"/>
    <col min="8451" max="8451" width="3.7109375" style="465" customWidth="1"/>
    <col min="8452" max="8452" width="3.28515625" style="465" customWidth="1"/>
    <col min="8453" max="8453" width="3.140625" style="465" customWidth="1"/>
    <col min="8454" max="8454" width="2.5703125" style="465" customWidth="1"/>
    <col min="8455" max="8455" width="2.7109375" style="465" customWidth="1"/>
    <col min="8456" max="8456" width="4" style="465" customWidth="1"/>
    <col min="8457" max="8457" width="2.42578125" style="465" customWidth="1"/>
    <col min="8458" max="8458" width="2.85546875" style="465" customWidth="1"/>
    <col min="8459" max="8460" width="3" style="465" customWidth="1"/>
    <col min="8461" max="8462" width="2.5703125" style="465" customWidth="1"/>
    <col min="8463" max="8463" width="2.7109375" style="465" customWidth="1"/>
    <col min="8464" max="8464" width="1.5703125" style="465" customWidth="1"/>
    <col min="8465" max="8465" width="2.140625" style="465" customWidth="1"/>
    <col min="8466" max="8466" width="6" style="465" customWidth="1"/>
    <col min="8467" max="8467" width="3.85546875" style="465" customWidth="1"/>
    <col min="8468" max="8468" width="4.140625" style="465" customWidth="1"/>
    <col min="8469" max="8469" width="4.7109375" style="465" customWidth="1"/>
    <col min="8470" max="8470" width="4.42578125" style="465" customWidth="1"/>
    <col min="8471" max="8471" width="4.7109375" style="465" customWidth="1"/>
    <col min="8472" max="8472" width="2.5703125" style="465" customWidth="1"/>
    <col min="8473" max="8473" width="3.28515625" style="465" customWidth="1"/>
    <col min="8474" max="8474" width="5.85546875" style="465" customWidth="1"/>
    <col min="8475" max="8475" width="3.7109375" style="465" customWidth="1"/>
    <col min="8476" max="8476" width="3.28515625" style="465" customWidth="1"/>
    <col min="8477" max="8477" width="1.7109375" style="465" customWidth="1"/>
    <col min="8478" max="8478" width="8.140625" style="465" customWidth="1"/>
    <col min="8479" max="8479" width="11.28515625" style="465" customWidth="1"/>
    <col min="8480" max="8480" width="5.85546875" style="465" customWidth="1"/>
    <col min="8481" max="8481" width="23" style="465" bestFit="1" customWidth="1"/>
    <col min="8482" max="8483" width="3.28515625" style="465" customWidth="1"/>
    <col min="8484" max="8484" width="4.28515625" style="465" customWidth="1"/>
    <col min="8485" max="8704" width="11.42578125" style="465"/>
    <col min="8705" max="8705" width="4.42578125" style="465" customWidth="1"/>
    <col min="8706" max="8706" width="4.85546875" style="465" customWidth="1"/>
    <col min="8707" max="8707" width="3.7109375" style="465" customWidth="1"/>
    <col min="8708" max="8708" width="3.28515625" style="465" customWidth="1"/>
    <col min="8709" max="8709" width="3.140625" style="465" customWidth="1"/>
    <col min="8710" max="8710" width="2.5703125" style="465" customWidth="1"/>
    <col min="8711" max="8711" width="2.7109375" style="465" customWidth="1"/>
    <col min="8712" max="8712" width="4" style="465" customWidth="1"/>
    <col min="8713" max="8713" width="2.42578125" style="465" customWidth="1"/>
    <col min="8714" max="8714" width="2.85546875" style="465" customWidth="1"/>
    <col min="8715" max="8716" width="3" style="465" customWidth="1"/>
    <col min="8717" max="8718" width="2.5703125" style="465" customWidth="1"/>
    <col min="8719" max="8719" width="2.7109375" style="465" customWidth="1"/>
    <col min="8720" max="8720" width="1.5703125" style="465" customWidth="1"/>
    <col min="8721" max="8721" width="2.140625" style="465" customWidth="1"/>
    <col min="8722" max="8722" width="6" style="465" customWidth="1"/>
    <col min="8723" max="8723" width="3.85546875" style="465" customWidth="1"/>
    <col min="8724" max="8724" width="4.140625" style="465" customWidth="1"/>
    <col min="8725" max="8725" width="4.7109375" style="465" customWidth="1"/>
    <col min="8726" max="8726" width="4.42578125" style="465" customWidth="1"/>
    <col min="8727" max="8727" width="4.7109375" style="465" customWidth="1"/>
    <col min="8728" max="8728" width="2.5703125" style="465" customWidth="1"/>
    <col min="8729" max="8729" width="3.28515625" style="465" customWidth="1"/>
    <col min="8730" max="8730" width="5.85546875" style="465" customWidth="1"/>
    <col min="8731" max="8731" width="3.7109375" style="465" customWidth="1"/>
    <col min="8732" max="8732" width="3.28515625" style="465" customWidth="1"/>
    <col min="8733" max="8733" width="1.7109375" style="465" customWidth="1"/>
    <col min="8734" max="8734" width="8.140625" style="465" customWidth="1"/>
    <col min="8735" max="8735" width="11.28515625" style="465" customWidth="1"/>
    <col min="8736" max="8736" width="5.85546875" style="465" customWidth="1"/>
    <col min="8737" max="8737" width="23" style="465" bestFit="1" customWidth="1"/>
    <col min="8738" max="8739" width="3.28515625" style="465" customWidth="1"/>
    <col min="8740" max="8740" width="4.28515625" style="465" customWidth="1"/>
    <col min="8741" max="8960" width="11.42578125" style="465"/>
    <col min="8961" max="8961" width="4.42578125" style="465" customWidth="1"/>
    <col min="8962" max="8962" width="4.85546875" style="465" customWidth="1"/>
    <col min="8963" max="8963" width="3.7109375" style="465" customWidth="1"/>
    <col min="8964" max="8964" width="3.28515625" style="465" customWidth="1"/>
    <col min="8965" max="8965" width="3.140625" style="465" customWidth="1"/>
    <col min="8966" max="8966" width="2.5703125" style="465" customWidth="1"/>
    <col min="8967" max="8967" width="2.7109375" style="465" customWidth="1"/>
    <col min="8968" max="8968" width="4" style="465" customWidth="1"/>
    <col min="8969" max="8969" width="2.42578125" style="465" customWidth="1"/>
    <col min="8970" max="8970" width="2.85546875" style="465" customWidth="1"/>
    <col min="8971" max="8972" width="3" style="465" customWidth="1"/>
    <col min="8973" max="8974" width="2.5703125" style="465" customWidth="1"/>
    <col min="8975" max="8975" width="2.7109375" style="465" customWidth="1"/>
    <col min="8976" max="8976" width="1.5703125" style="465" customWidth="1"/>
    <col min="8977" max="8977" width="2.140625" style="465" customWidth="1"/>
    <col min="8978" max="8978" width="6" style="465" customWidth="1"/>
    <col min="8979" max="8979" width="3.85546875" style="465" customWidth="1"/>
    <col min="8980" max="8980" width="4.140625" style="465" customWidth="1"/>
    <col min="8981" max="8981" width="4.7109375" style="465" customWidth="1"/>
    <col min="8982" max="8982" width="4.42578125" style="465" customWidth="1"/>
    <col min="8983" max="8983" width="4.7109375" style="465" customWidth="1"/>
    <col min="8984" max="8984" width="2.5703125" style="465" customWidth="1"/>
    <col min="8985" max="8985" width="3.28515625" style="465" customWidth="1"/>
    <col min="8986" max="8986" width="5.85546875" style="465" customWidth="1"/>
    <col min="8987" max="8987" width="3.7109375" style="465" customWidth="1"/>
    <col min="8988" max="8988" width="3.28515625" style="465" customWidth="1"/>
    <col min="8989" max="8989" width="1.7109375" style="465" customWidth="1"/>
    <col min="8990" max="8990" width="8.140625" style="465" customWidth="1"/>
    <col min="8991" max="8991" width="11.28515625" style="465" customWidth="1"/>
    <col min="8992" max="8992" width="5.85546875" style="465" customWidth="1"/>
    <col min="8993" max="8993" width="23" style="465" bestFit="1" customWidth="1"/>
    <col min="8994" max="8995" width="3.28515625" style="465" customWidth="1"/>
    <col min="8996" max="8996" width="4.28515625" style="465" customWidth="1"/>
    <col min="8997" max="9216" width="11.42578125" style="465"/>
    <col min="9217" max="9217" width="4.42578125" style="465" customWidth="1"/>
    <col min="9218" max="9218" width="4.85546875" style="465" customWidth="1"/>
    <col min="9219" max="9219" width="3.7109375" style="465" customWidth="1"/>
    <col min="9220" max="9220" width="3.28515625" style="465" customWidth="1"/>
    <col min="9221" max="9221" width="3.140625" style="465" customWidth="1"/>
    <col min="9222" max="9222" width="2.5703125" style="465" customWidth="1"/>
    <col min="9223" max="9223" width="2.7109375" style="465" customWidth="1"/>
    <col min="9224" max="9224" width="4" style="465" customWidth="1"/>
    <col min="9225" max="9225" width="2.42578125" style="465" customWidth="1"/>
    <col min="9226" max="9226" width="2.85546875" style="465" customWidth="1"/>
    <col min="9227" max="9228" width="3" style="465" customWidth="1"/>
    <col min="9229" max="9230" width="2.5703125" style="465" customWidth="1"/>
    <col min="9231" max="9231" width="2.7109375" style="465" customWidth="1"/>
    <col min="9232" max="9232" width="1.5703125" style="465" customWidth="1"/>
    <col min="9233" max="9233" width="2.140625" style="465" customWidth="1"/>
    <col min="9234" max="9234" width="6" style="465" customWidth="1"/>
    <col min="9235" max="9235" width="3.85546875" style="465" customWidth="1"/>
    <col min="9236" max="9236" width="4.140625" style="465" customWidth="1"/>
    <col min="9237" max="9237" width="4.7109375" style="465" customWidth="1"/>
    <col min="9238" max="9238" width="4.42578125" style="465" customWidth="1"/>
    <col min="9239" max="9239" width="4.7109375" style="465" customWidth="1"/>
    <col min="9240" max="9240" width="2.5703125" style="465" customWidth="1"/>
    <col min="9241" max="9241" width="3.28515625" style="465" customWidth="1"/>
    <col min="9242" max="9242" width="5.85546875" style="465" customWidth="1"/>
    <col min="9243" max="9243" width="3.7109375" style="465" customWidth="1"/>
    <col min="9244" max="9244" width="3.28515625" style="465" customWidth="1"/>
    <col min="9245" max="9245" width="1.7109375" style="465" customWidth="1"/>
    <col min="9246" max="9246" width="8.140625" style="465" customWidth="1"/>
    <col min="9247" max="9247" width="11.28515625" style="465" customWidth="1"/>
    <col min="9248" max="9248" width="5.85546875" style="465" customWidth="1"/>
    <col min="9249" max="9249" width="23" style="465" bestFit="1" customWidth="1"/>
    <col min="9250" max="9251" width="3.28515625" style="465" customWidth="1"/>
    <col min="9252" max="9252" width="4.28515625" style="465" customWidth="1"/>
    <col min="9253" max="9472" width="11.42578125" style="465"/>
    <col min="9473" max="9473" width="4.42578125" style="465" customWidth="1"/>
    <col min="9474" max="9474" width="4.85546875" style="465" customWidth="1"/>
    <col min="9475" max="9475" width="3.7109375" style="465" customWidth="1"/>
    <col min="9476" max="9476" width="3.28515625" style="465" customWidth="1"/>
    <col min="9477" max="9477" width="3.140625" style="465" customWidth="1"/>
    <col min="9478" max="9478" width="2.5703125" style="465" customWidth="1"/>
    <col min="9479" max="9479" width="2.7109375" style="465" customWidth="1"/>
    <col min="9480" max="9480" width="4" style="465" customWidth="1"/>
    <col min="9481" max="9481" width="2.42578125" style="465" customWidth="1"/>
    <col min="9482" max="9482" width="2.85546875" style="465" customWidth="1"/>
    <col min="9483" max="9484" width="3" style="465" customWidth="1"/>
    <col min="9485" max="9486" width="2.5703125" style="465" customWidth="1"/>
    <col min="9487" max="9487" width="2.7109375" style="465" customWidth="1"/>
    <col min="9488" max="9488" width="1.5703125" style="465" customWidth="1"/>
    <col min="9489" max="9489" width="2.140625" style="465" customWidth="1"/>
    <col min="9490" max="9490" width="6" style="465" customWidth="1"/>
    <col min="9491" max="9491" width="3.85546875" style="465" customWidth="1"/>
    <col min="9492" max="9492" width="4.140625" style="465" customWidth="1"/>
    <col min="9493" max="9493" width="4.7109375" style="465" customWidth="1"/>
    <col min="9494" max="9494" width="4.42578125" style="465" customWidth="1"/>
    <col min="9495" max="9495" width="4.7109375" style="465" customWidth="1"/>
    <col min="9496" max="9496" width="2.5703125" style="465" customWidth="1"/>
    <col min="9497" max="9497" width="3.28515625" style="465" customWidth="1"/>
    <col min="9498" max="9498" width="5.85546875" style="465" customWidth="1"/>
    <col min="9499" max="9499" width="3.7109375" style="465" customWidth="1"/>
    <col min="9500" max="9500" width="3.28515625" style="465" customWidth="1"/>
    <col min="9501" max="9501" width="1.7109375" style="465" customWidth="1"/>
    <col min="9502" max="9502" width="8.140625" style="465" customWidth="1"/>
    <col min="9503" max="9503" width="11.28515625" style="465" customWidth="1"/>
    <col min="9504" max="9504" width="5.85546875" style="465" customWidth="1"/>
    <col min="9505" max="9505" width="23" style="465" bestFit="1" customWidth="1"/>
    <col min="9506" max="9507" width="3.28515625" style="465" customWidth="1"/>
    <col min="9508" max="9508" width="4.28515625" style="465" customWidth="1"/>
    <col min="9509" max="9728" width="11.42578125" style="465"/>
    <col min="9729" max="9729" width="4.42578125" style="465" customWidth="1"/>
    <col min="9730" max="9730" width="4.85546875" style="465" customWidth="1"/>
    <col min="9731" max="9731" width="3.7109375" style="465" customWidth="1"/>
    <col min="9732" max="9732" width="3.28515625" style="465" customWidth="1"/>
    <col min="9733" max="9733" width="3.140625" style="465" customWidth="1"/>
    <col min="9734" max="9734" width="2.5703125" style="465" customWidth="1"/>
    <col min="9735" max="9735" width="2.7109375" style="465" customWidth="1"/>
    <col min="9736" max="9736" width="4" style="465" customWidth="1"/>
    <col min="9737" max="9737" width="2.42578125" style="465" customWidth="1"/>
    <col min="9738" max="9738" width="2.85546875" style="465" customWidth="1"/>
    <col min="9739" max="9740" width="3" style="465" customWidth="1"/>
    <col min="9741" max="9742" width="2.5703125" style="465" customWidth="1"/>
    <col min="9743" max="9743" width="2.7109375" style="465" customWidth="1"/>
    <col min="9744" max="9744" width="1.5703125" style="465" customWidth="1"/>
    <col min="9745" max="9745" width="2.140625" style="465" customWidth="1"/>
    <col min="9746" max="9746" width="6" style="465" customWidth="1"/>
    <col min="9747" max="9747" width="3.85546875" style="465" customWidth="1"/>
    <col min="9748" max="9748" width="4.140625" style="465" customWidth="1"/>
    <col min="9749" max="9749" width="4.7109375" style="465" customWidth="1"/>
    <col min="9750" max="9750" width="4.42578125" style="465" customWidth="1"/>
    <col min="9751" max="9751" width="4.7109375" style="465" customWidth="1"/>
    <col min="9752" max="9752" width="2.5703125" style="465" customWidth="1"/>
    <col min="9753" max="9753" width="3.28515625" style="465" customWidth="1"/>
    <col min="9754" max="9754" width="5.85546875" style="465" customWidth="1"/>
    <col min="9755" max="9755" width="3.7109375" style="465" customWidth="1"/>
    <col min="9756" max="9756" width="3.28515625" style="465" customWidth="1"/>
    <col min="9757" max="9757" width="1.7109375" style="465" customWidth="1"/>
    <col min="9758" max="9758" width="8.140625" style="465" customWidth="1"/>
    <col min="9759" max="9759" width="11.28515625" style="465" customWidth="1"/>
    <col min="9760" max="9760" width="5.85546875" style="465" customWidth="1"/>
    <col min="9761" max="9761" width="23" style="465" bestFit="1" customWidth="1"/>
    <col min="9762" max="9763" width="3.28515625" style="465" customWidth="1"/>
    <col min="9764" max="9764" width="4.28515625" style="465" customWidth="1"/>
    <col min="9765" max="9984" width="11.42578125" style="465"/>
    <col min="9985" max="9985" width="4.42578125" style="465" customWidth="1"/>
    <col min="9986" max="9986" width="4.85546875" style="465" customWidth="1"/>
    <col min="9987" max="9987" width="3.7109375" style="465" customWidth="1"/>
    <col min="9988" max="9988" width="3.28515625" style="465" customWidth="1"/>
    <col min="9989" max="9989" width="3.140625" style="465" customWidth="1"/>
    <col min="9990" max="9990" width="2.5703125" style="465" customWidth="1"/>
    <col min="9991" max="9991" width="2.7109375" style="465" customWidth="1"/>
    <col min="9992" max="9992" width="4" style="465" customWidth="1"/>
    <col min="9993" max="9993" width="2.42578125" style="465" customWidth="1"/>
    <col min="9994" max="9994" width="2.85546875" style="465" customWidth="1"/>
    <col min="9995" max="9996" width="3" style="465" customWidth="1"/>
    <col min="9997" max="9998" width="2.5703125" style="465" customWidth="1"/>
    <col min="9999" max="9999" width="2.7109375" style="465" customWidth="1"/>
    <col min="10000" max="10000" width="1.5703125" style="465" customWidth="1"/>
    <col min="10001" max="10001" width="2.140625" style="465" customWidth="1"/>
    <col min="10002" max="10002" width="6" style="465" customWidth="1"/>
    <col min="10003" max="10003" width="3.85546875" style="465" customWidth="1"/>
    <col min="10004" max="10004" width="4.140625" style="465" customWidth="1"/>
    <col min="10005" max="10005" width="4.7109375" style="465" customWidth="1"/>
    <col min="10006" max="10006" width="4.42578125" style="465" customWidth="1"/>
    <col min="10007" max="10007" width="4.7109375" style="465" customWidth="1"/>
    <col min="10008" max="10008" width="2.5703125" style="465" customWidth="1"/>
    <col min="10009" max="10009" width="3.28515625" style="465" customWidth="1"/>
    <col min="10010" max="10010" width="5.85546875" style="465" customWidth="1"/>
    <col min="10011" max="10011" width="3.7109375" style="465" customWidth="1"/>
    <col min="10012" max="10012" width="3.28515625" style="465" customWidth="1"/>
    <col min="10013" max="10013" width="1.7109375" style="465" customWidth="1"/>
    <col min="10014" max="10014" width="8.140625" style="465" customWidth="1"/>
    <col min="10015" max="10015" width="11.28515625" style="465" customWidth="1"/>
    <col min="10016" max="10016" width="5.85546875" style="465" customWidth="1"/>
    <col min="10017" max="10017" width="23" style="465" bestFit="1" customWidth="1"/>
    <col min="10018" max="10019" width="3.28515625" style="465" customWidth="1"/>
    <col min="10020" max="10020" width="4.28515625" style="465" customWidth="1"/>
    <col min="10021" max="10240" width="11.42578125" style="465"/>
    <col min="10241" max="10241" width="4.42578125" style="465" customWidth="1"/>
    <col min="10242" max="10242" width="4.85546875" style="465" customWidth="1"/>
    <col min="10243" max="10243" width="3.7109375" style="465" customWidth="1"/>
    <col min="10244" max="10244" width="3.28515625" style="465" customWidth="1"/>
    <col min="10245" max="10245" width="3.140625" style="465" customWidth="1"/>
    <col min="10246" max="10246" width="2.5703125" style="465" customWidth="1"/>
    <col min="10247" max="10247" width="2.7109375" style="465" customWidth="1"/>
    <col min="10248" max="10248" width="4" style="465" customWidth="1"/>
    <col min="10249" max="10249" width="2.42578125" style="465" customWidth="1"/>
    <col min="10250" max="10250" width="2.85546875" style="465" customWidth="1"/>
    <col min="10251" max="10252" width="3" style="465" customWidth="1"/>
    <col min="10253" max="10254" width="2.5703125" style="465" customWidth="1"/>
    <col min="10255" max="10255" width="2.7109375" style="465" customWidth="1"/>
    <col min="10256" max="10256" width="1.5703125" style="465" customWidth="1"/>
    <col min="10257" max="10257" width="2.140625" style="465" customWidth="1"/>
    <col min="10258" max="10258" width="6" style="465" customWidth="1"/>
    <col min="10259" max="10259" width="3.85546875" style="465" customWidth="1"/>
    <col min="10260" max="10260" width="4.140625" style="465" customWidth="1"/>
    <col min="10261" max="10261" width="4.7109375" style="465" customWidth="1"/>
    <col min="10262" max="10262" width="4.42578125" style="465" customWidth="1"/>
    <col min="10263" max="10263" width="4.7109375" style="465" customWidth="1"/>
    <col min="10264" max="10264" width="2.5703125" style="465" customWidth="1"/>
    <col min="10265" max="10265" width="3.28515625" style="465" customWidth="1"/>
    <col min="10266" max="10266" width="5.85546875" style="465" customWidth="1"/>
    <col min="10267" max="10267" width="3.7109375" style="465" customWidth="1"/>
    <col min="10268" max="10268" width="3.28515625" style="465" customWidth="1"/>
    <col min="10269" max="10269" width="1.7109375" style="465" customWidth="1"/>
    <col min="10270" max="10270" width="8.140625" style="465" customWidth="1"/>
    <col min="10271" max="10271" width="11.28515625" style="465" customWidth="1"/>
    <col min="10272" max="10272" width="5.85546875" style="465" customWidth="1"/>
    <col min="10273" max="10273" width="23" style="465" bestFit="1" customWidth="1"/>
    <col min="10274" max="10275" width="3.28515625" style="465" customWidth="1"/>
    <col min="10276" max="10276" width="4.28515625" style="465" customWidth="1"/>
    <col min="10277" max="10496" width="11.42578125" style="465"/>
    <col min="10497" max="10497" width="4.42578125" style="465" customWidth="1"/>
    <col min="10498" max="10498" width="4.85546875" style="465" customWidth="1"/>
    <col min="10499" max="10499" width="3.7109375" style="465" customWidth="1"/>
    <col min="10500" max="10500" width="3.28515625" style="465" customWidth="1"/>
    <col min="10501" max="10501" width="3.140625" style="465" customWidth="1"/>
    <col min="10502" max="10502" width="2.5703125" style="465" customWidth="1"/>
    <col min="10503" max="10503" width="2.7109375" style="465" customWidth="1"/>
    <col min="10504" max="10504" width="4" style="465" customWidth="1"/>
    <col min="10505" max="10505" width="2.42578125" style="465" customWidth="1"/>
    <col min="10506" max="10506" width="2.85546875" style="465" customWidth="1"/>
    <col min="10507" max="10508" width="3" style="465" customWidth="1"/>
    <col min="10509" max="10510" width="2.5703125" style="465" customWidth="1"/>
    <col min="10511" max="10511" width="2.7109375" style="465" customWidth="1"/>
    <col min="10512" max="10512" width="1.5703125" style="465" customWidth="1"/>
    <col min="10513" max="10513" width="2.140625" style="465" customWidth="1"/>
    <col min="10514" max="10514" width="6" style="465" customWidth="1"/>
    <col min="10515" max="10515" width="3.85546875" style="465" customWidth="1"/>
    <col min="10516" max="10516" width="4.140625" style="465" customWidth="1"/>
    <col min="10517" max="10517" width="4.7109375" style="465" customWidth="1"/>
    <col min="10518" max="10518" width="4.42578125" style="465" customWidth="1"/>
    <col min="10519" max="10519" width="4.7109375" style="465" customWidth="1"/>
    <col min="10520" max="10520" width="2.5703125" style="465" customWidth="1"/>
    <col min="10521" max="10521" width="3.28515625" style="465" customWidth="1"/>
    <col min="10522" max="10522" width="5.85546875" style="465" customWidth="1"/>
    <col min="10523" max="10523" width="3.7109375" style="465" customWidth="1"/>
    <col min="10524" max="10524" width="3.28515625" style="465" customWidth="1"/>
    <col min="10525" max="10525" width="1.7109375" style="465" customWidth="1"/>
    <col min="10526" max="10526" width="8.140625" style="465" customWidth="1"/>
    <col min="10527" max="10527" width="11.28515625" style="465" customWidth="1"/>
    <col min="10528" max="10528" width="5.85546875" style="465" customWidth="1"/>
    <col min="10529" max="10529" width="23" style="465" bestFit="1" customWidth="1"/>
    <col min="10530" max="10531" width="3.28515625" style="465" customWidth="1"/>
    <col min="10532" max="10532" width="4.28515625" style="465" customWidth="1"/>
    <col min="10533" max="10752" width="11.42578125" style="465"/>
    <col min="10753" max="10753" width="4.42578125" style="465" customWidth="1"/>
    <col min="10754" max="10754" width="4.85546875" style="465" customWidth="1"/>
    <col min="10755" max="10755" width="3.7109375" style="465" customWidth="1"/>
    <col min="10756" max="10756" width="3.28515625" style="465" customWidth="1"/>
    <col min="10757" max="10757" width="3.140625" style="465" customWidth="1"/>
    <col min="10758" max="10758" width="2.5703125" style="465" customWidth="1"/>
    <col min="10759" max="10759" width="2.7109375" style="465" customWidth="1"/>
    <col min="10760" max="10760" width="4" style="465" customWidth="1"/>
    <col min="10761" max="10761" width="2.42578125" style="465" customWidth="1"/>
    <col min="10762" max="10762" width="2.85546875" style="465" customWidth="1"/>
    <col min="10763" max="10764" width="3" style="465" customWidth="1"/>
    <col min="10765" max="10766" width="2.5703125" style="465" customWidth="1"/>
    <col min="10767" max="10767" width="2.7109375" style="465" customWidth="1"/>
    <col min="10768" max="10768" width="1.5703125" style="465" customWidth="1"/>
    <col min="10769" max="10769" width="2.140625" style="465" customWidth="1"/>
    <col min="10770" max="10770" width="6" style="465" customWidth="1"/>
    <col min="10771" max="10771" width="3.85546875" style="465" customWidth="1"/>
    <col min="10772" max="10772" width="4.140625" style="465" customWidth="1"/>
    <col min="10773" max="10773" width="4.7109375" style="465" customWidth="1"/>
    <col min="10774" max="10774" width="4.42578125" style="465" customWidth="1"/>
    <col min="10775" max="10775" width="4.7109375" style="465" customWidth="1"/>
    <col min="10776" max="10776" width="2.5703125" style="465" customWidth="1"/>
    <col min="10777" max="10777" width="3.28515625" style="465" customWidth="1"/>
    <col min="10778" max="10778" width="5.85546875" style="465" customWidth="1"/>
    <col min="10779" max="10779" width="3.7109375" style="465" customWidth="1"/>
    <col min="10780" max="10780" width="3.28515625" style="465" customWidth="1"/>
    <col min="10781" max="10781" width="1.7109375" style="465" customWidth="1"/>
    <col min="10782" max="10782" width="8.140625" style="465" customWidth="1"/>
    <col min="10783" max="10783" width="11.28515625" style="465" customWidth="1"/>
    <col min="10784" max="10784" width="5.85546875" style="465" customWidth="1"/>
    <col min="10785" max="10785" width="23" style="465" bestFit="1" customWidth="1"/>
    <col min="10786" max="10787" width="3.28515625" style="465" customWidth="1"/>
    <col min="10788" max="10788" width="4.28515625" style="465" customWidth="1"/>
    <col min="10789" max="11008" width="11.42578125" style="465"/>
    <col min="11009" max="11009" width="4.42578125" style="465" customWidth="1"/>
    <col min="11010" max="11010" width="4.85546875" style="465" customWidth="1"/>
    <col min="11011" max="11011" width="3.7109375" style="465" customWidth="1"/>
    <col min="11012" max="11012" width="3.28515625" style="465" customWidth="1"/>
    <col min="11013" max="11013" width="3.140625" style="465" customWidth="1"/>
    <col min="11014" max="11014" width="2.5703125" style="465" customWidth="1"/>
    <col min="11015" max="11015" width="2.7109375" style="465" customWidth="1"/>
    <col min="11016" max="11016" width="4" style="465" customWidth="1"/>
    <col min="11017" max="11017" width="2.42578125" style="465" customWidth="1"/>
    <col min="11018" max="11018" width="2.85546875" style="465" customWidth="1"/>
    <col min="11019" max="11020" width="3" style="465" customWidth="1"/>
    <col min="11021" max="11022" width="2.5703125" style="465" customWidth="1"/>
    <col min="11023" max="11023" width="2.7109375" style="465" customWidth="1"/>
    <col min="11024" max="11024" width="1.5703125" style="465" customWidth="1"/>
    <col min="11025" max="11025" width="2.140625" style="465" customWidth="1"/>
    <col min="11026" max="11026" width="6" style="465" customWidth="1"/>
    <col min="11027" max="11027" width="3.85546875" style="465" customWidth="1"/>
    <col min="11028" max="11028" width="4.140625" style="465" customWidth="1"/>
    <col min="11029" max="11029" width="4.7109375" style="465" customWidth="1"/>
    <col min="11030" max="11030" width="4.42578125" style="465" customWidth="1"/>
    <col min="11031" max="11031" width="4.7109375" style="465" customWidth="1"/>
    <col min="11032" max="11032" width="2.5703125" style="465" customWidth="1"/>
    <col min="11033" max="11033" width="3.28515625" style="465" customWidth="1"/>
    <col min="11034" max="11034" width="5.85546875" style="465" customWidth="1"/>
    <col min="11035" max="11035" width="3.7109375" style="465" customWidth="1"/>
    <col min="11036" max="11036" width="3.28515625" style="465" customWidth="1"/>
    <col min="11037" max="11037" width="1.7109375" style="465" customWidth="1"/>
    <col min="11038" max="11038" width="8.140625" style="465" customWidth="1"/>
    <col min="11039" max="11039" width="11.28515625" style="465" customWidth="1"/>
    <col min="11040" max="11040" width="5.85546875" style="465" customWidth="1"/>
    <col min="11041" max="11041" width="23" style="465" bestFit="1" customWidth="1"/>
    <col min="11042" max="11043" width="3.28515625" style="465" customWidth="1"/>
    <col min="11044" max="11044" width="4.28515625" style="465" customWidth="1"/>
    <col min="11045" max="11264" width="11.42578125" style="465"/>
    <col min="11265" max="11265" width="4.42578125" style="465" customWidth="1"/>
    <col min="11266" max="11266" width="4.85546875" style="465" customWidth="1"/>
    <col min="11267" max="11267" width="3.7109375" style="465" customWidth="1"/>
    <col min="11268" max="11268" width="3.28515625" style="465" customWidth="1"/>
    <col min="11269" max="11269" width="3.140625" style="465" customWidth="1"/>
    <col min="11270" max="11270" width="2.5703125" style="465" customWidth="1"/>
    <col min="11271" max="11271" width="2.7109375" style="465" customWidth="1"/>
    <col min="11272" max="11272" width="4" style="465" customWidth="1"/>
    <col min="11273" max="11273" width="2.42578125" style="465" customWidth="1"/>
    <col min="11274" max="11274" width="2.85546875" style="465" customWidth="1"/>
    <col min="11275" max="11276" width="3" style="465" customWidth="1"/>
    <col min="11277" max="11278" width="2.5703125" style="465" customWidth="1"/>
    <col min="11279" max="11279" width="2.7109375" style="465" customWidth="1"/>
    <col min="11280" max="11280" width="1.5703125" style="465" customWidth="1"/>
    <col min="11281" max="11281" width="2.140625" style="465" customWidth="1"/>
    <col min="11282" max="11282" width="6" style="465" customWidth="1"/>
    <col min="11283" max="11283" width="3.85546875" style="465" customWidth="1"/>
    <col min="11284" max="11284" width="4.140625" style="465" customWidth="1"/>
    <col min="11285" max="11285" width="4.7109375" style="465" customWidth="1"/>
    <col min="11286" max="11286" width="4.42578125" style="465" customWidth="1"/>
    <col min="11287" max="11287" width="4.7109375" style="465" customWidth="1"/>
    <col min="11288" max="11288" width="2.5703125" style="465" customWidth="1"/>
    <col min="11289" max="11289" width="3.28515625" style="465" customWidth="1"/>
    <col min="11290" max="11290" width="5.85546875" style="465" customWidth="1"/>
    <col min="11291" max="11291" width="3.7109375" style="465" customWidth="1"/>
    <col min="11292" max="11292" width="3.28515625" style="465" customWidth="1"/>
    <col min="11293" max="11293" width="1.7109375" style="465" customWidth="1"/>
    <col min="11294" max="11294" width="8.140625" style="465" customWidth="1"/>
    <col min="11295" max="11295" width="11.28515625" style="465" customWidth="1"/>
    <col min="11296" max="11296" width="5.85546875" style="465" customWidth="1"/>
    <col min="11297" max="11297" width="23" style="465" bestFit="1" customWidth="1"/>
    <col min="11298" max="11299" width="3.28515625" style="465" customWidth="1"/>
    <col min="11300" max="11300" width="4.28515625" style="465" customWidth="1"/>
    <col min="11301" max="11520" width="11.42578125" style="465"/>
    <col min="11521" max="11521" width="4.42578125" style="465" customWidth="1"/>
    <col min="11522" max="11522" width="4.85546875" style="465" customWidth="1"/>
    <col min="11523" max="11523" width="3.7109375" style="465" customWidth="1"/>
    <col min="11524" max="11524" width="3.28515625" style="465" customWidth="1"/>
    <col min="11525" max="11525" width="3.140625" style="465" customWidth="1"/>
    <col min="11526" max="11526" width="2.5703125" style="465" customWidth="1"/>
    <col min="11527" max="11527" width="2.7109375" style="465" customWidth="1"/>
    <col min="11528" max="11528" width="4" style="465" customWidth="1"/>
    <col min="11529" max="11529" width="2.42578125" style="465" customWidth="1"/>
    <col min="11530" max="11530" width="2.85546875" style="465" customWidth="1"/>
    <col min="11531" max="11532" width="3" style="465" customWidth="1"/>
    <col min="11533" max="11534" width="2.5703125" style="465" customWidth="1"/>
    <col min="11535" max="11535" width="2.7109375" style="465" customWidth="1"/>
    <col min="11536" max="11536" width="1.5703125" style="465" customWidth="1"/>
    <col min="11537" max="11537" width="2.140625" style="465" customWidth="1"/>
    <col min="11538" max="11538" width="6" style="465" customWidth="1"/>
    <col min="11539" max="11539" width="3.85546875" style="465" customWidth="1"/>
    <col min="11540" max="11540" width="4.140625" style="465" customWidth="1"/>
    <col min="11541" max="11541" width="4.7109375" style="465" customWidth="1"/>
    <col min="11542" max="11542" width="4.42578125" style="465" customWidth="1"/>
    <col min="11543" max="11543" width="4.7109375" style="465" customWidth="1"/>
    <col min="11544" max="11544" width="2.5703125" style="465" customWidth="1"/>
    <col min="11545" max="11545" width="3.28515625" style="465" customWidth="1"/>
    <col min="11546" max="11546" width="5.85546875" style="465" customWidth="1"/>
    <col min="11547" max="11547" width="3.7109375" style="465" customWidth="1"/>
    <col min="11548" max="11548" width="3.28515625" style="465" customWidth="1"/>
    <col min="11549" max="11549" width="1.7109375" style="465" customWidth="1"/>
    <col min="11550" max="11550" width="8.140625" style="465" customWidth="1"/>
    <col min="11551" max="11551" width="11.28515625" style="465" customWidth="1"/>
    <col min="11552" max="11552" width="5.85546875" style="465" customWidth="1"/>
    <col min="11553" max="11553" width="23" style="465" bestFit="1" customWidth="1"/>
    <col min="11554" max="11555" width="3.28515625" style="465" customWidth="1"/>
    <col min="11556" max="11556" width="4.28515625" style="465" customWidth="1"/>
    <col min="11557" max="11776" width="11.42578125" style="465"/>
    <col min="11777" max="11777" width="4.42578125" style="465" customWidth="1"/>
    <col min="11778" max="11778" width="4.85546875" style="465" customWidth="1"/>
    <col min="11779" max="11779" width="3.7109375" style="465" customWidth="1"/>
    <col min="11780" max="11780" width="3.28515625" style="465" customWidth="1"/>
    <col min="11781" max="11781" width="3.140625" style="465" customWidth="1"/>
    <col min="11782" max="11782" width="2.5703125" style="465" customWidth="1"/>
    <col min="11783" max="11783" width="2.7109375" style="465" customWidth="1"/>
    <col min="11784" max="11784" width="4" style="465" customWidth="1"/>
    <col min="11785" max="11785" width="2.42578125" style="465" customWidth="1"/>
    <col min="11786" max="11786" width="2.85546875" style="465" customWidth="1"/>
    <col min="11787" max="11788" width="3" style="465" customWidth="1"/>
    <col min="11789" max="11790" width="2.5703125" style="465" customWidth="1"/>
    <col min="11791" max="11791" width="2.7109375" style="465" customWidth="1"/>
    <col min="11792" max="11792" width="1.5703125" style="465" customWidth="1"/>
    <col min="11793" max="11793" width="2.140625" style="465" customWidth="1"/>
    <col min="11794" max="11794" width="6" style="465" customWidth="1"/>
    <col min="11795" max="11795" width="3.85546875" style="465" customWidth="1"/>
    <col min="11796" max="11796" width="4.140625" style="465" customWidth="1"/>
    <col min="11797" max="11797" width="4.7109375" style="465" customWidth="1"/>
    <col min="11798" max="11798" width="4.42578125" style="465" customWidth="1"/>
    <col min="11799" max="11799" width="4.7109375" style="465" customWidth="1"/>
    <col min="11800" max="11800" width="2.5703125" style="465" customWidth="1"/>
    <col min="11801" max="11801" width="3.28515625" style="465" customWidth="1"/>
    <col min="11802" max="11802" width="5.85546875" style="465" customWidth="1"/>
    <col min="11803" max="11803" width="3.7109375" style="465" customWidth="1"/>
    <col min="11804" max="11804" width="3.28515625" style="465" customWidth="1"/>
    <col min="11805" max="11805" width="1.7109375" style="465" customWidth="1"/>
    <col min="11806" max="11806" width="8.140625" style="465" customWidth="1"/>
    <col min="11807" max="11807" width="11.28515625" style="465" customWidth="1"/>
    <col min="11808" max="11808" width="5.85546875" style="465" customWidth="1"/>
    <col min="11809" max="11809" width="23" style="465" bestFit="1" customWidth="1"/>
    <col min="11810" max="11811" width="3.28515625" style="465" customWidth="1"/>
    <col min="11812" max="11812" width="4.28515625" style="465" customWidth="1"/>
    <col min="11813" max="12032" width="11.42578125" style="465"/>
    <col min="12033" max="12033" width="4.42578125" style="465" customWidth="1"/>
    <col min="12034" max="12034" width="4.85546875" style="465" customWidth="1"/>
    <col min="12035" max="12035" width="3.7109375" style="465" customWidth="1"/>
    <col min="12036" max="12036" width="3.28515625" style="465" customWidth="1"/>
    <col min="12037" max="12037" width="3.140625" style="465" customWidth="1"/>
    <col min="12038" max="12038" width="2.5703125" style="465" customWidth="1"/>
    <col min="12039" max="12039" width="2.7109375" style="465" customWidth="1"/>
    <col min="12040" max="12040" width="4" style="465" customWidth="1"/>
    <col min="12041" max="12041" width="2.42578125" style="465" customWidth="1"/>
    <col min="12042" max="12042" width="2.85546875" style="465" customWidth="1"/>
    <col min="12043" max="12044" width="3" style="465" customWidth="1"/>
    <col min="12045" max="12046" width="2.5703125" style="465" customWidth="1"/>
    <col min="12047" max="12047" width="2.7109375" style="465" customWidth="1"/>
    <col min="12048" max="12048" width="1.5703125" style="465" customWidth="1"/>
    <col min="12049" max="12049" width="2.140625" style="465" customWidth="1"/>
    <col min="12050" max="12050" width="6" style="465" customWidth="1"/>
    <col min="12051" max="12051" width="3.85546875" style="465" customWidth="1"/>
    <col min="12052" max="12052" width="4.140625" style="465" customWidth="1"/>
    <col min="12053" max="12053" width="4.7109375" style="465" customWidth="1"/>
    <col min="12054" max="12054" width="4.42578125" style="465" customWidth="1"/>
    <col min="12055" max="12055" width="4.7109375" style="465" customWidth="1"/>
    <col min="12056" max="12056" width="2.5703125" style="465" customWidth="1"/>
    <col min="12057" max="12057" width="3.28515625" style="465" customWidth="1"/>
    <col min="12058" max="12058" width="5.85546875" style="465" customWidth="1"/>
    <col min="12059" max="12059" width="3.7109375" style="465" customWidth="1"/>
    <col min="12060" max="12060" width="3.28515625" style="465" customWidth="1"/>
    <col min="12061" max="12061" width="1.7109375" style="465" customWidth="1"/>
    <col min="12062" max="12062" width="8.140625" style="465" customWidth="1"/>
    <col min="12063" max="12063" width="11.28515625" style="465" customWidth="1"/>
    <col min="12064" max="12064" width="5.85546875" style="465" customWidth="1"/>
    <col min="12065" max="12065" width="23" style="465" bestFit="1" customWidth="1"/>
    <col min="12066" max="12067" width="3.28515625" style="465" customWidth="1"/>
    <col min="12068" max="12068" width="4.28515625" style="465" customWidth="1"/>
    <col min="12069" max="12288" width="11.42578125" style="465"/>
    <col min="12289" max="12289" width="4.42578125" style="465" customWidth="1"/>
    <col min="12290" max="12290" width="4.85546875" style="465" customWidth="1"/>
    <col min="12291" max="12291" width="3.7109375" style="465" customWidth="1"/>
    <col min="12292" max="12292" width="3.28515625" style="465" customWidth="1"/>
    <col min="12293" max="12293" width="3.140625" style="465" customWidth="1"/>
    <col min="12294" max="12294" width="2.5703125" style="465" customWidth="1"/>
    <col min="12295" max="12295" width="2.7109375" style="465" customWidth="1"/>
    <col min="12296" max="12296" width="4" style="465" customWidth="1"/>
    <col min="12297" max="12297" width="2.42578125" style="465" customWidth="1"/>
    <col min="12298" max="12298" width="2.85546875" style="465" customWidth="1"/>
    <col min="12299" max="12300" width="3" style="465" customWidth="1"/>
    <col min="12301" max="12302" width="2.5703125" style="465" customWidth="1"/>
    <col min="12303" max="12303" width="2.7109375" style="465" customWidth="1"/>
    <col min="12304" max="12304" width="1.5703125" style="465" customWidth="1"/>
    <col min="12305" max="12305" width="2.140625" style="465" customWidth="1"/>
    <col min="12306" max="12306" width="6" style="465" customWidth="1"/>
    <col min="12307" max="12307" width="3.85546875" style="465" customWidth="1"/>
    <col min="12308" max="12308" width="4.140625" style="465" customWidth="1"/>
    <col min="12309" max="12309" width="4.7109375" style="465" customWidth="1"/>
    <col min="12310" max="12310" width="4.42578125" style="465" customWidth="1"/>
    <col min="12311" max="12311" width="4.7109375" style="465" customWidth="1"/>
    <col min="12312" max="12312" width="2.5703125" style="465" customWidth="1"/>
    <col min="12313" max="12313" width="3.28515625" style="465" customWidth="1"/>
    <col min="12314" max="12314" width="5.85546875" style="465" customWidth="1"/>
    <col min="12315" max="12315" width="3.7109375" style="465" customWidth="1"/>
    <col min="12316" max="12316" width="3.28515625" style="465" customWidth="1"/>
    <col min="12317" max="12317" width="1.7109375" style="465" customWidth="1"/>
    <col min="12318" max="12318" width="8.140625" style="465" customWidth="1"/>
    <col min="12319" max="12319" width="11.28515625" style="465" customWidth="1"/>
    <col min="12320" max="12320" width="5.85546875" style="465" customWidth="1"/>
    <col min="12321" max="12321" width="23" style="465" bestFit="1" customWidth="1"/>
    <col min="12322" max="12323" width="3.28515625" style="465" customWidth="1"/>
    <col min="12324" max="12324" width="4.28515625" style="465" customWidth="1"/>
    <col min="12325" max="12544" width="11.42578125" style="465"/>
    <col min="12545" max="12545" width="4.42578125" style="465" customWidth="1"/>
    <col min="12546" max="12546" width="4.85546875" style="465" customWidth="1"/>
    <col min="12547" max="12547" width="3.7109375" style="465" customWidth="1"/>
    <col min="12548" max="12548" width="3.28515625" style="465" customWidth="1"/>
    <col min="12549" max="12549" width="3.140625" style="465" customWidth="1"/>
    <col min="12550" max="12550" width="2.5703125" style="465" customWidth="1"/>
    <col min="12551" max="12551" width="2.7109375" style="465" customWidth="1"/>
    <col min="12552" max="12552" width="4" style="465" customWidth="1"/>
    <col min="12553" max="12553" width="2.42578125" style="465" customWidth="1"/>
    <col min="12554" max="12554" width="2.85546875" style="465" customWidth="1"/>
    <col min="12555" max="12556" width="3" style="465" customWidth="1"/>
    <col min="12557" max="12558" width="2.5703125" style="465" customWidth="1"/>
    <col min="12559" max="12559" width="2.7109375" style="465" customWidth="1"/>
    <col min="12560" max="12560" width="1.5703125" style="465" customWidth="1"/>
    <col min="12561" max="12561" width="2.140625" style="465" customWidth="1"/>
    <col min="12562" max="12562" width="6" style="465" customWidth="1"/>
    <col min="12563" max="12563" width="3.85546875" style="465" customWidth="1"/>
    <col min="12564" max="12564" width="4.140625" style="465" customWidth="1"/>
    <col min="12565" max="12565" width="4.7109375" style="465" customWidth="1"/>
    <col min="12566" max="12566" width="4.42578125" style="465" customWidth="1"/>
    <col min="12567" max="12567" width="4.7109375" style="465" customWidth="1"/>
    <col min="12568" max="12568" width="2.5703125" style="465" customWidth="1"/>
    <col min="12569" max="12569" width="3.28515625" style="465" customWidth="1"/>
    <col min="12570" max="12570" width="5.85546875" style="465" customWidth="1"/>
    <col min="12571" max="12571" width="3.7109375" style="465" customWidth="1"/>
    <col min="12572" max="12572" width="3.28515625" style="465" customWidth="1"/>
    <col min="12573" max="12573" width="1.7109375" style="465" customWidth="1"/>
    <col min="12574" max="12574" width="8.140625" style="465" customWidth="1"/>
    <col min="12575" max="12575" width="11.28515625" style="465" customWidth="1"/>
    <col min="12576" max="12576" width="5.85546875" style="465" customWidth="1"/>
    <col min="12577" max="12577" width="23" style="465" bestFit="1" customWidth="1"/>
    <col min="12578" max="12579" width="3.28515625" style="465" customWidth="1"/>
    <col min="12580" max="12580" width="4.28515625" style="465" customWidth="1"/>
    <col min="12581" max="12800" width="11.42578125" style="465"/>
    <col min="12801" max="12801" width="4.42578125" style="465" customWidth="1"/>
    <col min="12802" max="12802" width="4.85546875" style="465" customWidth="1"/>
    <col min="12803" max="12803" width="3.7109375" style="465" customWidth="1"/>
    <col min="12804" max="12804" width="3.28515625" style="465" customWidth="1"/>
    <col min="12805" max="12805" width="3.140625" style="465" customWidth="1"/>
    <col min="12806" max="12806" width="2.5703125" style="465" customWidth="1"/>
    <col min="12807" max="12807" width="2.7109375" style="465" customWidth="1"/>
    <col min="12808" max="12808" width="4" style="465" customWidth="1"/>
    <col min="12809" max="12809" width="2.42578125" style="465" customWidth="1"/>
    <col min="12810" max="12810" width="2.85546875" style="465" customWidth="1"/>
    <col min="12811" max="12812" width="3" style="465" customWidth="1"/>
    <col min="12813" max="12814" width="2.5703125" style="465" customWidth="1"/>
    <col min="12815" max="12815" width="2.7109375" style="465" customWidth="1"/>
    <col min="12816" max="12816" width="1.5703125" style="465" customWidth="1"/>
    <col min="12817" max="12817" width="2.140625" style="465" customWidth="1"/>
    <col min="12818" max="12818" width="6" style="465" customWidth="1"/>
    <col min="12819" max="12819" width="3.85546875" style="465" customWidth="1"/>
    <col min="12820" max="12820" width="4.140625" style="465" customWidth="1"/>
    <col min="12821" max="12821" width="4.7109375" style="465" customWidth="1"/>
    <col min="12822" max="12822" width="4.42578125" style="465" customWidth="1"/>
    <col min="12823" max="12823" width="4.7109375" style="465" customWidth="1"/>
    <col min="12824" max="12824" width="2.5703125" style="465" customWidth="1"/>
    <col min="12825" max="12825" width="3.28515625" style="465" customWidth="1"/>
    <col min="12826" max="12826" width="5.85546875" style="465" customWidth="1"/>
    <col min="12827" max="12827" width="3.7109375" style="465" customWidth="1"/>
    <col min="12828" max="12828" width="3.28515625" style="465" customWidth="1"/>
    <col min="12829" max="12829" width="1.7109375" style="465" customWidth="1"/>
    <col min="12830" max="12830" width="8.140625" style="465" customWidth="1"/>
    <col min="12831" max="12831" width="11.28515625" style="465" customWidth="1"/>
    <col min="12832" max="12832" width="5.85546875" style="465" customWidth="1"/>
    <col min="12833" max="12833" width="23" style="465" bestFit="1" customWidth="1"/>
    <col min="12834" max="12835" width="3.28515625" style="465" customWidth="1"/>
    <col min="12836" max="12836" width="4.28515625" style="465" customWidth="1"/>
    <col min="12837" max="13056" width="11.42578125" style="465"/>
    <col min="13057" max="13057" width="4.42578125" style="465" customWidth="1"/>
    <col min="13058" max="13058" width="4.85546875" style="465" customWidth="1"/>
    <col min="13059" max="13059" width="3.7109375" style="465" customWidth="1"/>
    <col min="13060" max="13060" width="3.28515625" style="465" customWidth="1"/>
    <col min="13061" max="13061" width="3.140625" style="465" customWidth="1"/>
    <col min="13062" max="13062" width="2.5703125" style="465" customWidth="1"/>
    <col min="13063" max="13063" width="2.7109375" style="465" customWidth="1"/>
    <col min="13064" max="13064" width="4" style="465" customWidth="1"/>
    <col min="13065" max="13065" width="2.42578125" style="465" customWidth="1"/>
    <col min="13066" max="13066" width="2.85546875" style="465" customWidth="1"/>
    <col min="13067" max="13068" width="3" style="465" customWidth="1"/>
    <col min="13069" max="13070" width="2.5703125" style="465" customWidth="1"/>
    <col min="13071" max="13071" width="2.7109375" style="465" customWidth="1"/>
    <col min="13072" max="13072" width="1.5703125" style="465" customWidth="1"/>
    <col min="13073" max="13073" width="2.140625" style="465" customWidth="1"/>
    <col min="13074" max="13074" width="6" style="465" customWidth="1"/>
    <col min="13075" max="13075" width="3.85546875" style="465" customWidth="1"/>
    <col min="13076" max="13076" width="4.140625" style="465" customWidth="1"/>
    <col min="13077" max="13077" width="4.7109375" style="465" customWidth="1"/>
    <col min="13078" max="13078" width="4.42578125" style="465" customWidth="1"/>
    <col min="13079" max="13079" width="4.7109375" style="465" customWidth="1"/>
    <col min="13080" max="13080" width="2.5703125" style="465" customWidth="1"/>
    <col min="13081" max="13081" width="3.28515625" style="465" customWidth="1"/>
    <col min="13082" max="13082" width="5.85546875" style="465" customWidth="1"/>
    <col min="13083" max="13083" width="3.7109375" style="465" customWidth="1"/>
    <col min="13084" max="13084" width="3.28515625" style="465" customWidth="1"/>
    <col min="13085" max="13085" width="1.7109375" style="465" customWidth="1"/>
    <col min="13086" max="13086" width="8.140625" style="465" customWidth="1"/>
    <col min="13087" max="13087" width="11.28515625" style="465" customWidth="1"/>
    <col min="13088" max="13088" width="5.85546875" style="465" customWidth="1"/>
    <col min="13089" max="13089" width="23" style="465" bestFit="1" customWidth="1"/>
    <col min="13090" max="13091" width="3.28515625" style="465" customWidth="1"/>
    <col min="13092" max="13092" width="4.28515625" style="465" customWidth="1"/>
    <col min="13093" max="13312" width="11.42578125" style="465"/>
    <col min="13313" max="13313" width="4.42578125" style="465" customWidth="1"/>
    <col min="13314" max="13314" width="4.85546875" style="465" customWidth="1"/>
    <col min="13315" max="13315" width="3.7109375" style="465" customWidth="1"/>
    <col min="13316" max="13316" width="3.28515625" style="465" customWidth="1"/>
    <col min="13317" max="13317" width="3.140625" style="465" customWidth="1"/>
    <col min="13318" max="13318" width="2.5703125" style="465" customWidth="1"/>
    <col min="13319" max="13319" width="2.7109375" style="465" customWidth="1"/>
    <col min="13320" max="13320" width="4" style="465" customWidth="1"/>
    <col min="13321" max="13321" width="2.42578125" style="465" customWidth="1"/>
    <col min="13322" max="13322" width="2.85546875" style="465" customWidth="1"/>
    <col min="13323" max="13324" width="3" style="465" customWidth="1"/>
    <col min="13325" max="13326" width="2.5703125" style="465" customWidth="1"/>
    <col min="13327" max="13327" width="2.7109375" style="465" customWidth="1"/>
    <col min="13328" max="13328" width="1.5703125" style="465" customWidth="1"/>
    <col min="13329" max="13329" width="2.140625" style="465" customWidth="1"/>
    <col min="13330" max="13330" width="6" style="465" customWidth="1"/>
    <col min="13331" max="13331" width="3.85546875" style="465" customWidth="1"/>
    <col min="13332" max="13332" width="4.140625" style="465" customWidth="1"/>
    <col min="13333" max="13333" width="4.7109375" style="465" customWidth="1"/>
    <col min="13334" max="13334" width="4.42578125" style="465" customWidth="1"/>
    <col min="13335" max="13335" width="4.7109375" style="465" customWidth="1"/>
    <col min="13336" max="13336" width="2.5703125" style="465" customWidth="1"/>
    <col min="13337" max="13337" width="3.28515625" style="465" customWidth="1"/>
    <col min="13338" max="13338" width="5.85546875" style="465" customWidth="1"/>
    <col min="13339" max="13339" width="3.7109375" style="465" customWidth="1"/>
    <col min="13340" max="13340" width="3.28515625" style="465" customWidth="1"/>
    <col min="13341" max="13341" width="1.7109375" style="465" customWidth="1"/>
    <col min="13342" max="13342" width="8.140625" style="465" customWidth="1"/>
    <col min="13343" max="13343" width="11.28515625" style="465" customWidth="1"/>
    <col min="13344" max="13344" width="5.85546875" style="465" customWidth="1"/>
    <col min="13345" max="13345" width="23" style="465" bestFit="1" customWidth="1"/>
    <col min="13346" max="13347" width="3.28515625" style="465" customWidth="1"/>
    <col min="13348" max="13348" width="4.28515625" style="465" customWidth="1"/>
    <col min="13349" max="13568" width="11.42578125" style="465"/>
    <col min="13569" max="13569" width="4.42578125" style="465" customWidth="1"/>
    <col min="13570" max="13570" width="4.85546875" style="465" customWidth="1"/>
    <col min="13571" max="13571" width="3.7109375" style="465" customWidth="1"/>
    <col min="13572" max="13572" width="3.28515625" style="465" customWidth="1"/>
    <col min="13573" max="13573" width="3.140625" style="465" customWidth="1"/>
    <col min="13574" max="13574" width="2.5703125" style="465" customWidth="1"/>
    <col min="13575" max="13575" width="2.7109375" style="465" customWidth="1"/>
    <col min="13576" max="13576" width="4" style="465" customWidth="1"/>
    <col min="13577" max="13577" width="2.42578125" style="465" customWidth="1"/>
    <col min="13578" max="13578" width="2.85546875" style="465" customWidth="1"/>
    <col min="13579" max="13580" width="3" style="465" customWidth="1"/>
    <col min="13581" max="13582" width="2.5703125" style="465" customWidth="1"/>
    <col min="13583" max="13583" width="2.7109375" style="465" customWidth="1"/>
    <col min="13584" max="13584" width="1.5703125" style="465" customWidth="1"/>
    <col min="13585" max="13585" width="2.140625" style="465" customWidth="1"/>
    <col min="13586" max="13586" width="6" style="465" customWidth="1"/>
    <col min="13587" max="13587" width="3.85546875" style="465" customWidth="1"/>
    <col min="13588" max="13588" width="4.140625" style="465" customWidth="1"/>
    <col min="13589" max="13589" width="4.7109375" style="465" customWidth="1"/>
    <col min="13590" max="13590" width="4.42578125" style="465" customWidth="1"/>
    <col min="13591" max="13591" width="4.7109375" style="465" customWidth="1"/>
    <col min="13592" max="13592" width="2.5703125" style="465" customWidth="1"/>
    <col min="13593" max="13593" width="3.28515625" style="465" customWidth="1"/>
    <col min="13594" max="13594" width="5.85546875" style="465" customWidth="1"/>
    <col min="13595" max="13595" width="3.7109375" style="465" customWidth="1"/>
    <col min="13596" max="13596" width="3.28515625" style="465" customWidth="1"/>
    <col min="13597" max="13597" width="1.7109375" style="465" customWidth="1"/>
    <col min="13598" max="13598" width="8.140625" style="465" customWidth="1"/>
    <col min="13599" max="13599" width="11.28515625" style="465" customWidth="1"/>
    <col min="13600" max="13600" width="5.85546875" style="465" customWidth="1"/>
    <col min="13601" max="13601" width="23" style="465" bestFit="1" customWidth="1"/>
    <col min="13602" max="13603" width="3.28515625" style="465" customWidth="1"/>
    <col min="13604" max="13604" width="4.28515625" style="465" customWidth="1"/>
    <col min="13605" max="13824" width="11.42578125" style="465"/>
    <col min="13825" max="13825" width="4.42578125" style="465" customWidth="1"/>
    <col min="13826" max="13826" width="4.85546875" style="465" customWidth="1"/>
    <col min="13827" max="13827" width="3.7109375" style="465" customWidth="1"/>
    <col min="13828" max="13828" width="3.28515625" style="465" customWidth="1"/>
    <col min="13829" max="13829" width="3.140625" style="465" customWidth="1"/>
    <col min="13830" max="13830" width="2.5703125" style="465" customWidth="1"/>
    <col min="13831" max="13831" width="2.7109375" style="465" customWidth="1"/>
    <col min="13832" max="13832" width="4" style="465" customWidth="1"/>
    <col min="13833" max="13833" width="2.42578125" style="465" customWidth="1"/>
    <col min="13834" max="13834" width="2.85546875" style="465" customWidth="1"/>
    <col min="13835" max="13836" width="3" style="465" customWidth="1"/>
    <col min="13837" max="13838" width="2.5703125" style="465" customWidth="1"/>
    <col min="13839" max="13839" width="2.7109375" style="465" customWidth="1"/>
    <col min="13840" max="13840" width="1.5703125" style="465" customWidth="1"/>
    <col min="13841" max="13841" width="2.140625" style="465" customWidth="1"/>
    <col min="13842" max="13842" width="6" style="465" customWidth="1"/>
    <col min="13843" max="13843" width="3.85546875" style="465" customWidth="1"/>
    <col min="13844" max="13844" width="4.140625" style="465" customWidth="1"/>
    <col min="13845" max="13845" width="4.7109375" style="465" customWidth="1"/>
    <col min="13846" max="13846" width="4.42578125" style="465" customWidth="1"/>
    <col min="13847" max="13847" width="4.7109375" style="465" customWidth="1"/>
    <col min="13848" max="13848" width="2.5703125" style="465" customWidth="1"/>
    <col min="13849" max="13849" width="3.28515625" style="465" customWidth="1"/>
    <col min="13850" max="13850" width="5.85546875" style="465" customWidth="1"/>
    <col min="13851" max="13851" width="3.7109375" style="465" customWidth="1"/>
    <col min="13852" max="13852" width="3.28515625" style="465" customWidth="1"/>
    <col min="13853" max="13853" width="1.7109375" style="465" customWidth="1"/>
    <col min="13854" max="13854" width="8.140625" style="465" customWidth="1"/>
    <col min="13855" max="13855" width="11.28515625" style="465" customWidth="1"/>
    <col min="13856" max="13856" width="5.85546875" style="465" customWidth="1"/>
    <col min="13857" max="13857" width="23" style="465" bestFit="1" customWidth="1"/>
    <col min="13858" max="13859" width="3.28515625" style="465" customWidth="1"/>
    <col min="13860" max="13860" width="4.28515625" style="465" customWidth="1"/>
    <col min="13861" max="14080" width="11.42578125" style="465"/>
    <col min="14081" max="14081" width="4.42578125" style="465" customWidth="1"/>
    <col min="14082" max="14082" width="4.85546875" style="465" customWidth="1"/>
    <col min="14083" max="14083" width="3.7109375" style="465" customWidth="1"/>
    <col min="14084" max="14084" width="3.28515625" style="465" customWidth="1"/>
    <col min="14085" max="14085" width="3.140625" style="465" customWidth="1"/>
    <col min="14086" max="14086" width="2.5703125" style="465" customWidth="1"/>
    <col min="14087" max="14087" width="2.7109375" style="465" customWidth="1"/>
    <col min="14088" max="14088" width="4" style="465" customWidth="1"/>
    <col min="14089" max="14089" width="2.42578125" style="465" customWidth="1"/>
    <col min="14090" max="14090" width="2.85546875" style="465" customWidth="1"/>
    <col min="14091" max="14092" width="3" style="465" customWidth="1"/>
    <col min="14093" max="14094" width="2.5703125" style="465" customWidth="1"/>
    <col min="14095" max="14095" width="2.7109375" style="465" customWidth="1"/>
    <col min="14096" max="14096" width="1.5703125" style="465" customWidth="1"/>
    <col min="14097" max="14097" width="2.140625" style="465" customWidth="1"/>
    <col min="14098" max="14098" width="6" style="465" customWidth="1"/>
    <col min="14099" max="14099" width="3.85546875" style="465" customWidth="1"/>
    <col min="14100" max="14100" width="4.140625" style="465" customWidth="1"/>
    <col min="14101" max="14101" width="4.7109375" style="465" customWidth="1"/>
    <col min="14102" max="14102" width="4.42578125" style="465" customWidth="1"/>
    <col min="14103" max="14103" width="4.7109375" style="465" customWidth="1"/>
    <col min="14104" max="14104" width="2.5703125" style="465" customWidth="1"/>
    <col min="14105" max="14105" width="3.28515625" style="465" customWidth="1"/>
    <col min="14106" max="14106" width="5.85546875" style="465" customWidth="1"/>
    <col min="14107" max="14107" width="3.7109375" style="465" customWidth="1"/>
    <col min="14108" max="14108" width="3.28515625" style="465" customWidth="1"/>
    <col min="14109" max="14109" width="1.7109375" style="465" customWidth="1"/>
    <col min="14110" max="14110" width="8.140625" style="465" customWidth="1"/>
    <col min="14111" max="14111" width="11.28515625" style="465" customWidth="1"/>
    <col min="14112" max="14112" width="5.85546875" style="465" customWidth="1"/>
    <col min="14113" max="14113" width="23" style="465" bestFit="1" customWidth="1"/>
    <col min="14114" max="14115" width="3.28515625" style="465" customWidth="1"/>
    <col min="14116" max="14116" width="4.28515625" style="465" customWidth="1"/>
    <col min="14117" max="14336" width="11.42578125" style="465"/>
    <col min="14337" max="14337" width="4.42578125" style="465" customWidth="1"/>
    <col min="14338" max="14338" width="4.85546875" style="465" customWidth="1"/>
    <col min="14339" max="14339" width="3.7109375" style="465" customWidth="1"/>
    <col min="14340" max="14340" width="3.28515625" style="465" customWidth="1"/>
    <col min="14341" max="14341" width="3.140625" style="465" customWidth="1"/>
    <col min="14342" max="14342" width="2.5703125" style="465" customWidth="1"/>
    <col min="14343" max="14343" width="2.7109375" style="465" customWidth="1"/>
    <col min="14344" max="14344" width="4" style="465" customWidth="1"/>
    <col min="14345" max="14345" width="2.42578125" style="465" customWidth="1"/>
    <col min="14346" max="14346" width="2.85546875" style="465" customWidth="1"/>
    <col min="14347" max="14348" width="3" style="465" customWidth="1"/>
    <col min="14349" max="14350" width="2.5703125" style="465" customWidth="1"/>
    <col min="14351" max="14351" width="2.7109375" style="465" customWidth="1"/>
    <col min="14352" max="14352" width="1.5703125" style="465" customWidth="1"/>
    <col min="14353" max="14353" width="2.140625" style="465" customWidth="1"/>
    <col min="14354" max="14354" width="6" style="465" customWidth="1"/>
    <col min="14355" max="14355" width="3.85546875" style="465" customWidth="1"/>
    <col min="14356" max="14356" width="4.140625" style="465" customWidth="1"/>
    <col min="14357" max="14357" width="4.7109375" style="465" customWidth="1"/>
    <col min="14358" max="14358" width="4.42578125" style="465" customWidth="1"/>
    <col min="14359" max="14359" width="4.7109375" style="465" customWidth="1"/>
    <col min="14360" max="14360" width="2.5703125" style="465" customWidth="1"/>
    <col min="14361" max="14361" width="3.28515625" style="465" customWidth="1"/>
    <col min="14362" max="14362" width="5.85546875" style="465" customWidth="1"/>
    <col min="14363" max="14363" width="3.7109375" style="465" customWidth="1"/>
    <col min="14364" max="14364" width="3.28515625" style="465" customWidth="1"/>
    <col min="14365" max="14365" width="1.7109375" style="465" customWidth="1"/>
    <col min="14366" max="14366" width="8.140625" style="465" customWidth="1"/>
    <col min="14367" max="14367" width="11.28515625" style="465" customWidth="1"/>
    <col min="14368" max="14368" width="5.85546875" style="465" customWidth="1"/>
    <col min="14369" max="14369" width="23" style="465" bestFit="1" customWidth="1"/>
    <col min="14370" max="14371" width="3.28515625" style="465" customWidth="1"/>
    <col min="14372" max="14372" width="4.28515625" style="465" customWidth="1"/>
    <col min="14373" max="14592" width="11.42578125" style="465"/>
    <col min="14593" max="14593" width="4.42578125" style="465" customWidth="1"/>
    <col min="14594" max="14594" width="4.85546875" style="465" customWidth="1"/>
    <col min="14595" max="14595" width="3.7109375" style="465" customWidth="1"/>
    <col min="14596" max="14596" width="3.28515625" style="465" customWidth="1"/>
    <col min="14597" max="14597" width="3.140625" style="465" customWidth="1"/>
    <col min="14598" max="14598" width="2.5703125" style="465" customWidth="1"/>
    <col min="14599" max="14599" width="2.7109375" style="465" customWidth="1"/>
    <col min="14600" max="14600" width="4" style="465" customWidth="1"/>
    <col min="14601" max="14601" width="2.42578125" style="465" customWidth="1"/>
    <col min="14602" max="14602" width="2.85546875" style="465" customWidth="1"/>
    <col min="14603" max="14604" width="3" style="465" customWidth="1"/>
    <col min="14605" max="14606" width="2.5703125" style="465" customWidth="1"/>
    <col min="14607" max="14607" width="2.7109375" style="465" customWidth="1"/>
    <col min="14608" max="14608" width="1.5703125" style="465" customWidth="1"/>
    <col min="14609" max="14609" width="2.140625" style="465" customWidth="1"/>
    <col min="14610" max="14610" width="6" style="465" customWidth="1"/>
    <col min="14611" max="14611" width="3.85546875" style="465" customWidth="1"/>
    <col min="14612" max="14612" width="4.140625" style="465" customWidth="1"/>
    <col min="14613" max="14613" width="4.7109375" style="465" customWidth="1"/>
    <col min="14614" max="14614" width="4.42578125" style="465" customWidth="1"/>
    <col min="14615" max="14615" width="4.7109375" style="465" customWidth="1"/>
    <col min="14616" max="14616" width="2.5703125" style="465" customWidth="1"/>
    <col min="14617" max="14617" width="3.28515625" style="465" customWidth="1"/>
    <col min="14618" max="14618" width="5.85546875" style="465" customWidth="1"/>
    <col min="14619" max="14619" width="3.7109375" style="465" customWidth="1"/>
    <col min="14620" max="14620" width="3.28515625" style="465" customWidth="1"/>
    <col min="14621" max="14621" width="1.7109375" style="465" customWidth="1"/>
    <col min="14622" max="14622" width="8.140625" style="465" customWidth="1"/>
    <col min="14623" max="14623" width="11.28515625" style="465" customWidth="1"/>
    <col min="14624" max="14624" width="5.85546875" style="465" customWidth="1"/>
    <col min="14625" max="14625" width="23" style="465" bestFit="1" customWidth="1"/>
    <col min="14626" max="14627" width="3.28515625" style="465" customWidth="1"/>
    <col min="14628" max="14628" width="4.28515625" style="465" customWidth="1"/>
    <col min="14629" max="14848" width="11.42578125" style="465"/>
    <col min="14849" max="14849" width="4.42578125" style="465" customWidth="1"/>
    <col min="14850" max="14850" width="4.85546875" style="465" customWidth="1"/>
    <col min="14851" max="14851" width="3.7109375" style="465" customWidth="1"/>
    <col min="14852" max="14852" width="3.28515625" style="465" customWidth="1"/>
    <col min="14853" max="14853" width="3.140625" style="465" customWidth="1"/>
    <col min="14854" max="14854" width="2.5703125" style="465" customWidth="1"/>
    <col min="14855" max="14855" width="2.7109375" style="465" customWidth="1"/>
    <col min="14856" max="14856" width="4" style="465" customWidth="1"/>
    <col min="14857" max="14857" width="2.42578125" style="465" customWidth="1"/>
    <col min="14858" max="14858" width="2.85546875" style="465" customWidth="1"/>
    <col min="14859" max="14860" width="3" style="465" customWidth="1"/>
    <col min="14861" max="14862" width="2.5703125" style="465" customWidth="1"/>
    <col min="14863" max="14863" width="2.7109375" style="465" customWidth="1"/>
    <col min="14864" max="14864" width="1.5703125" style="465" customWidth="1"/>
    <col min="14865" max="14865" width="2.140625" style="465" customWidth="1"/>
    <col min="14866" max="14866" width="6" style="465" customWidth="1"/>
    <col min="14867" max="14867" width="3.85546875" style="465" customWidth="1"/>
    <col min="14868" max="14868" width="4.140625" style="465" customWidth="1"/>
    <col min="14869" max="14869" width="4.7109375" style="465" customWidth="1"/>
    <col min="14870" max="14870" width="4.42578125" style="465" customWidth="1"/>
    <col min="14871" max="14871" width="4.7109375" style="465" customWidth="1"/>
    <col min="14872" max="14872" width="2.5703125" style="465" customWidth="1"/>
    <col min="14873" max="14873" width="3.28515625" style="465" customWidth="1"/>
    <col min="14874" max="14874" width="5.85546875" style="465" customWidth="1"/>
    <col min="14875" max="14875" width="3.7109375" style="465" customWidth="1"/>
    <col min="14876" max="14876" width="3.28515625" style="465" customWidth="1"/>
    <col min="14877" max="14877" width="1.7109375" style="465" customWidth="1"/>
    <col min="14878" max="14878" width="8.140625" style="465" customWidth="1"/>
    <col min="14879" max="14879" width="11.28515625" style="465" customWidth="1"/>
    <col min="14880" max="14880" width="5.85546875" style="465" customWidth="1"/>
    <col min="14881" max="14881" width="23" style="465" bestFit="1" customWidth="1"/>
    <col min="14882" max="14883" width="3.28515625" style="465" customWidth="1"/>
    <col min="14884" max="14884" width="4.28515625" style="465" customWidth="1"/>
    <col min="14885" max="15104" width="11.42578125" style="465"/>
    <col min="15105" max="15105" width="4.42578125" style="465" customWidth="1"/>
    <col min="15106" max="15106" width="4.85546875" style="465" customWidth="1"/>
    <col min="15107" max="15107" width="3.7109375" style="465" customWidth="1"/>
    <col min="15108" max="15108" width="3.28515625" style="465" customWidth="1"/>
    <col min="15109" max="15109" width="3.140625" style="465" customWidth="1"/>
    <col min="15110" max="15110" width="2.5703125" style="465" customWidth="1"/>
    <col min="15111" max="15111" width="2.7109375" style="465" customWidth="1"/>
    <col min="15112" max="15112" width="4" style="465" customWidth="1"/>
    <col min="15113" max="15113" width="2.42578125" style="465" customWidth="1"/>
    <col min="15114" max="15114" width="2.85546875" style="465" customWidth="1"/>
    <col min="15115" max="15116" width="3" style="465" customWidth="1"/>
    <col min="15117" max="15118" width="2.5703125" style="465" customWidth="1"/>
    <col min="15119" max="15119" width="2.7109375" style="465" customWidth="1"/>
    <col min="15120" max="15120" width="1.5703125" style="465" customWidth="1"/>
    <col min="15121" max="15121" width="2.140625" style="465" customWidth="1"/>
    <col min="15122" max="15122" width="6" style="465" customWidth="1"/>
    <col min="15123" max="15123" width="3.85546875" style="465" customWidth="1"/>
    <col min="15124" max="15124" width="4.140625" style="465" customWidth="1"/>
    <col min="15125" max="15125" width="4.7109375" style="465" customWidth="1"/>
    <col min="15126" max="15126" width="4.42578125" style="465" customWidth="1"/>
    <col min="15127" max="15127" width="4.7109375" style="465" customWidth="1"/>
    <col min="15128" max="15128" width="2.5703125" style="465" customWidth="1"/>
    <col min="15129" max="15129" width="3.28515625" style="465" customWidth="1"/>
    <col min="15130" max="15130" width="5.85546875" style="465" customWidth="1"/>
    <col min="15131" max="15131" width="3.7109375" style="465" customWidth="1"/>
    <col min="15132" max="15132" width="3.28515625" style="465" customWidth="1"/>
    <col min="15133" max="15133" width="1.7109375" style="465" customWidth="1"/>
    <col min="15134" max="15134" width="8.140625" style="465" customWidth="1"/>
    <col min="15135" max="15135" width="11.28515625" style="465" customWidth="1"/>
    <col min="15136" max="15136" width="5.85546875" style="465" customWidth="1"/>
    <col min="15137" max="15137" width="23" style="465" bestFit="1" customWidth="1"/>
    <col min="15138" max="15139" width="3.28515625" style="465" customWidth="1"/>
    <col min="15140" max="15140" width="4.28515625" style="465" customWidth="1"/>
    <col min="15141" max="15360" width="11.42578125" style="465"/>
    <col min="15361" max="15361" width="4.42578125" style="465" customWidth="1"/>
    <col min="15362" max="15362" width="4.85546875" style="465" customWidth="1"/>
    <col min="15363" max="15363" width="3.7109375" style="465" customWidth="1"/>
    <col min="15364" max="15364" width="3.28515625" style="465" customWidth="1"/>
    <col min="15365" max="15365" width="3.140625" style="465" customWidth="1"/>
    <col min="15366" max="15366" width="2.5703125" style="465" customWidth="1"/>
    <col min="15367" max="15367" width="2.7109375" style="465" customWidth="1"/>
    <col min="15368" max="15368" width="4" style="465" customWidth="1"/>
    <col min="15369" max="15369" width="2.42578125" style="465" customWidth="1"/>
    <col min="15370" max="15370" width="2.85546875" style="465" customWidth="1"/>
    <col min="15371" max="15372" width="3" style="465" customWidth="1"/>
    <col min="15373" max="15374" width="2.5703125" style="465" customWidth="1"/>
    <col min="15375" max="15375" width="2.7109375" style="465" customWidth="1"/>
    <col min="15376" max="15376" width="1.5703125" style="465" customWidth="1"/>
    <col min="15377" max="15377" width="2.140625" style="465" customWidth="1"/>
    <col min="15378" max="15378" width="6" style="465" customWidth="1"/>
    <col min="15379" max="15379" width="3.85546875" style="465" customWidth="1"/>
    <col min="15380" max="15380" width="4.140625" style="465" customWidth="1"/>
    <col min="15381" max="15381" width="4.7109375" style="465" customWidth="1"/>
    <col min="15382" max="15382" width="4.42578125" style="465" customWidth="1"/>
    <col min="15383" max="15383" width="4.7109375" style="465" customWidth="1"/>
    <col min="15384" max="15384" width="2.5703125" style="465" customWidth="1"/>
    <col min="15385" max="15385" width="3.28515625" style="465" customWidth="1"/>
    <col min="15386" max="15386" width="5.85546875" style="465" customWidth="1"/>
    <col min="15387" max="15387" width="3.7109375" style="465" customWidth="1"/>
    <col min="15388" max="15388" width="3.28515625" style="465" customWidth="1"/>
    <col min="15389" max="15389" width="1.7109375" style="465" customWidth="1"/>
    <col min="15390" max="15390" width="8.140625" style="465" customWidth="1"/>
    <col min="15391" max="15391" width="11.28515625" style="465" customWidth="1"/>
    <col min="15392" max="15392" width="5.85546875" style="465" customWidth="1"/>
    <col min="15393" max="15393" width="23" style="465" bestFit="1" customWidth="1"/>
    <col min="15394" max="15395" width="3.28515625" style="465" customWidth="1"/>
    <col min="15396" max="15396" width="4.28515625" style="465" customWidth="1"/>
    <col min="15397" max="15616" width="11.42578125" style="465"/>
    <col min="15617" max="15617" width="4.42578125" style="465" customWidth="1"/>
    <col min="15618" max="15618" width="4.85546875" style="465" customWidth="1"/>
    <col min="15619" max="15619" width="3.7109375" style="465" customWidth="1"/>
    <col min="15620" max="15620" width="3.28515625" style="465" customWidth="1"/>
    <col min="15621" max="15621" width="3.140625" style="465" customWidth="1"/>
    <col min="15622" max="15622" width="2.5703125" style="465" customWidth="1"/>
    <col min="15623" max="15623" width="2.7109375" style="465" customWidth="1"/>
    <col min="15624" max="15624" width="4" style="465" customWidth="1"/>
    <col min="15625" max="15625" width="2.42578125" style="465" customWidth="1"/>
    <col min="15626" max="15626" width="2.85546875" style="465" customWidth="1"/>
    <col min="15627" max="15628" width="3" style="465" customWidth="1"/>
    <col min="15629" max="15630" width="2.5703125" style="465" customWidth="1"/>
    <col min="15631" max="15631" width="2.7109375" style="465" customWidth="1"/>
    <col min="15632" max="15632" width="1.5703125" style="465" customWidth="1"/>
    <col min="15633" max="15633" width="2.140625" style="465" customWidth="1"/>
    <col min="15634" max="15634" width="6" style="465" customWidth="1"/>
    <col min="15635" max="15635" width="3.85546875" style="465" customWidth="1"/>
    <col min="15636" max="15636" width="4.140625" style="465" customWidth="1"/>
    <col min="15637" max="15637" width="4.7109375" style="465" customWidth="1"/>
    <col min="15638" max="15638" width="4.42578125" style="465" customWidth="1"/>
    <col min="15639" max="15639" width="4.7109375" style="465" customWidth="1"/>
    <col min="15640" max="15640" width="2.5703125" style="465" customWidth="1"/>
    <col min="15641" max="15641" width="3.28515625" style="465" customWidth="1"/>
    <col min="15642" max="15642" width="5.85546875" style="465" customWidth="1"/>
    <col min="15643" max="15643" width="3.7109375" style="465" customWidth="1"/>
    <col min="15644" max="15644" width="3.28515625" style="465" customWidth="1"/>
    <col min="15645" max="15645" width="1.7109375" style="465" customWidth="1"/>
    <col min="15646" max="15646" width="8.140625" style="465" customWidth="1"/>
    <col min="15647" max="15647" width="11.28515625" style="465" customWidth="1"/>
    <col min="15648" max="15648" width="5.85546875" style="465" customWidth="1"/>
    <col min="15649" max="15649" width="23" style="465" bestFit="1" customWidth="1"/>
    <col min="15650" max="15651" width="3.28515625" style="465" customWidth="1"/>
    <col min="15652" max="15652" width="4.28515625" style="465" customWidth="1"/>
    <col min="15653" max="15872" width="11.42578125" style="465"/>
    <col min="15873" max="15873" width="4.42578125" style="465" customWidth="1"/>
    <col min="15874" max="15874" width="4.85546875" style="465" customWidth="1"/>
    <col min="15875" max="15875" width="3.7109375" style="465" customWidth="1"/>
    <col min="15876" max="15876" width="3.28515625" style="465" customWidth="1"/>
    <col min="15877" max="15877" width="3.140625" style="465" customWidth="1"/>
    <col min="15878" max="15878" width="2.5703125" style="465" customWidth="1"/>
    <col min="15879" max="15879" width="2.7109375" style="465" customWidth="1"/>
    <col min="15880" max="15880" width="4" style="465" customWidth="1"/>
    <col min="15881" max="15881" width="2.42578125" style="465" customWidth="1"/>
    <col min="15882" max="15882" width="2.85546875" style="465" customWidth="1"/>
    <col min="15883" max="15884" width="3" style="465" customWidth="1"/>
    <col min="15885" max="15886" width="2.5703125" style="465" customWidth="1"/>
    <col min="15887" max="15887" width="2.7109375" style="465" customWidth="1"/>
    <col min="15888" max="15888" width="1.5703125" style="465" customWidth="1"/>
    <col min="15889" max="15889" width="2.140625" style="465" customWidth="1"/>
    <col min="15890" max="15890" width="6" style="465" customWidth="1"/>
    <col min="15891" max="15891" width="3.85546875" style="465" customWidth="1"/>
    <col min="15892" max="15892" width="4.140625" style="465" customWidth="1"/>
    <col min="15893" max="15893" width="4.7109375" style="465" customWidth="1"/>
    <col min="15894" max="15894" width="4.42578125" style="465" customWidth="1"/>
    <col min="15895" max="15895" width="4.7109375" style="465" customWidth="1"/>
    <col min="15896" max="15896" width="2.5703125" style="465" customWidth="1"/>
    <col min="15897" max="15897" width="3.28515625" style="465" customWidth="1"/>
    <col min="15898" max="15898" width="5.85546875" style="465" customWidth="1"/>
    <col min="15899" max="15899" width="3.7109375" style="465" customWidth="1"/>
    <col min="15900" max="15900" width="3.28515625" style="465" customWidth="1"/>
    <col min="15901" max="15901" width="1.7109375" style="465" customWidth="1"/>
    <col min="15902" max="15902" width="8.140625" style="465" customWidth="1"/>
    <col min="15903" max="15903" width="11.28515625" style="465" customWidth="1"/>
    <col min="15904" max="15904" width="5.85546875" style="465" customWidth="1"/>
    <col min="15905" max="15905" width="23" style="465" bestFit="1" customWidth="1"/>
    <col min="15906" max="15907" width="3.28515625" style="465" customWidth="1"/>
    <col min="15908" max="15908" width="4.28515625" style="465" customWidth="1"/>
    <col min="15909" max="16128" width="11.42578125" style="465"/>
    <col min="16129" max="16129" width="4.42578125" style="465" customWidth="1"/>
    <col min="16130" max="16130" width="4.85546875" style="465" customWidth="1"/>
    <col min="16131" max="16131" width="3.7109375" style="465" customWidth="1"/>
    <col min="16132" max="16132" width="3.28515625" style="465" customWidth="1"/>
    <col min="16133" max="16133" width="3.140625" style="465" customWidth="1"/>
    <col min="16134" max="16134" width="2.5703125" style="465" customWidth="1"/>
    <col min="16135" max="16135" width="2.7109375" style="465" customWidth="1"/>
    <col min="16136" max="16136" width="4" style="465" customWidth="1"/>
    <col min="16137" max="16137" width="2.42578125" style="465" customWidth="1"/>
    <col min="16138" max="16138" width="2.85546875" style="465" customWidth="1"/>
    <col min="16139" max="16140" width="3" style="465" customWidth="1"/>
    <col min="16141" max="16142" width="2.5703125" style="465" customWidth="1"/>
    <col min="16143" max="16143" width="2.7109375" style="465" customWidth="1"/>
    <col min="16144" max="16144" width="1.5703125" style="465" customWidth="1"/>
    <col min="16145" max="16145" width="2.140625" style="465" customWidth="1"/>
    <col min="16146" max="16146" width="6" style="465" customWidth="1"/>
    <col min="16147" max="16147" width="3.85546875" style="465" customWidth="1"/>
    <col min="16148" max="16148" width="4.140625" style="465" customWidth="1"/>
    <col min="16149" max="16149" width="4.7109375" style="465" customWidth="1"/>
    <col min="16150" max="16150" width="4.42578125" style="465" customWidth="1"/>
    <col min="16151" max="16151" width="4.7109375" style="465" customWidth="1"/>
    <col min="16152" max="16152" width="2.5703125" style="465" customWidth="1"/>
    <col min="16153" max="16153" width="3.28515625" style="465" customWidth="1"/>
    <col min="16154" max="16154" width="5.85546875" style="465" customWidth="1"/>
    <col min="16155" max="16155" width="3.7109375" style="465" customWidth="1"/>
    <col min="16156" max="16156" width="3.28515625" style="465" customWidth="1"/>
    <col min="16157" max="16157" width="1.7109375" style="465" customWidth="1"/>
    <col min="16158" max="16158" width="8.140625" style="465" customWidth="1"/>
    <col min="16159" max="16159" width="11.28515625" style="465" customWidth="1"/>
    <col min="16160" max="16160" width="5.85546875" style="465" customWidth="1"/>
    <col min="16161" max="16161" width="23" style="465" bestFit="1" customWidth="1"/>
    <col min="16162" max="16163" width="3.28515625" style="465" customWidth="1"/>
    <col min="16164" max="16164" width="4.28515625" style="465" customWidth="1"/>
    <col min="16165" max="16384" width="11.42578125" style="465"/>
  </cols>
  <sheetData>
    <row r="1" spans="1:40" ht="17.25" customHeight="1">
      <c r="A1" s="466"/>
      <c r="D1" s="467"/>
      <c r="F1" s="467"/>
      <c r="G1" s="467"/>
      <c r="H1" s="468"/>
      <c r="I1" s="469"/>
      <c r="J1" s="1629" t="s">
        <v>0</v>
      </c>
      <c r="K1" s="1629"/>
      <c r="L1" s="1629"/>
      <c r="M1" s="1629"/>
      <c r="N1" s="1629"/>
      <c r="O1" s="1629"/>
      <c r="P1" s="1629"/>
      <c r="Q1" s="1629"/>
      <c r="R1" s="1629"/>
      <c r="S1" s="1629"/>
      <c r="T1" s="1629"/>
      <c r="U1" s="551"/>
      <c r="V1" s="1630"/>
      <c r="W1" s="1630"/>
      <c r="X1" s="1630"/>
      <c r="Y1" s="1630"/>
      <c r="Z1" s="1630"/>
      <c r="AA1" s="1630"/>
      <c r="AB1" s="1630"/>
      <c r="AD1" s="552"/>
      <c r="AE1" s="552"/>
      <c r="AF1" s="552"/>
      <c r="AG1" s="552"/>
      <c r="AH1" s="552"/>
      <c r="AI1" s="552"/>
      <c r="AJ1" s="552"/>
      <c r="AK1" s="552"/>
      <c r="AL1" s="552"/>
      <c r="AM1" s="552"/>
    </row>
    <row r="2" spans="1:40" ht="15" customHeight="1">
      <c r="A2" s="466"/>
      <c r="C2" s="467"/>
      <c r="D2" s="467"/>
      <c r="F2" s="467"/>
      <c r="G2" s="467"/>
      <c r="H2" s="469"/>
      <c r="I2" s="469"/>
      <c r="J2" s="1629"/>
      <c r="K2" s="1629"/>
      <c r="L2" s="1629"/>
      <c r="M2" s="1629"/>
      <c r="N2" s="1629"/>
      <c r="O2" s="1629"/>
      <c r="P2" s="1629"/>
      <c r="Q2" s="1629"/>
      <c r="R2" s="1629"/>
      <c r="S2" s="1629"/>
      <c r="T2" s="1629"/>
      <c r="U2" s="551"/>
      <c r="V2" s="1631"/>
      <c r="W2" s="1631"/>
      <c r="X2" s="1631"/>
      <c r="Y2" s="1631"/>
      <c r="Z2" s="1631"/>
      <c r="AA2" s="1631"/>
      <c r="AB2" s="1631"/>
      <c r="AD2" s="553"/>
      <c r="AE2" s="553"/>
      <c r="AF2" s="553"/>
      <c r="AG2" s="553"/>
      <c r="AH2" s="553"/>
      <c r="AI2" s="553"/>
      <c r="AJ2" s="553"/>
      <c r="AK2" s="553"/>
      <c r="AL2" s="553"/>
      <c r="AM2" s="553"/>
    </row>
    <row r="3" spans="1:40" ht="14.25" customHeight="1">
      <c r="A3" s="466"/>
      <c r="B3" s="472"/>
      <c r="D3" s="473"/>
      <c r="F3" s="473"/>
      <c r="G3" s="473"/>
      <c r="I3" s="474"/>
      <c r="J3" s="1632" t="str">
        <f>+'Data Input'!D2</f>
        <v>wmw×iMÄ kvLv, bvivqYMÄ</v>
      </c>
      <c r="K3" s="1632"/>
      <c r="L3" s="1632"/>
      <c r="M3" s="1632"/>
      <c r="N3" s="1632"/>
      <c r="O3" s="1632"/>
      <c r="P3" s="1632"/>
      <c r="Q3" s="1632"/>
      <c r="R3" s="1632"/>
      <c r="S3" s="1632"/>
      <c r="T3" s="1632"/>
      <c r="U3" s="470"/>
      <c r="V3" s="1367"/>
      <c r="W3" s="1367"/>
      <c r="X3" s="1367"/>
      <c r="Y3" s="1367"/>
      <c r="Z3" s="1367"/>
      <c r="AA3" s="1367"/>
      <c r="AB3" s="1367"/>
      <c r="AD3" s="554"/>
    </row>
    <row r="4" spans="1:40" ht="13.5" customHeight="1">
      <c r="A4" s="466"/>
      <c r="B4" s="472"/>
      <c r="C4" s="473"/>
      <c r="D4" s="473"/>
      <c r="F4" s="473"/>
      <c r="G4" s="473"/>
      <c r="H4" s="474"/>
      <c r="I4" s="474"/>
      <c r="J4" s="1632"/>
      <c r="K4" s="1632"/>
      <c r="L4" s="1632"/>
      <c r="M4" s="1632"/>
      <c r="N4" s="1632"/>
      <c r="O4" s="1632"/>
      <c r="P4" s="1632"/>
      <c r="Q4" s="1632"/>
      <c r="R4" s="1632"/>
      <c r="S4" s="1632"/>
      <c r="T4" s="1632"/>
      <c r="U4" s="1633"/>
      <c r="V4" s="1633"/>
      <c r="W4" s="1633"/>
      <c r="X4" s="1633"/>
      <c r="Y4" s="1633"/>
      <c r="Z4" s="1633"/>
      <c r="AA4" s="1633"/>
      <c r="AB4" s="1633"/>
      <c r="AD4" s="555"/>
    </row>
    <row r="5" spans="1:40" s="556" customFormat="1" ht="17.25" customHeight="1">
      <c r="A5" s="1462"/>
      <c r="B5" s="1462"/>
      <c r="C5" s="1462"/>
      <c r="D5" s="1462"/>
      <c r="E5" s="1462"/>
      <c r="F5" s="1462"/>
      <c r="G5" s="1462"/>
      <c r="H5" s="1462"/>
      <c r="I5" s="1462"/>
      <c r="J5" s="1462"/>
      <c r="K5" s="1462"/>
      <c r="L5" s="1462"/>
      <c r="M5" s="1462"/>
      <c r="N5" s="1462"/>
      <c r="O5" s="1462"/>
      <c r="P5" s="1462"/>
      <c r="Q5" s="1462"/>
      <c r="R5" s="1462"/>
      <c r="S5" s="1462"/>
      <c r="T5" s="1462"/>
      <c r="U5" s="1462"/>
      <c r="V5" s="1634"/>
      <c r="W5" s="1634"/>
      <c r="X5" s="1635"/>
      <c r="Y5" s="1635"/>
      <c r="Z5" s="1635"/>
      <c r="AA5" s="1635"/>
      <c r="AB5" s="695"/>
      <c r="AC5" s="693"/>
      <c r="AE5" s="465"/>
      <c r="AF5" s="465"/>
      <c r="AG5" s="465"/>
      <c r="AH5" s="465"/>
      <c r="AI5" s="465"/>
      <c r="AJ5" s="465"/>
      <c r="AK5" s="465"/>
      <c r="AL5" s="465"/>
      <c r="AM5" s="465"/>
      <c r="AN5" s="465"/>
    </row>
    <row r="6" spans="1:40" s="556" customFormat="1" ht="9.75" customHeight="1">
      <c r="A6" s="557"/>
      <c r="B6" s="512"/>
      <c r="D6" s="512"/>
      <c r="K6" s="512"/>
      <c r="L6" s="558"/>
      <c r="M6" s="558"/>
      <c r="AE6" s="465"/>
      <c r="AF6" s="465"/>
      <c r="AG6" s="465"/>
      <c r="AH6" s="465"/>
      <c r="AI6" s="465"/>
      <c r="AJ6" s="465"/>
      <c r="AK6" s="465"/>
      <c r="AL6" s="465"/>
      <c r="AM6" s="465"/>
      <c r="AN6" s="465"/>
    </row>
    <row r="7" spans="1:40" s="556" customFormat="1" ht="17.25" customHeight="1">
      <c r="A7" s="559"/>
      <c r="B7" s="1375" t="str">
        <f>" welq t Ò"&amp;'Data Input'!D8&amp;"Ó Gi AbyK~‡j bM` cuywR FY bevqb / gÄyixi cÖ¯Íve †cÖiY msµvšÍ Z_¨wmU|"</f>
        <v xml:space="preserve"> welq t Ò‡gmvm© mvbd¬vIqvi †UBjvm© GÛ †dweªK&amp;ªÓ Gi AbyK~‡j bM` cuywR FY bevqb / gÄyixi cÖ¯Íve †cÖiY msµvšÍ Z_¨wmU|</v>
      </c>
      <c r="C7" s="1375"/>
      <c r="D7" s="1375"/>
      <c r="E7" s="1375"/>
      <c r="F7" s="1375"/>
      <c r="G7" s="1375"/>
      <c r="H7" s="1375"/>
      <c r="I7" s="1375"/>
      <c r="J7" s="1375"/>
      <c r="K7" s="1375"/>
      <c r="L7" s="1375"/>
      <c r="M7" s="1375"/>
      <c r="N7" s="1375"/>
      <c r="O7" s="1375"/>
      <c r="P7" s="1375"/>
      <c r="Q7" s="1375"/>
      <c r="R7" s="1375"/>
      <c r="S7" s="1375"/>
      <c r="T7" s="1375"/>
      <c r="U7" s="1375"/>
      <c r="V7" s="1375"/>
      <c r="W7" s="1375"/>
      <c r="X7" s="1375"/>
      <c r="Y7" s="1375"/>
      <c r="Z7" s="1375"/>
      <c r="AA7" s="1375"/>
      <c r="AB7" s="1375"/>
      <c r="AC7" s="1375"/>
    </row>
    <row r="8" spans="1:40" s="556" customFormat="1" ht="10.5" customHeight="1">
      <c r="A8" s="557"/>
    </row>
    <row r="9" spans="1:40" s="556" customFormat="1" ht="17.25" customHeight="1">
      <c r="A9" s="1614" t="s">
        <v>23</v>
      </c>
      <c r="B9" s="1615" t="s">
        <v>24</v>
      </c>
      <c r="C9" s="1615"/>
      <c r="D9" s="1615"/>
      <c r="E9" s="1615"/>
      <c r="F9" s="1615"/>
      <c r="G9" s="1615"/>
      <c r="H9" s="1615"/>
      <c r="I9" s="1615"/>
      <c r="J9" s="1615"/>
      <c r="K9" s="1615"/>
      <c r="L9" s="1615"/>
      <c r="M9" s="1615"/>
      <c r="N9" s="1615"/>
      <c r="O9" s="1615"/>
      <c r="P9" s="1615"/>
      <c r="Q9" s="1615"/>
      <c r="R9" s="1615"/>
      <c r="S9" s="1615"/>
      <c r="T9" s="1615"/>
      <c r="U9" s="1615"/>
      <c r="V9" s="1615"/>
      <c r="W9" s="1615"/>
      <c r="X9" s="1615"/>
      <c r="Y9" s="1615"/>
      <c r="Z9" s="1615"/>
      <c r="AA9" s="1615"/>
      <c r="AB9" s="1615"/>
    </row>
    <row r="10" spans="1:40" s="556" customFormat="1" ht="17.25" customHeight="1">
      <c r="A10" s="1614"/>
      <c r="B10" s="1616" t="s">
        <v>25</v>
      </c>
      <c r="C10" s="1388" t="s">
        <v>861</v>
      </c>
      <c r="D10" s="1388"/>
      <c r="E10" s="1388"/>
      <c r="F10" s="1388"/>
      <c r="G10" s="1388"/>
      <c r="H10" s="1388"/>
      <c r="I10" s="1388"/>
      <c r="J10" s="1388"/>
      <c r="K10" s="1388"/>
      <c r="L10" s="1388"/>
      <c r="O10" s="512"/>
      <c r="P10" s="512"/>
      <c r="Q10" s="512" t="s">
        <v>1</v>
      </c>
      <c r="R10" s="1589" t="str">
        <f>+'Data Input'!D8</f>
        <v>‡gmvm© mvbd¬vIqvi †UBjvm© GÛ †dweªK&amp;ª</v>
      </c>
      <c r="S10" s="1589"/>
      <c r="T10" s="1589"/>
      <c r="U10" s="1589"/>
      <c r="V10" s="1589"/>
      <c r="W10" s="1589"/>
      <c r="X10" s="1589"/>
      <c r="Y10" s="1589"/>
      <c r="Z10" s="1589"/>
      <c r="AA10" s="1589"/>
      <c r="AB10" s="1589"/>
    </row>
    <row r="11" spans="1:40" s="556" customFormat="1" ht="17.25" customHeight="1">
      <c r="A11" s="1614"/>
      <c r="B11" s="1616"/>
      <c r="C11" s="1388"/>
      <c r="D11" s="1388"/>
      <c r="E11" s="1388"/>
      <c r="F11" s="1388"/>
      <c r="G11" s="1388"/>
      <c r="H11" s="1388"/>
      <c r="I11" s="1388"/>
      <c r="J11" s="1388"/>
      <c r="K11" s="1388"/>
      <c r="L11" s="1388"/>
      <c r="O11" s="512"/>
      <c r="P11" s="512"/>
      <c r="Q11" s="512"/>
      <c r="R11" s="1386" t="str">
        <f>+'Data Input'!D12</f>
        <v>‡gvt Rwb</v>
      </c>
      <c r="S11" s="1386"/>
      <c r="T11" s="1386"/>
      <c r="U11" s="1386"/>
      <c r="V11" s="1386"/>
      <c r="W11" s="1386"/>
      <c r="X11" s="1386"/>
      <c r="Y11" s="1386"/>
      <c r="Z11" s="1386"/>
      <c r="AA11" s="1386"/>
      <c r="AB11" s="1386"/>
    </row>
    <row r="12" spans="1:40" s="556" customFormat="1" ht="17.25" customHeight="1">
      <c r="A12" s="1614"/>
      <c r="B12" s="510"/>
      <c r="C12" s="1388"/>
      <c r="D12" s="1388"/>
      <c r="E12" s="1388"/>
      <c r="F12" s="1388"/>
      <c r="G12" s="1388"/>
      <c r="H12" s="1388"/>
      <c r="I12" s="1388"/>
      <c r="J12" s="1388"/>
      <c r="K12" s="1388"/>
      <c r="L12" s="1388"/>
      <c r="O12" s="696"/>
      <c r="P12" s="696"/>
      <c r="Q12" s="512"/>
      <c r="R12" s="1859" t="str">
        <f>"wcZv/¯^vgxt "&amp;+'Data Input'!D13</f>
        <v>wcZv/¯^vgxt g„Z †gvt Bw`ªm Avjx</v>
      </c>
      <c r="S12" s="1859"/>
      <c r="T12" s="1859"/>
      <c r="U12" s="1859"/>
      <c r="V12" s="1859"/>
      <c r="W12" s="1859"/>
      <c r="X12" s="1859"/>
      <c r="Y12" s="1859"/>
      <c r="Z12" s="1859"/>
      <c r="AA12" s="1859"/>
      <c r="AB12" s="1859"/>
    </row>
    <row r="13" spans="1:40" s="556" customFormat="1" ht="54" customHeight="1">
      <c r="A13" s="1614"/>
      <c r="B13" s="510" t="s">
        <v>27</v>
      </c>
      <c r="C13" s="1616" t="s">
        <v>28</v>
      </c>
      <c r="D13" s="1616"/>
      <c r="E13" s="1616"/>
      <c r="F13" s="1616"/>
      <c r="G13" s="1616"/>
      <c r="H13" s="1616"/>
      <c r="I13" s="1616"/>
      <c r="J13" s="1616"/>
      <c r="K13" s="1616"/>
      <c r="L13" s="1616"/>
      <c r="O13" s="691"/>
      <c r="P13" s="691"/>
      <c r="Q13" s="487" t="s">
        <v>1</v>
      </c>
      <c r="R13" s="1757" t="str">
        <f>J1&amp;", "&amp;J3&amp;" Gi wbKUeZ©x "&amp;'Data Input'!D9&amp;" G Aew¯’Z|"</f>
        <v>evsjv‡`k K…wl e¨vsK, wmw×iMÄ kvLv, bvivqYMÄ Gi wbKUeZ©x `vcv B`ªvKcyi, dZzjøv, bvivqYMÄ G Aew¯’Z|</v>
      </c>
      <c r="S13" s="1757"/>
      <c r="T13" s="1757"/>
      <c r="U13" s="1757"/>
      <c r="V13" s="1757"/>
      <c r="W13" s="1757"/>
      <c r="X13" s="1757"/>
      <c r="Y13" s="1757"/>
      <c r="Z13" s="1757"/>
      <c r="AA13" s="1757"/>
      <c r="AB13" s="1757"/>
      <c r="AE13" s="510"/>
    </row>
    <row r="14" spans="1:40" s="556" customFormat="1" ht="18" customHeight="1">
      <c r="A14" s="1614"/>
      <c r="B14" s="510" t="s">
        <v>29</v>
      </c>
      <c r="C14" s="1589" t="s">
        <v>30</v>
      </c>
      <c r="D14" s="1589"/>
      <c r="E14" s="1589"/>
      <c r="F14" s="1589"/>
      <c r="G14" s="1589"/>
      <c r="H14" s="1589"/>
      <c r="I14" s="1589"/>
      <c r="J14" s="1589"/>
      <c r="K14" s="1589"/>
      <c r="L14" s="1589"/>
      <c r="O14" s="512"/>
      <c r="P14" s="512"/>
      <c r="Q14" s="487" t="s">
        <v>1</v>
      </c>
      <c r="R14" s="1757" t="s">
        <v>172</v>
      </c>
      <c r="S14" s="1757"/>
      <c r="T14" s="1757"/>
      <c r="U14" s="1757"/>
      <c r="V14" s="1757"/>
      <c r="W14" s="1757"/>
      <c r="X14" s="1757"/>
      <c r="Y14" s="1757"/>
      <c r="Z14" s="1757"/>
      <c r="AA14" s="1757"/>
      <c r="AB14" s="1757"/>
    </row>
    <row r="15" spans="1:40" s="556" customFormat="1" ht="17.25" customHeight="1">
      <c r="A15" s="1614"/>
      <c r="B15" s="510" t="s">
        <v>31</v>
      </c>
      <c r="C15" s="1485" t="s">
        <v>32</v>
      </c>
      <c r="D15" s="1485"/>
      <c r="E15" s="1485"/>
      <c r="F15" s="1485"/>
      <c r="G15" s="1485"/>
      <c r="H15" s="1485"/>
      <c r="I15" s="1485"/>
      <c r="J15" s="1485"/>
      <c r="K15" s="1485"/>
      <c r="L15" s="1485"/>
      <c r="M15" s="1485"/>
      <c r="N15" s="1485"/>
      <c r="O15" s="1485"/>
      <c r="P15" s="1485"/>
      <c r="Q15" s="512" t="s">
        <v>1</v>
      </c>
      <c r="R15" s="1619" t="s">
        <v>1134</v>
      </c>
      <c r="S15" s="1621"/>
      <c r="T15" s="1621"/>
      <c r="U15" s="1621"/>
      <c r="V15" s="1621"/>
      <c r="W15" s="1621"/>
      <c r="X15" s="1621"/>
      <c r="Y15" s="1621"/>
      <c r="Z15" s="1621"/>
      <c r="AA15" s="1621"/>
      <c r="AB15" s="1621"/>
    </row>
    <row r="16" spans="1:40" s="556" customFormat="1" ht="17.25" customHeight="1">
      <c r="A16" s="1614"/>
      <c r="B16" s="510" t="s">
        <v>33</v>
      </c>
      <c r="C16" s="1485" t="s">
        <v>34</v>
      </c>
      <c r="D16" s="1485"/>
      <c r="E16" s="1485"/>
      <c r="F16" s="1485"/>
      <c r="G16" s="1485"/>
      <c r="H16" s="1485"/>
      <c r="I16" s="1485"/>
      <c r="J16" s="1485"/>
      <c r="K16" s="1485"/>
      <c r="L16" s="1485"/>
      <c r="M16" s="1485"/>
      <c r="N16" s="1485"/>
      <c r="O16" s="1485"/>
      <c r="P16" s="1485"/>
      <c r="Q16" s="512" t="s">
        <v>1</v>
      </c>
      <c r="R16" s="1617" t="str">
        <f>'Data Input'!D25&amp;" I "&amp;'Data Input'!D24</f>
        <v>19/12/2024 wLªt I P wnt bs-3678</v>
      </c>
      <c r="S16" s="1618"/>
      <c r="T16" s="1618"/>
      <c r="U16" s="1618"/>
      <c r="V16" s="1618"/>
      <c r="W16" s="1618"/>
      <c r="X16" s="1618"/>
      <c r="Y16" s="1618"/>
      <c r="Z16" s="1618"/>
      <c r="AA16" s="1618"/>
      <c r="AB16" s="1618"/>
    </row>
    <row r="17" spans="1:34" s="556" customFormat="1" ht="17.25" customHeight="1">
      <c r="A17" s="1614"/>
      <c r="B17" s="510" t="s">
        <v>35</v>
      </c>
      <c r="C17" s="1485" t="s">
        <v>718</v>
      </c>
      <c r="D17" s="1485"/>
      <c r="E17" s="1485"/>
      <c r="F17" s="1485"/>
      <c r="G17" s="1485"/>
      <c r="H17" s="1485"/>
      <c r="I17" s="1485"/>
      <c r="J17" s="1485"/>
      <c r="K17" s="1485"/>
      <c r="L17" s="1485"/>
      <c r="M17" s="1485"/>
      <c r="N17" s="1485"/>
      <c r="O17" s="1485"/>
      <c r="P17" s="1485"/>
      <c r="Q17" s="512" t="s">
        <v>1</v>
      </c>
      <c r="R17" s="1619"/>
      <c r="S17" s="1619"/>
      <c r="T17" s="1619"/>
      <c r="U17" s="1375"/>
      <c r="V17" s="1375"/>
      <c r="W17" s="1620"/>
      <c r="X17" s="1620"/>
      <c r="Y17" s="1620"/>
      <c r="Z17" s="1620"/>
      <c r="AA17" s="1620"/>
      <c r="AB17" s="1620"/>
      <c r="AG17" s="560"/>
    </row>
    <row r="18" spans="1:34" s="556" customFormat="1" ht="17.25" customHeight="1">
      <c r="A18" s="1614"/>
      <c r="B18" s="510" t="s">
        <v>36</v>
      </c>
      <c r="C18" s="1485" t="s">
        <v>37</v>
      </c>
      <c r="D18" s="1485"/>
      <c r="E18" s="1485"/>
      <c r="F18" s="1485"/>
      <c r="G18" s="1485"/>
      <c r="H18" s="1485"/>
      <c r="I18" s="1485"/>
      <c r="J18" s="1485"/>
      <c r="K18" s="1485"/>
      <c r="L18" s="1485"/>
      <c r="M18" s="1485"/>
      <c r="N18" s="1485"/>
      <c r="O18" s="1485"/>
      <c r="P18" s="1485"/>
      <c r="Q18" s="512" t="s">
        <v>1</v>
      </c>
      <c r="R18" s="1589" t="s">
        <v>38</v>
      </c>
      <c r="S18" s="1589"/>
      <c r="T18" s="1589"/>
      <c r="U18" s="1589"/>
      <c r="V18" s="1589"/>
      <c r="W18" s="1589"/>
      <c r="X18" s="1589"/>
      <c r="Y18" s="1589"/>
      <c r="Z18" s="1589"/>
      <c r="AA18" s="1589"/>
      <c r="AB18" s="1589"/>
      <c r="AG18" s="561"/>
    </row>
    <row r="19" spans="1:34" s="556" customFormat="1" ht="17.25" customHeight="1">
      <c r="A19" s="1614"/>
      <c r="B19" s="1616" t="s">
        <v>39</v>
      </c>
      <c r="C19" s="1485" t="s">
        <v>40</v>
      </c>
      <c r="D19" s="1485"/>
      <c r="E19" s="1485"/>
      <c r="F19" s="1485"/>
      <c r="G19" s="1485"/>
      <c r="H19" s="1485"/>
      <c r="I19" s="1485"/>
      <c r="J19" s="1485"/>
      <c r="K19" s="1485"/>
      <c r="L19" s="1485"/>
      <c r="M19" s="1485"/>
      <c r="N19" s="1485"/>
      <c r="O19" s="1485"/>
      <c r="P19" s="1485"/>
      <c r="Q19" s="1485"/>
      <c r="R19" s="1485"/>
      <c r="S19" s="1485"/>
      <c r="T19" s="1485"/>
      <c r="U19" s="1485"/>
      <c r="V19" s="1485"/>
      <c r="W19" s="1485"/>
      <c r="X19" s="1622" t="s">
        <v>125</v>
      </c>
      <c r="Y19" s="1622"/>
      <c r="Z19" s="1622"/>
      <c r="AA19" s="1622"/>
      <c r="AB19" s="1622"/>
    </row>
    <row r="20" spans="1:34" s="556" customFormat="1" ht="18">
      <c r="A20" s="1614"/>
      <c r="B20" s="1616"/>
      <c r="C20" s="692" t="s">
        <v>223</v>
      </c>
      <c r="D20" s="1653" t="s">
        <v>42</v>
      </c>
      <c r="E20" s="1654"/>
      <c r="F20" s="1654"/>
      <c r="G20" s="1654"/>
      <c r="H20" s="1655"/>
      <c r="I20" s="1654" t="s">
        <v>43</v>
      </c>
      <c r="J20" s="1654"/>
      <c r="K20" s="1654"/>
      <c r="L20" s="1654"/>
      <c r="M20" s="1654"/>
      <c r="N20" s="1638" t="s">
        <v>222</v>
      </c>
      <c r="O20" s="1639"/>
      <c r="P20" s="1640"/>
      <c r="Q20" s="1653" t="s">
        <v>44</v>
      </c>
      <c r="R20" s="1654"/>
      <c r="S20" s="1655"/>
      <c r="T20" s="1638" t="s">
        <v>220</v>
      </c>
      <c r="U20" s="1639"/>
      <c r="V20" s="1639"/>
      <c r="W20" s="1640"/>
      <c r="X20" s="1638" t="s">
        <v>218</v>
      </c>
      <c r="Y20" s="1639"/>
      <c r="Z20" s="1639"/>
      <c r="AA20" s="1639"/>
      <c r="AB20" s="1640"/>
    </row>
    <row r="21" spans="1:34" s="556" customFormat="1" ht="18">
      <c r="A21" s="1614"/>
      <c r="B21" s="1616"/>
      <c r="C21" s="697" t="s">
        <v>224</v>
      </c>
      <c r="D21" s="1641"/>
      <c r="E21" s="1642"/>
      <c r="F21" s="1642"/>
      <c r="G21" s="1642"/>
      <c r="H21" s="1643"/>
      <c r="I21" s="1642"/>
      <c r="J21" s="1642"/>
      <c r="K21" s="1642"/>
      <c r="L21" s="1642"/>
      <c r="M21" s="1642"/>
      <c r="N21" s="1644"/>
      <c r="O21" s="1645"/>
      <c r="P21" s="1646"/>
      <c r="Q21" s="1647"/>
      <c r="R21" s="1648"/>
      <c r="S21" s="1649"/>
      <c r="T21" s="1650" t="s">
        <v>221</v>
      </c>
      <c r="U21" s="1651"/>
      <c r="V21" s="1651"/>
      <c r="W21" s="1652"/>
      <c r="X21" s="1650" t="s">
        <v>219</v>
      </c>
      <c r="Y21" s="1651"/>
      <c r="Z21" s="1651"/>
      <c r="AA21" s="1651"/>
      <c r="AB21" s="1652"/>
    </row>
    <row r="22" spans="1:34" s="556" customFormat="1" ht="18" customHeight="1">
      <c r="A22" s="1614"/>
      <c r="B22" s="1616"/>
      <c r="C22" s="1656" t="s">
        <v>45</v>
      </c>
      <c r="D22" s="1656"/>
      <c r="E22" s="1656"/>
      <c r="F22" s="1656"/>
      <c r="G22" s="1656"/>
      <c r="H22" s="1656"/>
      <c r="I22" s="1656"/>
      <c r="J22" s="1656"/>
      <c r="K22" s="1656"/>
      <c r="L22" s="1656"/>
      <c r="M22" s="1656"/>
      <c r="N22" s="1656"/>
      <c r="O22" s="1656"/>
      <c r="P22" s="1656"/>
      <c r="Q22" s="1656"/>
      <c r="R22" s="1656"/>
      <c r="S22" s="1656"/>
      <c r="T22" s="1656"/>
      <c r="U22" s="1656"/>
      <c r="V22" s="1656"/>
      <c r="W22" s="1656"/>
      <c r="X22" s="1656"/>
      <c r="Y22" s="1656"/>
      <c r="Z22" s="1656"/>
      <c r="AA22" s="1656"/>
      <c r="AB22" s="1656"/>
    </row>
    <row r="23" spans="1:34" s="556" customFormat="1" ht="11.25" customHeight="1">
      <c r="A23" s="1614"/>
      <c r="B23" s="465"/>
      <c r="C23" s="465"/>
      <c r="D23" s="465"/>
      <c r="E23" s="465"/>
      <c r="F23" s="465"/>
      <c r="G23" s="465"/>
      <c r="H23" s="465"/>
      <c r="I23" s="465"/>
      <c r="J23" s="465"/>
      <c r="K23" s="465"/>
      <c r="L23" s="465"/>
      <c r="M23" s="465"/>
      <c r="N23" s="465"/>
      <c r="O23" s="465"/>
      <c r="P23" s="465"/>
      <c r="Q23" s="465"/>
      <c r="R23" s="465"/>
      <c r="S23" s="465"/>
      <c r="T23" s="465"/>
      <c r="U23" s="465"/>
      <c r="V23" s="465"/>
      <c r="W23" s="465"/>
      <c r="X23" s="465"/>
      <c r="Y23" s="465"/>
      <c r="Z23" s="465"/>
      <c r="AA23" s="465"/>
      <c r="AB23" s="465"/>
      <c r="AC23" s="465"/>
      <c r="AD23" s="465"/>
      <c r="AE23" s="465"/>
      <c r="AF23" s="465"/>
      <c r="AG23" s="465"/>
      <c r="AH23" s="465"/>
    </row>
    <row r="24" spans="1:34" s="556" customFormat="1" ht="17.25" customHeight="1">
      <c r="A24" s="1614"/>
      <c r="B24" s="512" t="s">
        <v>46</v>
      </c>
      <c r="C24" s="1485" t="s">
        <v>47</v>
      </c>
      <c r="D24" s="1485"/>
      <c r="E24" s="1485"/>
      <c r="F24" s="1485"/>
      <c r="G24" s="1485"/>
      <c r="H24" s="1485"/>
      <c r="I24" s="1485"/>
      <c r="J24" s="1485"/>
      <c r="K24" s="1485"/>
      <c r="L24" s="1485"/>
      <c r="M24" s="1485"/>
      <c r="N24" s="1485"/>
      <c r="O24" s="1485"/>
      <c r="P24" s="1485"/>
      <c r="Q24" s="512" t="s">
        <v>1</v>
      </c>
      <c r="R24" s="1657">
        <f>'Data Input'!D11</f>
        <v>500000</v>
      </c>
      <c r="S24" s="1589"/>
      <c r="T24" s="1589"/>
      <c r="U24" s="1589"/>
      <c r="V24" s="1589"/>
      <c r="W24" s="1589"/>
      <c r="X24" s="1589"/>
      <c r="Y24" s="1589"/>
      <c r="Z24" s="1589"/>
      <c r="AA24" s="1589"/>
      <c r="AB24" s="1589"/>
    </row>
    <row r="25" spans="1:34" s="556" customFormat="1" ht="17.25" customHeight="1">
      <c r="A25" s="1614"/>
      <c r="B25" s="512" t="s">
        <v>48</v>
      </c>
      <c r="C25" s="1485" t="s">
        <v>49</v>
      </c>
      <c r="D25" s="1485"/>
      <c r="E25" s="1485"/>
      <c r="F25" s="1485"/>
      <c r="G25" s="1485"/>
      <c r="H25" s="1485"/>
      <c r="I25" s="1485"/>
      <c r="J25" s="1485"/>
      <c r="K25" s="1485"/>
      <c r="L25" s="1485"/>
      <c r="M25" s="1485"/>
      <c r="N25" s="1485"/>
      <c r="O25" s="1485"/>
      <c r="P25" s="1485"/>
      <c r="Q25" s="512" t="s">
        <v>1</v>
      </c>
      <c r="R25" s="1485" t="str">
        <f>'LF-5'!B122</f>
        <v>Kvc‡oi e¨emv</v>
      </c>
      <c r="S25" s="1485"/>
      <c r="T25" s="1485"/>
      <c r="U25" s="1485"/>
      <c r="V25" s="1485"/>
      <c r="W25" s="1485"/>
      <c r="X25" s="1485"/>
      <c r="Y25" s="1485"/>
      <c r="Z25" s="1485"/>
      <c r="AA25" s="1485"/>
      <c r="AB25" s="1485"/>
    </row>
    <row r="26" spans="1:34" s="556" customFormat="1" ht="17.25" customHeight="1">
      <c r="A26" s="1614"/>
      <c r="B26" s="512" t="s">
        <v>50</v>
      </c>
      <c r="C26" s="1485" t="s">
        <v>51</v>
      </c>
      <c r="D26" s="1485"/>
      <c r="E26" s="1485"/>
      <c r="F26" s="1485"/>
      <c r="G26" s="1485"/>
      <c r="H26" s="1485"/>
      <c r="I26" s="1485"/>
      <c r="J26" s="1485"/>
      <c r="K26" s="1485"/>
      <c r="L26" s="1485"/>
      <c r="M26" s="1485"/>
      <c r="N26" s="1485"/>
      <c r="O26" s="1485"/>
      <c r="P26" s="1485"/>
      <c r="Q26" s="512" t="s">
        <v>1</v>
      </c>
      <c r="R26" s="1485" t="s">
        <v>862</v>
      </c>
      <c r="S26" s="1485"/>
      <c r="T26" s="1485"/>
      <c r="U26" s="1485"/>
      <c r="V26" s="1485"/>
      <c r="W26" s="1485"/>
      <c r="X26" s="1485"/>
      <c r="Y26" s="1485"/>
      <c r="Z26" s="1485"/>
      <c r="AA26" s="1485"/>
      <c r="AB26" s="1485"/>
    </row>
    <row r="27" spans="1:34" s="556" customFormat="1" ht="6.75" customHeight="1">
      <c r="A27" s="1614"/>
      <c r="B27" s="465"/>
      <c r="C27" s="465"/>
      <c r="D27" s="465"/>
      <c r="E27" s="465"/>
      <c r="F27" s="465"/>
      <c r="G27" s="465"/>
      <c r="H27" s="465"/>
      <c r="I27" s="465"/>
      <c r="J27" s="465"/>
      <c r="K27" s="465"/>
      <c r="L27" s="465"/>
      <c r="M27" s="465"/>
      <c r="N27" s="465"/>
      <c r="O27" s="465"/>
      <c r="P27" s="465"/>
      <c r="Q27" s="465"/>
      <c r="R27" s="465"/>
      <c r="S27" s="465"/>
      <c r="T27" s="465"/>
      <c r="U27" s="465"/>
      <c r="V27" s="465"/>
      <c r="W27" s="465"/>
      <c r="X27" s="465"/>
      <c r="Y27" s="465"/>
      <c r="Z27" s="465"/>
      <c r="AA27" s="465"/>
      <c r="AB27" s="465"/>
      <c r="AC27" s="465"/>
      <c r="AD27" s="465"/>
      <c r="AE27" s="465"/>
      <c r="AF27" s="465"/>
      <c r="AG27" s="465"/>
      <c r="AH27" s="465"/>
    </row>
    <row r="28" spans="1:34" s="556" customFormat="1" ht="17.25" customHeight="1">
      <c r="A28" s="1614"/>
      <c r="B28" s="1623" t="s">
        <v>52</v>
      </c>
      <c r="C28" s="1485" t="s">
        <v>217</v>
      </c>
      <c r="D28" s="1485"/>
      <c r="E28" s="1485"/>
      <c r="F28" s="1485"/>
      <c r="G28" s="1485"/>
      <c r="H28" s="1485"/>
      <c r="I28" s="1485"/>
      <c r="J28" s="1485"/>
      <c r="K28" s="1485"/>
      <c r="L28" s="1485"/>
      <c r="M28" s="1485"/>
      <c r="N28" s="1485"/>
      <c r="O28" s="1485"/>
      <c r="P28" s="1485"/>
      <c r="Q28" s="1485"/>
      <c r="R28" s="1485"/>
      <c r="S28" s="1485"/>
      <c r="T28" s="1485"/>
      <c r="U28" s="1485"/>
      <c r="V28" s="1485"/>
      <c r="W28" s="1485"/>
      <c r="X28" s="1485"/>
      <c r="Y28" s="1622" t="s">
        <v>212</v>
      </c>
      <c r="Z28" s="1622"/>
      <c r="AA28" s="1622"/>
      <c r="AB28" s="1622"/>
    </row>
    <row r="29" spans="1:34" s="556" customFormat="1" ht="17.25" customHeight="1">
      <c r="A29" s="1614"/>
      <c r="B29" s="1623"/>
      <c r="C29" s="1627" t="s">
        <v>213</v>
      </c>
      <c r="D29" s="1498"/>
      <c r="E29" s="1498"/>
      <c r="F29" s="1498"/>
      <c r="G29" s="1499"/>
      <c r="H29" s="1627" t="s">
        <v>53</v>
      </c>
      <c r="I29" s="1498"/>
      <c r="J29" s="1498"/>
      <c r="K29" s="1499"/>
      <c r="L29" s="1624" t="s">
        <v>216</v>
      </c>
      <c r="M29" s="1625"/>
      <c r="N29" s="1625"/>
      <c r="O29" s="1625"/>
      <c r="P29" s="1626"/>
      <c r="Q29" s="1627" t="s">
        <v>215</v>
      </c>
      <c r="R29" s="1498"/>
      <c r="S29" s="1498"/>
      <c r="T29" s="1498"/>
      <c r="U29" s="1499"/>
      <c r="V29" s="1518" t="s">
        <v>403</v>
      </c>
      <c r="W29" s="1477"/>
      <c r="X29" s="1477"/>
      <c r="Y29" s="1477"/>
      <c r="Z29" s="1477"/>
      <c r="AA29" s="1477"/>
      <c r="AB29" s="1478"/>
    </row>
    <row r="30" spans="1:34" s="556" customFormat="1" ht="17.25" customHeight="1">
      <c r="A30" s="1614"/>
      <c r="B30" s="1623"/>
      <c r="C30" s="1628" t="s">
        <v>214</v>
      </c>
      <c r="D30" s="1514"/>
      <c r="E30" s="1514"/>
      <c r="F30" s="1514"/>
      <c r="G30" s="1515"/>
      <c r="H30" s="1658"/>
      <c r="I30" s="1659"/>
      <c r="J30" s="1659"/>
      <c r="K30" s="1660"/>
      <c r="L30" s="1661" t="s">
        <v>603</v>
      </c>
      <c r="M30" s="1662"/>
      <c r="N30" s="1662"/>
      <c r="O30" s="1662"/>
      <c r="P30" s="1663"/>
      <c r="Q30" s="1664" t="s">
        <v>603</v>
      </c>
      <c r="R30" s="1665"/>
      <c r="S30" s="1665"/>
      <c r="T30" s="1665"/>
      <c r="U30" s="1666"/>
      <c r="V30" s="1628" t="s">
        <v>54</v>
      </c>
      <c r="W30" s="1514"/>
      <c r="X30" s="1514"/>
      <c r="Y30" s="1514"/>
      <c r="Z30" s="1514" t="s">
        <v>55</v>
      </c>
      <c r="AA30" s="1514"/>
      <c r="AB30" s="1515"/>
    </row>
    <row r="31" spans="1:34" s="556" customFormat="1" ht="30.75" customHeight="1">
      <c r="A31" s="1614"/>
      <c r="B31" s="1623"/>
      <c r="C31" s="1667" t="s">
        <v>1077</v>
      </c>
      <c r="D31" s="1667"/>
      <c r="E31" s="1667"/>
      <c r="F31" s="1667"/>
      <c r="G31" s="1667"/>
      <c r="H31" s="1668">
        <v>260</v>
      </c>
      <c r="I31" s="1668"/>
      <c r="J31" s="1668"/>
      <c r="K31" s="1668"/>
      <c r="L31" s="1668">
        <f>H31*10</f>
        <v>2600</v>
      </c>
      <c r="M31" s="1668"/>
      <c r="N31" s="1668"/>
      <c r="O31" s="1668"/>
      <c r="P31" s="1668"/>
      <c r="Q31" s="1668">
        <f>L31*80%</f>
        <v>2080</v>
      </c>
      <c r="R31" s="1668"/>
      <c r="S31" s="1668"/>
      <c r="T31" s="1668"/>
      <c r="U31" s="1668"/>
      <c r="V31" s="1669"/>
      <c r="W31" s="1669"/>
      <c r="X31" s="1669"/>
      <c r="Y31" s="1669"/>
      <c r="Z31" s="1670"/>
      <c r="AA31" s="1670"/>
      <c r="AB31" s="1670"/>
    </row>
    <row r="32" spans="1:34" ht="8.25" customHeight="1"/>
    <row r="33" spans="1:34" s="556" customFormat="1" ht="17.25" customHeight="1">
      <c r="A33" s="1614" t="s">
        <v>56</v>
      </c>
      <c r="B33" s="1615" t="s">
        <v>227</v>
      </c>
      <c r="C33" s="1615"/>
      <c r="D33" s="1615"/>
      <c r="E33" s="1615"/>
      <c r="F33" s="1615"/>
      <c r="G33" s="1615"/>
      <c r="H33" s="1615"/>
      <c r="I33" s="1615"/>
      <c r="J33" s="1615"/>
      <c r="K33" s="1615"/>
      <c r="L33" s="1615"/>
      <c r="M33" s="1615"/>
      <c r="N33" s="1615"/>
      <c r="O33" s="1615"/>
      <c r="P33" s="1615"/>
      <c r="Q33" s="1715" t="s">
        <v>863</v>
      </c>
      <c r="R33" s="1715"/>
      <c r="S33" s="1715"/>
      <c r="T33" s="1715"/>
      <c r="U33" s="1715"/>
      <c r="V33" s="1715"/>
      <c r="W33" s="1715"/>
      <c r="X33" s="1715"/>
      <c r="Y33" s="1715"/>
      <c r="Z33" s="1715"/>
      <c r="AA33" s="1715"/>
      <c r="AB33" s="1715"/>
    </row>
    <row r="34" spans="1:34" s="556" customFormat="1" ht="18">
      <c r="A34" s="1614"/>
      <c r="B34" s="1623" t="s">
        <v>25</v>
      </c>
      <c r="C34" s="507" t="s">
        <v>223</v>
      </c>
      <c r="D34" s="1536" t="s">
        <v>57</v>
      </c>
      <c r="E34" s="1536"/>
      <c r="F34" s="1536"/>
      <c r="G34" s="1536"/>
      <c r="H34" s="1536"/>
      <c r="I34" s="1536"/>
      <c r="J34" s="1536"/>
      <c r="K34" s="1674" t="s">
        <v>1073</v>
      </c>
      <c r="L34" s="1675"/>
      <c r="M34" s="1627" t="s">
        <v>58</v>
      </c>
      <c r="N34" s="1498"/>
      <c r="O34" s="1498"/>
      <c r="P34" s="1498"/>
      <c r="Q34" s="1498"/>
      <c r="R34" s="1498"/>
      <c r="S34" s="1498"/>
      <c r="T34" s="1499"/>
      <c r="U34" s="1678" t="s">
        <v>688</v>
      </c>
      <c r="V34" s="1679"/>
      <c r="W34" s="1678" t="s">
        <v>687</v>
      </c>
      <c r="X34" s="1682"/>
      <c r="Y34" s="1682"/>
      <c r="Z34" s="1679"/>
      <c r="AA34" s="1627" t="s">
        <v>225</v>
      </c>
      <c r="AB34" s="1499"/>
    </row>
    <row r="35" spans="1:34" s="556" customFormat="1" ht="18">
      <c r="A35" s="1614"/>
      <c r="B35" s="1623"/>
      <c r="C35" s="690" t="s">
        <v>224</v>
      </c>
      <c r="D35" s="1536"/>
      <c r="E35" s="1536"/>
      <c r="F35" s="1536"/>
      <c r="G35" s="1536"/>
      <c r="H35" s="1536"/>
      <c r="I35" s="1536"/>
      <c r="J35" s="1536"/>
      <c r="K35" s="1676"/>
      <c r="L35" s="1677"/>
      <c r="M35" s="1628"/>
      <c r="N35" s="1514"/>
      <c r="O35" s="1514"/>
      <c r="P35" s="1514"/>
      <c r="Q35" s="1514"/>
      <c r="R35" s="1514"/>
      <c r="S35" s="1514"/>
      <c r="T35" s="1515"/>
      <c r="U35" s="1680"/>
      <c r="V35" s="1681"/>
      <c r="W35" s="1680"/>
      <c r="X35" s="1373"/>
      <c r="Y35" s="1373"/>
      <c r="Z35" s="1681"/>
      <c r="AA35" s="1628" t="s">
        <v>226</v>
      </c>
      <c r="AB35" s="1515"/>
    </row>
    <row r="36" spans="1:34" s="563" customFormat="1" ht="30.75" customHeight="1">
      <c r="A36" s="1614"/>
      <c r="B36" s="1623"/>
      <c r="C36" s="1683">
        <v>1</v>
      </c>
      <c r="D36" s="1671" t="str">
        <f>+'Data Input'!D12</f>
        <v>‡gvt Rwb</v>
      </c>
      <c r="E36" s="1672"/>
      <c r="F36" s="1672"/>
      <c r="G36" s="1672"/>
      <c r="H36" s="1672"/>
      <c r="I36" s="1672"/>
      <c r="J36" s="1673"/>
      <c r="K36" s="1689">
        <f>Profile!E46</f>
        <v>26</v>
      </c>
      <c r="L36" s="1690"/>
      <c r="M36" s="1574" t="str">
        <f>+'Data Input'!D17</f>
        <v>`vcv B`ªvKcyi, dZzjøv, bvivqYMÄ</v>
      </c>
      <c r="N36" s="1575"/>
      <c r="O36" s="1575"/>
      <c r="P36" s="1575"/>
      <c r="Q36" s="1575"/>
      <c r="R36" s="1575"/>
      <c r="S36" s="1575"/>
      <c r="T36" s="1576"/>
      <c r="U36" s="1698" t="s">
        <v>1172</v>
      </c>
      <c r="V36" s="1699"/>
      <c r="W36" s="1702">
        <v>100</v>
      </c>
      <c r="X36" s="1703"/>
      <c r="Y36" s="1703"/>
      <c r="Z36" s="1704"/>
      <c r="AA36" s="1702" t="s">
        <v>59</v>
      </c>
      <c r="AB36" s="1704"/>
    </row>
    <row r="37" spans="1:34" s="563" customFormat="1" ht="38.25" customHeight="1">
      <c r="A37" s="1614"/>
      <c r="B37" s="1623"/>
      <c r="C37" s="1684"/>
      <c r="D37" s="1686" t="str">
        <f>"wcZv/¯^vgxi bvg t "&amp;" "&amp;'Data Input'!D13</f>
        <v>wcZv/¯^vgxi bvg t  g„Z †gvt Bw`ªm Avjx</v>
      </c>
      <c r="E37" s="1687"/>
      <c r="F37" s="1687"/>
      <c r="G37" s="1687"/>
      <c r="H37" s="1687"/>
      <c r="I37" s="1687"/>
      <c r="J37" s="1688"/>
      <c r="K37" s="1691"/>
      <c r="L37" s="1692"/>
      <c r="M37" s="1695"/>
      <c r="N37" s="1696"/>
      <c r="O37" s="1696"/>
      <c r="P37" s="1696"/>
      <c r="Q37" s="1696"/>
      <c r="R37" s="1696"/>
      <c r="S37" s="1696"/>
      <c r="T37" s="1697"/>
      <c r="U37" s="1700"/>
      <c r="V37" s="1701"/>
      <c r="W37" s="1705"/>
      <c r="X37" s="1706"/>
      <c r="Y37" s="1706"/>
      <c r="Z37" s="1707"/>
      <c r="AA37" s="1705"/>
      <c r="AB37" s="1707"/>
    </row>
    <row r="38" spans="1:34" s="563" customFormat="1" ht="19.5" customHeight="1">
      <c r="A38" s="1614"/>
      <c r="B38" s="1623"/>
      <c r="C38" s="1682"/>
      <c r="D38" s="1639"/>
      <c r="E38" s="1639"/>
      <c r="F38" s="1639"/>
      <c r="G38" s="1639"/>
      <c r="H38" s="1639"/>
      <c r="I38" s="1639"/>
      <c r="J38" s="1639"/>
      <c r="K38" s="1693"/>
      <c r="L38" s="1693"/>
      <c r="M38" s="1636"/>
      <c r="N38" s="1636"/>
      <c r="O38" s="1636"/>
      <c r="P38" s="1636"/>
      <c r="Q38" s="1636"/>
      <c r="R38" s="1636"/>
      <c r="S38" s="1636"/>
      <c r="T38" s="1636"/>
      <c r="U38" s="1708"/>
      <c r="V38" s="1708"/>
      <c r="W38" s="1710"/>
      <c r="X38" s="1710"/>
      <c r="Y38" s="1710"/>
      <c r="Z38" s="1710"/>
      <c r="AA38" s="1710"/>
      <c r="AB38" s="1710"/>
    </row>
    <row r="39" spans="1:34" s="563" customFormat="1" ht="25.5" customHeight="1">
      <c r="A39" s="1614"/>
      <c r="B39" s="1623"/>
      <c r="C39" s="1685"/>
      <c r="D39" s="1858"/>
      <c r="E39" s="1858"/>
      <c r="F39" s="1858"/>
      <c r="G39" s="1858"/>
      <c r="H39" s="1858"/>
      <c r="I39" s="1858"/>
      <c r="J39" s="1858"/>
      <c r="K39" s="1694"/>
      <c r="L39" s="1694"/>
      <c r="M39" s="1637"/>
      <c r="N39" s="1637"/>
      <c r="O39" s="1637"/>
      <c r="P39" s="1637"/>
      <c r="Q39" s="1637"/>
      <c r="R39" s="1637"/>
      <c r="S39" s="1637"/>
      <c r="T39" s="1637"/>
      <c r="U39" s="1709"/>
      <c r="V39" s="1709"/>
      <c r="W39" s="1711"/>
      <c r="X39" s="1711"/>
      <c r="Y39" s="1711"/>
      <c r="Z39" s="1711"/>
      <c r="AA39" s="1711"/>
      <c r="AB39" s="1711"/>
    </row>
    <row r="40" spans="1:34" s="556" customFormat="1" ht="6.75" customHeight="1">
      <c r="A40" s="1614"/>
      <c r="B40" s="465"/>
      <c r="C40" s="465"/>
      <c r="D40" s="465"/>
      <c r="E40" s="465"/>
      <c r="F40" s="465"/>
      <c r="G40" s="465"/>
      <c r="H40" s="465"/>
      <c r="I40" s="465"/>
      <c r="J40" s="465"/>
      <c r="K40" s="465"/>
      <c r="L40" s="465"/>
      <c r="M40" s="465"/>
      <c r="N40" s="465"/>
      <c r="O40" s="465"/>
      <c r="P40" s="465"/>
      <c r="Q40" s="465"/>
      <c r="R40" s="465"/>
      <c r="S40" s="465"/>
      <c r="T40" s="465"/>
      <c r="U40" s="465"/>
      <c r="V40" s="465"/>
      <c r="W40" s="465"/>
      <c r="X40" s="465"/>
      <c r="Y40" s="465"/>
      <c r="Z40" s="465"/>
      <c r="AA40" s="465"/>
      <c r="AB40" s="465"/>
      <c r="AC40" s="465"/>
      <c r="AD40" s="465"/>
      <c r="AE40" s="465"/>
      <c r="AF40" s="465"/>
      <c r="AG40" s="465"/>
      <c r="AH40" s="465"/>
    </row>
    <row r="41" spans="1:34" s="556" customFormat="1" ht="17.25" customHeight="1">
      <c r="A41" s="1614"/>
      <c r="B41" s="1623" t="s">
        <v>27</v>
      </c>
      <c r="C41" s="1623" t="s">
        <v>228</v>
      </c>
      <c r="D41" s="1623"/>
      <c r="E41" s="1623"/>
      <c r="F41" s="1623"/>
      <c r="G41" s="1623"/>
      <c r="H41" s="1623"/>
      <c r="I41" s="1623"/>
      <c r="J41" s="1623"/>
      <c r="K41" s="1623"/>
      <c r="L41" s="1623"/>
      <c r="M41" s="1623"/>
      <c r="N41" s="1623"/>
      <c r="O41" s="1623"/>
      <c r="P41" s="1623"/>
      <c r="Q41" s="1623" t="s">
        <v>1</v>
      </c>
      <c r="R41" s="1388" t="str">
        <f>"D‡`¨v³Zvi "&amp;AF41&amp;" eQ‡ii "&amp;'Data Input'!D10&amp;" Gi AwfÁZv we`¨gvb|"</f>
        <v>D‡`¨v³Zvi 6 eQ‡ii gyw` cY¨ e¨emv Gi AwfÁZv we`¨gvb|</v>
      </c>
      <c r="S41" s="1388"/>
      <c r="T41" s="1388"/>
      <c r="U41" s="1388"/>
      <c r="V41" s="1388"/>
      <c r="W41" s="1388"/>
      <c r="X41" s="1388"/>
      <c r="Y41" s="1388"/>
      <c r="Z41" s="1388"/>
      <c r="AA41" s="1388"/>
      <c r="AB41" s="1388"/>
      <c r="AD41" s="1712" t="s">
        <v>597</v>
      </c>
      <c r="AE41" s="1713"/>
      <c r="AF41" s="564">
        <v>6</v>
      </c>
      <c r="AH41" s="565" t="s">
        <v>591</v>
      </c>
    </row>
    <row r="42" spans="1:34" s="556" customFormat="1" ht="17.25" customHeight="1">
      <c r="A42" s="1614"/>
      <c r="B42" s="1623"/>
      <c r="C42" s="1623"/>
      <c r="D42" s="1623"/>
      <c r="E42" s="1623"/>
      <c r="F42" s="1623"/>
      <c r="G42" s="1623"/>
      <c r="H42" s="1623"/>
      <c r="I42" s="1623"/>
      <c r="J42" s="1623"/>
      <c r="K42" s="1623"/>
      <c r="L42" s="1623"/>
      <c r="M42" s="1623"/>
      <c r="N42" s="1623"/>
      <c r="O42" s="1623"/>
      <c r="P42" s="1623"/>
      <c r="Q42" s="1623"/>
      <c r="R42" s="1388"/>
      <c r="S42" s="1388"/>
      <c r="T42" s="1388"/>
      <c r="U42" s="1388"/>
      <c r="V42" s="1388"/>
      <c r="W42" s="1388"/>
      <c r="X42" s="1388"/>
      <c r="Y42" s="1388"/>
      <c r="Z42" s="1388"/>
      <c r="AA42" s="1388"/>
      <c r="AB42" s="1388"/>
      <c r="AH42" s="566" t="s">
        <v>621</v>
      </c>
    </row>
    <row r="43" spans="1:34" ht="8.25" customHeight="1">
      <c r="AH43" s="567" t="s">
        <v>674</v>
      </c>
    </row>
    <row r="44" spans="1:34" ht="8.25" customHeight="1">
      <c r="AH44" s="567"/>
    </row>
    <row r="45" spans="1:34" ht="8.25" customHeight="1">
      <c r="AH45" s="567"/>
    </row>
    <row r="46" spans="1:34" ht="8.25" customHeight="1">
      <c r="AH46" s="567"/>
    </row>
    <row r="47" spans="1:34" ht="8.25" customHeight="1">
      <c r="AH47" s="567"/>
    </row>
    <row r="48" spans="1:34" ht="8.25" customHeight="1">
      <c r="AH48" s="567"/>
    </row>
    <row r="49" spans="1:34" s="556" customFormat="1" ht="17.25" customHeight="1">
      <c r="A49" s="1614" t="s">
        <v>229</v>
      </c>
      <c r="B49" s="1615" t="s">
        <v>60</v>
      </c>
      <c r="C49" s="1615"/>
      <c r="D49" s="1615"/>
      <c r="E49" s="1615"/>
      <c r="F49" s="1615"/>
      <c r="G49" s="1615"/>
      <c r="H49" s="1615"/>
      <c r="I49" s="1615"/>
      <c r="J49" s="1615"/>
      <c r="K49" s="1615"/>
      <c r="L49" s="1615"/>
      <c r="M49" s="1615"/>
      <c r="N49" s="1615"/>
      <c r="O49" s="1615"/>
      <c r="P49" s="1615"/>
      <c r="Q49" s="1615"/>
      <c r="R49" s="1615"/>
      <c r="S49" s="1615"/>
      <c r="T49" s="1615"/>
      <c r="U49" s="1615"/>
      <c r="V49" s="1615"/>
      <c r="W49" s="1615"/>
      <c r="X49" s="1615"/>
      <c r="Y49" s="1615"/>
      <c r="Z49" s="1615"/>
      <c r="AA49" s="1615"/>
      <c r="AB49" s="1615"/>
      <c r="AH49" s="566"/>
    </row>
    <row r="50" spans="1:34" s="556" customFormat="1" ht="17.25" customHeight="1">
      <c r="A50" s="1614"/>
      <c r="B50" s="698" t="s">
        <v>25</v>
      </c>
      <c r="C50" s="1589" t="s">
        <v>1069</v>
      </c>
      <c r="D50" s="1589"/>
      <c r="E50" s="1589"/>
      <c r="F50" s="1589"/>
      <c r="G50" s="1589"/>
      <c r="H50" s="1589"/>
      <c r="I50" s="1589"/>
      <c r="J50" s="1589"/>
      <c r="K50" s="1589"/>
      <c r="L50" s="1589"/>
      <c r="M50" s="1589"/>
      <c r="N50" s="1589"/>
      <c r="O50" s="1589"/>
      <c r="P50" s="1589"/>
      <c r="Q50" s="556" t="s">
        <v>1</v>
      </c>
      <c r="R50" s="1714" t="s">
        <v>45</v>
      </c>
      <c r="S50" s="1714"/>
      <c r="T50" s="1714"/>
      <c r="U50" s="1714"/>
      <c r="V50" s="1714"/>
      <c r="W50" s="1714"/>
      <c r="X50" s="1714"/>
      <c r="Y50" s="1714"/>
      <c r="Z50" s="1714"/>
      <c r="AA50" s="1714"/>
      <c r="AB50" s="1714"/>
      <c r="AH50" s="566"/>
    </row>
    <row r="51" spans="1:34" s="556" customFormat="1" ht="17.25" customHeight="1">
      <c r="A51" s="1614"/>
      <c r="B51" s="1623" t="s">
        <v>27</v>
      </c>
      <c r="C51" s="1485" t="s">
        <v>1070</v>
      </c>
      <c r="D51" s="1485"/>
      <c r="E51" s="1485"/>
      <c r="F51" s="1485"/>
      <c r="G51" s="1485"/>
      <c r="H51" s="1485"/>
      <c r="I51" s="1485"/>
      <c r="J51" s="1485"/>
      <c r="K51" s="1485"/>
      <c r="L51" s="1485"/>
      <c r="M51" s="1485"/>
      <c r="N51" s="1485"/>
      <c r="O51" s="1485"/>
      <c r="P51" s="1485"/>
      <c r="Q51" s="1485"/>
      <c r="R51" s="1485"/>
      <c r="S51" s="1485"/>
      <c r="T51" s="1485"/>
      <c r="U51" s="1485"/>
      <c r="V51" s="1485"/>
      <c r="W51" s="1485"/>
      <c r="X51" s="1485"/>
      <c r="Y51" s="1622" t="s">
        <v>212</v>
      </c>
      <c r="Z51" s="1622"/>
      <c r="AA51" s="1622"/>
      <c r="AB51" s="1622"/>
      <c r="AH51" s="566"/>
    </row>
    <row r="52" spans="1:34" s="556" customFormat="1" ht="17.25" customHeight="1">
      <c r="A52" s="1614"/>
      <c r="B52" s="1623"/>
      <c r="C52" s="1536" t="s">
        <v>61</v>
      </c>
      <c r="D52" s="1536"/>
      <c r="E52" s="1536"/>
      <c r="F52" s="1536" t="s">
        <v>54</v>
      </c>
      <c r="G52" s="1536"/>
      <c r="H52" s="1536"/>
      <c r="I52" s="1536"/>
      <c r="J52" s="1536" t="s">
        <v>62</v>
      </c>
      <c r="K52" s="1536"/>
      <c r="L52" s="1536"/>
      <c r="M52" s="1536"/>
      <c r="N52" s="1536"/>
      <c r="O52" s="1536"/>
      <c r="P52" s="1536"/>
      <c r="Q52" s="1536" t="s">
        <v>63</v>
      </c>
      <c r="R52" s="1536"/>
      <c r="S52" s="1536"/>
      <c r="T52" s="1536"/>
      <c r="U52" s="1536" t="s">
        <v>64</v>
      </c>
      <c r="V52" s="1536"/>
      <c r="W52" s="1536"/>
      <c r="X52" s="1536"/>
      <c r="Y52" s="1536" t="s">
        <v>65</v>
      </c>
      <c r="Z52" s="1536"/>
      <c r="AA52" s="1536"/>
      <c r="AB52" s="1536"/>
    </row>
    <row r="53" spans="1:34" s="556" customFormat="1" ht="17.25" customHeight="1">
      <c r="A53" s="1614"/>
      <c r="B53" s="1623"/>
      <c r="C53" s="1716"/>
      <c r="D53" s="1717"/>
      <c r="E53" s="1718"/>
      <c r="F53" s="1719"/>
      <c r="G53" s="1719"/>
      <c r="H53" s="1719"/>
      <c r="I53" s="1719"/>
      <c r="J53" s="1720"/>
      <c r="K53" s="1720"/>
      <c r="L53" s="1720"/>
      <c r="M53" s="1720"/>
      <c r="N53" s="1720"/>
      <c r="O53" s="1720"/>
      <c r="P53" s="1720"/>
      <c r="Q53" s="1721" t="s">
        <v>45</v>
      </c>
      <c r="R53" s="1721"/>
      <c r="S53" s="1721"/>
      <c r="T53" s="1721"/>
      <c r="U53" s="1721"/>
      <c r="V53" s="1721"/>
      <c r="W53" s="1721"/>
      <c r="X53" s="1721"/>
      <c r="Y53" s="1722">
        <f>SUM(Q53:X53)</f>
        <v>0</v>
      </c>
      <c r="Z53" s="1722"/>
      <c r="AA53" s="1722"/>
      <c r="AB53" s="1722"/>
    </row>
    <row r="54" spans="1:34" s="556" customFormat="1" ht="17.25" customHeight="1">
      <c r="A54" s="1614"/>
      <c r="B54" s="1623"/>
      <c r="C54" s="1716"/>
      <c r="D54" s="1717"/>
      <c r="E54" s="1718"/>
      <c r="F54" s="1723"/>
      <c r="G54" s="1723"/>
      <c r="H54" s="1723"/>
      <c r="I54" s="1723"/>
      <c r="J54" s="1720"/>
      <c r="K54" s="1720"/>
      <c r="L54" s="1720"/>
      <c r="M54" s="1720"/>
      <c r="N54" s="1720"/>
      <c r="O54" s="1720"/>
      <c r="P54" s="1720"/>
      <c r="Q54" s="1724"/>
      <c r="R54" s="1724"/>
      <c r="S54" s="1724"/>
      <c r="T54" s="1724"/>
      <c r="U54" s="1724"/>
      <c r="V54" s="1724"/>
      <c r="W54" s="1724"/>
      <c r="X54" s="1724"/>
      <c r="Y54" s="1722">
        <f>SUM(Q54:X54)</f>
        <v>0</v>
      </c>
      <c r="Z54" s="1722"/>
      <c r="AA54" s="1722"/>
      <c r="AB54" s="1722"/>
    </row>
    <row r="55" spans="1:34" s="556" customFormat="1" ht="17.25" customHeight="1">
      <c r="A55" s="1614"/>
      <c r="B55" s="1623"/>
      <c r="C55" s="1716"/>
      <c r="D55" s="1717"/>
      <c r="E55" s="1718"/>
      <c r="F55" s="1723"/>
      <c r="G55" s="1723"/>
      <c r="H55" s="1723"/>
      <c r="I55" s="1723"/>
      <c r="J55" s="1720"/>
      <c r="K55" s="1720"/>
      <c r="L55" s="1720"/>
      <c r="M55" s="1720"/>
      <c r="N55" s="1720"/>
      <c r="O55" s="1720"/>
      <c r="P55" s="1720"/>
      <c r="Q55" s="1724"/>
      <c r="R55" s="1724"/>
      <c r="S55" s="1724"/>
      <c r="T55" s="1724"/>
      <c r="U55" s="1724"/>
      <c r="V55" s="1724"/>
      <c r="W55" s="1724"/>
      <c r="X55" s="1724"/>
      <c r="Y55" s="1722"/>
      <c r="Z55" s="1722"/>
      <c r="AA55" s="1722"/>
      <c r="AB55" s="1722"/>
    </row>
    <row r="56" spans="1:34" s="556" customFormat="1" ht="4.5" customHeight="1">
      <c r="A56" s="1614"/>
      <c r="B56" s="465"/>
      <c r="C56" s="465"/>
      <c r="D56" s="465"/>
      <c r="E56" s="465"/>
      <c r="F56" s="568"/>
      <c r="G56" s="568"/>
      <c r="H56" s="568"/>
      <c r="I56" s="568"/>
      <c r="J56" s="465"/>
      <c r="K56" s="465"/>
      <c r="L56" s="465"/>
      <c r="M56" s="465"/>
      <c r="N56" s="465"/>
      <c r="O56" s="465"/>
      <c r="P56" s="465"/>
      <c r="Q56" s="465"/>
      <c r="R56" s="465"/>
      <c r="S56" s="465"/>
      <c r="T56" s="465"/>
      <c r="U56" s="465"/>
      <c r="V56" s="465"/>
      <c r="W56" s="465"/>
      <c r="X56" s="465"/>
      <c r="Y56" s="465"/>
      <c r="Z56" s="465"/>
      <c r="AA56" s="465"/>
      <c r="AB56" s="465"/>
      <c r="AC56" s="465"/>
      <c r="AD56" s="465"/>
      <c r="AE56" s="465"/>
      <c r="AF56" s="465"/>
      <c r="AG56" s="465"/>
      <c r="AH56" s="465"/>
    </row>
    <row r="57" spans="1:34" s="556" customFormat="1" ht="17.25" customHeight="1">
      <c r="A57" s="1614"/>
      <c r="B57" s="1623" t="s">
        <v>29</v>
      </c>
      <c r="C57" s="1734" t="s">
        <v>66</v>
      </c>
      <c r="D57" s="1734"/>
      <c r="E57" s="1734"/>
      <c r="F57" s="1734"/>
      <c r="G57" s="1734"/>
      <c r="H57" s="1734"/>
      <c r="I57" s="1734"/>
      <c r="J57" s="1734"/>
      <c r="K57" s="1734"/>
      <c r="L57" s="1734"/>
      <c r="M57" s="1734"/>
      <c r="N57" s="1734"/>
      <c r="O57" s="1734"/>
      <c r="P57" s="1734"/>
      <c r="Q57" s="1734"/>
      <c r="R57" s="1734"/>
      <c r="S57" s="1734"/>
      <c r="T57" s="1734"/>
      <c r="U57" s="1734"/>
      <c r="V57" s="1734"/>
      <c r="W57" s="1734"/>
      <c r="X57" s="1734"/>
      <c r="Y57" s="1734"/>
      <c r="Z57" s="1735" t="s">
        <v>212</v>
      </c>
      <c r="AA57" s="1735"/>
      <c r="AB57" s="1735"/>
    </row>
    <row r="58" spans="1:34" s="569" customFormat="1" ht="16.5" customHeight="1">
      <c r="A58" s="1614"/>
      <c r="B58" s="1623"/>
      <c r="C58" s="1536" t="s">
        <v>67</v>
      </c>
      <c r="D58" s="1536"/>
      <c r="E58" s="1536"/>
      <c r="F58" s="1536" t="s">
        <v>68</v>
      </c>
      <c r="G58" s="1536"/>
      <c r="H58" s="1536"/>
      <c r="I58" s="1536"/>
      <c r="J58" s="1536" t="s">
        <v>69</v>
      </c>
      <c r="K58" s="1536"/>
      <c r="L58" s="1536"/>
      <c r="M58" s="1536"/>
      <c r="N58" s="1536" t="s">
        <v>70</v>
      </c>
      <c r="O58" s="1536"/>
      <c r="P58" s="1536"/>
      <c r="Q58" s="1536" t="s">
        <v>71</v>
      </c>
      <c r="R58" s="1536"/>
      <c r="S58" s="1536"/>
      <c r="T58" s="1536" t="s">
        <v>64</v>
      </c>
      <c r="U58" s="1536"/>
      <c r="V58" s="1536"/>
      <c r="W58" s="1536" t="s">
        <v>18</v>
      </c>
      <c r="X58" s="1536"/>
      <c r="Y58" s="1536"/>
      <c r="Z58" s="1536" t="s">
        <v>72</v>
      </c>
      <c r="AA58" s="1536"/>
      <c r="AB58" s="1536"/>
      <c r="AD58" s="556"/>
      <c r="AE58" s="465"/>
    </row>
    <row r="59" spans="1:34" s="569" customFormat="1" ht="17.25" customHeight="1">
      <c r="A59" s="1614"/>
      <c r="B59" s="1623"/>
      <c r="C59" s="1536">
        <f>+C53</f>
        <v>0</v>
      </c>
      <c r="D59" s="1536"/>
      <c r="E59" s="1536"/>
      <c r="F59" s="1725"/>
      <c r="G59" s="1725"/>
      <c r="H59" s="1725"/>
      <c r="I59" s="1725"/>
      <c r="J59" s="1725"/>
      <c r="K59" s="1725"/>
      <c r="L59" s="1725"/>
      <c r="M59" s="1725"/>
      <c r="N59" s="1726">
        <v>0</v>
      </c>
      <c r="O59" s="1726"/>
      <c r="P59" s="1726"/>
      <c r="Q59" s="1726" t="s">
        <v>45</v>
      </c>
      <c r="R59" s="1726"/>
      <c r="S59" s="1726"/>
      <c r="T59" s="1726"/>
      <c r="U59" s="1726"/>
      <c r="V59" s="1726"/>
      <c r="W59" s="1727"/>
      <c r="X59" s="1727"/>
      <c r="Y59" s="1727"/>
      <c r="Z59" s="1728">
        <f>+[2]Economics!I48/100000/('[2]Data Input'!D9/100000)*F53</f>
        <v>0</v>
      </c>
      <c r="AA59" s="1728"/>
      <c r="AB59" s="1728"/>
      <c r="AD59" s="570" t="s">
        <v>730</v>
      </c>
      <c r="AG59" s="571"/>
    </row>
    <row r="60" spans="1:34" s="569" customFormat="1" ht="17.25" customHeight="1">
      <c r="A60" s="1614"/>
      <c r="B60" s="1623"/>
      <c r="C60" s="1536">
        <f>+C54</f>
        <v>0</v>
      </c>
      <c r="D60" s="1536"/>
      <c r="E60" s="1536"/>
      <c r="F60" s="1725"/>
      <c r="G60" s="1725"/>
      <c r="H60" s="1725"/>
      <c r="I60" s="1725"/>
      <c r="J60" s="1725"/>
      <c r="K60" s="1725"/>
      <c r="L60" s="1725"/>
      <c r="M60" s="1725"/>
      <c r="N60" s="1726">
        <v>0</v>
      </c>
      <c r="O60" s="1726"/>
      <c r="P60" s="1726"/>
      <c r="Q60" s="1726">
        <v>0</v>
      </c>
      <c r="R60" s="1726"/>
      <c r="S60" s="1726"/>
      <c r="T60" s="1726"/>
      <c r="U60" s="1726"/>
      <c r="V60" s="1726"/>
      <c r="W60" s="1727"/>
      <c r="X60" s="1727"/>
      <c r="Y60" s="1727"/>
      <c r="Z60" s="1728"/>
      <c r="AA60" s="1728"/>
      <c r="AB60" s="1728"/>
      <c r="AD60" s="1729">
        <f>+F54</f>
        <v>0</v>
      </c>
      <c r="AE60" s="1729"/>
    </row>
    <row r="61" spans="1:34" s="569" customFormat="1" ht="17.25" customHeight="1">
      <c r="A61" s="1614"/>
      <c r="B61" s="1623"/>
      <c r="C61" s="1536">
        <f>+C55</f>
        <v>0</v>
      </c>
      <c r="D61" s="1536"/>
      <c r="E61" s="1536"/>
      <c r="F61" s="1725"/>
      <c r="G61" s="1725"/>
      <c r="H61" s="1725"/>
      <c r="I61" s="1725"/>
      <c r="J61" s="1725"/>
      <c r="K61" s="1725"/>
      <c r="L61" s="1725"/>
      <c r="M61" s="1725"/>
      <c r="N61" s="1730"/>
      <c r="O61" s="1730"/>
      <c r="P61" s="1730"/>
      <c r="Q61" s="1730"/>
      <c r="R61" s="1730"/>
      <c r="S61" s="1730"/>
      <c r="T61" s="1726"/>
      <c r="U61" s="1726"/>
      <c r="V61" s="1726"/>
      <c r="W61" s="1727"/>
      <c r="X61" s="1727"/>
      <c r="Y61" s="1727"/>
      <c r="Z61" s="1728"/>
      <c r="AA61" s="1728"/>
      <c r="AB61" s="1728"/>
      <c r="AD61" s="1729">
        <f>+F55</f>
        <v>0</v>
      </c>
      <c r="AE61" s="1731"/>
    </row>
    <row r="62" spans="1:34" s="569" customFormat="1" ht="2.25" customHeight="1">
      <c r="A62" s="1614"/>
      <c r="B62" s="487"/>
      <c r="C62" s="545"/>
      <c r="D62" s="545"/>
      <c r="E62" s="545"/>
      <c r="F62" s="545"/>
      <c r="G62" s="545"/>
      <c r="H62" s="545"/>
      <c r="I62" s="545"/>
      <c r="J62" s="545"/>
      <c r="K62" s="545"/>
      <c r="L62" s="545"/>
      <c r="M62" s="545"/>
      <c r="N62" s="545"/>
      <c r="O62" s="545"/>
      <c r="P62" s="545"/>
      <c r="Q62" s="545"/>
      <c r="R62" s="545"/>
      <c r="S62" s="545"/>
      <c r="T62" s="545"/>
      <c r="U62" s="545"/>
      <c r="V62" s="545"/>
      <c r="W62" s="545"/>
      <c r="X62" s="545"/>
      <c r="Y62" s="545"/>
      <c r="Z62" s="545"/>
      <c r="AA62" s="545"/>
      <c r="AB62" s="545"/>
    </row>
    <row r="63" spans="1:34" ht="6" customHeight="1">
      <c r="A63" s="1614"/>
    </row>
    <row r="64" spans="1:34" s="569" customFormat="1" ht="17.25" customHeight="1">
      <c r="A64" s="1614"/>
      <c r="B64" s="1623" t="s">
        <v>31</v>
      </c>
      <c r="C64" s="1732" t="s">
        <v>230</v>
      </c>
      <c r="D64" s="1732"/>
      <c r="E64" s="1732"/>
      <c r="F64" s="1732"/>
      <c r="G64" s="1732"/>
      <c r="H64" s="1732"/>
      <c r="I64" s="1732"/>
      <c r="J64" s="1732"/>
      <c r="K64" s="1732"/>
      <c r="L64" s="1732"/>
      <c r="M64" s="1732"/>
      <c r="N64" s="1732"/>
      <c r="O64" s="1732"/>
      <c r="P64" s="1732"/>
      <c r="Q64" s="1733" t="s">
        <v>1173</v>
      </c>
      <c r="R64" s="1733"/>
      <c r="S64" s="1733"/>
      <c r="T64" s="1733"/>
      <c r="U64" s="1733"/>
      <c r="V64" s="1733"/>
      <c r="W64" s="1733"/>
      <c r="X64" s="1733"/>
      <c r="Y64" s="1733"/>
      <c r="Z64" s="1622" t="s">
        <v>212</v>
      </c>
      <c r="AA64" s="1622"/>
      <c r="AB64" s="1622"/>
    </row>
    <row r="65" spans="1:37" s="569" customFormat="1" ht="14.25" customHeight="1">
      <c r="A65" s="1614"/>
      <c r="B65" s="1623"/>
      <c r="C65" s="1683" t="s">
        <v>73</v>
      </c>
      <c r="D65" s="1683"/>
      <c r="E65" s="1683"/>
      <c r="F65" s="1683" t="s">
        <v>74</v>
      </c>
      <c r="G65" s="1683"/>
      <c r="H65" s="1683"/>
      <c r="I65" s="1683" t="s">
        <v>864</v>
      </c>
      <c r="J65" s="1683"/>
      <c r="K65" s="1683"/>
      <c r="L65" s="1683"/>
      <c r="M65" s="1683" t="s">
        <v>75</v>
      </c>
      <c r="N65" s="1683"/>
      <c r="O65" s="1683"/>
      <c r="P65" s="1683" t="s">
        <v>76</v>
      </c>
      <c r="Q65" s="1683"/>
      <c r="R65" s="1683"/>
      <c r="S65" s="1536" t="s">
        <v>77</v>
      </c>
      <c r="T65" s="1536"/>
      <c r="U65" s="1536"/>
      <c r="V65" s="1536"/>
      <c r="W65" s="1536"/>
      <c r="X65" s="1536"/>
      <c r="Y65" s="1536"/>
      <c r="Z65" s="1536"/>
      <c r="AA65" s="1683" t="s">
        <v>78</v>
      </c>
      <c r="AB65" s="1683"/>
    </row>
    <row r="66" spans="1:37" s="556" customFormat="1" ht="14.25" customHeight="1">
      <c r="A66" s="1614"/>
      <c r="B66" s="1623"/>
      <c r="C66" s="1683"/>
      <c r="D66" s="1683"/>
      <c r="E66" s="1683"/>
      <c r="F66" s="1683"/>
      <c r="G66" s="1683"/>
      <c r="H66" s="1683"/>
      <c r="I66" s="1683"/>
      <c r="J66" s="1683"/>
      <c r="K66" s="1683"/>
      <c r="L66" s="1683"/>
      <c r="M66" s="1683"/>
      <c r="N66" s="1683"/>
      <c r="O66" s="1683"/>
      <c r="P66" s="1683"/>
      <c r="Q66" s="1683"/>
      <c r="R66" s="1683"/>
      <c r="S66" s="1536" t="s">
        <v>79</v>
      </c>
      <c r="T66" s="1536"/>
      <c r="U66" s="1536" t="s">
        <v>80</v>
      </c>
      <c r="V66" s="1536"/>
      <c r="W66" s="1536"/>
      <c r="X66" s="1536"/>
      <c r="Y66" s="1536"/>
      <c r="Z66" s="1536"/>
      <c r="AA66" s="1683"/>
      <c r="AB66" s="1683"/>
    </row>
    <row r="67" spans="1:37" s="556" customFormat="1" ht="14.25" customHeight="1">
      <c r="A67" s="1614"/>
      <c r="B67" s="1623"/>
      <c r="C67" s="1683"/>
      <c r="D67" s="1683"/>
      <c r="E67" s="1683"/>
      <c r="F67" s="1683"/>
      <c r="G67" s="1683"/>
      <c r="H67" s="1683"/>
      <c r="I67" s="1683"/>
      <c r="J67" s="1683"/>
      <c r="K67" s="1683"/>
      <c r="L67" s="1683"/>
      <c r="M67" s="1683"/>
      <c r="N67" s="1683"/>
      <c r="O67" s="1683"/>
      <c r="P67" s="1683"/>
      <c r="Q67" s="1683"/>
      <c r="R67" s="1683"/>
      <c r="S67" s="1536"/>
      <c r="T67" s="1536"/>
      <c r="U67" s="1683" t="s">
        <v>81</v>
      </c>
      <c r="V67" s="1683"/>
      <c r="W67" s="1683"/>
      <c r="X67" s="1683" t="s">
        <v>231</v>
      </c>
      <c r="Y67" s="1683"/>
      <c r="Z67" s="1683"/>
      <c r="AA67" s="1683"/>
      <c r="AB67" s="1683"/>
    </row>
    <row r="68" spans="1:37" s="556" customFormat="1" ht="20.25" customHeight="1">
      <c r="A68" s="1614"/>
      <c r="B68" s="1623"/>
      <c r="C68" s="1683"/>
      <c r="D68" s="1683"/>
      <c r="E68" s="1683"/>
      <c r="F68" s="1683"/>
      <c r="G68" s="1683"/>
      <c r="H68" s="1683"/>
      <c r="I68" s="1683"/>
      <c r="J68" s="1683"/>
      <c r="K68" s="1683"/>
      <c r="L68" s="1683"/>
      <c r="M68" s="1683"/>
      <c r="N68" s="1683"/>
      <c r="O68" s="1683"/>
      <c r="P68" s="1683"/>
      <c r="Q68" s="1683"/>
      <c r="R68" s="1683"/>
      <c r="S68" s="1536"/>
      <c r="T68" s="1536"/>
      <c r="U68" s="1683"/>
      <c r="V68" s="1683"/>
      <c r="W68" s="1683"/>
      <c r="X68" s="1683"/>
      <c r="Y68" s="1683"/>
      <c r="Z68" s="1683"/>
      <c r="AA68" s="1683"/>
      <c r="AB68" s="1683"/>
    </row>
    <row r="69" spans="1:37" s="556" customFormat="1" ht="17.25" customHeight="1">
      <c r="A69" s="1614"/>
      <c r="B69" s="1623"/>
      <c r="C69" s="1739">
        <f>+F53</f>
        <v>0</v>
      </c>
      <c r="D69" s="1739"/>
      <c r="E69" s="1739"/>
      <c r="F69" s="1740"/>
      <c r="G69" s="1740"/>
      <c r="H69" s="1740"/>
      <c r="I69" s="1741">
        <f>+M69+0</f>
        <v>0</v>
      </c>
      <c r="J69" s="1741"/>
      <c r="K69" s="1741"/>
      <c r="L69" s="1741"/>
      <c r="M69" s="1742"/>
      <c r="N69" s="1743"/>
      <c r="O69" s="1743"/>
      <c r="P69" s="1744">
        <f>+I69-M69</f>
        <v>0</v>
      </c>
      <c r="Q69" s="1744"/>
      <c r="R69" s="1744"/>
      <c r="S69" s="1738"/>
      <c r="T69" s="1738"/>
      <c r="U69" s="1738" t="s">
        <v>45</v>
      </c>
      <c r="V69" s="1738"/>
      <c r="W69" s="1738"/>
      <c r="X69" s="1738"/>
      <c r="Y69" s="1738"/>
      <c r="Z69" s="1738"/>
      <c r="AA69" s="1738"/>
      <c r="AB69" s="1738"/>
      <c r="AE69" s="569"/>
    </row>
    <row r="70" spans="1:37" s="556" customFormat="1" ht="9" customHeight="1">
      <c r="A70" s="1614"/>
      <c r="B70" s="1623"/>
    </row>
    <row r="71" spans="1:37" s="569" customFormat="1" ht="20.25" customHeight="1">
      <c r="A71" s="1614"/>
      <c r="B71" s="1623"/>
      <c r="C71" s="1536" t="s">
        <v>82</v>
      </c>
      <c r="D71" s="1536"/>
      <c r="E71" s="1536"/>
      <c r="F71" s="1536"/>
      <c r="G71" s="1536"/>
      <c r="H71" s="1536"/>
      <c r="I71" s="1536"/>
      <c r="J71" s="1536"/>
      <c r="K71" s="1536" t="s">
        <v>83</v>
      </c>
      <c r="L71" s="1536"/>
      <c r="M71" s="1536"/>
      <c r="N71" s="1536"/>
      <c r="O71" s="1536"/>
      <c r="P71" s="1536"/>
      <c r="Q71" s="1536"/>
      <c r="R71" s="1536" t="s">
        <v>84</v>
      </c>
      <c r="S71" s="1536"/>
      <c r="T71" s="1536"/>
      <c r="U71" s="1536"/>
      <c r="V71" s="1536"/>
      <c r="W71" s="1536"/>
      <c r="X71" s="1536" t="s">
        <v>602</v>
      </c>
      <c r="Y71" s="1536"/>
      <c r="Z71" s="1536"/>
      <c r="AA71" s="1536"/>
      <c r="AB71" s="1536"/>
    </row>
    <row r="72" spans="1:37" s="569" customFormat="1" ht="17.25" customHeight="1">
      <c r="A72" s="1614"/>
      <c r="B72" s="1623"/>
      <c r="C72" s="1736"/>
      <c r="D72" s="1736"/>
      <c r="E72" s="1736"/>
      <c r="F72" s="1736"/>
      <c r="G72" s="1736"/>
      <c r="H72" s="1736"/>
      <c r="I72" s="1736"/>
      <c r="J72" s="1736"/>
      <c r="K72" s="1736"/>
      <c r="L72" s="1736"/>
      <c r="M72" s="1736"/>
      <c r="N72" s="1736"/>
      <c r="O72" s="1736"/>
      <c r="P72" s="1736"/>
      <c r="Q72" s="1736"/>
      <c r="R72" s="1736"/>
      <c r="S72" s="1736"/>
      <c r="T72" s="1736"/>
      <c r="U72" s="1736"/>
      <c r="V72" s="1736"/>
      <c r="W72" s="1736"/>
      <c r="X72" s="1736"/>
      <c r="Y72" s="1736"/>
      <c r="Z72" s="1736"/>
      <c r="AA72" s="1736"/>
      <c r="AB72" s="1736"/>
      <c r="AE72" s="572">
        <f t="shared" ref="AE72:AK72" si="0">+R72*100000</f>
        <v>0</v>
      </c>
      <c r="AF72" s="572">
        <f t="shared" si="0"/>
        <v>0</v>
      </c>
      <c r="AG72" s="572">
        <f t="shared" si="0"/>
        <v>0</v>
      </c>
      <c r="AH72" s="572">
        <f t="shared" si="0"/>
        <v>0</v>
      </c>
      <c r="AI72" s="572">
        <f t="shared" si="0"/>
        <v>0</v>
      </c>
      <c r="AJ72" s="572">
        <f t="shared" si="0"/>
        <v>0</v>
      </c>
      <c r="AK72" s="572">
        <f t="shared" si="0"/>
        <v>0</v>
      </c>
    </row>
    <row r="73" spans="1:37" s="569" customFormat="1" ht="9" customHeight="1">
      <c r="A73" s="1614"/>
    </row>
    <row r="74" spans="1:37" s="569" customFormat="1" ht="17.25" customHeight="1">
      <c r="A74" s="1614"/>
      <c r="B74" s="505" t="s">
        <v>33</v>
      </c>
      <c r="C74" s="1589" t="s">
        <v>644</v>
      </c>
      <c r="D74" s="1589"/>
      <c r="E74" s="1589"/>
      <c r="F74" s="1589"/>
      <c r="G74" s="1589"/>
      <c r="H74" s="1589"/>
      <c r="I74" s="1589"/>
      <c r="J74" s="1589"/>
      <c r="K74" s="1589"/>
      <c r="L74" s="1589"/>
      <c r="M74" s="1589"/>
      <c r="N74" s="1589"/>
      <c r="O74" s="1589"/>
      <c r="P74" s="1589"/>
      <c r="Q74" s="569" t="s">
        <v>1</v>
      </c>
      <c r="R74" s="1737" t="s">
        <v>1174</v>
      </c>
      <c r="S74" s="1737"/>
      <c r="T74" s="1737"/>
      <c r="U74" s="1737"/>
      <c r="V74" s="1737"/>
      <c r="W74" s="1737"/>
      <c r="X74" s="1737"/>
      <c r="Y74" s="1737"/>
      <c r="Z74" s="1737"/>
      <c r="AA74" s="1737"/>
      <c r="AB74" s="1737"/>
    </row>
    <row r="75" spans="1:37" s="569" customFormat="1" ht="17.25" customHeight="1">
      <c r="A75" s="1614"/>
      <c r="B75" s="1623" t="s">
        <v>35</v>
      </c>
      <c r="C75" s="1590" t="s">
        <v>85</v>
      </c>
      <c r="D75" s="1747"/>
      <c r="E75" s="1747"/>
      <c r="F75" s="1747"/>
      <c r="G75" s="1747"/>
      <c r="H75" s="1747"/>
      <c r="I75" s="1747"/>
      <c r="J75" s="1747"/>
      <c r="K75" s="1747"/>
      <c r="L75" s="1747"/>
      <c r="M75" s="1747"/>
      <c r="N75" s="1747"/>
      <c r="O75" s="1747"/>
      <c r="P75" s="1747"/>
      <c r="Q75" s="1747"/>
      <c r="R75" s="1747"/>
      <c r="S75" s="1747"/>
      <c r="T75" s="1747"/>
      <c r="U75" s="1747"/>
      <c r="V75" s="1747"/>
      <c r="W75" s="1747"/>
      <c r="X75" s="1747"/>
      <c r="Y75" s="1748"/>
      <c r="Z75" s="1622" t="s">
        <v>212</v>
      </c>
      <c r="AA75" s="1622"/>
      <c r="AB75" s="1622"/>
    </row>
    <row r="76" spans="1:37" s="556" customFormat="1" ht="17.25" customHeight="1">
      <c r="A76" s="1614"/>
      <c r="B76" s="1623"/>
      <c r="C76" s="1536" t="s">
        <v>86</v>
      </c>
      <c r="D76" s="1536"/>
      <c r="E76" s="1536"/>
      <c r="F76" s="1536"/>
      <c r="G76" s="1536"/>
      <c r="H76" s="1536"/>
      <c r="I76" s="1536"/>
      <c r="J76" s="1536"/>
      <c r="K76" s="1536"/>
      <c r="L76" s="1536" t="s">
        <v>87</v>
      </c>
      <c r="M76" s="1536"/>
      <c r="N76" s="1536"/>
      <c r="O76" s="1536" t="s">
        <v>88</v>
      </c>
      <c r="P76" s="1536"/>
      <c r="Q76" s="1536"/>
      <c r="R76" s="1536"/>
      <c r="S76" s="1536" t="s">
        <v>89</v>
      </c>
      <c r="T76" s="1536"/>
      <c r="U76" s="1656" t="s">
        <v>90</v>
      </c>
      <c r="V76" s="1656"/>
      <c r="W76" s="1656"/>
      <c r="X76" s="1656"/>
      <c r="Y76" s="1656"/>
      <c r="Z76" s="1656"/>
      <c r="AA76" s="1656"/>
      <c r="AB76" s="1656"/>
    </row>
    <row r="77" spans="1:37" s="556" customFormat="1" ht="17.25" customHeight="1">
      <c r="A77" s="1614"/>
      <c r="B77" s="1623"/>
      <c r="C77" s="1749" t="s">
        <v>1175</v>
      </c>
      <c r="D77" s="1749"/>
      <c r="E77" s="1749"/>
      <c r="F77" s="1749"/>
      <c r="G77" s="1749"/>
      <c r="H77" s="1749"/>
      <c r="I77" s="1749"/>
      <c r="J77" s="1749"/>
      <c r="K77" s="1749"/>
      <c r="L77" s="1750">
        <v>37</v>
      </c>
      <c r="M77" s="1750"/>
      <c r="N77" s="1750"/>
      <c r="O77" s="1750">
        <v>37</v>
      </c>
      <c r="P77" s="1750"/>
      <c r="Q77" s="1750"/>
      <c r="R77" s="1750"/>
      <c r="S77" s="1749" t="s">
        <v>6</v>
      </c>
      <c r="T77" s="1749"/>
      <c r="U77" s="1756" t="s">
        <v>6</v>
      </c>
      <c r="V77" s="1756"/>
      <c r="W77" s="1756"/>
      <c r="X77" s="1756"/>
      <c r="Y77" s="1756"/>
      <c r="Z77" s="1756"/>
      <c r="AA77" s="1756"/>
      <c r="AB77" s="1756"/>
    </row>
    <row r="78" spans="1:37" s="556" customFormat="1" ht="17.25" customHeight="1">
      <c r="A78" s="573"/>
    </row>
    <row r="79" spans="1:37" s="556" customFormat="1" ht="17.25" customHeight="1">
      <c r="A79" s="1614" t="s">
        <v>232</v>
      </c>
      <c r="B79" s="1615" t="s">
        <v>92</v>
      </c>
      <c r="C79" s="1615"/>
      <c r="D79" s="1615"/>
      <c r="E79" s="1615"/>
      <c r="F79" s="1615"/>
      <c r="G79" s="1615"/>
      <c r="H79" s="1615"/>
      <c r="I79" s="1615"/>
      <c r="J79" s="1615"/>
      <c r="K79" s="1615"/>
      <c r="L79" s="1615"/>
      <c r="M79" s="1615"/>
      <c r="N79" s="1615"/>
      <c r="O79" s="1615"/>
      <c r="P79" s="1615"/>
      <c r="Q79" s="1615"/>
      <c r="R79" s="1615"/>
      <c r="S79" s="1615"/>
      <c r="T79" s="1615"/>
      <c r="U79" s="1615"/>
      <c r="V79" s="1615"/>
      <c r="W79" s="1615"/>
      <c r="X79" s="1615"/>
      <c r="Y79" s="1615"/>
      <c r="Z79" s="1615"/>
      <c r="AA79" s="1615"/>
      <c r="AB79" s="1615"/>
    </row>
    <row r="80" spans="1:37" s="569" customFormat="1" ht="17.25" customHeight="1">
      <c r="A80" s="1614"/>
      <c r="B80" s="1623" t="s">
        <v>93</v>
      </c>
      <c r="C80" s="1616" t="s">
        <v>233</v>
      </c>
      <c r="D80" s="1616"/>
      <c r="E80" s="1616"/>
      <c r="F80" s="1616"/>
      <c r="G80" s="1616"/>
      <c r="H80" s="1616"/>
      <c r="I80" s="1616"/>
      <c r="J80" s="1616"/>
      <c r="K80" s="1616"/>
      <c r="L80" s="1616"/>
      <c r="M80" s="1616"/>
      <c r="N80" s="1616"/>
      <c r="O80" s="1616"/>
      <c r="P80" s="1616"/>
      <c r="Q80" s="1600" t="s">
        <v>1</v>
      </c>
      <c r="R80" s="1746" t="str">
        <f>+Q64</f>
        <v xml:space="preserve">(27/01/2025 Bs ZvwiL wfwËK) </v>
      </c>
      <c r="S80" s="1746"/>
      <c r="T80" s="1746"/>
      <c r="U80" s="1746"/>
      <c r="V80" s="1746"/>
      <c r="W80" s="1746"/>
      <c r="X80" s="1746"/>
      <c r="Y80" s="1746"/>
      <c r="Z80" s="1622" t="s">
        <v>212</v>
      </c>
      <c r="AA80" s="1622"/>
      <c r="AB80" s="1622"/>
    </row>
    <row r="81" spans="1:30" s="569" customFormat="1" ht="14.25" customHeight="1">
      <c r="A81" s="1614"/>
      <c r="B81" s="1623"/>
      <c r="C81" s="1751" t="s">
        <v>235</v>
      </c>
      <c r="D81" s="1751"/>
      <c r="E81" s="1751"/>
      <c r="F81" s="1751"/>
      <c r="G81" s="1751"/>
      <c r="H81" s="1751"/>
      <c r="I81" s="1751"/>
      <c r="J81" s="1751"/>
      <c r="K81" s="1751"/>
      <c r="L81" s="1751"/>
      <c r="M81" s="1751"/>
      <c r="N81" s="1751"/>
      <c r="O81" s="1751"/>
      <c r="P81" s="1751"/>
      <c r="Q81" s="1506"/>
      <c r="R81" s="1752"/>
      <c r="S81" s="1752"/>
      <c r="T81" s="1752"/>
      <c r="U81" s="1752"/>
      <c r="V81" s="1752"/>
      <c r="W81" s="1752"/>
      <c r="X81" s="1752"/>
      <c r="Y81" s="1752"/>
      <c r="Z81" s="1752"/>
      <c r="AA81" s="1752"/>
      <c r="AB81" s="1752"/>
    </row>
    <row r="82" spans="1:30" s="569" customFormat="1" ht="17.25" customHeight="1">
      <c r="A82" s="1614"/>
      <c r="B82" s="1745"/>
      <c r="C82" s="1517" t="s">
        <v>94</v>
      </c>
      <c r="D82" s="1517"/>
      <c r="E82" s="1517"/>
      <c r="F82" s="1517"/>
      <c r="G82" s="1517"/>
      <c r="H82" s="1517"/>
      <c r="I82" s="1517"/>
      <c r="J82" s="1517"/>
      <c r="K82" s="1517"/>
      <c r="L82" s="1517" t="s">
        <v>95</v>
      </c>
      <c r="M82" s="1517"/>
      <c r="N82" s="1517"/>
      <c r="O82" s="1517"/>
      <c r="P82" s="1517"/>
      <c r="Q82" s="1517"/>
      <c r="R82" s="1517"/>
      <c r="S82" s="1517"/>
      <c r="T82" s="1517"/>
      <c r="U82" s="1517" t="s">
        <v>96</v>
      </c>
      <c r="V82" s="1517"/>
      <c r="W82" s="1517"/>
      <c r="X82" s="1517"/>
      <c r="Y82" s="1517"/>
      <c r="Z82" s="1517"/>
      <c r="AA82" s="1517"/>
      <c r="AB82" s="1517"/>
    </row>
    <row r="83" spans="1:30" s="569" customFormat="1" ht="17.25" customHeight="1">
      <c r="A83" s="1614"/>
      <c r="B83" s="1745"/>
      <c r="C83" s="1753">
        <v>490</v>
      </c>
      <c r="D83" s="1535"/>
      <c r="E83" s="1535"/>
      <c r="F83" s="1535"/>
      <c r="G83" s="1535"/>
      <c r="H83" s="1535"/>
      <c r="I83" s="1535"/>
      <c r="J83" s="1535"/>
      <c r="K83" s="1535"/>
      <c r="L83" s="1754">
        <v>28</v>
      </c>
      <c r="M83" s="1754"/>
      <c r="N83" s="1754"/>
      <c r="O83" s="1754"/>
      <c r="P83" s="1754"/>
      <c r="Q83" s="1755"/>
      <c r="R83" s="1754"/>
      <c r="S83" s="1754"/>
      <c r="T83" s="1754"/>
      <c r="U83" s="1754">
        <f>+C83-L83</f>
        <v>462</v>
      </c>
      <c r="V83" s="1535"/>
      <c r="W83" s="1535"/>
      <c r="X83" s="1535"/>
      <c r="Y83" s="1535"/>
      <c r="Z83" s="1535"/>
      <c r="AA83" s="1535"/>
      <c r="AB83" s="1535"/>
    </row>
    <row r="84" spans="1:30" ht="9" customHeight="1">
      <c r="A84" s="1614"/>
    </row>
    <row r="85" spans="1:30" s="569" customFormat="1" ht="17.25" customHeight="1">
      <c r="A85" s="1614"/>
      <c r="B85" s="1623" t="s">
        <v>27</v>
      </c>
      <c r="C85" s="1757" t="s">
        <v>234</v>
      </c>
      <c r="D85" s="1757"/>
      <c r="E85" s="1757"/>
      <c r="F85" s="1757"/>
      <c r="G85" s="1757"/>
      <c r="H85" s="1757"/>
      <c r="I85" s="1757"/>
      <c r="J85" s="1757"/>
      <c r="K85" s="1757"/>
      <c r="L85" s="1757"/>
      <c r="M85" s="1757"/>
      <c r="N85" s="1757"/>
      <c r="O85" s="1757"/>
      <c r="P85" s="1757"/>
      <c r="Q85" s="1496" t="s">
        <v>1</v>
      </c>
      <c r="R85" s="1746" t="str">
        <f>+R80</f>
        <v xml:space="preserve">(27/01/2025 Bs ZvwiL wfwËK) </v>
      </c>
      <c r="S85" s="1746"/>
      <c r="T85" s="1746"/>
      <c r="U85" s="1746"/>
      <c r="V85" s="1746"/>
      <c r="W85" s="1746"/>
      <c r="X85" s="1746"/>
      <c r="Y85" s="1746"/>
      <c r="Z85" s="1758" t="s">
        <v>212</v>
      </c>
      <c r="AA85" s="1758"/>
      <c r="AB85" s="1758"/>
    </row>
    <row r="86" spans="1:30" s="556" customFormat="1" ht="17.25" customHeight="1">
      <c r="A86" s="1614"/>
      <c r="B86" s="1623"/>
      <c r="C86" s="1757"/>
      <c r="D86" s="1757"/>
      <c r="E86" s="1757"/>
      <c r="F86" s="1757"/>
      <c r="G86" s="1757"/>
      <c r="H86" s="1757"/>
      <c r="I86" s="1757"/>
      <c r="J86" s="1757"/>
      <c r="K86" s="1757"/>
      <c r="L86" s="1757"/>
      <c r="M86" s="1757"/>
      <c r="N86" s="1757"/>
      <c r="O86" s="1757"/>
      <c r="P86" s="1757"/>
      <c r="Q86" s="1496"/>
      <c r="R86" s="1752" t="s">
        <v>235</v>
      </c>
      <c r="S86" s="1752"/>
      <c r="T86" s="1752"/>
      <c r="U86" s="1752"/>
      <c r="V86" s="1752"/>
      <c r="W86" s="1752"/>
      <c r="X86" s="1752"/>
      <c r="Y86" s="1752"/>
      <c r="Z86" s="1752"/>
      <c r="AA86" s="1752"/>
      <c r="AB86" s="1752"/>
    </row>
    <row r="87" spans="1:30" s="556" customFormat="1" ht="17.25" customHeight="1">
      <c r="A87" s="1614"/>
      <c r="B87" s="1745"/>
      <c r="C87" s="1517" t="s">
        <v>15</v>
      </c>
      <c r="D87" s="1517"/>
      <c r="E87" s="1517" t="s">
        <v>26</v>
      </c>
      <c r="F87" s="1517"/>
      <c r="G87" s="1517"/>
      <c r="H87" s="1517"/>
      <c r="I87" s="1517"/>
      <c r="J87" s="1517" t="s">
        <v>97</v>
      </c>
      <c r="K87" s="1517"/>
      <c r="L87" s="1517"/>
      <c r="M87" s="1517" t="s">
        <v>98</v>
      </c>
      <c r="N87" s="1517"/>
      <c r="O87" s="1517"/>
      <c r="P87" s="1517" t="s">
        <v>99</v>
      </c>
      <c r="Q87" s="1517"/>
      <c r="R87" s="1517"/>
      <c r="S87" s="1517" t="s">
        <v>100</v>
      </c>
      <c r="T87" s="1517"/>
      <c r="U87" s="1517"/>
      <c r="V87" s="1517"/>
      <c r="W87" s="1517"/>
      <c r="X87" s="1517"/>
      <c r="Y87" s="1517"/>
      <c r="Z87" s="1517"/>
      <c r="AA87" s="1517"/>
      <c r="AB87" s="1517"/>
      <c r="AD87" s="574" t="s">
        <v>600</v>
      </c>
    </row>
    <row r="88" spans="1:30" s="556" customFormat="1" ht="17.25" customHeight="1">
      <c r="A88" s="1614"/>
      <c r="B88" s="1745"/>
      <c r="C88" s="1517">
        <v>1</v>
      </c>
      <c r="D88" s="1517"/>
      <c r="E88" s="1759" t="str">
        <f>'Data Input'!D12</f>
        <v>‡gvt Rwb</v>
      </c>
      <c r="F88" s="1760"/>
      <c r="G88" s="1760"/>
      <c r="H88" s="1760"/>
      <c r="I88" s="1761"/>
      <c r="J88" s="1755">
        <f>C83</f>
        <v>490</v>
      </c>
      <c r="K88" s="1755"/>
      <c r="L88" s="1755"/>
      <c r="M88" s="1755">
        <f>L83</f>
        <v>28</v>
      </c>
      <c r="N88" s="1755"/>
      <c r="O88" s="1755"/>
      <c r="P88" s="1755">
        <f>J88-M88</f>
        <v>462</v>
      </c>
      <c r="Q88" s="1517"/>
      <c r="R88" s="1517"/>
      <c r="S88" s="1755"/>
      <c r="T88" s="1517"/>
      <c r="U88" s="1517"/>
      <c r="V88" s="1517"/>
      <c r="W88" s="1517"/>
      <c r="X88" s="1517"/>
      <c r="Y88" s="1517"/>
      <c r="Z88" s="1517"/>
      <c r="AA88" s="1517"/>
      <c r="AB88" s="1517"/>
    </row>
    <row r="89" spans="1:30" s="556" customFormat="1" ht="17.25" customHeight="1">
      <c r="A89" s="1614"/>
      <c r="B89" s="1745"/>
      <c r="C89" s="1517"/>
      <c r="D89" s="1517"/>
      <c r="E89" s="1471"/>
      <c r="F89" s="1471"/>
      <c r="G89" s="1471"/>
      <c r="H89" s="1471"/>
      <c r="I89" s="1471"/>
      <c r="J89" s="1755"/>
      <c r="K89" s="1755"/>
      <c r="L89" s="1755"/>
      <c r="M89" s="1755"/>
      <c r="N89" s="1755"/>
      <c r="O89" s="1755"/>
      <c r="P89" s="1755"/>
      <c r="Q89" s="1755"/>
      <c r="R89" s="1755"/>
      <c r="S89" s="1517"/>
      <c r="T89" s="1517"/>
      <c r="U89" s="1517"/>
      <c r="V89" s="1517"/>
      <c r="W89" s="1517"/>
      <c r="X89" s="1517"/>
      <c r="Y89" s="1517"/>
      <c r="Z89" s="1517"/>
      <c r="AA89" s="1517"/>
      <c r="AB89" s="1517"/>
    </row>
    <row r="90" spans="1:30" s="556" customFormat="1" ht="8.25" customHeight="1">
      <c r="A90" s="1614"/>
    </row>
    <row r="91" spans="1:30" s="556" customFormat="1" ht="17.25" customHeight="1">
      <c r="A91" s="1614"/>
      <c r="B91" s="1614" t="s">
        <v>29</v>
      </c>
      <c r="C91" s="1763" t="str">
        <f>"mn‡hvMx cÖwZôv‡bi/MÖæ‡ci cÖwZôvbmgy‡ni `vq I m¤ú‡`i cwigvb "&amp;R80&amp;" t"</f>
        <v>mn‡hvMx cÖwZôv‡bi/MÖæ‡ci cÖwZôvbmgy‡ni `vq I m¤ú‡`i cwigvb (27/01/2025 Bs ZvwiL wfwËK)  t</v>
      </c>
      <c r="D91" s="1763"/>
      <c r="E91" s="1763"/>
      <c r="F91" s="1763"/>
      <c r="G91" s="1763"/>
      <c r="H91" s="1763"/>
      <c r="I91" s="1763"/>
      <c r="J91" s="1763"/>
      <c r="K91" s="1763"/>
      <c r="L91" s="1763"/>
      <c r="M91" s="1763"/>
      <c r="N91" s="1763"/>
      <c r="O91" s="1763"/>
      <c r="P91" s="1763"/>
      <c r="Q91" s="1763"/>
      <c r="R91" s="1763"/>
      <c r="S91" s="1763"/>
      <c r="T91" s="1763"/>
      <c r="U91" s="1763"/>
      <c r="V91" s="1763"/>
      <c r="W91" s="1763"/>
      <c r="X91" s="1763"/>
      <c r="Y91" s="1763"/>
      <c r="Z91" s="1622" t="s">
        <v>212</v>
      </c>
      <c r="AA91" s="1622"/>
      <c r="AB91" s="1622"/>
    </row>
    <row r="92" spans="1:30" s="569" customFormat="1" ht="17.25" customHeight="1">
      <c r="A92" s="1614"/>
      <c r="B92" s="1762"/>
      <c r="C92" s="1517" t="s">
        <v>15</v>
      </c>
      <c r="D92" s="1517"/>
      <c r="E92" s="1517" t="s">
        <v>101</v>
      </c>
      <c r="F92" s="1517"/>
      <c r="G92" s="1517"/>
      <c r="H92" s="1517"/>
      <c r="I92" s="1517"/>
      <c r="J92" s="1517"/>
      <c r="K92" s="1517"/>
      <c r="L92" s="1517"/>
      <c r="M92" s="1517"/>
      <c r="N92" s="1517"/>
      <c r="O92" s="1517" t="s">
        <v>94</v>
      </c>
      <c r="P92" s="1517"/>
      <c r="Q92" s="1517"/>
      <c r="R92" s="1517"/>
      <c r="S92" s="1517"/>
      <c r="T92" s="1517" t="s">
        <v>95</v>
      </c>
      <c r="U92" s="1517"/>
      <c r="V92" s="1517"/>
      <c r="W92" s="1517"/>
      <c r="X92" s="1517" t="s">
        <v>96</v>
      </c>
      <c r="Y92" s="1517"/>
      <c r="Z92" s="1517"/>
      <c r="AA92" s="1517"/>
      <c r="AB92" s="1517"/>
    </row>
    <row r="93" spans="1:30" s="569" customFormat="1" ht="17.25" customHeight="1">
      <c r="A93" s="1614"/>
      <c r="B93" s="1762"/>
      <c r="C93" s="1517">
        <v>1</v>
      </c>
      <c r="D93" s="1517"/>
      <c r="E93" s="1531" t="s">
        <v>45</v>
      </c>
      <c r="F93" s="1532"/>
      <c r="G93" s="1532"/>
      <c r="H93" s="1532"/>
      <c r="I93" s="1532"/>
      <c r="J93" s="1532"/>
      <c r="K93" s="1532"/>
      <c r="L93" s="1532"/>
      <c r="M93" s="1532"/>
      <c r="N93" s="1532"/>
      <c r="O93" s="1532"/>
      <c r="P93" s="1532"/>
      <c r="Q93" s="1532"/>
      <c r="R93" s="1532"/>
      <c r="S93" s="1532"/>
      <c r="T93" s="1532"/>
      <c r="U93" s="1532"/>
      <c r="V93" s="1532"/>
      <c r="W93" s="1532"/>
      <c r="X93" s="1532"/>
      <c r="Y93" s="1532"/>
      <c r="Z93" s="1532"/>
      <c r="AA93" s="1532"/>
      <c r="AB93" s="1516"/>
    </row>
    <row r="94" spans="1:30" s="556" customFormat="1" ht="10.5" customHeight="1">
      <c r="A94" s="573"/>
    </row>
    <row r="95" spans="1:30" s="556" customFormat="1" ht="10.5" customHeight="1">
      <c r="A95" s="573"/>
    </row>
    <row r="96" spans="1:30" s="556" customFormat="1" ht="10.5" customHeight="1">
      <c r="A96" s="573"/>
    </row>
    <row r="97" spans="1:28" s="556" customFormat="1" ht="10.5" customHeight="1">
      <c r="A97" s="573"/>
    </row>
    <row r="98" spans="1:28" s="556" customFormat="1" ht="17.25" customHeight="1">
      <c r="A98" s="1614" t="s">
        <v>237</v>
      </c>
      <c r="B98" s="1615" t="s">
        <v>865</v>
      </c>
      <c r="C98" s="1615"/>
      <c r="D98" s="1615"/>
      <c r="E98" s="1615"/>
      <c r="F98" s="1615"/>
      <c r="G98" s="1615"/>
      <c r="H98" s="1615"/>
      <c r="I98" s="1615"/>
      <c r="J98" s="1615"/>
      <c r="K98" s="1615"/>
      <c r="L98" s="1615"/>
      <c r="M98" s="1615"/>
      <c r="N98" s="1615"/>
      <c r="O98" s="1615"/>
      <c r="P98" s="1615"/>
      <c r="Q98" s="1615"/>
      <c r="R98" s="1615"/>
      <c r="S98" s="1615"/>
      <c r="T98" s="1615"/>
      <c r="U98" s="1615"/>
      <c r="V98" s="1615"/>
      <c r="W98" s="1615"/>
      <c r="X98" s="1615"/>
      <c r="Y98" s="1615"/>
      <c r="Z98" s="1615"/>
      <c r="AA98" s="1615"/>
      <c r="AB98" s="1615"/>
    </row>
    <row r="99" spans="1:28" s="556" customFormat="1" ht="17.25" customHeight="1">
      <c r="A99" s="1614"/>
      <c r="B99" s="1623" t="s">
        <v>103</v>
      </c>
      <c r="C99" s="1767" t="s">
        <v>866</v>
      </c>
      <c r="D99" s="1767"/>
      <c r="E99" s="1767"/>
      <c r="F99" s="1767"/>
      <c r="G99" s="1767"/>
      <c r="H99" s="1767"/>
      <c r="I99" s="1767"/>
      <c r="J99" s="1767"/>
      <c r="K99" s="1767"/>
      <c r="L99" s="1767"/>
      <c r="M99" s="1767"/>
      <c r="N99" s="1767"/>
      <c r="O99" s="1767"/>
      <c r="P99" s="1767"/>
      <c r="Q99" s="1767"/>
      <c r="R99" s="1767"/>
      <c r="S99" s="1767"/>
      <c r="T99" s="1767"/>
      <c r="U99" s="1767"/>
      <c r="V99" s="1767"/>
      <c r="W99" s="1767"/>
      <c r="X99" s="1767"/>
      <c r="Y99" s="1767"/>
      <c r="Z99" s="1767"/>
      <c r="AA99" s="1767"/>
      <c r="AB99" s="1767"/>
    </row>
    <row r="100" spans="1:28" s="556" customFormat="1" ht="17.25" customHeight="1">
      <c r="A100" s="1614"/>
      <c r="B100" s="1623"/>
      <c r="C100" s="1767"/>
      <c r="D100" s="1767"/>
      <c r="E100" s="1767"/>
      <c r="F100" s="1767"/>
      <c r="G100" s="1767"/>
      <c r="H100" s="1767"/>
      <c r="I100" s="1767"/>
      <c r="J100" s="1767"/>
      <c r="K100" s="1767"/>
      <c r="L100" s="1767"/>
      <c r="M100" s="1767"/>
      <c r="N100" s="1767"/>
      <c r="O100" s="1767"/>
      <c r="P100" s="1767"/>
      <c r="Q100" s="1767"/>
      <c r="R100" s="1767"/>
      <c r="S100" s="1767"/>
      <c r="T100" s="1767"/>
      <c r="U100" s="1767"/>
      <c r="V100" s="1767"/>
      <c r="W100" s="1767"/>
      <c r="X100" s="1767"/>
      <c r="Y100" s="1767"/>
      <c r="Z100" s="1767"/>
      <c r="AA100" s="1767"/>
      <c r="AB100" s="1767"/>
    </row>
    <row r="101" spans="1:28" s="569" customFormat="1" ht="27.75" customHeight="1">
      <c r="A101" s="1614"/>
      <c r="B101" s="1623"/>
      <c r="C101" s="1536" t="s">
        <v>15</v>
      </c>
      <c r="D101" s="1536"/>
      <c r="E101" s="1536" t="s">
        <v>104</v>
      </c>
      <c r="F101" s="1536"/>
      <c r="G101" s="1536"/>
      <c r="H101" s="1536"/>
      <c r="I101" s="1536"/>
      <c r="J101" s="1536"/>
      <c r="K101" s="1536" t="s">
        <v>105</v>
      </c>
      <c r="L101" s="1536"/>
      <c r="M101" s="1536"/>
      <c r="N101" s="1536"/>
      <c r="O101" s="1536" t="s">
        <v>106</v>
      </c>
      <c r="P101" s="1536"/>
      <c r="Q101" s="1536"/>
      <c r="R101" s="1536"/>
      <c r="S101" s="1536" t="s">
        <v>107</v>
      </c>
      <c r="T101" s="1536"/>
      <c r="U101" s="1536"/>
      <c r="V101" s="1536" t="s">
        <v>108</v>
      </c>
      <c r="W101" s="1536"/>
      <c r="X101" s="1536"/>
      <c r="Y101" s="1536"/>
      <c r="Z101" s="1536" t="s">
        <v>109</v>
      </c>
      <c r="AA101" s="1536"/>
      <c r="AB101" s="1536"/>
    </row>
    <row r="102" spans="1:28" s="556" customFormat="1" ht="16.5" customHeight="1">
      <c r="A102" s="1614"/>
      <c r="B102" s="1623"/>
      <c r="C102" s="1536">
        <v>1</v>
      </c>
      <c r="D102" s="1536"/>
      <c r="E102" s="1536" t="s">
        <v>110</v>
      </c>
      <c r="F102" s="1536"/>
      <c r="G102" s="1536"/>
      <c r="H102" s="1536"/>
      <c r="I102" s="1536"/>
      <c r="J102" s="1536"/>
      <c r="K102" s="1764"/>
      <c r="L102" s="1764"/>
      <c r="M102" s="1764"/>
      <c r="N102" s="1764"/>
      <c r="O102" s="1764"/>
      <c r="P102" s="1764"/>
      <c r="Q102" s="1764"/>
      <c r="R102" s="1764"/>
      <c r="S102" s="1765"/>
      <c r="T102" s="1765"/>
      <c r="U102" s="1765"/>
      <c r="V102" s="1766"/>
      <c r="W102" s="1766"/>
      <c r="X102" s="1766"/>
      <c r="Y102" s="1766"/>
      <c r="Z102" s="1765"/>
      <c r="AA102" s="1765"/>
      <c r="AB102" s="1765"/>
    </row>
    <row r="103" spans="1:28" s="556" customFormat="1" ht="17.25" customHeight="1">
      <c r="A103" s="1614"/>
      <c r="B103" s="1623"/>
      <c r="C103" s="1536">
        <v>2</v>
      </c>
      <c r="D103" s="1536"/>
      <c r="E103" s="1536" t="s">
        <v>111</v>
      </c>
      <c r="F103" s="1536"/>
      <c r="G103" s="1536"/>
      <c r="H103" s="1536"/>
      <c r="I103" s="1536"/>
      <c r="J103" s="1536"/>
      <c r="K103" s="1770">
        <f>+C69</f>
        <v>0</v>
      </c>
      <c r="L103" s="1764"/>
      <c r="M103" s="1764"/>
      <c r="N103" s="1764"/>
      <c r="O103" s="1770">
        <f>+P69</f>
        <v>0</v>
      </c>
      <c r="P103" s="1764"/>
      <c r="Q103" s="1764"/>
      <c r="R103" s="1764"/>
      <c r="S103" s="1765"/>
      <c r="T103" s="1765"/>
      <c r="U103" s="1765"/>
      <c r="V103" s="1766"/>
      <c r="W103" s="1766"/>
      <c r="X103" s="1766"/>
      <c r="Y103" s="1766"/>
      <c r="Z103" s="1765"/>
      <c r="AA103" s="1765"/>
      <c r="AB103" s="1765"/>
    </row>
    <row r="104" spans="1:28" s="556" customFormat="1" ht="17.25" customHeight="1">
      <c r="A104" s="1614"/>
      <c r="B104" s="1623"/>
      <c r="C104" s="1536">
        <v>3</v>
      </c>
      <c r="D104" s="1536"/>
      <c r="E104" s="1536" t="s">
        <v>112</v>
      </c>
      <c r="F104" s="1536"/>
      <c r="G104" s="1536"/>
      <c r="H104" s="1536"/>
      <c r="I104" s="1536"/>
      <c r="J104" s="1536"/>
      <c r="K104" s="1768"/>
      <c r="L104" s="1769"/>
      <c r="M104" s="1769"/>
      <c r="N104" s="1769"/>
      <c r="O104" s="1768"/>
      <c r="P104" s="1769"/>
      <c r="Q104" s="1769"/>
      <c r="R104" s="1769"/>
      <c r="S104" s="1536"/>
      <c r="T104" s="1536"/>
      <c r="U104" s="1536"/>
      <c r="V104" s="1738"/>
      <c r="W104" s="1738"/>
      <c r="X104" s="1738"/>
      <c r="Y104" s="1738"/>
      <c r="Z104" s="1536"/>
      <c r="AA104" s="1536"/>
      <c r="AB104" s="1536"/>
    </row>
    <row r="105" spans="1:28" s="556" customFormat="1" ht="15.75" customHeight="1">
      <c r="A105" s="1614"/>
      <c r="B105" s="1623"/>
      <c r="C105" s="1536">
        <v>4</v>
      </c>
      <c r="D105" s="1536"/>
      <c r="E105" s="1536" t="s">
        <v>113</v>
      </c>
      <c r="F105" s="1536"/>
      <c r="G105" s="1536"/>
      <c r="H105" s="1536"/>
      <c r="I105" s="1536"/>
      <c r="J105" s="1536"/>
      <c r="K105" s="1764"/>
      <c r="L105" s="1764"/>
      <c r="M105" s="1764"/>
      <c r="N105" s="1764"/>
      <c r="O105" s="1764"/>
      <c r="P105" s="1764"/>
      <c r="Q105" s="1764"/>
      <c r="R105" s="1764"/>
      <c r="S105" s="1765"/>
      <c r="T105" s="1765"/>
      <c r="U105" s="1765"/>
      <c r="V105" s="1766"/>
      <c r="W105" s="1766"/>
      <c r="X105" s="1766"/>
      <c r="Y105" s="1766"/>
      <c r="Z105" s="1765"/>
      <c r="AA105" s="1765"/>
      <c r="AB105" s="1765"/>
    </row>
    <row r="106" spans="1:28" s="556" customFormat="1" ht="14.25" customHeight="1">
      <c r="A106" s="1614"/>
      <c r="B106" s="1623"/>
      <c r="C106" s="1536">
        <v>5</v>
      </c>
      <c r="D106" s="1536"/>
      <c r="E106" s="1536" t="s">
        <v>114</v>
      </c>
      <c r="F106" s="1536"/>
      <c r="G106" s="1536"/>
      <c r="H106" s="1536"/>
      <c r="I106" s="1536"/>
      <c r="J106" s="1536"/>
      <c r="K106" s="1770">
        <v>28</v>
      </c>
      <c r="L106" s="1770"/>
      <c r="M106" s="1770"/>
      <c r="N106" s="1770"/>
      <c r="O106" s="1764">
        <v>24.34</v>
      </c>
      <c r="P106" s="1764"/>
      <c r="Q106" s="1764"/>
      <c r="R106" s="1764"/>
      <c r="S106" s="1765"/>
      <c r="T106" s="1765"/>
      <c r="U106" s="1765"/>
      <c r="V106" s="1771" t="s">
        <v>1176</v>
      </c>
      <c r="W106" s="1772"/>
      <c r="X106" s="1772"/>
      <c r="Y106" s="1773"/>
      <c r="Z106" s="1765"/>
      <c r="AA106" s="1765"/>
      <c r="AB106" s="1765"/>
    </row>
    <row r="107" spans="1:28" ht="16.5" customHeight="1">
      <c r="A107" s="1614"/>
      <c r="B107" s="1623"/>
      <c r="C107" s="1536"/>
      <c r="D107" s="1536"/>
      <c r="E107" s="1536" t="s">
        <v>1094</v>
      </c>
      <c r="F107" s="1536"/>
      <c r="G107" s="1536"/>
      <c r="H107" s="1536"/>
      <c r="I107" s="1536"/>
      <c r="J107" s="1536"/>
      <c r="K107" s="1775">
        <f>SUM(K102:N106)</f>
        <v>28</v>
      </c>
      <c r="L107" s="1775"/>
      <c r="M107" s="1775"/>
      <c r="N107" s="1775"/>
      <c r="O107" s="1775">
        <f>SUM(O102:R106)</f>
        <v>24.34</v>
      </c>
      <c r="P107" s="1775"/>
      <c r="Q107" s="1775"/>
      <c r="R107" s="1775"/>
      <c r="S107" s="1776">
        <f>SUM(S102:U106)</f>
        <v>0</v>
      </c>
      <c r="T107" s="1776"/>
      <c r="U107" s="1776"/>
      <c r="V107" s="1777"/>
      <c r="W107" s="1777"/>
      <c r="X107" s="1777"/>
      <c r="Y107" s="1777"/>
      <c r="Z107" s="1765"/>
      <c r="AA107" s="1765"/>
      <c r="AB107" s="1765"/>
    </row>
    <row r="108" spans="1:28" s="556" customFormat="1" ht="12" customHeight="1">
      <c r="A108" s="1614"/>
    </row>
    <row r="109" spans="1:28" s="556" customFormat="1" ht="17.25" customHeight="1">
      <c r="A109" s="1614"/>
      <c r="B109" s="1623" t="s">
        <v>116</v>
      </c>
      <c r="C109" s="1589" t="str">
        <f>"mn‡hvMx cÖwZôv‡bi/MÖæci nvjm‡bi `vq-‡`bv I e¨emvwqK cvidi‡gÝ  "&amp;R80&amp;" t"</f>
        <v>mn‡hvMx cÖwZôv‡bi/MÖæci nvjm‡bi `vq-‡`bv I e¨emvwqK cvidi‡gÝ  (27/01/2025 Bs ZvwiL wfwËK)  t</v>
      </c>
      <c r="D109" s="1589"/>
      <c r="E109" s="1589"/>
      <c r="F109" s="1589"/>
      <c r="G109" s="1589"/>
      <c r="H109" s="1589"/>
      <c r="I109" s="1589"/>
      <c r="J109" s="1589"/>
      <c r="K109" s="1589"/>
      <c r="L109" s="1589"/>
      <c r="M109" s="1589"/>
      <c r="N109" s="1589"/>
      <c r="O109" s="1589"/>
      <c r="P109" s="1589"/>
      <c r="Q109" s="1589"/>
      <c r="R109" s="1589"/>
      <c r="S109" s="1589"/>
      <c r="T109" s="1589"/>
      <c r="U109" s="1589"/>
      <c r="V109" s="1589"/>
      <c r="W109" s="1589"/>
      <c r="X109" s="1589"/>
      <c r="Y109" s="1589"/>
      <c r="Z109" s="1589"/>
      <c r="AA109" s="1589"/>
      <c r="AB109" s="1589"/>
    </row>
    <row r="110" spans="1:28" s="575" customFormat="1" ht="34.5" customHeight="1">
      <c r="A110" s="1614"/>
      <c r="B110" s="1623"/>
      <c r="C110" s="1683" t="s">
        <v>15</v>
      </c>
      <c r="D110" s="1683"/>
      <c r="E110" s="1683" t="s">
        <v>117</v>
      </c>
      <c r="F110" s="1683"/>
      <c r="G110" s="1683"/>
      <c r="H110" s="1683"/>
      <c r="I110" s="1683"/>
      <c r="J110" s="1774" t="s">
        <v>118</v>
      </c>
      <c r="K110" s="1774"/>
      <c r="L110" s="1774"/>
      <c r="M110" s="1774"/>
      <c r="N110" s="1774"/>
      <c r="O110" s="1774"/>
      <c r="P110" s="1774"/>
      <c r="Q110" s="1683" t="s">
        <v>104</v>
      </c>
      <c r="R110" s="1683"/>
      <c r="S110" s="1683"/>
      <c r="T110" s="1683"/>
      <c r="U110" s="1683" t="s">
        <v>119</v>
      </c>
      <c r="V110" s="1683"/>
      <c r="W110" s="1683"/>
      <c r="X110" s="1683" t="s">
        <v>89</v>
      </c>
      <c r="Y110" s="1683"/>
      <c r="Z110" s="1683"/>
      <c r="AA110" s="1683" t="s">
        <v>120</v>
      </c>
      <c r="AB110" s="1683"/>
    </row>
    <row r="111" spans="1:28" s="556" customFormat="1" ht="17.25" customHeight="1">
      <c r="A111" s="1614"/>
      <c r="B111" s="1623"/>
      <c r="C111" s="1779" t="s">
        <v>236</v>
      </c>
      <c r="D111" s="1536"/>
      <c r="E111" s="1536" t="s">
        <v>41</v>
      </c>
      <c r="F111" s="1536"/>
      <c r="G111" s="1536"/>
      <c r="H111" s="1536"/>
      <c r="I111" s="1536"/>
      <c r="J111" s="1780"/>
      <c r="K111" s="1780"/>
      <c r="L111" s="1780"/>
      <c r="M111" s="1780"/>
      <c r="N111" s="1780"/>
      <c r="O111" s="1780"/>
      <c r="P111" s="1780"/>
      <c r="Q111" s="1536" t="s">
        <v>110</v>
      </c>
      <c r="R111" s="1536"/>
      <c r="S111" s="1536"/>
      <c r="T111" s="1536"/>
      <c r="U111" s="1781"/>
      <c r="V111" s="1781"/>
      <c r="W111" s="1781"/>
      <c r="X111" s="1780"/>
      <c r="Y111" s="1780"/>
      <c r="Z111" s="1780"/>
      <c r="AA111" s="1778"/>
      <c r="AB111" s="1778"/>
    </row>
    <row r="112" spans="1:28" s="556" customFormat="1" ht="17.25" customHeight="1">
      <c r="A112" s="1614"/>
      <c r="B112" s="1623"/>
      <c r="C112" s="1779"/>
      <c r="D112" s="1536"/>
      <c r="E112" s="1780"/>
      <c r="F112" s="1780"/>
      <c r="G112" s="1780"/>
      <c r="H112" s="1780"/>
      <c r="I112" s="1780"/>
      <c r="J112" s="1780"/>
      <c r="K112" s="1780"/>
      <c r="L112" s="1780"/>
      <c r="M112" s="1780"/>
      <c r="N112" s="1780"/>
      <c r="O112" s="1780"/>
      <c r="P112" s="1780"/>
      <c r="Q112" s="1536" t="s">
        <v>111</v>
      </c>
      <c r="R112" s="1536"/>
      <c r="S112" s="1536"/>
      <c r="T112" s="1536"/>
      <c r="U112" s="1781"/>
      <c r="V112" s="1781"/>
      <c r="W112" s="1781"/>
      <c r="X112" s="1780"/>
      <c r="Y112" s="1780"/>
      <c r="Z112" s="1780"/>
      <c r="AA112" s="1778"/>
      <c r="AB112" s="1778"/>
    </row>
    <row r="113" spans="1:31" s="556" customFormat="1" ht="19.5" customHeight="1">
      <c r="A113" s="1614"/>
      <c r="B113" s="1623"/>
      <c r="C113" s="1780"/>
      <c r="D113" s="1780"/>
      <c r="E113" s="1780"/>
      <c r="F113" s="1780"/>
      <c r="G113" s="1780"/>
      <c r="H113" s="1780"/>
      <c r="I113" s="1780"/>
      <c r="J113" s="1780"/>
      <c r="K113" s="1780"/>
      <c r="L113" s="1780"/>
      <c r="M113" s="1780"/>
      <c r="N113" s="1780"/>
      <c r="O113" s="1780"/>
      <c r="P113" s="1780"/>
      <c r="Q113" s="1536" t="s">
        <v>112</v>
      </c>
      <c r="R113" s="1536"/>
      <c r="S113" s="1536"/>
      <c r="T113" s="1536"/>
      <c r="U113" s="1781"/>
      <c r="V113" s="1781"/>
      <c r="W113" s="1781"/>
      <c r="X113" s="1780"/>
      <c r="Y113" s="1780"/>
      <c r="Z113" s="1780"/>
      <c r="AA113" s="1778"/>
      <c r="AB113" s="1778"/>
    </row>
    <row r="114" spans="1:31" s="556" customFormat="1" ht="15.75" customHeight="1">
      <c r="A114" s="1614"/>
      <c r="B114" s="1623"/>
      <c r="C114" s="1780"/>
      <c r="D114" s="1780"/>
      <c r="E114" s="1780"/>
      <c r="F114" s="1780"/>
      <c r="G114" s="1780"/>
      <c r="H114" s="1780"/>
      <c r="I114" s="1780"/>
      <c r="J114" s="1780"/>
      <c r="K114" s="1780"/>
      <c r="L114" s="1780"/>
      <c r="M114" s="1780"/>
      <c r="N114" s="1780"/>
      <c r="O114" s="1780"/>
      <c r="P114" s="1780"/>
      <c r="Q114" s="1536" t="s">
        <v>113</v>
      </c>
      <c r="R114" s="1536"/>
      <c r="S114" s="1536"/>
      <c r="T114" s="1536"/>
      <c r="U114" s="1781"/>
      <c r="V114" s="1781"/>
      <c r="W114" s="1781"/>
      <c r="X114" s="1780"/>
      <c r="Y114" s="1780"/>
      <c r="Z114" s="1780"/>
      <c r="AA114" s="1778"/>
      <c r="AB114" s="1778"/>
    </row>
    <row r="115" spans="1:31" s="556" customFormat="1" ht="15.75" customHeight="1">
      <c r="A115" s="1614"/>
      <c r="B115" s="1623"/>
      <c r="C115" s="1780"/>
      <c r="D115" s="1780"/>
      <c r="E115" s="1780"/>
      <c r="F115" s="1780"/>
      <c r="G115" s="1780"/>
      <c r="H115" s="1780"/>
      <c r="I115" s="1780"/>
      <c r="J115" s="1780"/>
      <c r="K115" s="1780"/>
      <c r="L115" s="1780"/>
      <c r="M115" s="1780"/>
      <c r="N115" s="1780"/>
      <c r="O115" s="1780"/>
      <c r="P115" s="1780"/>
      <c r="Q115" s="1536" t="s">
        <v>114</v>
      </c>
      <c r="R115" s="1536"/>
      <c r="S115" s="1536"/>
      <c r="T115" s="1536"/>
      <c r="U115" s="1781"/>
      <c r="V115" s="1781"/>
      <c r="W115" s="1781"/>
      <c r="X115" s="1780"/>
      <c r="Y115" s="1780"/>
      <c r="Z115" s="1780"/>
      <c r="AA115" s="1778"/>
      <c r="AB115" s="1778"/>
    </row>
    <row r="116" spans="1:31" s="556" customFormat="1" ht="11.25" customHeight="1">
      <c r="A116" s="1614"/>
      <c r="B116" s="487"/>
      <c r="C116" s="505"/>
      <c r="D116" s="505"/>
      <c r="E116" s="505"/>
      <c r="F116" s="505"/>
      <c r="G116" s="505"/>
      <c r="H116" s="505"/>
      <c r="I116" s="505"/>
      <c r="J116" s="505"/>
      <c r="K116" s="505"/>
      <c r="L116" s="505"/>
      <c r="M116" s="505"/>
      <c r="N116" s="505"/>
      <c r="O116" s="505"/>
      <c r="P116" s="505"/>
      <c r="Q116" s="512"/>
      <c r="R116" s="512"/>
      <c r="S116" s="512"/>
      <c r="T116" s="512"/>
      <c r="X116" s="505"/>
      <c r="Y116" s="505"/>
      <c r="Z116" s="505"/>
    </row>
    <row r="117" spans="1:31" s="556" customFormat="1" ht="17.25" customHeight="1">
      <c r="A117" s="1614"/>
      <c r="B117" s="1614" t="s">
        <v>29</v>
      </c>
      <c r="C117" s="1589" t="s">
        <v>122</v>
      </c>
      <c r="D117" s="1589"/>
      <c r="E117" s="1589"/>
      <c r="F117" s="1589"/>
      <c r="G117" s="1589"/>
      <c r="H117" s="1589"/>
      <c r="I117" s="1589"/>
      <c r="J117" s="1589"/>
      <c r="K117" s="1589"/>
      <c r="L117" s="1589"/>
      <c r="M117" s="1589"/>
      <c r="N117" s="1589"/>
      <c r="O117" s="1589"/>
      <c r="P117" s="1589"/>
      <c r="Q117" s="1589"/>
      <c r="R117" s="1589"/>
      <c r="S117" s="1589"/>
      <c r="T117" s="1589"/>
      <c r="U117" s="1589"/>
      <c r="V117" s="1589"/>
      <c r="W117" s="1589"/>
      <c r="X117" s="1589"/>
      <c r="Y117" s="1589"/>
      <c r="Z117" s="1622" t="s">
        <v>212</v>
      </c>
      <c r="AA117" s="1622"/>
      <c r="AB117" s="1622"/>
    </row>
    <row r="118" spans="1:31" s="569" customFormat="1" ht="17.25" customHeight="1">
      <c r="A118" s="1614"/>
      <c r="B118" s="1614"/>
      <c r="C118" s="1517" t="s">
        <v>15</v>
      </c>
      <c r="D118" s="1517"/>
      <c r="E118" s="1517" t="s">
        <v>123</v>
      </c>
      <c r="F118" s="1517"/>
      <c r="G118" s="1517"/>
      <c r="H118" s="1517"/>
      <c r="I118" s="1517"/>
      <c r="J118" s="1517"/>
      <c r="K118" s="1517"/>
      <c r="L118" s="1517"/>
      <c r="M118" s="1517"/>
      <c r="N118" s="1517"/>
      <c r="O118" s="1517" t="s">
        <v>94</v>
      </c>
      <c r="P118" s="1517"/>
      <c r="Q118" s="1517"/>
      <c r="R118" s="1517"/>
      <c r="S118" s="1517"/>
      <c r="T118" s="1517" t="s">
        <v>95</v>
      </c>
      <c r="U118" s="1517"/>
      <c r="V118" s="1517"/>
      <c r="W118" s="1517"/>
      <c r="X118" s="1517" t="s">
        <v>96</v>
      </c>
      <c r="Y118" s="1517"/>
      <c r="Z118" s="1517"/>
      <c r="AA118" s="1517"/>
      <c r="AB118" s="1517"/>
    </row>
    <row r="119" spans="1:31" s="569" customFormat="1" ht="17.25" customHeight="1">
      <c r="A119" s="1614"/>
      <c r="B119" s="1614"/>
      <c r="C119" s="1517">
        <v>1</v>
      </c>
      <c r="D119" s="1517"/>
      <c r="E119" s="1531" t="s">
        <v>45</v>
      </c>
      <c r="F119" s="1532"/>
      <c r="G119" s="1532"/>
      <c r="H119" s="1532"/>
      <c r="I119" s="1532"/>
      <c r="J119" s="1532"/>
      <c r="K119" s="1532"/>
      <c r="L119" s="1532"/>
      <c r="M119" s="1532"/>
      <c r="N119" s="1532"/>
      <c r="O119" s="1532"/>
      <c r="P119" s="1532"/>
      <c r="Q119" s="1532"/>
      <c r="R119" s="1532"/>
      <c r="S119" s="1532"/>
      <c r="T119" s="1532"/>
      <c r="U119" s="1532"/>
      <c r="V119" s="1532"/>
      <c r="W119" s="1532"/>
      <c r="X119" s="1532"/>
      <c r="Y119" s="1532"/>
      <c r="Z119" s="1532"/>
      <c r="AA119" s="1532"/>
      <c r="AB119" s="1516"/>
    </row>
    <row r="120" spans="1:31" s="556" customFormat="1" ht="8.25" customHeight="1">
      <c r="A120" s="573"/>
    </row>
    <row r="121" spans="1:31" s="556" customFormat="1" ht="20.25" customHeight="1">
      <c r="A121" s="699" t="s">
        <v>238</v>
      </c>
      <c r="B121" s="1782" t="s">
        <v>258</v>
      </c>
      <c r="C121" s="1782"/>
      <c r="D121" s="1782"/>
      <c r="E121" s="1782"/>
      <c r="F121" s="1782"/>
      <c r="G121" s="1782"/>
      <c r="H121" s="1782"/>
      <c r="I121" s="1782"/>
      <c r="J121" s="1782"/>
      <c r="K121" s="1782"/>
      <c r="L121" s="1782"/>
      <c r="M121" s="1782"/>
      <c r="N121" s="1782"/>
      <c r="O121" s="1782"/>
      <c r="P121" s="1782"/>
      <c r="Q121" s="1782"/>
      <c r="R121" s="1782"/>
      <c r="S121" s="1782"/>
      <c r="T121" s="510" t="s">
        <v>124</v>
      </c>
      <c r="U121" s="510"/>
      <c r="V121" s="510"/>
      <c r="W121" s="510"/>
      <c r="X121" s="510"/>
      <c r="Y121" s="510"/>
      <c r="Z121" s="510"/>
      <c r="AA121" s="510"/>
      <c r="AB121" s="510"/>
    </row>
    <row r="122" spans="1:31" s="556" customFormat="1" ht="16.5" customHeight="1">
      <c r="A122" s="699" t="s">
        <v>252</v>
      </c>
      <c r="B122" s="1614" t="s">
        <v>257</v>
      </c>
      <c r="C122" s="1614"/>
      <c r="D122" s="1614"/>
      <c r="E122" s="1614"/>
      <c r="F122" s="1614"/>
      <c r="G122" s="1614"/>
      <c r="H122" s="1614"/>
      <c r="I122" s="1614"/>
      <c r="J122" s="1614"/>
      <c r="K122" s="1614"/>
      <c r="L122" s="1614"/>
      <c r="M122" s="1614"/>
      <c r="N122" s="1614"/>
      <c r="O122" s="1614"/>
      <c r="P122" s="1614"/>
      <c r="Q122" s="487" t="s">
        <v>1</v>
      </c>
      <c r="R122" s="1783" t="s">
        <v>1092</v>
      </c>
      <c r="S122" s="1784"/>
      <c r="T122" s="1784"/>
      <c r="U122" s="1784"/>
      <c r="V122" s="1784"/>
      <c r="W122" s="1784"/>
      <c r="X122" s="1784"/>
      <c r="Y122" s="1784"/>
      <c r="Z122" s="1784"/>
      <c r="AA122" s="1784"/>
      <c r="AB122" s="1784"/>
    </row>
    <row r="123" spans="1:31" s="556" customFormat="1" ht="31.5" customHeight="1">
      <c r="A123" s="573" t="s">
        <v>253</v>
      </c>
      <c r="B123" s="1785" t="s">
        <v>1182</v>
      </c>
      <c r="C123" s="1785"/>
      <c r="D123" s="1785"/>
      <c r="E123" s="1785"/>
      <c r="F123" s="1785"/>
      <c r="G123" s="1785"/>
      <c r="H123" s="1785"/>
      <c r="I123" s="1785"/>
      <c r="J123" s="1785"/>
      <c r="K123" s="1785"/>
      <c r="L123" s="1785"/>
      <c r="M123" s="1785"/>
      <c r="N123" s="1785"/>
      <c r="O123" s="1785"/>
      <c r="P123" s="1785"/>
      <c r="Q123" s="510" t="s">
        <v>1</v>
      </c>
      <c r="R123" s="1734" t="s">
        <v>41</v>
      </c>
      <c r="S123" s="1734"/>
      <c r="T123" s="1734"/>
      <c r="U123" s="1734"/>
      <c r="V123" s="1734"/>
      <c r="W123" s="1734"/>
      <c r="X123" s="1734"/>
      <c r="Y123" s="1734"/>
      <c r="Z123" s="1734"/>
      <c r="AA123" s="1734"/>
      <c r="AB123" s="1734"/>
    </row>
    <row r="124" spans="1:31" s="556" customFormat="1" ht="20.25" customHeight="1">
      <c r="A124" s="573" t="s">
        <v>254</v>
      </c>
      <c r="B124" s="1785" t="s">
        <v>867</v>
      </c>
      <c r="C124" s="1785"/>
      <c r="D124" s="1785"/>
      <c r="E124" s="1785"/>
      <c r="F124" s="1785"/>
      <c r="G124" s="1785"/>
      <c r="H124" s="1785"/>
      <c r="I124" s="1785"/>
      <c r="J124" s="1785"/>
      <c r="K124" s="1785"/>
      <c r="L124" s="1785"/>
      <c r="M124" s="1785"/>
      <c r="N124" s="1785"/>
      <c r="O124" s="1785"/>
      <c r="P124" s="1785"/>
      <c r="Q124" s="556" t="s">
        <v>1</v>
      </c>
      <c r="R124" s="1375"/>
      <c r="S124" s="1375"/>
      <c r="T124" s="512" t="s">
        <v>290</v>
      </c>
      <c r="U124" s="512"/>
      <c r="V124" s="512"/>
      <c r="W124" s="512"/>
      <c r="X124" s="512"/>
      <c r="Y124" s="512"/>
      <c r="Z124" s="512"/>
      <c r="AA124" s="512"/>
      <c r="AB124" s="512"/>
      <c r="AE124" s="576" t="s">
        <v>601</v>
      </c>
    </row>
    <row r="125" spans="1:31" s="556" customFormat="1" ht="19.5" customHeight="1">
      <c r="A125" s="557" t="s">
        <v>186</v>
      </c>
      <c r="B125" s="1785" t="s">
        <v>239</v>
      </c>
      <c r="C125" s="1785"/>
      <c r="D125" s="1785"/>
      <c r="E125" s="1785"/>
      <c r="F125" s="1785"/>
      <c r="G125" s="1785"/>
      <c r="H125" s="1785"/>
      <c r="I125" s="1785"/>
      <c r="J125" s="1785"/>
      <c r="K125" s="1785"/>
      <c r="L125" s="1785"/>
      <c r="M125" s="1785"/>
      <c r="N125" s="1785"/>
      <c r="O125" s="1785"/>
      <c r="P125" s="1785"/>
      <c r="Q125" s="556" t="s">
        <v>1</v>
      </c>
      <c r="R125" s="1788" t="s">
        <v>1054</v>
      </c>
      <c r="S125" s="1788"/>
      <c r="T125" s="1788"/>
      <c r="U125" s="1788"/>
      <c r="V125" s="1788"/>
      <c r="W125" s="1788"/>
      <c r="X125" s="1788"/>
      <c r="Y125" s="1788"/>
      <c r="Z125" s="1788"/>
      <c r="AA125" s="1788"/>
      <c r="AB125" s="1788"/>
    </row>
    <row r="126" spans="1:31" s="556" customFormat="1" ht="20.25" customHeight="1">
      <c r="A126" s="573" t="s">
        <v>187</v>
      </c>
      <c r="B126" s="1785" t="s">
        <v>240</v>
      </c>
      <c r="C126" s="1785"/>
      <c r="D126" s="1785"/>
      <c r="E126" s="1785"/>
      <c r="F126" s="1785"/>
      <c r="G126" s="1785"/>
      <c r="H126" s="1785"/>
      <c r="I126" s="1785"/>
      <c r="J126" s="1785"/>
      <c r="K126" s="1785"/>
      <c r="L126" s="1785"/>
      <c r="M126" s="1785"/>
      <c r="N126" s="1785"/>
      <c r="O126" s="1785"/>
      <c r="P126" s="1785"/>
      <c r="Q126" s="556" t="s">
        <v>1</v>
      </c>
      <c r="R126" s="1786" t="str">
        <f>'Data Input'!D26&amp;   " I  2024-2025 Ki eQi"</f>
        <v>186078663120 I  2024-2025 Ki eQi</v>
      </c>
      <c r="S126" s="1786"/>
      <c r="T126" s="1786"/>
      <c r="U126" s="1786"/>
      <c r="V126" s="1786"/>
      <c r="W126" s="1786"/>
      <c r="X126" s="1786"/>
      <c r="Y126" s="1786"/>
      <c r="Z126" s="1786"/>
      <c r="AA126" s="1786"/>
      <c r="AB126" s="1786"/>
    </row>
    <row r="127" spans="1:31" s="556" customFormat="1" ht="17.25" customHeight="1">
      <c r="A127" s="573" t="s">
        <v>188</v>
      </c>
      <c r="B127" s="1785" t="s">
        <v>241</v>
      </c>
      <c r="C127" s="1785"/>
      <c r="D127" s="1785"/>
      <c r="E127" s="1785"/>
      <c r="F127" s="1785"/>
      <c r="G127" s="1785"/>
      <c r="H127" s="1785"/>
      <c r="I127" s="1785"/>
      <c r="J127" s="1785"/>
      <c r="K127" s="1785"/>
      <c r="L127" s="1785"/>
      <c r="M127" s="1785"/>
      <c r="N127" s="1785"/>
      <c r="O127" s="1785"/>
      <c r="P127" s="1785"/>
      <c r="Q127" s="556" t="s">
        <v>1</v>
      </c>
      <c r="R127" s="1787" t="s">
        <v>41</v>
      </c>
      <c r="S127" s="1787"/>
      <c r="T127" s="1787"/>
      <c r="U127" s="1787"/>
      <c r="V127" s="1787"/>
      <c r="W127" s="1787"/>
      <c r="X127" s="1787"/>
      <c r="Y127" s="1787"/>
      <c r="Z127" s="1787"/>
      <c r="AA127" s="1787"/>
      <c r="AB127" s="1787"/>
    </row>
    <row r="128" spans="1:31" s="556" customFormat="1" ht="17.25" customHeight="1">
      <c r="A128" s="580" t="s">
        <v>189</v>
      </c>
      <c r="B128" s="1785" t="s">
        <v>1017</v>
      </c>
      <c r="C128" s="1785"/>
      <c r="D128" s="1785"/>
      <c r="E128" s="1785"/>
      <c r="F128" s="1785"/>
      <c r="G128" s="1785"/>
      <c r="H128" s="1785"/>
      <c r="I128" s="1785"/>
      <c r="J128" s="1785"/>
      <c r="K128" s="1785"/>
      <c r="L128" s="1785"/>
      <c r="M128" s="1785"/>
      <c r="N128" s="1785"/>
      <c r="O128" s="1785"/>
      <c r="P128" s="1785"/>
      <c r="Q128" s="556" t="s">
        <v>1</v>
      </c>
      <c r="R128" s="1787" t="s">
        <v>1177</v>
      </c>
      <c r="S128" s="1787"/>
      <c r="T128" s="1787"/>
      <c r="U128" s="1787"/>
      <c r="V128" s="1787"/>
      <c r="W128" s="1787"/>
      <c r="X128" s="1787"/>
      <c r="Y128" s="1787"/>
      <c r="Z128" s="1787"/>
      <c r="AA128" s="1787"/>
      <c r="AB128" s="1787"/>
    </row>
    <row r="129" spans="1:33" s="556" customFormat="1" ht="18.75" customHeight="1">
      <c r="A129" s="573" t="s">
        <v>190</v>
      </c>
      <c r="B129" s="1785" t="s">
        <v>242</v>
      </c>
      <c r="C129" s="1785"/>
      <c r="D129" s="1785"/>
      <c r="E129" s="1785"/>
      <c r="F129" s="1785"/>
      <c r="G129" s="1785"/>
      <c r="H129" s="1785"/>
      <c r="I129" s="1785"/>
      <c r="J129" s="1785"/>
      <c r="K129" s="1785"/>
      <c r="L129" s="1785"/>
      <c r="M129" s="1785"/>
      <c r="N129" s="1785"/>
      <c r="O129" s="1785"/>
      <c r="P129" s="1785"/>
      <c r="Q129" s="556" t="s">
        <v>1</v>
      </c>
      <c r="R129" s="1863" t="s">
        <v>1067</v>
      </c>
      <c r="S129" s="1863"/>
      <c r="T129" s="1863"/>
      <c r="U129" s="1863"/>
      <c r="V129" s="1863"/>
      <c r="W129" s="1863"/>
      <c r="X129" s="1863"/>
      <c r="Y129" s="1863"/>
      <c r="Z129" s="1863"/>
      <c r="AA129" s="1863"/>
      <c r="AB129" s="1863"/>
    </row>
    <row r="130" spans="1:33" ht="6" customHeight="1"/>
    <row r="131" spans="1:33" s="556" customFormat="1" ht="17.25" customHeight="1">
      <c r="A131" s="1614" t="s">
        <v>191</v>
      </c>
      <c r="B131" s="1785" t="str">
        <f>"cÖ¯ÍvweZ RvgvbwZ m¤úwËi g~j¨ I m‡ev©”P FYmxgv (GgwmGj) Gj Gd Abyhvqx t "</f>
        <v xml:space="preserve">cÖ¯ÍvweZ RvgvbwZ m¤úwËi g~j¨ I m‡ev©”P FYmxgv (GgwmGj) Gj Gd Abyhvqx t </v>
      </c>
      <c r="C131" s="1785"/>
      <c r="D131" s="1785"/>
      <c r="E131" s="1785"/>
      <c r="F131" s="1785"/>
      <c r="G131" s="1785"/>
      <c r="H131" s="1785"/>
      <c r="I131" s="1785"/>
      <c r="J131" s="1785"/>
      <c r="K131" s="1785"/>
      <c r="L131" s="1785"/>
      <c r="M131" s="1785"/>
      <c r="N131" s="1785"/>
      <c r="O131" s="1785"/>
      <c r="P131" s="1785"/>
      <c r="Q131" s="1785"/>
      <c r="R131" s="1785"/>
      <c r="S131" s="1785"/>
      <c r="T131" s="1785"/>
      <c r="U131" s="1785"/>
      <c r="V131" s="1785"/>
      <c r="W131" s="1785"/>
      <c r="X131" s="1785"/>
      <c r="Y131" s="1785"/>
      <c r="Z131" s="1622" t="s">
        <v>212</v>
      </c>
      <c r="AA131" s="1622"/>
      <c r="AB131" s="1622"/>
    </row>
    <row r="132" spans="1:33" s="556" customFormat="1" ht="17.25" customHeight="1">
      <c r="A132" s="1614"/>
      <c r="B132" s="1745" t="s">
        <v>103</v>
      </c>
      <c r="C132" s="1864" t="s">
        <v>126</v>
      </c>
      <c r="D132" s="1864"/>
      <c r="E132" s="1864"/>
      <c r="F132" s="1864"/>
      <c r="G132" s="1864"/>
      <c r="H132" s="1864"/>
      <c r="I132" s="1864" t="s">
        <v>127</v>
      </c>
      <c r="J132" s="1864"/>
      <c r="K132" s="1864"/>
      <c r="L132" s="1864" t="s">
        <v>128</v>
      </c>
      <c r="M132" s="1864"/>
      <c r="N132" s="1864"/>
      <c r="O132" s="1864"/>
      <c r="P132" s="1656" t="s">
        <v>129</v>
      </c>
      <c r="Q132" s="1656"/>
      <c r="R132" s="1656"/>
      <c r="S132" s="1656" t="s">
        <v>130</v>
      </c>
      <c r="T132" s="1656"/>
      <c r="U132" s="1656" t="s">
        <v>131</v>
      </c>
      <c r="V132" s="1656"/>
      <c r="W132" s="1656"/>
      <c r="X132" s="1656" t="s">
        <v>868</v>
      </c>
      <c r="Y132" s="1656"/>
      <c r="Z132" s="1656"/>
      <c r="AA132" s="1656"/>
      <c r="AB132" s="1656"/>
    </row>
    <row r="133" spans="1:33" s="569" customFormat="1" ht="17.25" customHeight="1">
      <c r="A133" s="1614"/>
      <c r="B133" s="1745"/>
      <c r="C133" s="1864"/>
      <c r="D133" s="1864"/>
      <c r="E133" s="1864"/>
      <c r="F133" s="1864"/>
      <c r="G133" s="1864"/>
      <c r="H133" s="1864"/>
      <c r="I133" s="1864"/>
      <c r="J133" s="1864"/>
      <c r="K133" s="1864"/>
      <c r="L133" s="1864"/>
      <c r="M133" s="1864"/>
      <c r="N133" s="1864"/>
      <c r="O133" s="1864"/>
      <c r="P133" s="1656"/>
      <c r="Q133" s="1656"/>
      <c r="R133" s="1656"/>
      <c r="S133" s="1656"/>
      <c r="T133" s="1656"/>
      <c r="U133" s="1656"/>
      <c r="V133" s="1656"/>
      <c r="W133" s="1656"/>
      <c r="X133" s="1789" t="s">
        <v>243</v>
      </c>
      <c r="Y133" s="1789"/>
      <c r="Z133" s="1789"/>
      <c r="AA133" s="1790" t="s">
        <v>244</v>
      </c>
      <c r="AB133" s="1790"/>
    </row>
    <row r="134" spans="1:33" s="569" customFormat="1" ht="18.75" customHeight="1">
      <c r="A134" s="1614"/>
      <c r="B134" s="1745"/>
      <c r="C134" s="1791" t="str">
        <f>+'LF-5'!A62</f>
        <v>(1) D”P g~‡j¨i Rwg</v>
      </c>
      <c r="D134" s="1792"/>
      <c r="E134" s="1792"/>
      <c r="F134" s="1792"/>
      <c r="G134" s="1792"/>
      <c r="H134" s="1793"/>
      <c r="I134" s="1794">
        <f>'LF-5'!S17</f>
        <v>0</v>
      </c>
      <c r="J134" s="1794"/>
      <c r="K134" s="1794"/>
      <c r="L134" s="1795">
        <f>'LF-5'!I70/100000</f>
        <v>0</v>
      </c>
      <c r="M134" s="1796"/>
      <c r="N134" s="1796"/>
      <c r="O134" s="1797"/>
      <c r="P134" s="1798">
        <f>'LF-5'!O70/100000</f>
        <v>0</v>
      </c>
      <c r="Q134" s="1798"/>
      <c r="R134" s="1798"/>
      <c r="S134" s="1799"/>
      <c r="T134" s="1799"/>
      <c r="U134" s="1800">
        <f>+P134</f>
        <v>0</v>
      </c>
      <c r="V134" s="1800"/>
      <c r="W134" s="1800"/>
      <c r="X134" s="1801">
        <f>Valuation!AF63/100000</f>
        <v>0</v>
      </c>
      <c r="Y134" s="1802"/>
      <c r="Z134" s="1803"/>
      <c r="AA134" s="1807" t="str">
        <f>IF('LF-5'!AI81&gt;0,"75%","75")</f>
        <v>75</v>
      </c>
      <c r="AB134" s="1808"/>
      <c r="AE134" s="577" t="s">
        <v>598</v>
      </c>
    </row>
    <row r="135" spans="1:33" s="569" customFormat="1" ht="15" customHeight="1">
      <c r="A135" s="1614"/>
      <c r="B135" s="1745"/>
      <c r="C135" s="1791" t="str">
        <f>+'LF-5'!A63</f>
        <v>(2) ga¨g g~‡j¨i Rwg</v>
      </c>
      <c r="D135" s="1792"/>
      <c r="E135" s="1792"/>
      <c r="F135" s="1792"/>
      <c r="G135" s="1792"/>
      <c r="H135" s="1793"/>
      <c r="I135" s="1860" t="str">
        <f>+'[2]LF-5'!G79</f>
        <v/>
      </c>
      <c r="J135" s="1860"/>
      <c r="K135" s="1860"/>
      <c r="L135" s="1819">
        <f>+'LF-5'!K63</f>
        <v>0</v>
      </c>
      <c r="M135" s="1820"/>
      <c r="N135" s="1820"/>
      <c r="O135" s="1821"/>
      <c r="P135" s="1861">
        <f>+'LF-5'!Q63</f>
        <v>0</v>
      </c>
      <c r="Q135" s="1861"/>
      <c r="R135" s="1861"/>
      <c r="S135" s="1799"/>
      <c r="T135" s="1799"/>
      <c r="U135" s="1862">
        <f>+P135</f>
        <v>0</v>
      </c>
      <c r="V135" s="1862"/>
      <c r="W135" s="1862"/>
      <c r="X135" s="1804"/>
      <c r="Y135" s="1805"/>
      <c r="Z135" s="1806"/>
      <c r="AA135" s="1809"/>
      <c r="AB135" s="1810"/>
      <c r="AE135" s="570"/>
    </row>
    <row r="136" spans="1:33" s="569" customFormat="1" ht="16.5" customHeight="1">
      <c r="A136" s="1614"/>
      <c r="B136" s="1745"/>
      <c r="C136" s="1791" t="str">
        <f>+'LF-5'!A64</f>
        <v>(3) wbgœ g~‡j¨i Rwg</v>
      </c>
      <c r="D136" s="1792"/>
      <c r="E136" s="1792"/>
      <c r="F136" s="1792"/>
      <c r="G136" s="1792"/>
      <c r="H136" s="1793"/>
      <c r="I136" s="1822" t="str">
        <f>+'[2]LF-5'!G80</f>
        <v/>
      </c>
      <c r="J136" s="1823"/>
      <c r="K136" s="1824"/>
      <c r="L136" s="1819">
        <f>+'LF-5'!K64</f>
        <v>0</v>
      </c>
      <c r="M136" s="1820"/>
      <c r="N136" s="1820"/>
      <c r="O136" s="1821"/>
      <c r="P136" s="1816">
        <f>+'LF-5'!Q64</f>
        <v>0</v>
      </c>
      <c r="Q136" s="1817"/>
      <c r="R136" s="1818"/>
      <c r="S136" s="1814"/>
      <c r="T136" s="1815"/>
      <c r="U136" s="1811">
        <f>+P136</f>
        <v>0</v>
      </c>
      <c r="V136" s="1812"/>
      <c r="W136" s="1813"/>
      <c r="X136" s="1804"/>
      <c r="Y136" s="1805"/>
      <c r="Z136" s="1806"/>
      <c r="AA136" s="1809"/>
      <c r="AB136" s="1810"/>
      <c r="AE136" s="570"/>
    </row>
    <row r="137" spans="1:33" s="545" customFormat="1" ht="13.5" customHeight="1">
      <c r="A137" s="1614"/>
      <c r="C137" s="1536" t="s">
        <v>307</v>
      </c>
      <c r="D137" s="1536"/>
      <c r="E137" s="1536"/>
      <c r="F137" s="1536"/>
      <c r="G137" s="1536"/>
      <c r="H137" s="1536"/>
      <c r="I137" s="1826">
        <f>SUM(I134:K136)</f>
        <v>0</v>
      </c>
      <c r="J137" s="1826"/>
      <c r="K137" s="1826"/>
      <c r="L137" s="1827">
        <f>SUM(L134:L136)</f>
        <v>0</v>
      </c>
      <c r="M137" s="1828"/>
      <c r="N137" s="1828"/>
      <c r="O137" s="1829"/>
      <c r="P137" s="1830">
        <f>SUM(P134:R136)</f>
        <v>0</v>
      </c>
      <c r="Q137" s="1830"/>
      <c r="R137" s="1830"/>
      <c r="S137" s="1518"/>
      <c r="T137" s="1478"/>
      <c r="U137" s="1831">
        <f>SUM(U134:W136)</f>
        <v>0</v>
      </c>
      <c r="V137" s="1831"/>
      <c r="W137" s="1831"/>
      <c r="X137" s="1833">
        <f>SUM(X134:Z136)</f>
        <v>0</v>
      </c>
      <c r="Y137" s="1833"/>
      <c r="Z137" s="1833"/>
      <c r="AA137" s="1518"/>
      <c r="AB137" s="1478"/>
      <c r="AE137" s="1836">
        <f>U137*AA134/100</f>
        <v>0</v>
      </c>
      <c r="AF137" s="1836"/>
    </row>
    <row r="138" spans="1:33" s="545" customFormat="1" ht="11.25" customHeight="1">
      <c r="A138" s="1614"/>
      <c r="C138" s="581"/>
      <c r="D138" s="581"/>
      <c r="E138" s="579"/>
      <c r="F138" s="579"/>
      <c r="G138" s="579"/>
      <c r="H138" s="579"/>
      <c r="I138" s="700"/>
      <c r="J138" s="700"/>
      <c r="K138" s="700"/>
      <c r="L138" s="579"/>
      <c r="M138" s="579"/>
      <c r="N138" s="579"/>
      <c r="O138" s="579"/>
      <c r="P138" s="701"/>
      <c r="Q138" s="702"/>
      <c r="R138" s="702"/>
      <c r="S138" s="579"/>
      <c r="T138" s="579"/>
      <c r="U138" s="703"/>
      <c r="V138" s="579"/>
      <c r="W138" s="579"/>
      <c r="X138" s="704"/>
      <c r="Y138" s="705"/>
      <c r="Z138" s="705"/>
      <c r="AA138" s="579"/>
      <c r="AB138" s="579"/>
    </row>
    <row r="139" spans="1:33" s="569" customFormat="1" ht="17.25" customHeight="1">
      <c r="A139" s="1614"/>
      <c r="B139" s="505" t="s">
        <v>116</v>
      </c>
      <c r="C139" s="1589" t="s">
        <v>245</v>
      </c>
      <c r="D139" s="1589"/>
      <c r="E139" s="1589"/>
      <c r="F139" s="1589"/>
      <c r="G139" s="1589"/>
      <c r="H139" s="1589"/>
      <c r="I139" s="1589"/>
      <c r="J139" s="1589"/>
      <c r="K139" s="1589"/>
      <c r="L139" s="1589"/>
      <c r="M139" s="1589"/>
      <c r="N139" s="1589"/>
      <c r="O139" s="1589"/>
      <c r="P139" s="1589"/>
      <c r="Q139" s="569" t="s">
        <v>1</v>
      </c>
      <c r="R139" s="1837" t="s">
        <v>1078</v>
      </c>
      <c r="S139" s="1837"/>
      <c r="T139" s="1837"/>
      <c r="U139" s="1837"/>
      <c r="V139" s="1837"/>
      <c r="W139" s="1837"/>
      <c r="X139" s="1837"/>
      <c r="Y139" s="1837"/>
      <c r="Z139" s="1837"/>
      <c r="AA139" s="1837"/>
      <c r="AB139" s="1837"/>
      <c r="AG139" s="510"/>
    </row>
    <row r="140" spans="1:33" s="569" customFormat="1" ht="17.25" customHeight="1">
      <c r="A140" s="699"/>
      <c r="B140" s="505"/>
      <c r="C140" s="505"/>
      <c r="D140" s="505"/>
      <c r="E140" s="505"/>
      <c r="F140" s="505"/>
      <c r="G140" s="505"/>
      <c r="H140" s="505"/>
      <c r="I140" s="505"/>
      <c r="J140" s="505"/>
      <c r="K140" s="505"/>
      <c r="L140" s="505"/>
      <c r="M140" s="505"/>
      <c r="N140" s="505"/>
      <c r="O140" s="505"/>
      <c r="P140" s="505"/>
      <c r="AG140" s="510"/>
    </row>
    <row r="141" spans="1:33" s="569" customFormat="1" ht="17.25" customHeight="1">
      <c r="A141" s="699"/>
      <c r="B141" s="505"/>
      <c r="C141" s="505"/>
      <c r="D141" s="505"/>
      <c r="E141" s="505"/>
      <c r="F141" s="505"/>
      <c r="G141" s="505"/>
      <c r="H141" s="505"/>
      <c r="I141" s="505"/>
      <c r="J141" s="505"/>
      <c r="K141" s="505"/>
      <c r="L141" s="505"/>
      <c r="M141" s="505"/>
      <c r="N141" s="505"/>
      <c r="O141" s="505"/>
      <c r="P141" s="505"/>
      <c r="AG141" s="510"/>
    </row>
    <row r="142" spans="1:33" ht="9" customHeight="1"/>
    <row r="143" spans="1:33" s="556" customFormat="1" ht="18">
      <c r="A143" s="1614" t="s">
        <v>132</v>
      </c>
      <c r="B143" s="1825" t="s">
        <v>246</v>
      </c>
      <c r="C143" s="1825"/>
      <c r="D143" s="1825"/>
      <c r="E143" s="1825"/>
      <c r="F143" s="1825"/>
      <c r="G143" s="1825"/>
      <c r="H143" s="1825"/>
      <c r="I143" s="1825"/>
      <c r="J143" s="1825"/>
      <c r="K143" s="1825"/>
      <c r="L143" s="1825"/>
      <c r="M143" s="1825"/>
      <c r="N143" s="1825"/>
      <c r="O143" s="1825"/>
      <c r="P143" s="1825"/>
      <c r="Q143" s="556" t="s">
        <v>1</v>
      </c>
      <c r="R143" s="1746" t="s">
        <v>247</v>
      </c>
      <c r="S143" s="1746"/>
      <c r="T143" s="1746"/>
      <c r="U143" s="1746"/>
      <c r="V143" s="1746"/>
      <c r="W143" s="1746"/>
      <c r="X143" s="1746"/>
      <c r="Y143" s="1746"/>
      <c r="Z143" s="1746"/>
      <c r="AA143" s="1746"/>
      <c r="AB143" s="1746"/>
      <c r="AG143" s="510"/>
    </row>
    <row r="144" spans="1:33" s="569" customFormat="1" ht="17.25" customHeight="1">
      <c r="A144" s="1614"/>
      <c r="B144" s="1623" t="s">
        <v>103</v>
      </c>
      <c r="C144" s="1514" t="s">
        <v>1074</v>
      </c>
      <c r="D144" s="1514"/>
      <c r="E144" s="1514"/>
      <c r="F144" s="1514"/>
      <c r="G144" s="1514"/>
      <c r="H144" s="1514"/>
      <c r="I144" s="1514"/>
      <c r="J144" s="1514"/>
      <c r="K144" s="1514"/>
      <c r="L144" s="1514"/>
      <c r="M144" s="1514"/>
      <c r="N144" s="1514"/>
      <c r="O144" s="1514"/>
      <c r="P144" s="1514"/>
      <c r="Q144" s="1514"/>
      <c r="R144" s="1514"/>
      <c r="S144" s="1514"/>
      <c r="T144" s="1514"/>
      <c r="U144" s="1514"/>
      <c r="V144" s="1514"/>
      <c r="W144" s="1514"/>
      <c r="X144" s="1514"/>
      <c r="Y144" s="1514"/>
      <c r="Z144" s="1514"/>
      <c r="AA144" s="1514"/>
      <c r="AB144" s="1514"/>
      <c r="AG144" s="487"/>
    </row>
    <row r="145" spans="1:31" s="569" customFormat="1" ht="17.25" customHeight="1">
      <c r="A145" s="1614"/>
      <c r="B145" s="1623"/>
      <c r="C145" s="1832" t="s">
        <v>15</v>
      </c>
      <c r="D145" s="1832"/>
      <c r="E145" s="1832" t="s">
        <v>133</v>
      </c>
      <c r="F145" s="1832"/>
      <c r="G145" s="1832"/>
      <c r="H145" s="1832"/>
      <c r="I145" s="1832"/>
      <c r="J145" s="1832"/>
      <c r="K145" s="1832"/>
      <c r="L145" s="1832"/>
      <c r="M145" s="1832"/>
      <c r="N145" s="1832" t="s">
        <v>134</v>
      </c>
      <c r="O145" s="1832"/>
      <c r="P145" s="1832"/>
      <c r="Q145" s="1832"/>
      <c r="R145" s="1832"/>
      <c r="S145" s="1832"/>
      <c r="T145" s="1832"/>
      <c r="U145" s="1832"/>
      <c r="V145" s="1832"/>
      <c r="W145" s="1832" t="s">
        <v>135</v>
      </c>
      <c r="X145" s="1832"/>
      <c r="Y145" s="1832"/>
      <c r="Z145" s="1832"/>
      <c r="AA145" s="1832"/>
      <c r="AB145" s="1832"/>
    </row>
    <row r="146" spans="1:31" s="569" customFormat="1" ht="17.25" customHeight="1">
      <c r="A146" s="1614"/>
      <c r="B146" s="1623"/>
      <c r="C146" s="1536">
        <v>1</v>
      </c>
      <c r="D146" s="1536"/>
      <c r="E146" s="1780" t="s">
        <v>136</v>
      </c>
      <c r="F146" s="1780"/>
      <c r="G146" s="1780"/>
      <c r="H146" s="1780"/>
      <c r="I146" s="1780"/>
      <c r="J146" s="1780"/>
      <c r="K146" s="1780"/>
      <c r="L146" s="1780"/>
      <c r="M146" s="1780"/>
      <c r="N146" s="1834" t="str">
        <f>Profile!F86</f>
        <v>30 w`b</v>
      </c>
      <c r="O146" s="1834"/>
      <c r="P146" s="1834"/>
      <c r="Q146" s="1834"/>
      <c r="R146" s="1834"/>
      <c r="S146" s="1834"/>
      <c r="T146" s="1834"/>
      <c r="U146" s="1834"/>
      <c r="V146" s="1834"/>
      <c r="W146" s="1835">
        <f>Profile!J86/1000</f>
        <v>6800</v>
      </c>
      <c r="X146" s="1835"/>
      <c r="Y146" s="1835"/>
      <c r="Z146" s="1835"/>
      <c r="AA146" s="1835"/>
      <c r="AB146" s="1835"/>
    </row>
    <row r="147" spans="1:31" s="569" customFormat="1" ht="17.25" customHeight="1">
      <c r="A147" s="1614"/>
      <c r="B147" s="1623"/>
      <c r="C147" s="1536">
        <v>2</v>
      </c>
      <c r="D147" s="1536"/>
      <c r="E147" s="1780" t="s">
        <v>1055</v>
      </c>
      <c r="F147" s="1780"/>
      <c r="G147" s="1780"/>
      <c r="H147" s="1780"/>
      <c r="I147" s="1780"/>
      <c r="J147" s="1780"/>
      <c r="K147" s="1780"/>
      <c r="L147" s="1780"/>
      <c r="M147" s="1780"/>
      <c r="N147" s="1838"/>
      <c r="O147" s="1838"/>
      <c r="P147" s="1838"/>
      <c r="Q147" s="1838"/>
      <c r="R147" s="1838"/>
      <c r="S147" s="1838"/>
      <c r="T147" s="1838"/>
      <c r="U147" s="1838"/>
      <c r="V147" s="1838"/>
      <c r="W147" s="1835"/>
      <c r="X147" s="1835"/>
      <c r="Y147" s="1835"/>
      <c r="Z147" s="1835"/>
      <c r="AA147" s="1835"/>
      <c r="AB147" s="1835"/>
    </row>
    <row r="148" spans="1:31" s="569" customFormat="1" ht="17.25" customHeight="1">
      <c r="A148" s="1614"/>
      <c r="B148" s="1623"/>
      <c r="C148" s="1536">
        <v>3</v>
      </c>
      <c r="D148" s="1536"/>
      <c r="E148" s="1780" t="s">
        <v>137</v>
      </c>
      <c r="F148" s="1780"/>
      <c r="G148" s="1780"/>
      <c r="H148" s="1780"/>
      <c r="I148" s="1780"/>
      <c r="J148" s="1780"/>
      <c r="K148" s="1780"/>
      <c r="L148" s="1780"/>
      <c r="M148" s="1780"/>
      <c r="N148" s="1834" t="str">
        <f>Profile!F87</f>
        <v>15 w`b</v>
      </c>
      <c r="O148" s="1834"/>
      <c r="P148" s="1834"/>
      <c r="Q148" s="1834"/>
      <c r="R148" s="1834"/>
      <c r="S148" s="1834"/>
      <c r="T148" s="1834"/>
      <c r="U148" s="1834"/>
      <c r="V148" s="1834"/>
      <c r="W148" s="1835">
        <f>Profile!J87/1000</f>
        <v>3200</v>
      </c>
      <c r="X148" s="1835"/>
      <c r="Y148" s="1835"/>
      <c r="Z148" s="1835"/>
      <c r="AA148" s="1835"/>
      <c r="AB148" s="1835"/>
    </row>
    <row r="149" spans="1:31" s="569" customFormat="1" ht="17.25" customHeight="1">
      <c r="A149" s="1614"/>
      <c r="B149" s="1623"/>
      <c r="C149" s="1536">
        <v>4</v>
      </c>
      <c r="D149" s="1536"/>
      <c r="E149" s="1780" t="s">
        <v>138</v>
      </c>
      <c r="F149" s="1780"/>
      <c r="G149" s="1780"/>
      <c r="H149" s="1780"/>
      <c r="I149" s="1780"/>
      <c r="J149" s="1780"/>
      <c r="K149" s="1780"/>
      <c r="L149" s="1780"/>
      <c r="M149" s="1780"/>
      <c r="N149" s="1834" t="str">
        <f>Profile!F88</f>
        <v>15 w`b</v>
      </c>
      <c r="O149" s="1834"/>
      <c r="P149" s="1834"/>
      <c r="Q149" s="1834"/>
      <c r="R149" s="1834"/>
      <c r="S149" s="1834"/>
      <c r="T149" s="1834"/>
      <c r="U149" s="1834"/>
      <c r="V149" s="1834"/>
      <c r="W149" s="1835">
        <f>Profile!J88/1000</f>
        <v>1500</v>
      </c>
      <c r="X149" s="1835"/>
      <c r="Y149" s="1835"/>
      <c r="Z149" s="1835"/>
      <c r="AA149" s="1835"/>
      <c r="AB149" s="1835"/>
    </row>
    <row r="150" spans="1:31" s="569" customFormat="1" ht="17.25" customHeight="1">
      <c r="A150" s="1614"/>
      <c r="B150" s="1623"/>
      <c r="C150" s="1536">
        <v>5</v>
      </c>
      <c r="D150" s="1536"/>
      <c r="E150" s="1780" t="s">
        <v>139</v>
      </c>
      <c r="F150" s="1780"/>
      <c r="G150" s="1780"/>
      <c r="H150" s="1780"/>
      <c r="I150" s="1780"/>
      <c r="J150" s="1780"/>
      <c r="K150" s="1780"/>
      <c r="L150" s="1780"/>
      <c r="M150" s="1780"/>
      <c r="N150" s="1840"/>
      <c r="O150" s="1840"/>
      <c r="P150" s="1840"/>
      <c r="Q150" s="1840"/>
      <c r="R150" s="1840"/>
      <c r="S150" s="1840"/>
      <c r="T150" s="1840"/>
      <c r="U150" s="1840"/>
      <c r="V150" s="1840"/>
      <c r="W150" s="1835"/>
      <c r="X150" s="1835"/>
      <c r="Y150" s="1835"/>
      <c r="Z150" s="1835"/>
      <c r="AA150" s="1835"/>
      <c r="AB150" s="1835"/>
    </row>
    <row r="151" spans="1:31" s="569" customFormat="1" ht="17.25" customHeight="1">
      <c r="A151" s="1614"/>
      <c r="B151" s="1623"/>
      <c r="C151" s="1536">
        <v>6</v>
      </c>
      <c r="D151" s="1536"/>
      <c r="E151" s="1780" t="s">
        <v>140</v>
      </c>
      <c r="F151" s="1780"/>
      <c r="G151" s="1780"/>
      <c r="H151" s="1780"/>
      <c r="I151" s="1780"/>
      <c r="J151" s="1780"/>
      <c r="K151" s="1780"/>
      <c r="L151" s="1780"/>
      <c r="M151" s="1780"/>
      <c r="N151" s="1834" t="str">
        <f>Profile!F89</f>
        <v>30 w`b</v>
      </c>
      <c r="O151" s="1834"/>
      <c r="P151" s="1834"/>
      <c r="Q151" s="1834"/>
      <c r="R151" s="1834"/>
      <c r="S151" s="1834"/>
      <c r="T151" s="1834"/>
      <c r="U151" s="1834"/>
      <c r="V151" s="1834"/>
      <c r="W151" s="1835">
        <f>Profile!J89/1000</f>
        <v>500</v>
      </c>
      <c r="X151" s="1835"/>
      <c r="Y151" s="1835"/>
      <c r="Z151" s="1835"/>
      <c r="AA151" s="1835"/>
      <c r="AB151" s="1835"/>
    </row>
    <row r="152" spans="1:31" s="569" customFormat="1" ht="17.25" customHeight="1">
      <c r="A152" s="1614"/>
      <c r="B152" s="1623"/>
      <c r="C152" s="1848" t="s">
        <v>255</v>
      </c>
      <c r="D152" s="1849"/>
      <c r="E152" s="1849"/>
      <c r="F152" s="1849"/>
      <c r="G152" s="1849"/>
      <c r="H152" s="1849"/>
      <c r="I152" s="1849"/>
      <c r="J152" s="1849"/>
      <c r="K152" s="1849"/>
      <c r="L152" s="1849"/>
      <c r="M152" s="1850"/>
      <c r="N152" s="1851"/>
      <c r="O152" s="1851"/>
      <c r="P152" s="1851"/>
      <c r="Q152" s="1851"/>
      <c r="R152" s="1851"/>
      <c r="S152" s="1851"/>
      <c r="T152" s="1851"/>
      <c r="U152" s="1851"/>
      <c r="V152" s="1851"/>
      <c r="W152" s="1835">
        <f>SUM(W146:AB151)</f>
        <v>12000</v>
      </c>
      <c r="X152" s="1835"/>
      <c r="Y152" s="1835"/>
      <c r="Z152" s="1835"/>
      <c r="AA152" s="1835"/>
      <c r="AB152" s="1835"/>
    </row>
    <row r="153" spans="1:31" s="569" customFormat="1" ht="17.25" customHeight="1">
      <c r="A153" s="1614"/>
      <c r="B153" s="1623"/>
      <c r="C153" s="1853" t="s">
        <v>278</v>
      </c>
      <c r="D153" s="1854"/>
      <c r="E153" s="1854"/>
      <c r="F153" s="1854"/>
      <c r="G153" s="1854"/>
      <c r="H153" s="1854"/>
      <c r="I153" s="1854"/>
      <c r="J153" s="1854"/>
      <c r="K153" s="1854"/>
      <c r="L153" s="1854"/>
      <c r="M153" s="1855"/>
      <c r="N153" s="1856">
        <f>Profile!E94</f>
        <v>0.58333333333333337</v>
      </c>
      <c r="O153" s="1765"/>
      <c r="P153" s="1765"/>
      <c r="Q153" s="1765"/>
      <c r="R153" s="1765"/>
      <c r="S153" s="1765"/>
      <c r="T153" s="1765"/>
      <c r="U153" s="1765"/>
      <c r="V153" s="1765"/>
      <c r="W153" s="1857">
        <f>Profile!H94*100</f>
        <v>7000</v>
      </c>
      <c r="X153" s="1857"/>
      <c r="Y153" s="1857"/>
      <c r="Z153" s="1857"/>
      <c r="AA153" s="1857"/>
      <c r="AB153" s="1857"/>
    </row>
    <row r="154" spans="1:31" s="569" customFormat="1" ht="17.25" customHeight="1">
      <c r="A154" s="1614"/>
      <c r="B154" s="1623"/>
      <c r="C154" s="1848" t="s">
        <v>279</v>
      </c>
      <c r="D154" s="1849"/>
      <c r="E154" s="1849"/>
      <c r="F154" s="1849"/>
      <c r="G154" s="1849"/>
      <c r="H154" s="1849"/>
      <c r="I154" s="1849"/>
      <c r="J154" s="1849"/>
      <c r="K154" s="1849"/>
      <c r="L154" s="1849"/>
      <c r="M154" s="1850"/>
      <c r="N154" s="1841">
        <f>Profile!E95</f>
        <v>0.41666666666666674</v>
      </c>
      <c r="O154" s="1536"/>
      <c r="P154" s="1536"/>
      <c r="Q154" s="1536"/>
      <c r="R154" s="1536"/>
      <c r="S154" s="1536"/>
      <c r="T154" s="1536"/>
      <c r="U154" s="1536"/>
      <c r="V154" s="1536"/>
      <c r="W154" s="1835">
        <f>Profile!H95*100</f>
        <v>5000</v>
      </c>
      <c r="X154" s="1835"/>
      <c r="Y154" s="1835"/>
      <c r="Z154" s="1835"/>
      <c r="AA154" s="1835"/>
      <c r="AB154" s="1835"/>
    </row>
    <row r="155" spans="1:31" s="569" customFormat="1" ht="17.25" customHeight="1">
      <c r="A155" s="1614"/>
      <c r="B155" s="1623"/>
      <c r="C155" s="1848" t="s">
        <v>256</v>
      </c>
      <c r="D155" s="1849"/>
      <c r="E155" s="1849"/>
      <c r="F155" s="1849"/>
      <c r="G155" s="1849"/>
      <c r="H155" s="1849"/>
      <c r="I155" s="1849"/>
      <c r="J155" s="1849"/>
      <c r="K155" s="1849"/>
      <c r="L155" s="1849"/>
      <c r="M155" s="1850"/>
      <c r="N155" s="1851">
        <f>'Data Input'!G18*30</f>
        <v>60</v>
      </c>
      <c r="O155" s="1851"/>
      <c r="P155" s="1851"/>
      <c r="Q155" s="1851"/>
      <c r="R155" s="1851"/>
      <c r="S155" s="1851"/>
      <c r="T155" s="1851"/>
      <c r="U155" s="1851"/>
      <c r="V155" s="1851"/>
      <c r="W155" s="1852"/>
      <c r="X155" s="1852"/>
      <c r="Y155" s="1852"/>
      <c r="Z155" s="1852"/>
      <c r="AA155" s="1852"/>
      <c r="AB155" s="1852"/>
    </row>
    <row r="156" spans="1:31" ht="9.75" customHeight="1">
      <c r="A156" s="1614"/>
    </row>
    <row r="157" spans="1:31" s="556" customFormat="1" ht="17.25" customHeight="1">
      <c r="A157" s="1614"/>
      <c r="B157" s="1623" t="s">
        <v>116</v>
      </c>
      <c r="C157" s="1589" t="s">
        <v>249</v>
      </c>
      <c r="D157" s="1589"/>
      <c r="E157" s="1589"/>
      <c r="F157" s="1589"/>
      <c r="G157" s="1589"/>
      <c r="H157" s="1589"/>
      <c r="I157" s="1589"/>
      <c r="J157" s="1589"/>
      <c r="K157" s="1589"/>
      <c r="L157" s="1589"/>
      <c r="M157" s="1589"/>
      <c r="N157" s="1589"/>
      <c r="O157" s="1589"/>
      <c r="P157" s="1589"/>
      <c r="Q157" s="556" t="s">
        <v>1</v>
      </c>
      <c r="R157" s="1746" t="s">
        <v>248</v>
      </c>
      <c r="S157" s="1746"/>
      <c r="T157" s="1746"/>
      <c r="U157" s="1746"/>
      <c r="V157" s="1746"/>
      <c r="W157" s="1746"/>
      <c r="X157" s="1746"/>
      <c r="Y157" s="1746"/>
      <c r="Z157" s="1746"/>
      <c r="AA157" s="1746"/>
      <c r="AB157" s="1746"/>
    </row>
    <row r="158" spans="1:31" s="569" customFormat="1" ht="17.25" customHeight="1">
      <c r="A158" s="1614"/>
      <c r="B158" s="1623"/>
      <c r="C158" s="1536" t="s">
        <v>141</v>
      </c>
      <c r="D158" s="1536"/>
      <c r="E158" s="1536"/>
      <c r="F158" s="1536"/>
      <c r="G158" s="1536" t="s">
        <v>142</v>
      </c>
      <c r="H158" s="1536"/>
      <c r="I158" s="1536"/>
      <c r="J158" s="1536"/>
      <c r="K158" s="1536"/>
      <c r="L158" s="1536" t="s">
        <v>143</v>
      </c>
      <c r="M158" s="1536"/>
      <c r="N158" s="1536"/>
      <c r="O158" s="1536" t="s">
        <v>12</v>
      </c>
      <c r="P158" s="1536"/>
      <c r="Q158" s="1536"/>
      <c r="R158" s="1536"/>
      <c r="S158" s="1536" t="s">
        <v>144</v>
      </c>
      <c r="T158" s="1536"/>
      <c r="U158" s="1536"/>
      <c r="V158" s="1536"/>
      <c r="W158" s="1536" t="s">
        <v>145</v>
      </c>
      <c r="X158" s="1536"/>
      <c r="Y158" s="1536"/>
      <c r="Z158" s="1536" t="s">
        <v>146</v>
      </c>
      <c r="AA158" s="1536"/>
      <c r="AB158" s="1536"/>
    </row>
    <row r="159" spans="1:31" s="569" customFormat="1" ht="27.75" customHeight="1">
      <c r="A159" s="1614"/>
      <c r="B159" s="1623"/>
      <c r="C159" s="1839">
        <f>Profile!F151</f>
        <v>777</v>
      </c>
      <c r="D159" s="1839"/>
      <c r="E159" s="1839"/>
      <c r="F159" s="1839"/>
      <c r="G159" s="1839">
        <f>Profile!F152+Profile!F154</f>
        <v>730.53000000000009</v>
      </c>
      <c r="H159" s="1839"/>
      <c r="I159" s="1839"/>
      <c r="J159" s="1839"/>
      <c r="K159" s="1839"/>
      <c r="L159" s="1839">
        <f>Profile!F156</f>
        <v>9.1</v>
      </c>
      <c r="M159" s="1839"/>
      <c r="N159" s="1839"/>
      <c r="O159" s="1839">
        <f>C159-G159-L159</f>
        <v>37.369999999999912</v>
      </c>
      <c r="P159" s="1839"/>
      <c r="Q159" s="1839"/>
      <c r="R159" s="1839"/>
      <c r="S159" s="1839">
        <f>Profile!F167</f>
        <v>166.46999999999994</v>
      </c>
      <c r="T159" s="1839"/>
      <c r="U159" s="1839"/>
      <c r="V159" s="1839"/>
      <c r="W159" s="1839">
        <f>Profile!F175</f>
        <v>129.1</v>
      </c>
      <c r="X159" s="1839"/>
      <c r="Y159" s="1839"/>
      <c r="Z159" s="1839">
        <f>+S159-W159</f>
        <v>37.369999999999948</v>
      </c>
      <c r="AA159" s="1839"/>
      <c r="AB159" s="1839"/>
      <c r="AE159" s="570" t="s">
        <v>599</v>
      </c>
    </row>
    <row r="160" spans="1:31" s="569" customFormat="1" ht="3.75" customHeight="1">
      <c r="A160" s="578"/>
    </row>
    <row r="161" spans="1:35" s="556" customFormat="1" ht="3" customHeight="1">
      <c r="A161" s="573"/>
    </row>
    <row r="162" spans="1:35" s="556" customFormat="1" ht="39.75" customHeight="1">
      <c r="A162" s="1844" t="s">
        <v>869</v>
      </c>
      <c r="B162" s="1844"/>
      <c r="C162" s="1844"/>
      <c r="D162" s="1844"/>
      <c r="E162" s="1844"/>
      <c r="F162" s="1844"/>
      <c r="G162" s="1844"/>
      <c r="H162" s="1844"/>
      <c r="I162" s="1844"/>
      <c r="J162" s="1844"/>
      <c r="K162" s="1844"/>
      <c r="L162" s="1844"/>
      <c r="M162" s="1844"/>
      <c r="N162" s="1844"/>
      <c r="O162" s="1844"/>
      <c r="P162" s="1844"/>
      <c r="Q162" s="510" t="s">
        <v>1</v>
      </c>
      <c r="R162" s="510" t="s">
        <v>41</v>
      </c>
      <c r="S162" s="510"/>
    </row>
    <row r="163" spans="1:35" s="556" customFormat="1" ht="54" customHeight="1">
      <c r="A163" s="1845" t="s">
        <v>870</v>
      </c>
      <c r="B163" s="1845"/>
      <c r="C163" s="1845"/>
      <c r="D163" s="1845"/>
      <c r="E163" s="1845"/>
      <c r="F163" s="1845"/>
      <c r="G163" s="1845"/>
      <c r="H163" s="1845"/>
      <c r="I163" s="1845"/>
      <c r="J163" s="1845"/>
      <c r="K163" s="1845"/>
      <c r="L163" s="1845"/>
      <c r="M163" s="1845"/>
      <c r="N163" s="1845"/>
      <c r="O163" s="1845"/>
      <c r="P163" s="1845"/>
      <c r="Q163" s="510" t="s">
        <v>1</v>
      </c>
      <c r="R163" s="510"/>
    </row>
    <row r="164" spans="1:35" s="556" customFormat="1" ht="17.25" customHeight="1">
      <c r="A164" s="1785" t="s">
        <v>871</v>
      </c>
      <c r="B164" s="1785"/>
      <c r="C164" s="1785"/>
      <c r="D164" s="1785"/>
      <c r="E164" s="1785"/>
      <c r="F164" s="1785"/>
      <c r="G164" s="1785"/>
      <c r="H164" s="1785"/>
      <c r="I164" s="1785"/>
      <c r="J164" s="1785"/>
      <c r="K164" s="1785"/>
      <c r="L164" s="1785"/>
      <c r="M164" s="1785"/>
      <c r="N164" s="1785"/>
      <c r="O164" s="1785"/>
      <c r="P164" s="1785"/>
      <c r="AE164" s="465"/>
      <c r="AF164" s="465"/>
      <c r="AG164" s="465"/>
    </row>
    <row r="165" spans="1:35" s="556" customFormat="1" ht="14.25" customHeight="1">
      <c r="A165" s="573"/>
      <c r="B165" s="1846"/>
      <c r="C165" s="1847"/>
      <c r="D165" s="1847"/>
      <c r="E165" s="1847"/>
      <c r="F165" s="1847"/>
      <c r="G165" s="1847"/>
      <c r="H165" s="1847"/>
      <c r="I165" s="1847"/>
      <c r="J165" s="1847"/>
      <c r="K165" s="1847"/>
      <c r="L165" s="1847"/>
      <c r="M165" s="1847"/>
      <c r="N165" s="1847"/>
      <c r="O165" s="1847"/>
      <c r="P165" s="1847"/>
      <c r="Q165" s="1847"/>
      <c r="R165" s="1847"/>
      <c r="S165" s="1847"/>
      <c r="T165" s="1847"/>
      <c r="U165" s="1847"/>
      <c r="V165" s="1847"/>
      <c r="W165" s="1847"/>
      <c r="X165" s="1847"/>
      <c r="Y165" s="1847"/>
      <c r="Z165" s="1847"/>
      <c r="AA165" s="1847"/>
      <c r="AB165" s="1847"/>
      <c r="AE165" s="465"/>
      <c r="AF165" s="465"/>
      <c r="AG165" s="465"/>
    </row>
    <row r="166" spans="1:35" s="556" customFormat="1" ht="14.25" customHeight="1">
      <c r="A166" s="559"/>
      <c r="B166" s="1847"/>
      <c r="C166" s="1847"/>
      <c r="D166" s="1847"/>
      <c r="E166" s="1847"/>
      <c r="F166" s="1847"/>
      <c r="G166" s="1847"/>
      <c r="H166" s="1847"/>
      <c r="I166" s="1847"/>
      <c r="J166" s="1847"/>
      <c r="K166" s="1847"/>
      <c r="L166" s="1847"/>
      <c r="M166" s="1847"/>
      <c r="N166" s="1847"/>
      <c r="O166" s="1847"/>
      <c r="P166" s="1847"/>
      <c r="Q166" s="1847"/>
      <c r="R166" s="1847"/>
      <c r="S166" s="1847"/>
      <c r="T166" s="1847"/>
      <c r="U166" s="1847"/>
      <c r="V166" s="1847"/>
      <c r="W166" s="1847"/>
      <c r="X166" s="1847"/>
      <c r="Y166" s="1847"/>
      <c r="Z166" s="1847"/>
      <c r="AA166" s="1847"/>
      <c r="AB166" s="1847"/>
      <c r="AE166" s="465"/>
      <c r="AF166" s="465"/>
      <c r="AG166" s="465"/>
    </row>
    <row r="167" spans="1:35" s="556" customFormat="1" ht="27" customHeight="1">
      <c r="A167" s="573"/>
      <c r="B167" s="1847"/>
      <c r="C167" s="1847"/>
      <c r="D167" s="1847"/>
      <c r="E167" s="1847"/>
      <c r="F167" s="1847"/>
      <c r="G167" s="1847"/>
      <c r="H167" s="1847"/>
      <c r="I167" s="1847"/>
      <c r="J167" s="1847"/>
      <c r="K167" s="1847"/>
      <c r="L167" s="1847"/>
      <c r="M167" s="1847"/>
      <c r="N167" s="1847"/>
      <c r="O167" s="1847"/>
      <c r="P167" s="1847"/>
      <c r="Q167" s="1847"/>
      <c r="R167" s="1847"/>
      <c r="S167" s="1847"/>
      <c r="T167" s="1847"/>
      <c r="U167" s="1847"/>
      <c r="V167" s="1847"/>
      <c r="W167" s="1847"/>
      <c r="X167" s="1847"/>
      <c r="Y167" s="1847"/>
      <c r="Z167" s="1847"/>
      <c r="AA167" s="1847"/>
      <c r="AB167" s="1847"/>
      <c r="AE167" s="465"/>
      <c r="AF167" s="465"/>
      <c r="AG167" s="465"/>
    </row>
    <row r="168" spans="1:35" s="556" customFormat="1" ht="110.25" customHeight="1">
      <c r="A168" s="573"/>
      <c r="B168" s="1847"/>
      <c r="C168" s="1847"/>
      <c r="D168" s="1847"/>
      <c r="E168" s="1847"/>
      <c r="F168" s="1847"/>
      <c r="G168" s="1847"/>
      <c r="H168" s="1847"/>
      <c r="I168" s="1847"/>
      <c r="J168" s="1847"/>
      <c r="K168" s="1847"/>
      <c r="L168" s="1847"/>
      <c r="M168" s="1847"/>
      <c r="N168" s="1847"/>
      <c r="O168" s="1847"/>
      <c r="P168" s="1847"/>
      <c r="Q168" s="1847"/>
      <c r="R168" s="1847"/>
      <c r="S168" s="1847"/>
      <c r="T168" s="1847"/>
      <c r="U168" s="1847"/>
      <c r="V168" s="1847"/>
      <c r="W168" s="1847"/>
      <c r="X168" s="1847"/>
      <c r="Y168" s="1847"/>
      <c r="Z168" s="1847"/>
      <c r="AA168" s="1847"/>
      <c r="AB168" s="1847"/>
      <c r="AE168" s="465"/>
      <c r="AF168" s="465"/>
      <c r="AG168" s="465"/>
    </row>
    <row r="169" spans="1:35" s="556" customFormat="1" ht="19.5" customHeight="1">
      <c r="A169" s="573"/>
      <c r="B169" s="1847"/>
      <c r="C169" s="1847"/>
      <c r="D169" s="1847"/>
      <c r="E169" s="1847"/>
      <c r="F169" s="1847"/>
      <c r="G169" s="1847"/>
      <c r="H169" s="1847"/>
      <c r="I169" s="1847"/>
      <c r="J169" s="1847"/>
      <c r="K169" s="1847"/>
      <c r="L169" s="1847"/>
      <c r="M169" s="1847"/>
      <c r="N169" s="1847"/>
      <c r="O169" s="1847"/>
      <c r="P169" s="1847"/>
      <c r="Q169" s="1847"/>
      <c r="R169" s="1847"/>
      <c r="S169" s="1847"/>
      <c r="T169" s="1847"/>
      <c r="U169" s="1847"/>
      <c r="V169" s="1847"/>
      <c r="W169" s="1847"/>
      <c r="X169" s="1847"/>
      <c r="Y169" s="1847"/>
      <c r="Z169" s="1847"/>
      <c r="AA169" s="1847"/>
      <c r="AB169" s="1847"/>
    </row>
    <row r="170" spans="1:35" s="556" customFormat="1" ht="11.25" customHeight="1">
      <c r="A170" s="573"/>
      <c r="B170" s="1847"/>
      <c r="C170" s="1847"/>
      <c r="D170" s="1847"/>
      <c r="E170" s="1847"/>
      <c r="F170" s="1847"/>
      <c r="G170" s="1847"/>
      <c r="H170" s="1847"/>
      <c r="I170" s="1847"/>
      <c r="J170" s="1847"/>
      <c r="K170" s="1847"/>
      <c r="L170" s="1847"/>
      <c r="M170" s="1847"/>
      <c r="N170" s="1847"/>
      <c r="O170" s="1847"/>
      <c r="P170" s="1847"/>
      <c r="Q170" s="1847"/>
      <c r="R170" s="1847"/>
      <c r="S170" s="1847"/>
      <c r="T170" s="1847"/>
      <c r="U170" s="1847"/>
      <c r="V170" s="1847"/>
      <c r="W170" s="1847"/>
      <c r="X170" s="1847"/>
      <c r="Y170" s="1847"/>
      <c r="Z170" s="1847"/>
      <c r="AA170" s="1847"/>
      <c r="AB170" s="1847"/>
    </row>
    <row r="171" spans="1:35" s="556" customFormat="1" ht="8.25" customHeight="1">
      <c r="A171" s="559"/>
      <c r="B171" s="1847"/>
      <c r="C171" s="1847"/>
      <c r="D171" s="1847"/>
      <c r="E171" s="1847"/>
      <c r="F171" s="1847"/>
      <c r="G171" s="1847"/>
      <c r="H171" s="1847"/>
      <c r="I171" s="1847"/>
      <c r="J171" s="1847"/>
      <c r="K171" s="1847"/>
      <c r="L171" s="1847"/>
      <c r="M171" s="1847"/>
      <c r="N171" s="1847"/>
      <c r="O171" s="1847"/>
      <c r="P171" s="1847"/>
      <c r="Q171" s="1847"/>
      <c r="R171" s="1847"/>
      <c r="S171" s="1847"/>
      <c r="T171" s="1847"/>
      <c r="U171" s="1847"/>
      <c r="V171" s="1847"/>
      <c r="W171" s="1847"/>
      <c r="X171" s="1847"/>
      <c r="Y171" s="1847"/>
      <c r="Z171" s="1847"/>
      <c r="AA171" s="1847"/>
      <c r="AB171" s="1847"/>
    </row>
    <row r="172" spans="1:35" s="556" customFormat="1" ht="11.25" customHeight="1">
      <c r="A172" s="559"/>
    </row>
    <row r="173" spans="1:35" s="556" customFormat="1" ht="15" customHeight="1">
      <c r="A173" s="557"/>
      <c r="B173" s="1498" t="s">
        <v>250</v>
      </c>
      <c r="C173" s="1498"/>
      <c r="D173" s="1498"/>
      <c r="E173" s="1498"/>
      <c r="F173" s="1498"/>
      <c r="N173" s="1375"/>
      <c r="O173" s="1375"/>
      <c r="P173" s="1375"/>
      <c r="Q173" s="1375"/>
      <c r="R173" s="1375"/>
      <c r="X173" s="1498" t="s">
        <v>289</v>
      </c>
      <c r="Y173" s="1498"/>
      <c r="Z173" s="1498"/>
      <c r="AA173" s="1498"/>
      <c r="AB173" s="1498"/>
      <c r="AE173" s="465"/>
      <c r="AF173" s="465"/>
      <c r="AG173" s="465"/>
      <c r="AH173" s="465"/>
      <c r="AI173" s="465"/>
    </row>
    <row r="174" spans="1:35" s="556" customFormat="1" ht="15" customHeight="1">
      <c r="A174" s="557"/>
      <c r="AE174" s="465"/>
      <c r="AF174" s="465"/>
      <c r="AG174" s="465"/>
      <c r="AH174" s="465"/>
      <c r="AI174" s="465"/>
    </row>
    <row r="175" spans="1:35" s="556" customFormat="1" ht="15" customHeight="1">
      <c r="A175" s="557"/>
      <c r="AE175" s="465"/>
      <c r="AF175" s="465"/>
      <c r="AG175" s="465"/>
      <c r="AH175" s="465"/>
      <c r="AI175" s="465"/>
    </row>
    <row r="176" spans="1:35" s="556" customFormat="1" ht="15" customHeight="1">
      <c r="A176" s="557"/>
      <c r="AE176" s="465"/>
      <c r="AF176" s="465"/>
      <c r="AG176" s="465"/>
      <c r="AH176" s="465"/>
      <c r="AI176" s="465"/>
    </row>
    <row r="177" spans="1:35" s="556" customFormat="1" ht="15" customHeight="1">
      <c r="A177" s="557"/>
      <c r="AE177" s="465"/>
      <c r="AF177" s="465"/>
      <c r="AG177" s="465"/>
      <c r="AH177" s="465"/>
      <c r="AI177" s="465"/>
    </row>
    <row r="178" spans="1:35" s="556" customFormat="1" ht="15" customHeight="1">
      <c r="A178" s="557"/>
      <c r="AE178" s="465"/>
      <c r="AF178" s="465"/>
      <c r="AG178" s="465"/>
      <c r="AH178" s="465"/>
      <c r="AI178" s="465"/>
    </row>
    <row r="179" spans="1:35" s="556" customFormat="1" ht="15" customHeight="1">
      <c r="A179" s="557"/>
      <c r="AE179" s="465"/>
      <c r="AF179" s="465"/>
      <c r="AG179" s="465"/>
      <c r="AH179" s="465"/>
      <c r="AI179" s="465"/>
    </row>
    <row r="180" spans="1:35" s="556" customFormat="1" ht="15" customHeight="1">
      <c r="A180" s="557"/>
      <c r="AE180" s="465"/>
      <c r="AF180" s="465"/>
      <c r="AG180" s="465"/>
      <c r="AH180" s="465"/>
      <c r="AI180" s="465"/>
    </row>
    <row r="181" spans="1:35" s="556" customFormat="1" ht="15" customHeight="1">
      <c r="A181" s="557"/>
      <c r="AE181" s="465"/>
      <c r="AF181" s="465"/>
      <c r="AG181" s="465"/>
      <c r="AH181" s="465"/>
      <c r="AI181" s="465"/>
    </row>
    <row r="182" spans="1:35" s="556" customFormat="1" ht="15" customHeight="1">
      <c r="A182" s="557"/>
      <c r="AE182" s="465"/>
      <c r="AF182" s="465"/>
      <c r="AG182" s="465"/>
      <c r="AH182" s="465"/>
      <c r="AI182" s="465"/>
    </row>
    <row r="183" spans="1:35" s="556" customFormat="1" ht="15" customHeight="1">
      <c r="A183" s="557"/>
      <c r="AE183" s="465"/>
      <c r="AF183" s="465"/>
      <c r="AG183" s="465"/>
      <c r="AH183" s="465"/>
      <c r="AI183" s="465"/>
    </row>
    <row r="184" spans="1:35" s="556" customFormat="1" ht="15" customHeight="1">
      <c r="A184" s="557"/>
      <c r="AE184" s="465"/>
      <c r="AF184" s="465"/>
      <c r="AG184" s="465"/>
      <c r="AH184" s="465"/>
      <c r="AI184" s="465"/>
    </row>
    <row r="185" spans="1:35" s="556" customFormat="1" ht="18.75" customHeight="1">
      <c r="A185" s="557"/>
      <c r="AE185" s="465"/>
      <c r="AF185" s="465"/>
      <c r="AG185" s="465"/>
      <c r="AH185" s="465"/>
      <c r="AI185" s="465"/>
    </row>
    <row r="186" spans="1:35" s="556" customFormat="1" ht="17.25" customHeight="1">
      <c r="A186" s="1842" t="s">
        <v>147</v>
      </c>
      <c r="B186" s="1842"/>
      <c r="C186" s="1842"/>
      <c r="D186" s="1842"/>
      <c r="E186" s="1842"/>
      <c r="F186" s="1842"/>
      <c r="G186" s="1842"/>
      <c r="H186" s="1842"/>
      <c r="I186" s="1842"/>
      <c r="J186" s="1842"/>
      <c r="K186" s="1842"/>
      <c r="L186" s="1842"/>
      <c r="M186" s="1842"/>
      <c r="N186" s="1842"/>
      <c r="O186" s="1842"/>
      <c r="P186" s="1842"/>
      <c r="Q186" s="1842"/>
      <c r="R186" s="1842"/>
      <c r="S186" s="1842"/>
      <c r="T186" s="1842"/>
      <c r="U186" s="1842"/>
      <c r="V186" s="1842"/>
      <c r="W186" s="1842"/>
      <c r="X186" s="1842"/>
      <c r="Y186" s="1842"/>
      <c r="Z186" s="1842"/>
      <c r="AA186" s="1842"/>
      <c r="AB186" s="1842"/>
      <c r="AE186" s="465"/>
      <c r="AF186" s="465"/>
      <c r="AG186" s="465"/>
      <c r="AH186" s="465"/>
      <c r="AI186" s="465"/>
    </row>
    <row r="187" spans="1:35" s="556" customFormat="1" ht="17.25" customHeight="1">
      <c r="A187" s="579"/>
      <c r="AE187" s="465"/>
      <c r="AF187" s="465"/>
      <c r="AG187" s="465"/>
      <c r="AH187" s="465"/>
      <c r="AI187" s="465"/>
    </row>
    <row r="188" spans="1:35" s="556" customFormat="1" ht="17.25" customHeight="1">
      <c r="A188" s="580" t="s">
        <v>148</v>
      </c>
      <c r="B188" s="1615" t="s">
        <v>872</v>
      </c>
      <c r="C188" s="1615"/>
      <c r="D188" s="1615"/>
      <c r="E188" s="1615"/>
      <c r="F188" s="1615"/>
      <c r="G188" s="1615"/>
      <c r="H188" s="1615"/>
      <c r="I188" s="1615"/>
      <c r="J188" s="1615"/>
      <c r="K188" s="1615"/>
      <c r="L188" s="1615"/>
      <c r="M188" s="1615"/>
      <c r="N188" s="1615"/>
      <c r="O188" s="1615"/>
      <c r="P188" s="1615"/>
      <c r="AE188" s="465"/>
      <c r="AF188" s="465"/>
      <c r="AG188" s="465"/>
      <c r="AH188" s="465"/>
      <c r="AI188" s="465"/>
    </row>
    <row r="189" spans="1:35" s="556" customFormat="1" ht="17.25" customHeight="1">
      <c r="A189" s="573"/>
      <c r="B189" s="1609" t="str">
        <f>+'Note Sheet-RM'!C22</f>
        <v>Av‡e`bKvix†K ‡gmvm© mvbd¬vIqvi †UBjvm© GÛ †dweªK&amp;ª bvgK Kvc‡oi  e¨emv cwiPvjbvi Rb¨ wmGgGmGgB Lv‡Z 1 (GK) erm‡ii ‡gqv‡` gs  70.00 (mËi) jÿ UvKv gvÎ bM` cyuwR FY gÄyixi  mycvwik Kiv n‡jv|</v>
      </c>
      <c r="C189" s="1609"/>
      <c r="D189" s="1609"/>
      <c r="E189" s="1609"/>
      <c r="F189" s="1609"/>
      <c r="G189" s="1609"/>
      <c r="H189" s="1609"/>
      <c r="I189" s="1609"/>
      <c r="J189" s="1609"/>
      <c r="K189" s="1609"/>
      <c r="L189" s="1609"/>
      <c r="M189" s="1609"/>
      <c r="N189" s="1609"/>
      <c r="O189" s="1609"/>
      <c r="P189" s="1609"/>
      <c r="Q189" s="1609"/>
      <c r="R189" s="1609"/>
      <c r="S189" s="1609"/>
      <c r="T189" s="1609"/>
      <c r="U189" s="1609"/>
      <c r="V189" s="1609"/>
      <c r="W189" s="1609"/>
      <c r="X189" s="1609"/>
      <c r="Y189" s="1609"/>
      <c r="Z189" s="1609"/>
      <c r="AA189" s="1609"/>
      <c r="AB189" s="1609"/>
      <c r="AE189" s="465"/>
      <c r="AF189" s="465"/>
      <c r="AG189" s="465"/>
      <c r="AH189" s="465"/>
      <c r="AI189" s="465"/>
    </row>
    <row r="190" spans="1:35" s="556" customFormat="1" ht="17.25" customHeight="1">
      <c r="A190" s="573"/>
      <c r="B190" s="1609"/>
      <c r="C190" s="1609"/>
      <c r="D190" s="1609"/>
      <c r="E190" s="1609"/>
      <c r="F190" s="1609"/>
      <c r="G190" s="1609"/>
      <c r="H190" s="1609"/>
      <c r="I190" s="1609"/>
      <c r="J190" s="1609"/>
      <c r="K190" s="1609"/>
      <c r="L190" s="1609"/>
      <c r="M190" s="1609"/>
      <c r="N190" s="1609"/>
      <c r="O190" s="1609"/>
      <c r="P190" s="1609"/>
      <c r="Q190" s="1609"/>
      <c r="R190" s="1609"/>
      <c r="S190" s="1609"/>
      <c r="T190" s="1609"/>
      <c r="U190" s="1609"/>
      <c r="V190" s="1609"/>
      <c r="W190" s="1609"/>
      <c r="X190" s="1609"/>
      <c r="Y190" s="1609"/>
      <c r="Z190" s="1609"/>
      <c r="AA190" s="1609"/>
      <c r="AB190" s="1609"/>
      <c r="AE190" s="465"/>
      <c r="AF190" s="465"/>
      <c r="AG190" s="465"/>
      <c r="AH190" s="465"/>
      <c r="AI190" s="465"/>
    </row>
    <row r="191" spans="1:35" s="556" customFormat="1" ht="40.5" customHeight="1">
      <c r="A191" s="559"/>
      <c r="B191" s="1609"/>
      <c r="C191" s="1609"/>
      <c r="D191" s="1609"/>
      <c r="E191" s="1609"/>
      <c r="F191" s="1609"/>
      <c r="G191" s="1609"/>
      <c r="H191" s="1609"/>
      <c r="I191" s="1609"/>
      <c r="J191" s="1609"/>
      <c r="K191" s="1609"/>
      <c r="L191" s="1609"/>
      <c r="M191" s="1609"/>
      <c r="N191" s="1609"/>
      <c r="O191" s="1609"/>
      <c r="P191" s="1609"/>
      <c r="Q191" s="1609"/>
      <c r="R191" s="1609"/>
      <c r="S191" s="1609"/>
      <c r="T191" s="1609"/>
      <c r="U191" s="1609"/>
      <c r="V191" s="1609"/>
      <c r="W191" s="1609"/>
      <c r="X191" s="1609"/>
      <c r="Y191" s="1609"/>
      <c r="Z191" s="1609"/>
      <c r="AA191" s="1609"/>
      <c r="AB191" s="1609"/>
      <c r="AE191" s="465"/>
      <c r="AF191" s="465"/>
      <c r="AG191" s="465"/>
      <c r="AH191" s="465"/>
      <c r="AI191" s="465"/>
    </row>
    <row r="192" spans="1:35" s="569" customFormat="1" ht="39" customHeight="1">
      <c r="A192" s="581"/>
      <c r="B192" s="1609"/>
      <c r="C192" s="1609"/>
      <c r="D192" s="1609"/>
      <c r="E192" s="1609"/>
      <c r="F192" s="1609"/>
      <c r="G192" s="1609"/>
      <c r="H192" s="1609"/>
      <c r="I192" s="1609"/>
      <c r="J192" s="1609"/>
      <c r="K192" s="1609"/>
      <c r="L192" s="1609"/>
      <c r="M192" s="1609"/>
      <c r="N192" s="1609"/>
      <c r="O192" s="1609"/>
      <c r="P192" s="1609"/>
      <c r="Q192" s="1609"/>
      <c r="R192" s="1609"/>
      <c r="S192" s="1609"/>
      <c r="T192" s="1609"/>
      <c r="U192" s="1609"/>
      <c r="V192" s="1609"/>
      <c r="W192" s="1609"/>
      <c r="X192" s="1609"/>
      <c r="Y192" s="1609"/>
      <c r="Z192" s="1609"/>
      <c r="AA192" s="1609"/>
      <c r="AB192" s="1609"/>
    </row>
    <row r="193" spans="1:28" s="569" customFormat="1" ht="25.5" customHeight="1">
      <c r="A193" s="581"/>
      <c r="B193" s="1609"/>
      <c r="C193" s="1609"/>
      <c r="D193" s="1609"/>
      <c r="E193" s="1609"/>
      <c r="F193" s="1609"/>
      <c r="G193" s="1609"/>
      <c r="H193" s="1609"/>
      <c r="I193" s="1609"/>
      <c r="J193" s="1609"/>
      <c r="K193" s="1609"/>
      <c r="L193" s="1609"/>
      <c r="M193" s="1609"/>
      <c r="N193" s="1609"/>
      <c r="O193" s="1609"/>
      <c r="P193" s="1609"/>
      <c r="Q193" s="1609"/>
      <c r="R193" s="1609"/>
      <c r="S193" s="1609"/>
      <c r="T193" s="1609"/>
      <c r="U193" s="1609"/>
      <c r="V193" s="1609"/>
      <c r="W193" s="1609"/>
      <c r="X193" s="1609"/>
      <c r="Y193" s="1609"/>
      <c r="Z193" s="1609"/>
      <c r="AA193" s="1609"/>
      <c r="AB193" s="1609"/>
    </row>
    <row r="194" spans="1:28" s="569" customFormat="1" ht="17.25" customHeight="1">
      <c r="A194" s="578"/>
      <c r="L194" s="505"/>
    </row>
    <row r="195" spans="1:28" s="569" customFormat="1" ht="17.25" customHeight="1">
      <c r="A195" s="578"/>
      <c r="L195" s="505"/>
    </row>
    <row r="196" spans="1:28" s="569" customFormat="1" ht="12.75" customHeight="1">
      <c r="A196" s="578"/>
      <c r="L196" s="505"/>
    </row>
    <row r="197" spans="1:28" s="569" customFormat="1" ht="15" customHeight="1">
      <c r="A197" s="578"/>
      <c r="L197" s="505"/>
      <c r="X197" s="1843" t="s">
        <v>251</v>
      </c>
      <c r="Y197" s="1843"/>
      <c r="Z197" s="1843"/>
      <c r="AA197" s="1843"/>
      <c r="AB197" s="1843"/>
    </row>
    <row r="198" spans="1:28" s="569" customFormat="1" ht="17.25" customHeight="1">
      <c r="A198" s="581" t="s">
        <v>149</v>
      </c>
      <c r="B198" s="582" t="s">
        <v>873</v>
      </c>
    </row>
    <row r="199" spans="1:28" s="569" customFormat="1" ht="12.75" customHeight="1">
      <c r="A199" s="581"/>
    </row>
    <row r="200" spans="1:28" s="569" customFormat="1" ht="6.75" customHeight="1">
      <c r="A200" s="578"/>
      <c r="L200" s="505"/>
    </row>
    <row r="201" spans="1:28" s="569" customFormat="1" ht="18" customHeight="1">
      <c r="A201" s="581"/>
      <c r="X201" s="1843" t="s">
        <v>251</v>
      </c>
      <c r="Y201" s="1843"/>
      <c r="Z201" s="1843"/>
      <c r="AA201" s="1843"/>
      <c r="AB201" s="1843"/>
    </row>
    <row r="202" spans="1:28" s="569" customFormat="1" ht="17.25" customHeight="1">
      <c r="A202" s="581" t="s">
        <v>151</v>
      </c>
      <c r="B202" s="582" t="s">
        <v>874</v>
      </c>
    </row>
    <row r="203" spans="1:28" s="569" customFormat="1" ht="10.5" customHeight="1">
      <c r="A203" s="581"/>
    </row>
    <row r="204" spans="1:28" s="569" customFormat="1" ht="6.75" customHeight="1">
      <c r="A204" s="578"/>
      <c r="L204" s="505"/>
    </row>
    <row r="205" spans="1:28" s="569" customFormat="1" ht="7.5" customHeight="1">
      <c r="A205" s="581"/>
    </row>
    <row r="206" spans="1:28" s="569" customFormat="1" ht="12" customHeight="1">
      <c r="A206" s="581"/>
      <c r="X206" s="1843" t="s">
        <v>251</v>
      </c>
      <c r="Y206" s="1843"/>
      <c r="Z206" s="1843"/>
      <c r="AA206" s="1843"/>
      <c r="AB206" s="1843"/>
    </row>
    <row r="207" spans="1:28" s="569" customFormat="1" ht="17.25" customHeight="1">
      <c r="A207" s="578"/>
      <c r="B207" s="582" t="s">
        <v>153</v>
      </c>
    </row>
    <row r="208" spans="1:28" s="569" customFormat="1" ht="15.75" customHeight="1">
      <c r="A208" s="578"/>
      <c r="B208" s="505" t="s">
        <v>103</v>
      </c>
      <c r="C208" s="1589" t="s">
        <v>154</v>
      </c>
      <c r="D208" s="1589"/>
      <c r="E208" s="1589"/>
      <c r="F208" s="1589"/>
      <c r="G208" s="1589"/>
      <c r="H208" s="1589"/>
      <c r="I208" s="1589"/>
      <c r="J208" s="1589"/>
      <c r="K208" s="1589"/>
      <c r="L208" s="1589"/>
      <c r="M208" s="1589"/>
      <c r="N208" s="1589"/>
      <c r="O208" s="1589"/>
      <c r="P208" s="1589"/>
      <c r="Q208" s="1589"/>
      <c r="R208" s="1589"/>
      <c r="S208" s="1589"/>
      <c r="T208" s="1589"/>
      <c r="U208" s="1589"/>
      <c r="V208" s="1589"/>
      <c r="W208" s="1589"/>
      <c r="X208" s="1589"/>
      <c r="Y208" s="1589"/>
      <c r="Z208" s="1589"/>
      <c r="AA208" s="1589"/>
      <c r="AB208" s="1589"/>
    </row>
    <row r="209" spans="1:28" s="569" customFormat="1" ht="15.75" customHeight="1">
      <c r="A209" s="578"/>
      <c r="B209" s="505" t="s">
        <v>116</v>
      </c>
      <c r="C209" s="1589" t="s">
        <v>155</v>
      </c>
      <c r="D209" s="1589"/>
      <c r="E209" s="1589"/>
      <c r="F209" s="1589"/>
      <c r="G209" s="1589"/>
      <c r="H209" s="1589"/>
      <c r="I209" s="1589"/>
      <c r="J209" s="1589"/>
      <c r="K209" s="1589"/>
      <c r="L209" s="1589"/>
      <c r="M209" s="1589"/>
      <c r="N209" s="1589"/>
      <c r="O209" s="1589"/>
      <c r="P209" s="1589"/>
      <c r="Q209" s="1589"/>
      <c r="R209" s="1589"/>
      <c r="S209" s="1589"/>
      <c r="T209" s="1589"/>
      <c r="U209" s="1589"/>
      <c r="V209" s="1589"/>
      <c r="W209" s="1589"/>
      <c r="X209" s="1589"/>
      <c r="Y209" s="1589"/>
      <c r="Z209" s="1589"/>
      <c r="AA209" s="1589"/>
      <c r="AB209" s="1589"/>
    </row>
    <row r="210" spans="1:28" s="569" customFormat="1" ht="15.75" customHeight="1">
      <c r="A210" s="578"/>
      <c r="B210" s="505" t="s">
        <v>121</v>
      </c>
      <c r="C210" s="1589" t="s">
        <v>156</v>
      </c>
      <c r="D210" s="1589"/>
      <c r="E210" s="1589"/>
      <c r="F210" s="1589"/>
      <c r="G210" s="1589"/>
      <c r="H210" s="1589"/>
      <c r="I210" s="1589"/>
      <c r="J210" s="1589"/>
      <c r="K210" s="1589"/>
      <c r="L210" s="1589"/>
      <c r="M210" s="1589"/>
      <c r="N210" s="1589"/>
      <c r="O210" s="1589"/>
      <c r="P210" s="1589"/>
      <c r="Q210" s="1589"/>
      <c r="R210" s="1589"/>
      <c r="S210" s="1589"/>
      <c r="T210" s="1589"/>
      <c r="U210" s="1589"/>
      <c r="V210" s="1589"/>
      <c r="W210" s="1589"/>
      <c r="X210" s="1589"/>
      <c r="Y210" s="1589"/>
      <c r="Z210" s="1589"/>
      <c r="AA210" s="1589"/>
      <c r="AB210" s="1589"/>
    </row>
    <row r="211" spans="1:28" s="569" customFormat="1" ht="15.75" customHeight="1">
      <c r="A211" s="578"/>
      <c r="B211" s="505" t="s">
        <v>157</v>
      </c>
      <c r="C211" s="1589" t="s">
        <v>158</v>
      </c>
      <c r="D211" s="1589"/>
      <c r="E211" s="1589"/>
      <c r="F211" s="1589"/>
      <c r="G211" s="1589"/>
      <c r="H211" s="1589"/>
      <c r="I211" s="1589"/>
      <c r="J211" s="1589"/>
      <c r="K211" s="1589"/>
      <c r="L211" s="1589"/>
      <c r="M211" s="1589"/>
      <c r="N211" s="1589"/>
      <c r="O211" s="1589"/>
      <c r="P211" s="1589"/>
      <c r="Q211" s="1589"/>
      <c r="R211" s="1589"/>
      <c r="S211" s="1589"/>
      <c r="T211" s="1589"/>
      <c r="U211" s="1589"/>
      <c r="V211" s="1589"/>
      <c r="W211" s="1589"/>
      <c r="X211" s="1589"/>
      <c r="Y211" s="1589"/>
      <c r="Z211" s="1589"/>
      <c r="AA211" s="1589"/>
      <c r="AB211" s="1589"/>
    </row>
    <row r="212" spans="1:28" s="569" customFormat="1" ht="15.75" customHeight="1">
      <c r="A212" s="578"/>
      <c r="B212" s="505" t="s">
        <v>159</v>
      </c>
      <c r="C212" s="1589" t="s">
        <v>160</v>
      </c>
      <c r="D212" s="1589"/>
      <c r="E212" s="1589"/>
      <c r="F212" s="1589"/>
      <c r="G212" s="1589"/>
      <c r="H212" s="1589"/>
      <c r="I212" s="1589"/>
      <c r="J212" s="1589"/>
      <c r="K212" s="1589"/>
      <c r="L212" s="1589"/>
      <c r="M212" s="1589"/>
      <c r="N212" s="1589"/>
      <c r="O212" s="1589"/>
      <c r="P212" s="1589"/>
      <c r="Q212" s="1589"/>
      <c r="R212" s="1589"/>
      <c r="S212" s="1589"/>
      <c r="T212" s="1589"/>
      <c r="U212" s="1589"/>
      <c r="V212" s="1589"/>
      <c r="W212" s="1589"/>
      <c r="X212" s="1589"/>
      <c r="Y212" s="1589"/>
      <c r="Z212" s="1589"/>
      <c r="AA212" s="1589"/>
      <c r="AB212" s="1589"/>
    </row>
    <row r="213" spans="1:28" s="569" customFormat="1" ht="17.25" customHeight="1">
      <c r="A213" s="578"/>
    </row>
    <row r="214" spans="1:28" s="569" customFormat="1" ht="17.25" customHeight="1">
      <c r="A214" s="578"/>
    </row>
    <row r="215" spans="1:28" s="569" customFormat="1" ht="17.25" customHeight="1">
      <c r="A215" s="578"/>
    </row>
    <row r="216" spans="1:28" s="569" customFormat="1" ht="17.25" customHeight="1">
      <c r="A216" s="578"/>
    </row>
    <row r="217" spans="1:28" s="569" customFormat="1" ht="17.25" customHeight="1">
      <c r="A217" s="578"/>
    </row>
    <row r="218" spans="1:28" s="569" customFormat="1" ht="17.25" customHeight="1">
      <c r="A218" s="578"/>
    </row>
    <row r="219" spans="1:28" s="569" customFormat="1" ht="17.25" customHeight="1">
      <c r="A219" s="578"/>
    </row>
    <row r="220" spans="1:28" s="569" customFormat="1" ht="17.25" customHeight="1">
      <c r="A220" s="578"/>
    </row>
    <row r="221" spans="1:28" s="569" customFormat="1" ht="17.25" customHeight="1">
      <c r="A221" s="578"/>
    </row>
    <row r="222" spans="1:28" s="569" customFormat="1" ht="17.25" customHeight="1">
      <c r="A222" s="578"/>
    </row>
    <row r="223" spans="1:28" s="569" customFormat="1" ht="17.25" customHeight="1">
      <c r="A223" s="578"/>
    </row>
    <row r="224" spans="1:28" s="569" customFormat="1" ht="17.25" customHeight="1">
      <c r="A224" s="578"/>
    </row>
    <row r="225" spans="1:1" s="569" customFormat="1" ht="17.25" customHeight="1">
      <c r="A225" s="578"/>
    </row>
    <row r="226" spans="1:1" s="569" customFormat="1" ht="17.25" customHeight="1">
      <c r="A226" s="578"/>
    </row>
    <row r="227" spans="1:1" s="569" customFormat="1" ht="17.25" customHeight="1">
      <c r="A227" s="578"/>
    </row>
    <row r="228" spans="1:1" s="569" customFormat="1" ht="17.25" customHeight="1">
      <c r="A228" s="578"/>
    </row>
    <row r="229" spans="1:1" s="569" customFormat="1" ht="17.25" customHeight="1">
      <c r="A229" s="578"/>
    </row>
    <row r="230" spans="1:1" s="569" customFormat="1" ht="17.25" customHeight="1">
      <c r="A230" s="578"/>
    </row>
    <row r="231" spans="1:1" s="569" customFormat="1" ht="17.25" customHeight="1">
      <c r="A231" s="578"/>
    </row>
    <row r="232" spans="1:1" s="503" customFormat="1" ht="17.25" customHeight="1">
      <c r="A232" s="583"/>
    </row>
    <row r="233" spans="1:1" s="503" customFormat="1" ht="17.25" customHeight="1">
      <c r="A233" s="583"/>
    </row>
  </sheetData>
  <protectedRanges>
    <protectedRange sqref="Q64:Y64" name="Range2"/>
    <protectedRange sqref="R15:AB16 R17:T17 W17:AB17 R18:AB18 R26:AB26 C31:AB31 K36:L39 U36:AB39 M39:T39 AF41 R50:AB50 C53:X55 C69:AB69 C72:AB72 R122:AB124 K102:AB106" name="Range1"/>
  </protectedRanges>
  <mergeCells count="517">
    <mergeCell ref="B7:AC7"/>
    <mergeCell ref="D38:J38"/>
    <mergeCell ref="D39:J39"/>
    <mergeCell ref="R10:AB10"/>
    <mergeCell ref="R11:AB11"/>
    <mergeCell ref="R12:AB12"/>
    <mergeCell ref="R13:AB13"/>
    <mergeCell ref="R14:AB14"/>
    <mergeCell ref="I135:K135"/>
    <mergeCell ref="L135:O135"/>
    <mergeCell ref="P135:R135"/>
    <mergeCell ref="S135:T135"/>
    <mergeCell ref="U135:W135"/>
    <mergeCell ref="B129:P129"/>
    <mergeCell ref="R129:AB129"/>
    <mergeCell ref="B131:Y131"/>
    <mergeCell ref="Z131:AB131"/>
    <mergeCell ref="B132:B136"/>
    <mergeCell ref="C132:H133"/>
    <mergeCell ref="I132:K133"/>
    <mergeCell ref="L132:O133"/>
    <mergeCell ref="P132:R133"/>
    <mergeCell ref="S132:T133"/>
    <mergeCell ref="U132:W133"/>
    <mergeCell ref="X132:AB132"/>
    <mergeCell ref="B157:B159"/>
    <mergeCell ref="C157:P157"/>
    <mergeCell ref="R157:AB157"/>
    <mergeCell ref="C208:AB208"/>
    <mergeCell ref="C209:AB209"/>
    <mergeCell ref="C155:M155"/>
    <mergeCell ref="N155:V155"/>
    <mergeCell ref="W155:AB155"/>
    <mergeCell ref="C151:D151"/>
    <mergeCell ref="E151:M151"/>
    <mergeCell ref="N151:V151"/>
    <mergeCell ref="W151:AB151"/>
    <mergeCell ref="C152:M152"/>
    <mergeCell ref="N152:V152"/>
    <mergeCell ref="W152:AB152"/>
    <mergeCell ref="C158:F158"/>
    <mergeCell ref="G158:K158"/>
    <mergeCell ref="L158:N158"/>
    <mergeCell ref="O158:R158"/>
    <mergeCell ref="C153:M153"/>
    <mergeCell ref="N153:V153"/>
    <mergeCell ref="W153:AB153"/>
    <mergeCell ref="C154:M154"/>
    <mergeCell ref="C212:AB212"/>
    <mergeCell ref="A186:AB186"/>
    <mergeCell ref="B188:P188"/>
    <mergeCell ref="B189:AB193"/>
    <mergeCell ref="X197:AB197"/>
    <mergeCell ref="X201:AB201"/>
    <mergeCell ref="X206:AB206"/>
    <mergeCell ref="A162:P162"/>
    <mergeCell ref="A163:P163"/>
    <mergeCell ref="A164:P164"/>
    <mergeCell ref="B165:AB171"/>
    <mergeCell ref="B173:F173"/>
    <mergeCell ref="N173:R173"/>
    <mergeCell ref="X173:AB173"/>
    <mergeCell ref="C210:AB210"/>
    <mergeCell ref="C211:AB211"/>
    <mergeCell ref="Z159:AB159"/>
    <mergeCell ref="W148:AB148"/>
    <mergeCell ref="C150:D150"/>
    <mergeCell ref="E150:M150"/>
    <mergeCell ref="N150:V150"/>
    <mergeCell ref="W150:AB150"/>
    <mergeCell ref="W149:AB149"/>
    <mergeCell ref="W154:AB154"/>
    <mergeCell ref="S158:V158"/>
    <mergeCell ref="W158:Y158"/>
    <mergeCell ref="N154:V154"/>
    <mergeCell ref="Z158:AB158"/>
    <mergeCell ref="C159:F159"/>
    <mergeCell ref="G159:K159"/>
    <mergeCell ref="L159:N159"/>
    <mergeCell ref="O159:R159"/>
    <mergeCell ref="S159:V159"/>
    <mergeCell ref="W159:Y159"/>
    <mergeCell ref="C146:D146"/>
    <mergeCell ref="E146:M146"/>
    <mergeCell ref="N146:V146"/>
    <mergeCell ref="W146:AB146"/>
    <mergeCell ref="AE137:AF137"/>
    <mergeCell ref="C139:P139"/>
    <mergeCell ref="R139:AB139"/>
    <mergeCell ref="C147:D147"/>
    <mergeCell ref="E147:M147"/>
    <mergeCell ref="N147:V147"/>
    <mergeCell ref="W147:AB147"/>
    <mergeCell ref="A143:A159"/>
    <mergeCell ref="B143:P143"/>
    <mergeCell ref="R143:AB143"/>
    <mergeCell ref="B144:B155"/>
    <mergeCell ref="C144:AB144"/>
    <mergeCell ref="C137:H137"/>
    <mergeCell ref="I137:K137"/>
    <mergeCell ref="L137:O137"/>
    <mergeCell ref="P137:R137"/>
    <mergeCell ref="S137:T137"/>
    <mergeCell ref="U137:W137"/>
    <mergeCell ref="C145:D145"/>
    <mergeCell ref="E145:M145"/>
    <mergeCell ref="N145:V145"/>
    <mergeCell ref="W145:AB145"/>
    <mergeCell ref="X137:Z137"/>
    <mergeCell ref="AA137:AB137"/>
    <mergeCell ref="C149:D149"/>
    <mergeCell ref="E149:M149"/>
    <mergeCell ref="N149:V149"/>
    <mergeCell ref="C148:D148"/>
    <mergeCell ref="E148:M148"/>
    <mergeCell ref="N148:V148"/>
    <mergeCell ref="A131:A139"/>
    <mergeCell ref="X133:Z133"/>
    <mergeCell ref="AA133:AB133"/>
    <mergeCell ref="C134:H134"/>
    <mergeCell ref="I134:K134"/>
    <mergeCell ref="L134:O134"/>
    <mergeCell ref="P134:R134"/>
    <mergeCell ref="S134:T134"/>
    <mergeCell ref="U134:W134"/>
    <mergeCell ref="X134:Z136"/>
    <mergeCell ref="AA134:AB136"/>
    <mergeCell ref="C135:H135"/>
    <mergeCell ref="U136:W136"/>
    <mergeCell ref="S136:T136"/>
    <mergeCell ref="P136:R136"/>
    <mergeCell ref="L136:O136"/>
    <mergeCell ref="I136:K136"/>
    <mergeCell ref="C136:H136"/>
    <mergeCell ref="B126:P126"/>
    <mergeCell ref="R126:AB126"/>
    <mergeCell ref="B127:P127"/>
    <mergeCell ref="R127:AB127"/>
    <mergeCell ref="B128:P128"/>
    <mergeCell ref="R128:AB128"/>
    <mergeCell ref="B123:P123"/>
    <mergeCell ref="R123:AB123"/>
    <mergeCell ref="B124:P124"/>
    <mergeCell ref="R124:S124"/>
    <mergeCell ref="B125:P125"/>
    <mergeCell ref="R125:AB125"/>
    <mergeCell ref="E119:AB119"/>
    <mergeCell ref="B121:S121"/>
    <mergeCell ref="B122:P122"/>
    <mergeCell ref="R122:AB122"/>
    <mergeCell ref="AA115:AB115"/>
    <mergeCell ref="B117:B119"/>
    <mergeCell ref="C117:Y117"/>
    <mergeCell ref="Z117:AB117"/>
    <mergeCell ref="C118:D118"/>
    <mergeCell ref="E118:N118"/>
    <mergeCell ref="O118:S118"/>
    <mergeCell ref="T118:W118"/>
    <mergeCell ref="X118:AB118"/>
    <mergeCell ref="C119:D119"/>
    <mergeCell ref="C115:D115"/>
    <mergeCell ref="E115:I115"/>
    <mergeCell ref="J115:P115"/>
    <mergeCell ref="Q115:T115"/>
    <mergeCell ref="U115:W115"/>
    <mergeCell ref="X115:Z115"/>
    <mergeCell ref="C111:D111"/>
    <mergeCell ref="E111:I111"/>
    <mergeCell ref="J111:P111"/>
    <mergeCell ref="Q111:T111"/>
    <mergeCell ref="U111:W111"/>
    <mergeCell ref="X111:Z111"/>
    <mergeCell ref="AA113:AB113"/>
    <mergeCell ref="C114:D114"/>
    <mergeCell ref="E114:I114"/>
    <mergeCell ref="J114:P114"/>
    <mergeCell ref="Q114:T114"/>
    <mergeCell ref="U114:W114"/>
    <mergeCell ref="X114:Z114"/>
    <mergeCell ref="AA114:AB114"/>
    <mergeCell ref="C113:D113"/>
    <mergeCell ref="E113:I113"/>
    <mergeCell ref="J113:P113"/>
    <mergeCell ref="Q113:T113"/>
    <mergeCell ref="U113:W113"/>
    <mergeCell ref="X113:Z113"/>
    <mergeCell ref="Z107:AB107"/>
    <mergeCell ref="B109:B115"/>
    <mergeCell ref="C109:AB109"/>
    <mergeCell ref="C110:D110"/>
    <mergeCell ref="E110:I110"/>
    <mergeCell ref="J110:P110"/>
    <mergeCell ref="Q110:T110"/>
    <mergeCell ref="U110:W110"/>
    <mergeCell ref="X110:Z110"/>
    <mergeCell ref="AA110:AB110"/>
    <mergeCell ref="C107:D107"/>
    <mergeCell ref="E107:J107"/>
    <mergeCell ref="K107:N107"/>
    <mergeCell ref="O107:R107"/>
    <mergeCell ref="S107:U107"/>
    <mergeCell ref="V107:Y107"/>
    <mergeCell ref="AA111:AB111"/>
    <mergeCell ref="C112:D112"/>
    <mergeCell ref="E112:I112"/>
    <mergeCell ref="J112:P112"/>
    <mergeCell ref="Q112:T112"/>
    <mergeCell ref="U112:W112"/>
    <mergeCell ref="X112:Z112"/>
    <mergeCell ref="AA112:AB112"/>
    <mergeCell ref="C106:D106"/>
    <mergeCell ref="E106:J106"/>
    <mergeCell ref="K106:N106"/>
    <mergeCell ref="O106:R106"/>
    <mergeCell ref="S106:U106"/>
    <mergeCell ref="V106:Y106"/>
    <mergeCell ref="Z106:AB106"/>
    <mergeCell ref="C105:D105"/>
    <mergeCell ref="E105:J105"/>
    <mergeCell ref="K105:N105"/>
    <mergeCell ref="O105:R105"/>
    <mergeCell ref="S105:U105"/>
    <mergeCell ref="V105:Y105"/>
    <mergeCell ref="V104:Y104"/>
    <mergeCell ref="Z104:AB104"/>
    <mergeCell ref="C103:D103"/>
    <mergeCell ref="E103:J103"/>
    <mergeCell ref="K103:N103"/>
    <mergeCell ref="O103:R103"/>
    <mergeCell ref="S103:U103"/>
    <mergeCell ref="V103:Y103"/>
    <mergeCell ref="Z105:AB105"/>
    <mergeCell ref="Z101:AB101"/>
    <mergeCell ref="C102:D102"/>
    <mergeCell ref="E102:J102"/>
    <mergeCell ref="K102:N102"/>
    <mergeCell ref="O102:R102"/>
    <mergeCell ref="S102:U102"/>
    <mergeCell ref="V102:Y102"/>
    <mergeCell ref="Z102:AB102"/>
    <mergeCell ref="A98:A119"/>
    <mergeCell ref="B98:AB98"/>
    <mergeCell ref="B99:B107"/>
    <mergeCell ref="C99:AB100"/>
    <mergeCell ref="C101:D101"/>
    <mergeCell ref="E101:J101"/>
    <mergeCell ref="K101:N101"/>
    <mergeCell ref="O101:R101"/>
    <mergeCell ref="S101:U101"/>
    <mergeCell ref="V101:Y101"/>
    <mergeCell ref="Z103:AB103"/>
    <mergeCell ref="C104:D104"/>
    <mergeCell ref="E104:J104"/>
    <mergeCell ref="K104:N104"/>
    <mergeCell ref="O104:R104"/>
    <mergeCell ref="S104:U104"/>
    <mergeCell ref="J88:L88"/>
    <mergeCell ref="M88:O88"/>
    <mergeCell ref="P88:R88"/>
    <mergeCell ref="S88:AB88"/>
    <mergeCell ref="B91:B93"/>
    <mergeCell ref="C91:Y91"/>
    <mergeCell ref="Z91:AB91"/>
    <mergeCell ref="C92:D92"/>
    <mergeCell ref="E92:N92"/>
    <mergeCell ref="O92:S92"/>
    <mergeCell ref="T92:W92"/>
    <mergeCell ref="X92:AB92"/>
    <mergeCell ref="C93:D93"/>
    <mergeCell ref="E93:AB93"/>
    <mergeCell ref="U83:AB83"/>
    <mergeCell ref="O77:R77"/>
    <mergeCell ref="S77:T77"/>
    <mergeCell ref="U77:AB77"/>
    <mergeCell ref="B85:B89"/>
    <mergeCell ref="C85:P86"/>
    <mergeCell ref="Q85:Q86"/>
    <mergeCell ref="R85:Y85"/>
    <mergeCell ref="Z85:AB85"/>
    <mergeCell ref="R86:AB86"/>
    <mergeCell ref="C87:D87"/>
    <mergeCell ref="E87:I87"/>
    <mergeCell ref="J87:L87"/>
    <mergeCell ref="M87:O87"/>
    <mergeCell ref="C89:D89"/>
    <mergeCell ref="E89:I89"/>
    <mergeCell ref="J89:L89"/>
    <mergeCell ref="M89:O89"/>
    <mergeCell ref="P89:R89"/>
    <mergeCell ref="S89:AB89"/>
    <mergeCell ref="P87:R87"/>
    <mergeCell ref="S87:AB87"/>
    <mergeCell ref="C88:D88"/>
    <mergeCell ref="E88:I88"/>
    <mergeCell ref="A79:A93"/>
    <mergeCell ref="B79:AB79"/>
    <mergeCell ref="B80:B83"/>
    <mergeCell ref="C80:P80"/>
    <mergeCell ref="Q80:Q81"/>
    <mergeCell ref="R80:Y80"/>
    <mergeCell ref="Z80:AB80"/>
    <mergeCell ref="B75:B77"/>
    <mergeCell ref="C75:Y75"/>
    <mergeCell ref="Z75:AB75"/>
    <mergeCell ref="C76:K76"/>
    <mergeCell ref="L76:N76"/>
    <mergeCell ref="O76:R76"/>
    <mergeCell ref="S76:T76"/>
    <mergeCell ref="U76:AB76"/>
    <mergeCell ref="C77:K77"/>
    <mergeCell ref="L77:N77"/>
    <mergeCell ref="C81:P81"/>
    <mergeCell ref="R81:AB81"/>
    <mergeCell ref="C82:K82"/>
    <mergeCell ref="L82:T82"/>
    <mergeCell ref="U82:AB82"/>
    <mergeCell ref="C83:K83"/>
    <mergeCell ref="L83:T83"/>
    <mergeCell ref="X72:AB72"/>
    <mergeCell ref="C74:P74"/>
    <mergeCell ref="R74:AB74"/>
    <mergeCell ref="U69:W69"/>
    <mergeCell ref="X69:Z69"/>
    <mergeCell ref="AA69:AB69"/>
    <mergeCell ref="C71:J71"/>
    <mergeCell ref="K71:Q71"/>
    <mergeCell ref="R71:W71"/>
    <mergeCell ref="X71:AB71"/>
    <mergeCell ref="C69:E69"/>
    <mergeCell ref="F69:H69"/>
    <mergeCell ref="I69:L69"/>
    <mergeCell ref="M69:O69"/>
    <mergeCell ref="P69:R69"/>
    <mergeCell ref="S69:T69"/>
    <mergeCell ref="B64:B72"/>
    <mergeCell ref="C64:P64"/>
    <mergeCell ref="Q64:Y64"/>
    <mergeCell ref="Z64:AB64"/>
    <mergeCell ref="C65:E68"/>
    <mergeCell ref="F65:H68"/>
    <mergeCell ref="I65:L68"/>
    <mergeCell ref="M65:O68"/>
    <mergeCell ref="W60:Y60"/>
    <mergeCell ref="Z60:AB60"/>
    <mergeCell ref="B57:B61"/>
    <mergeCell ref="C57:Y57"/>
    <mergeCell ref="Z57:AB57"/>
    <mergeCell ref="P65:R68"/>
    <mergeCell ref="S65:Z65"/>
    <mergeCell ref="AA65:AB68"/>
    <mergeCell ref="S66:T68"/>
    <mergeCell ref="U66:Z66"/>
    <mergeCell ref="U67:W68"/>
    <mergeCell ref="X67:Z68"/>
    <mergeCell ref="Z61:AB61"/>
    <mergeCell ref="C72:J72"/>
    <mergeCell ref="K72:Q72"/>
    <mergeCell ref="R72:W72"/>
    <mergeCell ref="AD60:AE60"/>
    <mergeCell ref="C61:E61"/>
    <mergeCell ref="F61:I61"/>
    <mergeCell ref="J61:M61"/>
    <mergeCell ref="N61:P61"/>
    <mergeCell ref="Q61:S61"/>
    <mergeCell ref="T61:V61"/>
    <mergeCell ref="W61:Y61"/>
    <mergeCell ref="C60:E60"/>
    <mergeCell ref="F60:I60"/>
    <mergeCell ref="J60:M60"/>
    <mergeCell ref="N60:P60"/>
    <mergeCell ref="Q60:S60"/>
    <mergeCell ref="T60:V60"/>
    <mergeCell ref="AD61:AE61"/>
    <mergeCell ref="Z58:AB58"/>
    <mergeCell ref="C59:E59"/>
    <mergeCell ref="F59:I59"/>
    <mergeCell ref="J59:M59"/>
    <mergeCell ref="N59:P59"/>
    <mergeCell ref="Q59:S59"/>
    <mergeCell ref="T59:V59"/>
    <mergeCell ref="W59:Y59"/>
    <mergeCell ref="Z59:AB59"/>
    <mergeCell ref="C58:E58"/>
    <mergeCell ref="F58:I58"/>
    <mergeCell ref="J58:M58"/>
    <mergeCell ref="N58:P58"/>
    <mergeCell ref="Q58:S58"/>
    <mergeCell ref="T58:V58"/>
    <mergeCell ref="W58:Y58"/>
    <mergeCell ref="C55:E55"/>
    <mergeCell ref="F55:I55"/>
    <mergeCell ref="J55:P55"/>
    <mergeCell ref="Q55:T55"/>
    <mergeCell ref="U55:X55"/>
    <mergeCell ref="Y55:AB55"/>
    <mergeCell ref="C54:E54"/>
    <mergeCell ref="F54:I54"/>
    <mergeCell ref="J54:P54"/>
    <mergeCell ref="Q54:T54"/>
    <mergeCell ref="U54:X54"/>
    <mergeCell ref="Y54:AB54"/>
    <mergeCell ref="AD41:AE41"/>
    <mergeCell ref="A49:A77"/>
    <mergeCell ref="B49:AB49"/>
    <mergeCell ref="C50:P50"/>
    <mergeCell ref="R50:AB50"/>
    <mergeCell ref="B51:B55"/>
    <mergeCell ref="C51:X51"/>
    <mergeCell ref="Y51:AB51"/>
    <mergeCell ref="C52:E52"/>
    <mergeCell ref="F52:I52"/>
    <mergeCell ref="A33:A42"/>
    <mergeCell ref="B33:P33"/>
    <mergeCell ref="Q33:AB33"/>
    <mergeCell ref="AA34:AB34"/>
    <mergeCell ref="J52:P52"/>
    <mergeCell ref="Q52:T52"/>
    <mergeCell ref="U52:X52"/>
    <mergeCell ref="Y52:AB52"/>
    <mergeCell ref="C53:E53"/>
    <mergeCell ref="F53:I53"/>
    <mergeCell ref="J53:P53"/>
    <mergeCell ref="Q53:T53"/>
    <mergeCell ref="U53:X53"/>
    <mergeCell ref="Y53:AB53"/>
    <mergeCell ref="B41:B42"/>
    <mergeCell ref="C41:P42"/>
    <mergeCell ref="Q41:Q42"/>
    <mergeCell ref="R41:AB42"/>
    <mergeCell ref="AA35:AB35"/>
    <mergeCell ref="D36:J36"/>
    <mergeCell ref="B34:B39"/>
    <mergeCell ref="D34:J35"/>
    <mergeCell ref="K34:L35"/>
    <mergeCell ref="M34:T35"/>
    <mergeCell ref="U34:V35"/>
    <mergeCell ref="W34:Z35"/>
    <mergeCell ref="C36:C37"/>
    <mergeCell ref="C38:C39"/>
    <mergeCell ref="D37:J37"/>
    <mergeCell ref="K36:L37"/>
    <mergeCell ref="K38:L39"/>
    <mergeCell ref="M36:T37"/>
    <mergeCell ref="U36:V37"/>
    <mergeCell ref="W36:Z37"/>
    <mergeCell ref="AA36:AB37"/>
    <mergeCell ref="U38:V39"/>
    <mergeCell ref="W38:Z39"/>
    <mergeCell ref="AA38:AB39"/>
    <mergeCell ref="H30:K30"/>
    <mergeCell ref="L30:P30"/>
    <mergeCell ref="Q30:U30"/>
    <mergeCell ref="V30:Y30"/>
    <mergeCell ref="Z30:AB30"/>
    <mergeCell ref="C31:G31"/>
    <mergeCell ref="H31:K31"/>
    <mergeCell ref="L31:P31"/>
    <mergeCell ref="Q31:U31"/>
    <mergeCell ref="V31:Y31"/>
    <mergeCell ref="Z31:AB31"/>
    <mergeCell ref="M38:T39"/>
    <mergeCell ref="C26:P26"/>
    <mergeCell ref="R26:AB26"/>
    <mergeCell ref="X20:AB20"/>
    <mergeCell ref="D21:H21"/>
    <mergeCell ref="I21:M21"/>
    <mergeCell ref="N21:P21"/>
    <mergeCell ref="Q21:S21"/>
    <mergeCell ref="T21:W21"/>
    <mergeCell ref="X21:AB21"/>
    <mergeCell ref="D20:H20"/>
    <mergeCell ref="I20:M20"/>
    <mergeCell ref="N20:P20"/>
    <mergeCell ref="Q20:S20"/>
    <mergeCell ref="T20:W20"/>
    <mergeCell ref="C22:AB22"/>
    <mergeCell ref="C24:P24"/>
    <mergeCell ref="R24:AB24"/>
    <mergeCell ref="C25:P25"/>
    <mergeCell ref="R25:AB25"/>
    <mergeCell ref="C28:X28"/>
    <mergeCell ref="Y28:AB28"/>
    <mergeCell ref="C29:G29"/>
    <mergeCell ref="H29:K29"/>
    <mergeCell ref="J1:T2"/>
    <mergeCell ref="V1:AB1"/>
    <mergeCell ref="V2:AB2"/>
    <mergeCell ref="J3:T4"/>
    <mergeCell ref="V3:AB3"/>
    <mergeCell ref="U4:AB4"/>
    <mergeCell ref="A5:U5"/>
    <mergeCell ref="V5:W5"/>
    <mergeCell ref="X5:AA5"/>
    <mergeCell ref="A9:A31"/>
    <mergeCell ref="B9:AB9"/>
    <mergeCell ref="B10:B11"/>
    <mergeCell ref="C10:L12"/>
    <mergeCell ref="C16:P16"/>
    <mergeCell ref="R16:AB16"/>
    <mergeCell ref="C17:P17"/>
    <mergeCell ref="R17:T17"/>
    <mergeCell ref="U17:V17"/>
    <mergeCell ref="W17:AB17"/>
    <mergeCell ref="C13:L13"/>
    <mergeCell ref="C14:L14"/>
    <mergeCell ref="C15:P15"/>
    <mergeCell ref="R15:AB15"/>
    <mergeCell ref="C18:P18"/>
    <mergeCell ref="R18:AB18"/>
    <mergeCell ref="B19:B22"/>
    <mergeCell ref="C19:W19"/>
    <mergeCell ref="X19:AB19"/>
    <mergeCell ref="B28:B31"/>
    <mergeCell ref="L29:P29"/>
    <mergeCell ref="Q29:U29"/>
    <mergeCell ref="V29:AB29"/>
    <mergeCell ref="C30:G30"/>
  </mergeCells>
  <conditionalFormatting sqref="Q53:X53 Q54:T54">
    <cfRule type="expression" dxfId="0" priority="1">
      <formula>$F$53="cÖ‡hvR¨ bq"</formula>
    </cfRule>
  </conditionalFormatting>
  <dataValidations count="2">
    <dataValidation type="list" allowBlank="1" showInputMessage="1" showErrorMessage="1" sqref="C31:G31 IY31:JC31 SU31:SY31 ACQ31:ACU31 AMM31:AMQ31 AWI31:AWM31 BGE31:BGI31 BQA31:BQE31 BZW31:CAA31 CJS31:CJW31 CTO31:CTS31 DDK31:DDO31 DNG31:DNK31 DXC31:DXG31 EGY31:EHC31 EQU31:EQY31 FAQ31:FAU31 FKM31:FKQ31 FUI31:FUM31 GEE31:GEI31 GOA31:GOE31 GXW31:GYA31 HHS31:HHW31 HRO31:HRS31 IBK31:IBO31 ILG31:ILK31 IVC31:IVG31 JEY31:JFC31 JOU31:JOY31 JYQ31:JYU31 KIM31:KIQ31 KSI31:KSM31 LCE31:LCI31 LMA31:LME31 LVW31:LWA31 MFS31:MFW31 MPO31:MPS31 MZK31:MZO31 NJG31:NJK31 NTC31:NTG31 OCY31:ODC31 OMU31:OMY31 OWQ31:OWU31 PGM31:PGQ31 PQI31:PQM31 QAE31:QAI31 QKA31:QKE31 QTW31:QUA31 RDS31:RDW31 RNO31:RNS31 RXK31:RXO31 SHG31:SHK31 SRC31:SRG31 TAY31:TBC31 TKU31:TKY31 TUQ31:TUU31 UEM31:UEQ31 UOI31:UOM31 UYE31:UYI31 VIA31:VIE31 VRW31:VSA31 WBS31:WBW31 WLO31:WLS31 WVK31:WVO31 C65585:G65585 IY65585:JC65585 SU65585:SY65585 ACQ65585:ACU65585 AMM65585:AMQ65585 AWI65585:AWM65585 BGE65585:BGI65585 BQA65585:BQE65585 BZW65585:CAA65585 CJS65585:CJW65585 CTO65585:CTS65585 DDK65585:DDO65585 DNG65585:DNK65585 DXC65585:DXG65585 EGY65585:EHC65585 EQU65585:EQY65585 FAQ65585:FAU65585 FKM65585:FKQ65585 FUI65585:FUM65585 GEE65585:GEI65585 GOA65585:GOE65585 GXW65585:GYA65585 HHS65585:HHW65585 HRO65585:HRS65585 IBK65585:IBO65585 ILG65585:ILK65585 IVC65585:IVG65585 JEY65585:JFC65585 JOU65585:JOY65585 JYQ65585:JYU65585 KIM65585:KIQ65585 KSI65585:KSM65585 LCE65585:LCI65585 LMA65585:LME65585 LVW65585:LWA65585 MFS65585:MFW65585 MPO65585:MPS65585 MZK65585:MZO65585 NJG65585:NJK65585 NTC65585:NTG65585 OCY65585:ODC65585 OMU65585:OMY65585 OWQ65585:OWU65585 PGM65585:PGQ65585 PQI65585:PQM65585 QAE65585:QAI65585 QKA65585:QKE65585 QTW65585:QUA65585 RDS65585:RDW65585 RNO65585:RNS65585 RXK65585:RXO65585 SHG65585:SHK65585 SRC65585:SRG65585 TAY65585:TBC65585 TKU65585:TKY65585 TUQ65585:TUU65585 UEM65585:UEQ65585 UOI65585:UOM65585 UYE65585:UYI65585 VIA65585:VIE65585 VRW65585:VSA65585 WBS65585:WBW65585 WLO65585:WLS65585 WVK65585:WVO65585 C131121:G131121 IY131121:JC131121 SU131121:SY131121 ACQ131121:ACU131121 AMM131121:AMQ131121 AWI131121:AWM131121 BGE131121:BGI131121 BQA131121:BQE131121 BZW131121:CAA131121 CJS131121:CJW131121 CTO131121:CTS131121 DDK131121:DDO131121 DNG131121:DNK131121 DXC131121:DXG131121 EGY131121:EHC131121 EQU131121:EQY131121 FAQ131121:FAU131121 FKM131121:FKQ131121 FUI131121:FUM131121 GEE131121:GEI131121 GOA131121:GOE131121 GXW131121:GYA131121 HHS131121:HHW131121 HRO131121:HRS131121 IBK131121:IBO131121 ILG131121:ILK131121 IVC131121:IVG131121 JEY131121:JFC131121 JOU131121:JOY131121 JYQ131121:JYU131121 KIM131121:KIQ131121 KSI131121:KSM131121 LCE131121:LCI131121 LMA131121:LME131121 LVW131121:LWA131121 MFS131121:MFW131121 MPO131121:MPS131121 MZK131121:MZO131121 NJG131121:NJK131121 NTC131121:NTG131121 OCY131121:ODC131121 OMU131121:OMY131121 OWQ131121:OWU131121 PGM131121:PGQ131121 PQI131121:PQM131121 QAE131121:QAI131121 QKA131121:QKE131121 QTW131121:QUA131121 RDS131121:RDW131121 RNO131121:RNS131121 RXK131121:RXO131121 SHG131121:SHK131121 SRC131121:SRG131121 TAY131121:TBC131121 TKU131121:TKY131121 TUQ131121:TUU131121 UEM131121:UEQ131121 UOI131121:UOM131121 UYE131121:UYI131121 VIA131121:VIE131121 VRW131121:VSA131121 WBS131121:WBW131121 WLO131121:WLS131121 WVK131121:WVO131121 C196657:G196657 IY196657:JC196657 SU196657:SY196657 ACQ196657:ACU196657 AMM196657:AMQ196657 AWI196657:AWM196657 BGE196657:BGI196657 BQA196657:BQE196657 BZW196657:CAA196657 CJS196657:CJW196657 CTO196657:CTS196657 DDK196657:DDO196657 DNG196657:DNK196657 DXC196657:DXG196657 EGY196657:EHC196657 EQU196657:EQY196657 FAQ196657:FAU196657 FKM196657:FKQ196657 FUI196657:FUM196657 GEE196657:GEI196657 GOA196657:GOE196657 GXW196657:GYA196657 HHS196657:HHW196657 HRO196657:HRS196657 IBK196657:IBO196657 ILG196657:ILK196657 IVC196657:IVG196657 JEY196657:JFC196657 JOU196657:JOY196657 JYQ196657:JYU196657 KIM196657:KIQ196657 KSI196657:KSM196657 LCE196657:LCI196657 LMA196657:LME196657 LVW196657:LWA196657 MFS196657:MFW196657 MPO196657:MPS196657 MZK196657:MZO196657 NJG196657:NJK196657 NTC196657:NTG196657 OCY196657:ODC196657 OMU196657:OMY196657 OWQ196657:OWU196657 PGM196657:PGQ196657 PQI196657:PQM196657 QAE196657:QAI196657 QKA196657:QKE196657 QTW196657:QUA196657 RDS196657:RDW196657 RNO196657:RNS196657 RXK196657:RXO196657 SHG196657:SHK196657 SRC196657:SRG196657 TAY196657:TBC196657 TKU196657:TKY196657 TUQ196657:TUU196657 UEM196657:UEQ196657 UOI196657:UOM196657 UYE196657:UYI196657 VIA196657:VIE196657 VRW196657:VSA196657 WBS196657:WBW196657 WLO196657:WLS196657 WVK196657:WVO196657 C262193:G262193 IY262193:JC262193 SU262193:SY262193 ACQ262193:ACU262193 AMM262193:AMQ262193 AWI262193:AWM262193 BGE262193:BGI262193 BQA262193:BQE262193 BZW262193:CAA262193 CJS262193:CJW262193 CTO262193:CTS262193 DDK262193:DDO262193 DNG262193:DNK262193 DXC262193:DXG262193 EGY262193:EHC262193 EQU262193:EQY262193 FAQ262193:FAU262193 FKM262193:FKQ262193 FUI262193:FUM262193 GEE262193:GEI262193 GOA262193:GOE262193 GXW262193:GYA262193 HHS262193:HHW262193 HRO262193:HRS262193 IBK262193:IBO262193 ILG262193:ILK262193 IVC262193:IVG262193 JEY262193:JFC262193 JOU262193:JOY262193 JYQ262193:JYU262193 KIM262193:KIQ262193 KSI262193:KSM262193 LCE262193:LCI262193 LMA262193:LME262193 LVW262193:LWA262193 MFS262193:MFW262193 MPO262193:MPS262193 MZK262193:MZO262193 NJG262193:NJK262193 NTC262193:NTG262193 OCY262193:ODC262193 OMU262193:OMY262193 OWQ262193:OWU262193 PGM262193:PGQ262193 PQI262193:PQM262193 QAE262193:QAI262193 QKA262193:QKE262193 QTW262193:QUA262193 RDS262193:RDW262193 RNO262193:RNS262193 RXK262193:RXO262193 SHG262193:SHK262193 SRC262193:SRG262193 TAY262193:TBC262193 TKU262193:TKY262193 TUQ262193:TUU262193 UEM262193:UEQ262193 UOI262193:UOM262193 UYE262193:UYI262193 VIA262193:VIE262193 VRW262193:VSA262193 WBS262193:WBW262193 WLO262193:WLS262193 WVK262193:WVO262193 C327729:G327729 IY327729:JC327729 SU327729:SY327729 ACQ327729:ACU327729 AMM327729:AMQ327729 AWI327729:AWM327729 BGE327729:BGI327729 BQA327729:BQE327729 BZW327729:CAA327729 CJS327729:CJW327729 CTO327729:CTS327729 DDK327729:DDO327729 DNG327729:DNK327729 DXC327729:DXG327729 EGY327729:EHC327729 EQU327729:EQY327729 FAQ327729:FAU327729 FKM327729:FKQ327729 FUI327729:FUM327729 GEE327729:GEI327729 GOA327729:GOE327729 GXW327729:GYA327729 HHS327729:HHW327729 HRO327729:HRS327729 IBK327729:IBO327729 ILG327729:ILK327729 IVC327729:IVG327729 JEY327729:JFC327729 JOU327729:JOY327729 JYQ327729:JYU327729 KIM327729:KIQ327729 KSI327729:KSM327729 LCE327729:LCI327729 LMA327729:LME327729 LVW327729:LWA327729 MFS327729:MFW327729 MPO327729:MPS327729 MZK327729:MZO327729 NJG327729:NJK327729 NTC327729:NTG327729 OCY327729:ODC327729 OMU327729:OMY327729 OWQ327729:OWU327729 PGM327729:PGQ327729 PQI327729:PQM327729 QAE327729:QAI327729 QKA327729:QKE327729 QTW327729:QUA327729 RDS327729:RDW327729 RNO327729:RNS327729 RXK327729:RXO327729 SHG327729:SHK327729 SRC327729:SRG327729 TAY327729:TBC327729 TKU327729:TKY327729 TUQ327729:TUU327729 UEM327729:UEQ327729 UOI327729:UOM327729 UYE327729:UYI327729 VIA327729:VIE327729 VRW327729:VSA327729 WBS327729:WBW327729 WLO327729:WLS327729 WVK327729:WVO327729 C393265:G393265 IY393265:JC393265 SU393265:SY393265 ACQ393265:ACU393265 AMM393265:AMQ393265 AWI393265:AWM393265 BGE393265:BGI393265 BQA393265:BQE393265 BZW393265:CAA393265 CJS393265:CJW393265 CTO393265:CTS393265 DDK393265:DDO393265 DNG393265:DNK393265 DXC393265:DXG393265 EGY393265:EHC393265 EQU393265:EQY393265 FAQ393265:FAU393265 FKM393265:FKQ393265 FUI393265:FUM393265 GEE393265:GEI393265 GOA393265:GOE393265 GXW393265:GYA393265 HHS393265:HHW393265 HRO393265:HRS393265 IBK393265:IBO393265 ILG393265:ILK393265 IVC393265:IVG393265 JEY393265:JFC393265 JOU393265:JOY393265 JYQ393265:JYU393265 KIM393265:KIQ393265 KSI393265:KSM393265 LCE393265:LCI393265 LMA393265:LME393265 LVW393265:LWA393265 MFS393265:MFW393265 MPO393265:MPS393265 MZK393265:MZO393265 NJG393265:NJK393265 NTC393265:NTG393265 OCY393265:ODC393265 OMU393265:OMY393265 OWQ393265:OWU393265 PGM393265:PGQ393265 PQI393265:PQM393265 QAE393265:QAI393265 QKA393265:QKE393265 QTW393265:QUA393265 RDS393265:RDW393265 RNO393265:RNS393265 RXK393265:RXO393265 SHG393265:SHK393265 SRC393265:SRG393265 TAY393265:TBC393265 TKU393265:TKY393265 TUQ393265:TUU393265 UEM393265:UEQ393265 UOI393265:UOM393265 UYE393265:UYI393265 VIA393265:VIE393265 VRW393265:VSA393265 WBS393265:WBW393265 WLO393265:WLS393265 WVK393265:WVO393265 C458801:G458801 IY458801:JC458801 SU458801:SY458801 ACQ458801:ACU458801 AMM458801:AMQ458801 AWI458801:AWM458801 BGE458801:BGI458801 BQA458801:BQE458801 BZW458801:CAA458801 CJS458801:CJW458801 CTO458801:CTS458801 DDK458801:DDO458801 DNG458801:DNK458801 DXC458801:DXG458801 EGY458801:EHC458801 EQU458801:EQY458801 FAQ458801:FAU458801 FKM458801:FKQ458801 FUI458801:FUM458801 GEE458801:GEI458801 GOA458801:GOE458801 GXW458801:GYA458801 HHS458801:HHW458801 HRO458801:HRS458801 IBK458801:IBO458801 ILG458801:ILK458801 IVC458801:IVG458801 JEY458801:JFC458801 JOU458801:JOY458801 JYQ458801:JYU458801 KIM458801:KIQ458801 KSI458801:KSM458801 LCE458801:LCI458801 LMA458801:LME458801 LVW458801:LWA458801 MFS458801:MFW458801 MPO458801:MPS458801 MZK458801:MZO458801 NJG458801:NJK458801 NTC458801:NTG458801 OCY458801:ODC458801 OMU458801:OMY458801 OWQ458801:OWU458801 PGM458801:PGQ458801 PQI458801:PQM458801 QAE458801:QAI458801 QKA458801:QKE458801 QTW458801:QUA458801 RDS458801:RDW458801 RNO458801:RNS458801 RXK458801:RXO458801 SHG458801:SHK458801 SRC458801:SRG458801 TAY458801:TBC458801 TKU458801:TKY458801 TUQ458801:TUU458801 UEM458801:UEQ458801 UOI458801:UOM458801 UYE458801:UYI458801 VIA458801:VIE458801 VRW458801:VSA458801 WBS458801:WBW458801 WLO458801:WLS458801 WVK458801:WVO458801 C524337:G524337 IY524337:JC524337 SU524337:SY524337 ACQ524337:ACU524337 AMM524337:AMQ524337 AWI524337:AWM524337 BGE524337:BGI524337 BQA524337:BQE524337 BZW524337:CAA524337 CJS524337:CJW524337 CTO524337:CTS524337 DDK524337:DDO524337 DNG524337:DNK524337 DXC524337:DXG524337 EGY524337:EHC524337 EQU524337:EQY524337 FAQ524337:FAU524337 FKM524337:FKQ524337 FUI524337:FUM524337 GEE524337:GEI524337 GOA524337:GOE524337 GXW524337:GYA524337 HHS524337:HHW524337 HRO524337:HRS524337 IBK524337:IBO524337 ILG524337:ILK524337 IVC524337:IVG524337 JEY524337:JFC524337 JOU524337:JOY524337 JYQ524337:JYU524337 KIM524337:KIQ524337 KSI524337:KSM524337 LCE524337:LCI524337 LMA524337:LME524337 LVW524337:LWA524337 MFS524337:MFW524337 MPO524337:MPS524337 MZK524337:MZO524337 NJG524337:NJK524337 NTC524337:NTG524337 OCY524337:ODC524337 OMU524337:OMY524337 OWQ524337:OWU524337 PGM524337:PGQ524337 PQI524337:PQM524337 QAE524337:QAI524337 QKA524337:QKE524337 QTW524337:QUA524337 RDS524337:RDW524337 RNO524337:RNS524337 RXK524337:RXO524337 SHG524337:SHK524337 SRC524337:SRG524337 TAY524337:TBC524337 TKU524337:TKY524337 TUQ524337:TUU524337 UEM524337:UEQ524337 UOI524337:UOM524337 UYE524337:UYI524337 VIA524337:VIE524337 VRW524337:VSA524337 WBS524337:WBW524337 WLO524337:WLS524337 WVK524337:WVO524337 C589873:G589873 IY589873:JC589873 SU589873:SY589873 ACQ589873:ACU589873 AMM589873:AMQ589873 AWI589873:AWM589873 BGE589873:BGI589873 BQA589873:BQE589873 BZW589873:CAA589873 CJS589873:CJW589873 CTO589873:CTS589873 DDK589873:DDO589873 DNG589873:DNK589873 DXC589873:DXG589873 EGY589873:EHC589873 EQU589873:EQY589873 FAQ589873:FAU589873 FKM589873:FKQ589873 FUI589873:FUM589873 GEE589873:GEI589873 GOA589873:GOE589873 GXW589873:GYA589873 HHS589873:HHW589873 HRO589873:HRS589873 IBK589873:IBO589873 ILG589873:ILK589873 IVC589873:IVG589873 JEY589873:JFC589873 JOU589873:JOY589873 JYQ589873:JYU589873 KIM589873:KIQ589873 KSI589873:KSM589873 LCE589873:LCI589873 LMA589873:LME589873 LVW589873:LWA589873 MFS589873:MFW589873 MPO589873:MPS589873 MZK589873:MZO589873 NJG589873:NJK589873 NTC589873:NTG589873 OCY589873:ODC589873 OMU589873:OMY589873 OWQ589873:OWU589873 PGM589873:PGQ589873 PQI589873:PQM589873 QAE589873:QAI589873 QKA589873:QKE589873 QTW589873:QUA589873 RDS589873:RDW589873 RNO589873:RNS589873 RXK589873:RXO589873 SHG589873:SHK589873 SRC589873:SRG589873 TAY589873:TBC589873 TKU589873:TKY589873 TUQ589873:TUU589873 UEM589873:UEQ589873 UOI589873:UOM589873 UYE589873:UYI589873 VIA589873:VIE589873 VRW589873:VSA589873 WBS589873:WBW589873 WLO589873:WLS589873 WVK589873:WVO589873 C655409:G655409 IY655409:JC655409 SU655409:SY655409 ACQ655409:ACU655409 AMM655409:AMQ655409 AWI655409:AWM655409 BGE655409:BGI655409 BQA655409:BQE655409 BZW655409:CAA655409 CJS655409:CJW655409 CTO655409:CTS655409 DDK655409:DDO655409 DNG655409:DNK655409 DXC655409:DXG655409 EGY655409:EHC655409 EQU655409:EQY655409 FAQ655409:FAU655409 FKM655409:FKQ655409 FUI655409:FUM655409 GEE655409:GEI655409 GOA655409:GOE655409 GXW655409:GYA655409 HHS655409:HHW655409 HRO655409:HRS655409 IBK655409:IBO655409 ILG655409:ILK655409 IVC655409:IVG655409 JEY655409:JFC655409 JOU655409:JOY655409 JYQ655409:JYU655409 KIM655409:KIQ655409 KSI655409:KSM655409 LCE655409:LCI655409 LMA655409:LME655409 LVW655409:LWA655409 MFS655409:MFW655409 MPO655409:MPS655409 MZK655409:MZO655409 NJG655409:NJK655409 NTC655409:NTG655409 OCY655409:ODC655409 OMU655409:OMY655409 OWQ655409:OWU655409 PGM655409:PGQ655409 PQI655409:PQM655409 QAE655409:QAI655409 QKA655409:QKE655409 QTW655409:QUA655409 RDS655409:RDW655409 RNO655409:RNS655409 RXK655409:RXO655409 SHG655409:SHK655409 SRC655409:SRG655409 TAY655409:TBC655409 TKU655409:TKY655409 TUQ655409:TUU655409 UEM655409:UEQ655409 UOI655409:UOM655409 UYE655409:UYI655409 VIA655409:VIE655409 VRW655409:VSA655409 WBS655409:WBW655409 WLO655409:WLS655409 WVK655409:WVO655409 C720945:G720945 IY720945:JC720945 SU720945:SY720945 ACQ720945:ACU720945 AMM720945:AMQ720945 AWI720945:AWM720945 BGE720945:BGI720945 BQA720945:BQE720945 BZW720945:CAA720945 CJS720945:CJW720945 CTO720945:CTS720945 DDK720945:DDO720945 DNG720945:DNK720945 DXC720945:DXG720945 EGY720945:EHC720945 EQU720945:EQY720945 FAQ720945:FAU720945 FKM720945:FKQ720945 FUI720945:FUM720945 GEE720945:GEI720945 GOA720945:GOE720945 GXW720945:GYA720945 HHS720945:HHW720945 HRO720945:HRS720945 IBK720945:IBO720945 ILG720945:ILK720945 IVC720945:IVG720945 JEY720945:JFC720945 JOU720945:JOY720945 JYQ720945:JYU720945 KIM720945:KIQ720945 KSI720945:KSM720945 LCE720945:LCI720945 LMA720945:LME720945 LVW720945:LWA720945 MFS720945:MFW720945 MPO720945:MPS720945 MZK720945:MZO720945 NJG720945:NJK720945 NTC720945:NTG720945 OCY720945:ODC720945 OMU720945:OMY720945 OWQ720945:OWU720945 PGM720945:PGQ720945 PQI720945:PQM720945 QAE720945:QAI720945 QKA720945:QKE720945 QTW720945:QUA720945 RDS720945:RDW720945 RNO720945:RNS720945 RXK720945:RXO720945 SHG720945:SHK720945 SRC720945:SRG720945 TAY720945:TBC720945 TKU720945:TKY720945 TUQ720945:TUU720945 UEM720945:UEQ720945 UOI720945:UOM720945 UYE720945:UYI720945 VIA720945:VIE720945 VRW720945:VSA720945 WBS720945:WBW720945 WLO720945:WLS720945 WVK720945:WVO720945 C786481:G786481 IY786481:JC786481 SU786481:SY786481 ACQ786481:ACU786481 AMM786481:AMQ786481 AWI786481:AWM786481 BGE786481:BGI786481 BQA786481:BQE786481 BZW786481:CAA786481 CJS786481:CJW786481 CTO786481:CTS786481 DDK786481:DDO786481 DNG786481:DNK786481 DXC786481:DXG786481 EGY786481:EHC786481 EQU786481:EQY786481 FAQ786481:FAU786481 FKM786481:FKQ786481 FUI786481:FUM786481 GEE786481:GEI786481 GOA786481:GOE786481 GXW786481:GYA786481 HHS786481:HHW786481 HRO786481:HRS786481 IBK786481:IBO786481 ILG786481:ILK786481 IVC786481:IVG786481 JEY786481:JFC786481 JOU786481:JOY786481 JYQ786481:JYU786481 KIM786481:KIQ786481 KSI786481:KSM786481 LCE786481:LCI786481 LMA786481:LME786481 LVW786481:LWA786481 MFS786481:MFW786481 MPO786481:MPS786481 MZK786481:MZO786481 NJG786481:NJK786481 NTC786481:NTG786481 OCY786481:ODC786481 OMU786481:OMY786481 OWQ786481:OWU786481 PGM786481:PGQ786481 PQI786481:PQM786481 QAE786481:QAI786481 QKA786481:QKE786481 QTW786481:QUA786481 RDS786481:RDW786481 RNO786481:RNS786481 RXK786481:RXO786481 SHG786481:SHK786481 SRC786481:SRG786481 TAY786481:TBC786481 TKU786481:TKY786481 TUQ786481:TUU786481 UEM786481:UEQ786481 UOI786481:UOM786481 UYE786481:UYI786481 VIA786481:VIE786481 VRW786481:VSA786481 WBS786481:WBW786481 WLO786481:WLS786481 WVK786481:WVO786481 C852017:G852017 IY852017:JC852017 SU852017:SY852017 ACQ852017:ACU852017 AMM852017:AMQ852017 AWI852017:AWM852017 BGE852017:BGI852017 BQA852017:BQE852017 BZW852017:CAA852017 CJS852017:CJW852017 CTO852017:CTS852017 DDK852017:DDO852017 DNG852017:DNK852017 DXC852017:DXG852017 EGY852017:EHC852017 EQU852017:EQY852017 FAQ852017:FAU852017 FKM852017:FKQ852017 FUI852017:FUM852017 GEE852017:GEI852017 GOA852017:GOE852017 GXW852017:GYA852017 HHS852017:HHW852017 HRO852017:HRS852017 IBK852017:IBO852017 ILG852017:ILK852017 IVC852017:IVG852017 JEY852017:JFC852017 JOU852017:JOY852017 JYQ852017:JYU852017 KIM852017:KIQ852017 KSI852017:KSM852017 LCE852017:LCI852017 LMA852017:LME852017 LVW852017:LWA852017 MFS852017:MFW852017 MPO852017:MPS852017 MZK852017:MZO852017 NJG852017:NJK852017 NTC852017:NTG852017 OCY852017:ODC852017 OMU852017:OMY852017 OWQ852017:OWU852017 PGM852017:PGQ852017 PQI852017:PQM852017 QAE852017:QAI852017 QKA852017:QKE852017 QTW852017:QUA852017 RDS852017:RDW852017 RNO852017:RNS852017 RXK852017:RXO852017 SHG852017:SHK852017 SRC852017:SRG852017 TAY852017:TBC852017 TKU852017:TKY852017 TUQ852017:TUU852017 UEM852017:UEQ852017 UOI852017:UOM852017 UYE852017:UYI852017 VIA852017:VIE852017 VRW852017:VSA852017 WBS852017:WBW852017 WLO852017:WLS852017 WVK852017:WVO852017 C917553:G917553 IY917553:JC917553 SU917553:SY917553 ACQ917553:ACU917553 AMM917553:AMQ917553 AWI917553:AWM917553 BGE917553:BGI917553 BQA917553:BQE917553 BZW917553:CAA917553 CJS917553:CJW917553 CTO917553:CTS917553 DDK917553:DDO917553 DNG917553:DNK917553 DXC917553:DXG917553 EGY917553:EHC917553 EQU917553:EQY917553 FAQ917553:FAU917553 FKM917553:FKQ917553 FUI917553:FUM917553 GEE917553:GEI917553 GOA917553:GOE917553 GXW917553:GYA917553 HHS917553:HHW917553 HRO917553:HRS917553 IBK917553:IBO917553 ILG917553:ILK917553 IVC917553:IVG917553 JEY917553:JFC917553 JOU917553:JOY917553 JYQ917553:JYU917553 KIM917553:KIQ917553 KSI917553:KSM917553 LCE917553:LCI917553 LMA917553:LME917553 LVW917553:LWA917553 MFS917553:MFW917553 MPO917553:MPS917553 MZK917553:MZO917553 NJG917553:NJK917553 NTC917553:NTG917553 OCY917553:ODC917553 OMU917553:OMY917553 OWQ917553:OWU917553 PGM917553:PGQ917553 PQI917553:PQM917553 QAE917553:QAI917553 QKA917553:QKE917553 QTW917553:QUA917553 RDS917553:RDW917553 RNO917553:RNS917553 RXK917553:RXO917553 SHG917553:SHK917553 SRC917553:SRG917553 TAY917553:TBC917553 TKU917553:TKY917553 TUQ917553:TUU917553 UEM917553:UEQ917553 UOI917553:UOM917553 UYE917553:UYI917553 VIA917553:VIE917553 VRW917553:VSA917553 WBS917553:WBW917553 WLO917553:WLS917553 WVK917553:WVO917553 C983089:G983089 IY983089:JC983089 SU983089:SY983089 ACQ983089:ACU983089 AMM983089:AMQ983089 AWI983089:AWM983089 BGE983089:BGI983089 BQA983089:BQE983089 BZW983089:CAA983089 CJS983089:CJW983089 CTO983089:CTS983089 DDK983089:DDO983089 DNG983089:DNK983089 DXC983089:DXG983089 EGY983089:EHC983089 EQU983089:EQY983089 FAQ983089:FAU983089 FKM983089:FKQ983089 FUI983089:FUM983089 GEE983089:GEI983089 GOA983089:GOE983089 GXW983089:GYA983089 HHS983089:HHW983089 HRO983089:HRS983089 IBK983089:IBO983089 ILG983089:ILK983089 IVC983089:IVG983089 JEY983089:JFC983089 JOU983089:JOY983089 JYQ983089:JYU983089 KIM983089:KIQ983089 KSI983089:KSM983089 LCE983089:LCI983089 LMA983089:LME983089 LVW983089:LWA983089 MFS983089:MFW983089 MPO983089:MPS983089 MZK983089:MZO983089 NJG983089:NJK983089 NTC983089:NTG983089 OCY983089:ODC983089 OMU983089:OMY983089 OWQ983089:OWU983089 PGM983089:PGQ983089 PQI983089:PQM983089 QAE983089:QAI983089 QKA983089:QKE983089 QTW983089:QUA983089 RDS983089:RDW983089 RNO983089:RNS983089 RXK983089:RXO983089 SHG983089:SHK983089 SRC983089:SRG983089 TAY983089:TBC983089 TKU983089:TKY983089 TUQ983089:TUU983089 UEM983089:UEQ983089 UOI983089:UOM983089 UYE983089:UYI983089 VIA983089:VIE983089 VRW983089:VSA983089 WBS983089:WBW983089 WLO983089:WLS983089 WVK983089:WVO983089" xr:uid="{00000000-0002-0000-0900-000000000000}">
      <formula1>"ভাড়াকৃত, নিজস্ব, নিজস্ব ও ভাড়াকৃত"</formula1>
    </dataValidation>
    <dataValidation type="list" allowBlank="1" showInputMessage="1" showErrorMessage="1" sqref="J53:P55 JF53:JL55 TB53:TH55 ACX53:ADD55 AMT53:AMZ55 AWP53:AWV55 BGL53:BGR55 BQH53:BQN55 CAD53:CAJ55 CJZ53:CKF55 CTV53:CUB55 DDR53:DDX55 DNN53:DNT55 DXJ53:DXP55 EHF53:EHL55 ERB53:ERH55 FAX53:FBD55 FKT53:FKZ55 FUP53:FUV55 GEL53:GER55 GOH53:GON55 GYD53:GYJ55 HHZ53:HIF55 HRV53:HSB55 IBR53:IBX55 ILN53:ILT55 IVJ53:IVP55 JFF53:JFL55 JPB53:JPH55 JYX53:JZD55 KIT53:KIZ55 KSP53:KSV55 LCL53:LCR55 LMH53:LMN55 LWD53:LWJ55 MFZ53:MGF55 MPV53:MQB55 MZR53:MZX55 NJN53:NJT55 NTJ53:NTP55 ODF53:ODL55 ONB53:ONH55 OWX53:OXD55 PGT53:PGZ55 PQP53:PQV55 QAL53:QAR55 QKH53:QKN55 QUD53:QUJ55 RDZ53:REF55 RNV53:ROB55 RXR53:RXX55 SHN53:SHT55 SRJ53:SRP55 TBF53:TBL55 TLB53:TLH55 TUX53:TVD55 UET53:UEZ55 UOP53:UOV55 UYL53:UYR55 VIH53:VIN55 VSD53:VSJ55 WBZ53:WCF55 WLV53:WMB55 WVR53:WVX55 J65600:P65602 JF65600:JL65602 TB65600:TH65602 ACX65600:ADD65602 AMT65600:AMZ65602 AWP65600:AWV65602 BGL65600:BGR65602 BQH65600:BQN65602 CAD65600:CAJ65602 CJZ65600:CKF65602 CTV65600:CUB65602 DDR65600:DDX65602 DNN65600:DNT65602 DXJ65600:DXP65602 EHF65600:EHL65602 ERB65600:ERH65602 FAX65600:FBD65602 FKT65600:FKZ65602 FUP65600:FUV65602 GEL65600:GER65602 GOH65600:GON65602 GYD65600:GYJ65602 HHZ65600:HIF65602 HRV65600:HSB65602 IBR65600:IBX65602 ILN65600:ILT65602 IVJ65600:IVP65602 JFF65600:JFL65602 JPB65600:JPH65602 JYX65600:JZD65602 KIT65600:KIZ65602 KSP65600:KSV65602 LCL65600:LCR65602 LMH65600:LMN65602 LWD65600:LWJ65602 MFZ65600:MGF65602 MPV65600:MQB65602 MZR65600:MZX65602 NJN65600:NJT65602 NTJ65600:NTP65602 ODF65600:ODL65602 ONB65600:ONH65602 OWX65600:OXD65602 PGT65600:PGZ65602 PQP65600:PQV65602 QAL65600:QAR65602 QKH65600:QKN65602 QUD65600:QUJ65602 RDZ65600:REF65602 RNV65600:ROB65602 RXR65600:RXX65602 SHN65600:SHT65602 SRJ65600:SRP65602 TBF65600:TBL65602 TLB65600:TLH65602 TUX65600:TVD65602 UET65600:UEZ65602 UOP65600:UOV65602 UYL65600:UYR65602 VIH65600:VIN65602 VSD65600:VSJ65602 WBZ65600:WCF65602 WLV65600:WMB65602 WVR65600:WVX65602 J131136:P131138 JF131136:JL131138 TB131136:TH131138 ACX131136:ADD131138 AMT131136:AMZ131138 AWP131136:AWV131138 BGL131136:BGR131138 BQH131136:BQN131138 CAD131136:CAJ131138 CJZ131136:CKF131138 CTV131136:CUB131138 DDR131136:DDX131138 DNN131136:DNT131138 DXJ131136:DXP131138 EHF131136:EHL131138 ERB131136:ERH131138 FAX131136:FBD131138 FKT131136:FKZ131138 FUP131136:FUV131138 GEL131136:GER131138 GOH131136:GON131138 GYD131136:GYJ131138 HHZ131136:HIF131138 HRV131136:HSB131138 IBR131136:IBX131138 ILN131136:ILT131138 IVJ131136:IVP131138 JFF131136:JFL131138 JPB131136:JPH131138 JYX131136:JZD131138 KIT131136:KIZ131138 KSP131136:KSV131138 LCL131136:LCR131138 LMH131136:LMN131138 LWD131136:LWJ131138 MFZ131136:MGF131138 MPV131136:MQB131138 MZR131136:MZX131138 NJN131136:NJT131138 NTJ131136:NTP131138 ODF131136:ODL131138 ONB131136:ONH131138 OWX131136:OXD131138 PGT131136:PGZ131138 PQP131136:PQV131138 QAL131136:QAR131138 QKH131136:QKN131138 QUD131136:QUJ131138 RDZ131136:REF131138 RNV131136:ROB131138 RXR131136:RXX131138 SHN131136:SHT131138 SRJ131136:SRP131138 TBF131136:TBL131138 TLB131136:TLH131138 TUX131136:TVD131138 UET131136:UEZ131138 UOP131136:UOV131138 UYL131136:UYR131138 VIH131136:VIN131138 VSD131136:VSJ131138 WBZ131136:WCF131138 WLV131136:WMB131138 WVR131136:WVX131138 J196672:P196674 JF196672:JL196674 TB196672:TH196674 ACX196672:ADD196674 AMT196672:AMZ196674 AWP196672:AWV196674 BGL196672:BGR196674 BQH196672:BQN196674 CAD196672:CAJ196674 CJZ196672:CKF196674 CTV196672:CUB196674 DDR196672:DDX196674 DNN196672:DNT196674 DXJ196672:DXP196674 EHF196672:EHL196674 ERB196672:ERH196674 FAX196672:FBD196674 FKT196672:FKZ196674 FUP196672:FUV196674 GEL196672:GER196674 GOH196672:GON196674 GYD196672:GYJ196674 HHZ196672:HIF196674 HRV196672:HSB196674 IBR196672:IBX196674 ILN196672:ILT196674 IVJ196672:IVP196674 JFF196672:JFL196674 JPB196672:JPH196674 JYX196672:JZD196674 KIT196672:KIZ196674 KSP196672:KSV196674 LCL196672:LCR196674 LMH196672:LMN196674 LWD196672:LWJ196674 MFZ196672:MGF196674 MPV196672:MQB196674 MZR196672:MZX196674 NJN196672:NJT196674 NTJ196672:NTP196674 ODF196672:ODL196674 ONB196672:ONH196674 OWX196672:OXD196674 PGT196672:PGZ196674 PQP196672:PQV196674 QAL196672:QAR196674 QKH196672:QKN196674 QUD196672:QUJ196674 RDZ196672:REF196674 RNV196672:ROB196674 RXR196672:RXX196674 SHN196672:SHT196674 SRJ196672:SRP196674 TBF196672:TBL196674 TLB196672:TLH196674 TUX196672:TVD196674 UET196672:UEZ196674 UOP196672:UOV196674 UYL196672:UYR196674 VIH196672:VIN196674 VSD196672:VSJ196674 WBZ196672:WCF196674 WLV196672:WMB196674 WVR196672:WVX196674 J262208:P262210 JF262208:JL262210 TB262208:TH262210 ACX262208:ADD262210 AMT262208:AMZ262210 AWP262208:AWV262210 BGL262208:BGR262210 BQH262208:BQN262210 CAD262208:CAJ262210 CJZ262208:CKF262210 CTV262208:CUB262210 DDR262208:DDX262210 DNN262208:DNT262210 DXJ262208:DXP262210 EHF262208:EHL262210 ERB262208:ERH262210 FAX262208:FBD262210 FKT262208:FKZ262210 FUP262208:FUV262210 GEL262208:GER262210 GOH262208:GON262210 GYD262208:GYJ262210 HHZ262208:HIF262210 HRV262208:HSB262210 IBR262208:IBX262210 ILN262208:ILT262210 IVJ262208:IVP262210 JFF262208:JFL262210 JPB262208:JPH262210 JYX262208:JZD262210 KIT262208:KIZ262210 KSP262208:KSV262210 LCL262208:LCR262210 LMH262208:LMN262210 LWD262208:LWJ262210 MFZ262208:MGF262210 MPV262208:MQB262210 MZR262208:MZX262210 NJN262208:NJT262210 NTJ262208:NTP262210 ODF262208:ODL262210 ONB262208:ONH262210 OWX262208:OXD262210 PGT262208:PGZ262210 PQP262208:PQV262210 QAL262208:QAR262210 QKH262208:QKN262210 QUD262208:QUJ262210 RDZ262208:REF262210 RNV262208:ROB262210 RXR262208:RXX262210 SHN262208:SHT262210 SRJ262208:SRP262210 TBF262208:TBL262210 TLB262208:TLH262210 TUX262208:TVD262210 UET262208:UEZ262210 UOP262208:UOV262210 UYL262208:UYR262210 VIH262208:VIN262210 VSD262208:VSJ262210 WBZ262208:WCF262210 WLV262208:WMB262210 WVR262208:WVX262210 J327744:P327746 JF327744:JL327746 TB327744:TH327746 ACX327744:ADD327746 AMT327744:AMZ327746 AWP327744:AWV327746 BGL327744:BGR327746 BQH327744:BQN327746 CAD327744:CAJ327746 CJZ327744:CKF327746 CTV327744:CUB327746 DDR327744:DDX327746 DNN327744:DNT327746 DXJ327744:DXP327746 EHF327744:EHL327746 ERB327744:ERH327746 FAX327744:FBD327746 FKT327744:FKZ327746 FUP327744:FUV327746 GEL327744:GER327746 GOH327744:GON327746 GYD327744:GYJ327746 HHZ327744:HIF327746 HRV327744:HSB327746 IBR327744:IBX327746 ILN327744:ILT327746 IVJ327744:IVP327746 JFF327744:JFL327746 JPB327744:JPH327746 JYX327744:JZD327746 KIT327744:KIZ327746 KSP327744:KSV327746 LCL327744:LCR327746 LMH327744:LMN327746 LWD327744:LWJ327746 MFZ327744:MGF327746 MPV327744:MQB327746 MZR327744:MZX327746 NJN327744:NJT327746 NTJ327744:NTP327746 ODF327744:ODL327746 ONB327744:ONH327746 OWX327744:OXD327746 PGT327744:PGZ327746 PQP327744:PQV327746 QAL327744:QAR327746 QKH327744:QKN327746 QUD327744:QUJ327746 RDZ327744:REF327746 RNV327744:ROB327746 RXR327744:RXX327746 SHN327744:SHT327746 SRJ327744:SRP327746 TBF327744:TBL327746 TLB327744:TLH327746 TUX327744:TVD327746 UET327744:UEZ327746 UOP327744:UOV327746 UYL327744:UYR327746 VIH327744:VIN327746 VSD327744:VSJ327746 WBZ327744:WCF327746 WLV327744:WMB327746 WVR327744:WVX327746 J393280:P393282 JF393280:JL393282 TB393280:TH393282 ACX393280:ADD393282 AMT393280:AMZ393282 AWP393280:AWV393282 BGL393280:BGR393282 BQH393280:BQN393282 CAD393280:CAJ393282 CJZ393280:CKF393282 CTV393280:CUB393282 DDR393280:DDX393282 DNN393280:DNT393282 DXJ393280:DXP393282 EHF393280:EHL393282 ERB393280:ERH393282 FAX393280:FBD393282 FKT393280:FKZ393282 FUP393280:FUV393282 GEL393280:GER393282 GOH393280:GON393282 GYD393280:GYJ393282 HHZ393280:HIF393282 HRV393280:HSB393282 IBR393280:IBX393282 ILN393280:ILT393282 IVJ393280:IVP393282 JFF393280:JFL393282 JPB393280:JPH393282 JYX393280:JZD393282 KIT393280:KIZ393282 KSP393280:KSV393282 LCL393280:LCR393282 LMH393280:LMN393282 LWD393280:LWJ393282 MFZ393280:MGF393282 MPV393280:MQB393282 MZR393280:MZX393282 NJN393280:NJT393282 NTJ393280:NTP393282 ODF393280:ODL393282 ONB393280:ONH393282 OWX393280:OXD393282 PGT393280:PGZ393282 PQP393280:PQV393282 QAL393280:QAR393282 QKH393280:QKN393282 QUD393280:QUJ393282 RDZ393280:REF393282 RNV393280:ROB393282 RXR393280:RXX393282 SHN393280:SHT393282 SRJ393280:SRP393282 TBF393280:TBL393282 TLB393280:TLH393282 TUX393280:TVD393282 UET393280:UEZ393282 UOP393280:UOV393282 UYL393280:UYR393282 VIH393280:VIN393282 VSD393280:VSJ393282 WBZ393280:WCF393282 WLV393280:WMB393282 WVR393280:WVX393282 J458816:P458818 JF458816:JL458818 TB458816:TH458818 ACX458816:ADD458818 AMT458816:AMZ458818 AWP458816:AWV458818 BGL458816:BGR458818 BQH458816:BQN458818 CAD458816:CAJ458818 CJZ458816:CKF458818 CTV458816:CUB458818 DDR458816:DDX458818 DNN458816:DNT458818 DXJ458816:DXP458818 EHF458816:EHL458818 ERB458816:ERH458818 FAX458816:FBD458818 FKT458816:FKZ458818 FUP458816:FUV458818 GEL458816:GER458818 GOH458816:GON458818 GYD458816:GYJ458818 HHZ458816:HIF458818 HRV458816:HSB458818 IBR458816:IBX458818 ILN458816:ILT458818 IVJ458816:IVP458818 JFF458816:JFL458818 JPB458816:JPH458818 JYX458816:JZD458818 KIT458816:KIZ458818 KSP458816:KSV458818 LCL458816:LCR458818 LMH458816:LMN458818 LWD458816:LWJ458818 MFZ458816:MGF458818 MPV458816:MQB458818 MZR458816:MZX458818 NJN458816:NJT458818 NTJ458816:NTP458818 ODF458816:ODL458818 ONB458816:ONH458818 OWX458816:OXD458818 PGT458816:PGZ458818 PQP458816:PQV458818 QAL458816:QAR458818 QKH458816:QKN458818 QUD458816:QUJ458818 RDZ458816:REF458818 RNV458816:ROB458818 RXR458816:RXX458818 SHN458816:SHT458818 SRJ458816:SRP458818 TBF458816:TBL458818 TLB458816:TLH458818 TUX458816:TVD458818 UET458816:UEZ458818 UOP458816:UOV458818 UYL458816:UYR458818 VIH458816:VIN458818 VSD458816:VSJ458818 WBZ458816:WCF458818 WLV458816:WMB458818 WVR458816:WVX458818 J524352:P524354 JF524352:JL524354 TB524352:TH524354 ACX524352:ADD524354 AMT524352:AMZ524354 AWP524352:AWV524354 BGL524352:BGR524354 BQH524352:BQN524354 CAD524352:CAJ524354 CJZ524352:CKF524354 CTV524352:CUB524354 DDR524352:DDX524354 DNN524352:DNT524354 DXJ524352:DXP524354 EHF524352:EHL524354 ERB524352:ERH524354 FAX524352:FBD524354 FKT524352:FKZ524354 FUP524352:FUV524354 GEL524352:GER524354 GOH524352:GON524354 GYD524352:GYJ524354 HHZ524352:HIF524354 HRV524352:HSB524354 IBR524352:IBX524354 ILN524352:ILT524354 IVJ524352:IVP524354 JFF524352:JFL524354 JPB524352:JPH524354 JYX524352:JZD524354 KIT524352:KIZ524354 KSP524352:KSV524354 LCL524352:LCR524354 LMH524352:LMN524354 LWD524352:LWJ524354 MFZ524352:MGF524354 MPV524352:MQB524354 MZR524352:MZX524354 NJN524352:NJT524354 NTJ524352:NTP524354 ODF524352:ODL524354 ONB524352:ONH524354 OWX524352:OXD524354 PGT524352:PGZ524354 PQP524352:PQV524354 QAL524352:QAR524354 QKH524352:QKN524354 QUD524352:QUJ524354 RDZ524352:REF524354 RNV524352:ROB524354 RXR524352:RXX524354 SHN524352:SHT524354 SRJ524352:SRP524354 TBF524352:TBL524354 TLB524352:TLH524354 TUX524352:TVD524354 UET524352:UEZ524354 UOP524352:UOV524354 UYL524352:UYR524354 VIH524352:VIN524354 VSD524352:VSJ524354 WBZ524352:WCF524354 WLV524352:WMB524354 WVR524352:WVX524354 J589888:P589890 JF589888:JL589890 TB589888:TH589890 ACX589888:ADD589890 AMT589888:AMZ589890 AWP589888:AWV589890 BGL589888:BGR589890 BQH589888:BQN589890 CAD589888:CAJ589890 CJZ589888:CKF589890 CTV589888:CUB589890 DDR589888:DDX589890 DNN589888:DNT589890 DXJ589888:DXP589890 EHF589888:EHL589890 ERB589888:ERH589890 FAX589888:FBD589890 FKT589888:FKZ589890 FUP589888:FUV589890 GEL589888:GER589890 GOH589888:GON589890 GYD589888:GYJ589890 HHZ589888:HIF589890 HRV589888:HSB589890 IBR589888:IBX589890 ILN589888:ILT589890 IVJ589888:IVP589890 JFF589888:JFL589890 JPB589888:JPH589890 JYX589888:JZD589890 KIT589888:KIZ589890 KSP589888:KSV589890 LCL589888:LCR589890 LMH589888:LMN589890 LWD589888:LWJ589890 MFZ589888:MGF589890 MPV589888:MQB589890 MZR589888:MZX589890 NJN589888:NJT589890 NTJ589888:NTP589890 ODF589888:ODL589890 ONB589888:ONH589890 OWX589888:OXD589890 PGT589888:PGZ589890 PQP589888:PQV589890 QAL589888:QAR589890 QKH589888:QKN589890 QUD589888:QUJ589890 RDZ589888:REF589890 RNV589888:ROB589890 RXR589888:RXX589890 SHN589888:SHT589890 SRJ589888:SRP589890 TBF589888:TBL589890 TLB589888:TLH589890 TUX589888:TVD589890 UET589888:UEZ589890 UOP589888:UOV589890 UYL589888:UYR589890 VIH589888:VIN589890 VSD589888:VSJ589890 WBZ589888:WCF589890 WLV589888:WMB589890 WVR589888:WVX589890 J655424:P655426 JF655424:JL655426 TB655424:TH655426 ACX655424:ADD655426 AMT655424:AMZ655426 AWP655424:AWV655426 BGL655424:BGR655426 BQH655424:BQN655426 CAD655424:CAJ655426 CJZ655424:CKF655426 CTV655424:CUB655426 DDR655424:DDX655426 DNN655424:DNT655426 DXJ655424:DXP655426 EHF655424:EHL655426 ERB655424:ERH655426 FAX655424:FBD655426 FKT655424:FKZ655426 FUP655424:FUV655426 GEL655424:GER655426 GOH655424:GON655426 GYD655424:GYJ655426 HHZ655424:HIF655426 HRV655424:HSB655426 IBR655424:IBX655426 ILN655424:ILT655426 IVJ655424:IVP655426 JFF655424:JFL655426 JPB655424:JPH655426 JYX655424:JZD655426 KIT655424:KIZ655426 KSP655424:KSV655426 LCL655424:LCR655426 LMH655424:LMN655426 LWD655424:LWJ655426 MFZ655424:MGF655426 MPV655424:MQB655426 MZR655424:MZX655426 NJN655424:NJT655426 NTJ655424:NTP655426 ODF655424:ODL655426 ONB655424:ONH655426 OWX655424:OXD655426 PGT655424:PGZ655426 PQP655424:PQV655426 QAL655424:QAR655426 QKH655424:QKN655426 QUD655424:QUJ655426 RDZ655424:REF655426 RNV655424:ROB655426 RXR655424:RXX655426 SHN655424:SHT655426 SRJ655424:SRP655426 TBF655424:TBL655426 TLB655424:TLH655426 TUX655424:TVD655426 UET655424:UEZ655426 UOP655424:UOV655426 UYL655424:UYR655426 VIH655424:VIN655426 VSD655424:VSJ655426 WBZ655424:WCF655426 WLV655424:WMB655426 WVR655424:WVX655426 J720960:P720962 JF720960:JL720962 TB720960:TH720962 ACX720960:ADD720962 AMT720960:AMZ720962 AWP720960:AWV720962 BGL720960:BGR720962 BQH720960:BQN720962 CAD720960:CAJ720962 CJZ720960:CKF720962 CTV720960:CUB720962 DDR720960:DDX720962 DNN720960:DNT720962 DXJ720960:DXP720962 EHF720960:EHL720962 ERB720960:ERH720962 FAX720960:FBD720962 FKT720960:FKZ720962 FUP720960:FUV720962 GEL720960:GER720962 GOH720960:GON720962 GYD720960:GYJ720962 HHZ720960:HIF720962 HRV720960:HSB720962 IBR720960:IBX720962 ILN720960:ILT720962 IVJ720960:IVP720962 JFF720960:JFL720962 JPB720960:JPH720962 JYX720960:JZD720962 KIT720960:KIZ720962 KSP720960:KSV720962 LCL720960:LCR720962 LMH720960:LMN720962 LWD720960:LWJ720962 MFZ720960:MGF720962 MPV720960:MQB720962 MZR720960:MZX720962 NJN720960:NJT720962 NTJ720960:NTP720962 ODF720960:ODL720962 ONB720960:ONH720962 OWX720960:OXD720962 PGT720960:PGZ720962 PQP720960:PQV720962 QAL720960:QAR720962 QKH720960:QKN720962 QUD720960:QUJ720962 RDZ720960:REF720962 RNV720960:ROB720962 RXR720960:RXX720962 SHN720960:SHT720962 SRJ720960:SRP720962 TBF720960:TBL720962 TLB720960:TLH720962 TUX720960:TVD720962 UET720960:UEZ720962 UOP720960:UOV720962 UYL720960:UYR720962 VIH720960:VIN720962 VSD720960:VSJ720962 WBZ720960:WCF720962 WLV720960:WMB720962 WVR720960:WVX720962 J786496:P786498 JF786496:JL786498 TB786496:TH786498 ACX786496:ADD786498 AMT786496:AMZ786498 AWP786496:AWV786498 BGL786496:BGR786498 BQH786496:BQN786498 CAD786496:CAJ786498 CJZ786496:CKF786498 CTV786496:CUB786498 DDR786496:DDX786498 DNN786496:DNT786498 DXJ786496:DXP786498 EHF786496:EHL786498 ERB786496:ERH786498 FAX786496:FBD786498 FKT786496:FKZ786498 FUP786496:FUV786498 GEL786496:GER786498 GOH786496:GON786498 GYD786496:GYJ786498 HHZ786496:HIF786498 HRV786496:HSB786498 IBR786496:IBX786498 ILN786496:ILT786498 IVJ786496:IVP786498 JFF786496:JFL786498 JPB786496:JPH786498 JYX786496:JZD786498 KIT786496:KIZ786498 KSP786496:KSV786498 LCL786496:LCR786498 LMH786496:LMN786498 LWD786496:LWJ786498 MFZ786496:MGF786498 MPV786496:MQB786498 MZR786496:MZX786498 NJN786496:NJT786498 NTJ786496:NTP786498 ODF786496:ODL786498 ONB786496:ONH786498 OWX786496:OXD786498 PGT786496:PGZ786498 PQP786496:PQV786498 QAL786496:QAR786498 QKH786496:QKN786498 QUD786496:QUJ786498 RDZ786496:REF786498 RNV786496:ROB786498 RXR786496:RXX786498 SHN786496:SHT786498 SRJ786496:SRP786498 TBF786496:TBL786498 TLB786496:TLH786498 TUX786496:TVD786498 UET786496:UEZ786498 UOP786496:UOV786498 UYL786496:UYR786498 VIH786496:VIN786498 VSD786496:VSJ786498 WBZ786496:WCF786498 WLV786496:WMB786498 WVR786496:WVX786498 J852032:P852034 JF852032:JL852034 TB852032:TH852034 ACX852032:ADD852034 AMT852032:AMZ852034 AWP852032:AWV852034 BGL852032:BGR852034 BQH852032:BQN852034 CAD852032:CAJ852034 CJZ852032:CKF852034 CTV852032:CUB852034 DDR852032:DDX852034 DNN852032:DNT852034 DXJ852032:DXP852034 EHF852032:EHL852034 ERB852032:ERH852034 FAX852032:FBD852034 FKT852032:FKZ852034 FUP852032:FUV852034 GEL852032:GER852034 GOH852032:GON852034 GYD852032:GYJ852034 HHZ852032:HIF852034 HRV852032:HSB852034 IBR852032:IBX852034 ILN852032:ILT852034 IVJ852032:IVP852034 JFF852032:JFL852034 JPB852032:JPH852034 JYX852032:JZD852034 KIT852032:KIZ852034 KSP852032:KSV852034 LCL852032:LCR852034 LMH852032:LMN852034 LWD852032:LWJ852034 MFZ852032:MGF852034 MPV852032:MQB852034 MZR852032:MZX852034 NJN852032:NJT852034 NTJ852032:NTP852034 ODF852032:ODL852034 ONB852032:ONH852034 OWX852032:OXD852034 PGT852032:PGZ852034 PQP852032:PQV852034 QAL852032:QAR852034 QKH852032:QKN852034 QUD852032:QUJ852034 RDZ852032:REF852034 RNV852032:ROB852034 RXR852032:RXX852034 SHN852032:SHT852034 SRJ852032:SRP852034 TBF852032:TBL852034 TLB852032:TLH852034 TUX852032:TVD852034 UET852032:UEZ852034 UOP852032:UOV852034 UYL852032:UYR852034 VIH852032:VIN852034 VSD852032:VSJ852034 WBZ852032:WCF852034 WLV852032:WMB852034 WVR852032:WVX852034 J917568:P917570 JF917568:JL917570 TB917568:TH917570 ACX917568:ADD917570 AMT917568:AMZ917570 AWP917568:AWV917570 BGL917568:BGR917570 BQH917568:BQN917570 CAD917568:CAJ917570 CJZ917568:CKF917570 CTV917568:CUB917570 DDR917568:DDX917570 DNN917568:DNT917570 DXJ917568:DXP917570 EHF917568:EHL917570 ERB917568:ERH917570 FAX917568:FBD917570 FKT917568:FKZ917570 FUP917568:FUV917570 GEL917568:GER917570 GOH917568:GON917570 GYD917568:GYJ917570 HHZ917568:HIF917570 HRV917568:HSB917570 IBR917568:IBX917570 ILN917568:ILT917570 IVJ917568:IVP917570 JFF917568:JFL917570 JPB917568:JPH917570 JYX917568:JZD917570 KIT917568:KIZ917570 KSP917568:KSV917570 LCL917568:LCR917570 LMH917568:LMN917570 LWD917568:LWJ917570 MFZ917568:MGF917570 MPV917568:MQB917570 MZR917568:MZX917570 NJN917568:NJT917570 NTJ917568:NTP917570 ODF917568:ODL917570 ONB917568:ONH917570 OWX917568:OXD917570 PGT917568:PGZ917570 PQP917568:PQV917570 QAL917568:QAR917570 QKH917568:QKN917570 QUD917568:QUJ917570 RDZ917568:REF917570 RNV917568:ROB917570 RXR917568:RXX917570 SHN917568:SHT917570 SRJ917568:SRP917570 TBF917568:TBL917570 TLB917568:TLH917570 TUX917568:TVD917570 UET917568:UEZ917570 UOP917568:UOV917570 UYL917568:UYR917570 VIH917568:VIN917570 VSD917568:VSJ917570 WBZ917568:WCF917570 WLV917568:WMB917570 WVR917568:WVX917570 J983104:P983106 JF983104:JL983106 TB983104:TH983106 ACX983104:ADD983106 AMT983104:AMZ983106 AWP983104:AWV983106 BGL983104:BGR983106 BQH983104:BQN983106 CAD983104:CAJ983106 CJZ983104:CKF983106 CTV983104:CUB983106 DDR983104:DDX983106 DNN983104:DNT983106 DXJ983104:DXP983106 EHF983104:EHL983106 ERB983104:ERH983106 FAX983104:FBD983106 FKT983104:FKZ983106 FUP983104:FUV983106 GEL983104:GER983106 GOH983104:GON983106 GYD983104:GYJ983106 HHZ983104:HIF983106 HRV983104:HSB983106 IBR983104:IBX983106 ILN983104:ILT983106 IVJ983104:IVP983106 JFF983104:JFL983106 JPB983104:JPH983106 JYX983104:JZD983106 KIT983104:KIZ983106 KSP983104:KSV983106 LCL983104:LCR983106 LMH983104:LMN983106 LWD983104:LWJ983106 MFZ983104:MGF983106 MPV983104:MQB983106 MZR983104:MZX983106 NJN983104:NJT983106 NTJ983104:NTP983106 ODF983104:ODL983106 ONB983104:ONH983106 OWX983104:OXD983106 PGT983104:PGZ983106 PQP983104:PQV983106 QAL983104:QAR983106 QKH983104:QKN983106 QUD983104:QUJ983106 RDZ983104:REF983106 RNV983104:ROB983106 RXR983104:RXX983106 SHN983104:SHT983106 SRJ983104:SRP983106 TBF983104:TBL983106 TLB983104:TLH983106 TUX983104:TVD983106 UET983104:UEZ983106 UOP983104:UOV983106 UYL983104:UYR983106 VIH983104:VIN983106 VSD983104:VSJ983106 WBZ983104:WCF983106 WLV983104:WMB983106 WVR983104:WVX983106" xr:uid="{00000000-0002-0000-0900-000001000000}">
      <formula1>$AH$41:$AH$43</formula1>
    </dataValidation>
  </dataValidations>
  <pageMargins left="0.39370078740157483" right="0.23622047244094491" top="0.39370078740157483" bottom="0.19685039370078741" header="7.874015748031496E-2" footer="7.874015748031496E-2"/>
  <pageSetup paperSize="9" scale="97" fitToHeight="0" orientation="portrait" blackAndWhite="1" horizontalDpi="300" verticalDpi="300" r:id="rId1"/>
  <headerFooter>
    <oddFooter>&amp;L&amp;Z&amp;F&amp;R&amp;"SutonnyMJ,Regular"evsjv‡`k K…wl e¨vsK, c„ôv &amp;P &amp;"-,Regular"of&amp;"SutonnyMJ,Regular" &amp;N</oddFooter>
  </headerFooter>
  <rowBreaks count="3" manualBreakCount="3">
    <brk id="43" max="28" man="1"/>
    <brk id="96" max="28" man="1"/>
    <brk id="140" max="28"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2">
    <tabColor rgb="FF92D050"/>
    <pageSetUpPr fitToPage="1"/>
  </sheetPr>
  <dimension ref="A1:BH60"/>
  <sheetViews>
    <sheetView showGridLines="0" view="pageBreakPreview" topLeftCell="A3" zoomScaleSheetLayoutView="100" workbookViewId="0">
      <selection activeCell="F7" sqref="F7"/>
    </sheetView>
  </sheetViews>
  <sheetFormatPr defaultRowHeight="18.75" customHeight="1"/>
  <cols>
    <col min="1" max="1" width="3.7109375" customWidth="1"/>
    <col min="2" max="2" width="2.7109375" style="53" customWidth="1"/>
    <col min="3" max="8" width="2.28515625" customWidth="1"/>
    <col min="9" max="9" width="1.28515625" customWidth="1"/>
    <col min="10" max="11" width="2.7109375" customWidth="1"/>
    <col min="12" max="16" width="2.28515625" customWidth="1"/>
    <col min="17" max="17" width="4.42578125" customWidth="1"/>
    <col min="18"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0" width="2.28515625" customWidth="1"/>
    <col min="41" max="46" width="2" customWidth="1"/>
    <col min="48" max="48" width="11.42578125" customWidth="1"/>
    <col min="49" max="49" width="11.7109375" customWidth="1"/>
  </cols>
  <sheetData>
    <row r="1" spans="1:51" ht="30.75" customHeight="1">
      <c r="A1" s="1871"/>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356"/>
      <c r="B4" s="1356"/>
      <c r="C4" s="1356"/>
      <c r="D4" s="1356"/>
      <c r="E4" s="1356"/>
      <c r="F4" s="1356"/>
      <c r="G4" s="1356"/>
      <c r="H4" s="1356"/>
      <c r="I4" s="1356"/>
      <c r="J4" s="1356"/>
      <c r="K4" s="1356"/>
      <c r="L4" s="1356"/>
      <c r="M4" s="1356"/>
      <c r="N4" s="1356"/>
      <c r="O4" s="1356"/>
      <c r="P4" s="1356"/>
      <c r="Q4" s="1356"/>
      <c r="R4" s="1356"/>
      <c r="S4" s="1356"/>
      <c r="T4" s="1356"/>
      <c r="U4" s="1356"/>
      <c r="V4" s="1356"/>
      <c r="W4" s="1356"/>
      <c r="X4" s="1356"/>
      <c r="Y4" s="1356"/>
      <c r="Z4" s="1356"/>
      <c r="AA4" s="1356"/>
      <c r="AB4" s="1356"/>
      <c r="AC4" s="1356"/>
      <c r="AD4" s="1356"/>
      <c r="AE4" s="1356"/>
      <c r="AF4" s="1356"/>
      <c r="AG4" s="1356"/>
      <c r="AH4" s="1356"/>
      <c r="AI4" s="1356"/>
      <c r="AJ4" s="1356"/>
      <c r="AK4" s="1356"/>
      <c r="AL4" s="1356"/>
      <c r="AM4" s="1356"/>
      <c r="AN4" s="1356"/>
      <c r="AO4" s="1356"/>
      <c r="AP4" s="1356"/>
      <c r="AQ4" s="1356"/>
      <c r="AR4" s="1356"/>
      <c r="AS4" s="1356"/>
      <c r="AT4" s="1356"/>
      <c r="AY4" s="160"/>
    </row>
    <row r="5" spans="1:51" s="68" customFormat="1" ht="16.5" customHeight="1">
      <c r="A5" s="1872" t="str">
        <f>"   "&amp;'Data Input'!B5&amp;""&amp;'Data Input'!D5</f>
        <v xml:space="preserve">   FY †KBm bs64(wmGgGmGgB)/2024-25 </v>
      </c>
      <c r="B5" s="1873"/>
      <c r="C5" s="1873"/>
      <c r="D5" s="1873"/>
      <c r="E5" s="1873"/>
      <c r="F5" s="1873"/>
      <c r="G5" s="1873"/>
      <c r="H5" s="1873"/>
      <c r="I5" s="1873"/>
      <c r="J5" s="1873"/>
      <c r="K5" s="1873"/>
      <c r="L5" s="1873"/>
      <c r="M5" s="1873"/>
      <c r="N5" s="1873"/>
      <c r="O5" s="1873"/>
      <c r="P5" s="1873"/>
      <c r="Q5" s="1873"/>
      <c r="R5" s="1873"/>
      <c r="S5" s="1873"/>
      <c r="T5" s="1873"/>
      <c r="U5" s="1873"/>
      <c r="V5" s="1873"/>
      <c r="W5" s="1873"/>
      <c r="X5" s="1873"/>
      <c r="Y5" s="1873"/>
      <c r="Z5" s="1873"/>
      <c r="AA5" s="1873"/>
      <c r="AB5" s="1873"/>
      <c r="AC5" s="1873"/>
      <c r="AD5" s="1873"/>
      <c r="AE5" s="1873"/>
      <c r="AF5" s="135"/>
      <c r="AG5" s="133"/>
      <c r="AH5" s="133"/>
      <c r="AI5" s="135"/>
      <c r="AJ5" s="135"/>
      <c r="AK5" s="135"/>
      <c r="AL5" s="910"/>
      <c r="AM5" s="910"/>
      <c r="AN5" s="910"/>
      <c r="AO5" s="1874"/>
      <c r="AP5" s="1874"/>
      <c r="AQ5" s="1874"/>
      <c r="AR5" s="1874"/>
      <c r="AS5" s="1874"/>
      <c r="AT5" s="136"/>
    </row>
    <row r="6" spans="1:51" s="23" customFormat="1" ht="9" customHeight="1">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6.5" customHeight="1">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G8" s="52"/>
      <c r="AH8" s="52"/>
      <c r="AL8" s="43"/>
      <c r="AM8" s="43"/>
      <c r="AN8" s="43"/>
      <c r="AO8" s="55"/>
      <c r="AP8" s="55"/>
      <c r="AQ8" s="55"/>
      <c r="AR8" s="55"/>
      <c r="AS8" s="55"/>
      <c r="AT8" s="44"/>
    </row>
    <row r="9" spans="1:51" s="23" customFormat="1" ht="27.75" customHeight="1">
      <c r="A9" s="1868" t="s">
        <v>1018</v>
      </c>
      <c r="B9" s="1868"/>
      <c r="C9" s="1868"/>
      <c r="D9" s="1868"/>
      <c r="E9" s="1868"/>
      <c r="F9" s="1868"/>
      <c r="G9" s="1868"/>
      <c r="H9" s="1868"/>
      <c r="I9" s="1868"/>
      <c r="J9" s="1868"/>
      <c r="K9" s="1868"/>
      <c r="L9" s="1868"/>
      <c r="M9" s="1868"/>
      <c r="N9" s="1868"/>
      <c r="O9" s="1868"/>
      <c r="P9" s="1868"/>
      <c r="Q9" s="1868"/>
      <c r="R9" s="1868"/>
      <c r="S9" s="1868"/>
      <c r="T9" s="1868"/>
      <c r="U9" s="1868"/>
      <c r="V9" s="1868"/>
      <c r="W9" s="1868"/>
      <c r="X9" s="1868"/>
      <c r="Y9" s="1868"/>
      <c r="Z9" s="1868"/>
      <c r="AA9" s="1868"/>
      <c r="AB9" s="1868"/>
      <c r="AC9" s="1868"/>
      <c r="AD9" s="1868"/>
      <c r="AE9" s="1868"/>
      <c r="AF9" s="1868"/>
      <c r="AG9" s="1868"/>
      <c r="AH9" s="1868"/>
      <c r="AI9" s="1868"/>
      <c r="AJ9" s="1868"/>
      <c r="AK9" s="1868"/>
      <c r="AL9" s="1868"/>
      <c r="AM9" s="1868"/>
      <c r="AN9" s="1868"/>
      <c r="AO9" s="1868"/>
      <c r="AP9" s="1868"/>
      <c r="AQ9" s="1868"/>
      <c r="AR9" s="1868"/>
      <c r="AS9" s="1868"/>
      <c r="AT9" s="1868"/>
    </row>
    <row r="10" spans="1:51" s="23" customFormat="1" ht="16.5" customHeight="1">
      <c r="A10" s="12"/>
      <c r="B10" s="12"/>
      <c r="C10" s="12"/>
      <c r="D10" s="12"/>
      <c r="E10" s="12"/>
      <c r="F10" s="12"/>
      <c r="G10" s="12"/>
      <c r="H10" s="12"/>
      <c r="I10" s="12"/>
      <c r="J10" s="12"/>
      <c r="K10" s="12"/>
      <c r="L10" s="12"/>
      <c r="M10" s="12"/>
      <c r="N10" s="12"/>
      <c r="O10" s="12" t="s">
        <v>491</v>
      </c>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G11" s="52"/>
      <c r="AH11" s="52"/>
      <c r="AL11" s="43"/>
      <c r="AM11" s="43"/>
      <c r="AN11" s="43"/>
      <c r="AO11" s="55"/>
      <c r="AP11" s="55"/>
      <c r="AQ11" s="55"/>
      <c r="AR11" s="55"/>
      <c r="AS11" s="55"/>
      <c r="AT11" s="44"/>
    </row>
    <row r="12" spans="1:51" s="23" customFormat="1" ht="16.5" customHeight="1">
      <c r="A12" s="12"/>
      <c r="B12" s="12"/>
      <c r="C12" s="12"/>
      <c r="D12" s="12"/>
      <c r="E12" s="1869" t="str">
        <f>"Avwg "&amp;'Data Input'!D12&amp;", wcZv/¯^vgxi bvgt "&amp;'Data Input'!D13&amp;", gvZvi bvgt "&amp;'Data Input'!D14&amp;", wVKvbvt "&amp;+'Data Input'!D17&amp;", Dc‡Rjvt "&amp;'Data Input'!D22&amp;", ‡Rjvt "&amp;'Data Input'!D23&amp;"| GB g‡g© †Nvlbv KiwQ †h, Avgvi "&amp;'Data Input'!K2&amp;" †gŠRvq "&amp;'Data Input'!N48&amp;" kZvsk Rwg Ges "&amp;'Data Input'!D10&amp;" e¨emvq †gvU 80.00 jÿ UvKvi m¤ú` i‡q‡Q  Ges Avgvi bv‡g †Kv_vI †Kvb †`bv bvB||"</f>
        <v>Avwg ‡gvt Rwb, wcZv/¯^vgxi bvgt g„Z †gvt Bw`ªm Avjx, gvZvi bvgt gvmvt Avgexqv LvZzb, wVKvbvt `vcv B`ªvKcyi, dZzjøv, bvivqYMÄ, Dc‡Rjvt bvivqYMÄ m`i, ‡Rjvt bvivqYMÄ| GB g‡g© †Nvlbv KiwQ †h, Avgvi wmw×iMÄ †gŠRvq 0 kZvsk Rwg Ges gyw` cY¨ e¨emv e¨emvq †gvU 80.00 jÿ UvKvi m¤ú` i‡q‡Q  Ges Avgvi bv‡g †Kv_vI †Kvb †`bv bvB||</v>
      </c>
      <c r="F12" s="1869"/>
      <c r="G12" s="1869"/>
      <c r="H12" s="1869"/>
      <c r="I12" s="1869"/>
      <c r="J12" s="1869"/>
      <c r="K12" s="1869"/>
      <c r="L12" s="1869"/>
      <c r="M12" s="1869"/>
      <c r="N12" s="1869"/>
      <c r="O12" s="1869"/>
      <c r="P12" s="1869"/>
      <c r="Q12" s="1869"/>
      <c r="R12" s="1869"/>
      <c r="S12" s="1869"/>
      <c r="T12" s="1869"/>
      <c r="U12" s="1869"/>
      <c r="V12" s="1869"/>
      <c r="W12" s="1869"/>
      <c r="X12" s="1869"/>
      <c r="Y12" s="1869"/>
      <c r="Z12" s="1869"/>
      <c r="AA12" s="1869"/>
      <c r="AB12" s="1869"/>
      <c r="AC12" s="1869"/>
      <c r="AD12" s="1869"/>
      <c r="AE12" s="1869"/>
      <c r="AF12" s="1869"/>
      <c r="AG12" s="1869"/>
      <c r="AH12" s="1869"/>
      <c r="AI12" s="1869"/>
      <c r="AJ12" s="1869"/>
      <c r="AK12" s="1869"/>
      <c r="AL12" s="1869"/>
      <c r="AM12" s="1869"/>
      <c r="AN12" s="1869"/>
      <c r="AO12" s="55"/>
      <c r="AP12" s="55"/>
      <c r="AQ12" s="55"/>
      <c r="AR12" s="55"/>
      <c r="AS12" s="55"/>
      <c r="AT12" s="44"/>
    </row>
    <row r="13" spans="1:51" s="145" customFormat="1" ht="16.5" customHeight="1">
      <c r="A13" s="93"/>
      <c r="B13" s="93"/>
      <c r="C13" s="93"/>
      <c r="D13" s="93"/>
      <c r="E13" s="1869"/>
      <c r="F13" s="1869"/>
      <c r="G13" s="1869"/>
      <c r="H13" s="1869"/>
      <c r="I13" s="1869"/>
      <c r="J13" s="1869"/>
      <c r="K13" s="1869"/>
      <c r="L13" s="1869"/>
      <c r="M13" s="1869"/>
      <c r="N13" s="1869"/>
      <c r="O13" s="1869"/>
      <c r="P13" s="1869"/>
      <c r="Q13" s="1869"/>
      <c r="R13" s="1869"/>
      <c r="S13" s="1869"/>
      <c r="T13" s="1869"/>
      <c r="U13" s="1869"/>
      <c r="V13" s="1869"/>
      <c r="W13" s="1869"/>
      <c r="X13" s="1869"/>
      <c r="Y13" s="1869"/>
      <c r="Z13" s="1869"/>
      <c r="AA13" s="1869"/>
      <c r="AB13" s="1869"/>
      <c r="AC13" s="1869"/>
      <c r="AD13" s="1869"/>
      <c r="AE13" s="1869"/>
      <c r="AF13" s="1869"/>
      <c r="AG13" s="1869"/>
      <c r="AH13" s="1869"/>
      <c r="AI13" s="1869"/>
      <c r="AJ13" s="1869"/>
      <c r="AK13" s="1869"/>
      <c r="AL13" s="1869"/>
      <c r="AM13" s="1869"/>
      <c r="AN13" s="1869"/>
      <c r="AO13" s="143"/>
      <c r="AP13" s="143"/>
      <c r="AQ13" s="143"/>
      <c r="AR13" s="143"/>
      <c r="AS13" s="143"/>
      <c r="AT13" s="144"/>
    </row>
    <row r="14" spans="1:51" s="145" customFormat="1" ht="16.5" customHeight="1">
      <c r="B14" s="146"/>
      <c r="C14" s="146"/>
      <c r="D14" s="146"/>
      <c r="E14" s="1869"/>
      <c r="F14" s="1869"/>
      <c r="G14" s="1869"/>
      <c r="H14" s="1869"/>
      <c r="I14" s="1869"/>
      <c r="J14" s="1869"/>
      <c r="K14" s="1869"/>
      <c r="L14" s="1869"/>
      <c r="M14" s="1869"/>
      <c r="N14" s="1869"/>
      <c r="O14" s="1869"/>
      <c r="P14" s="1869"/>
      <c r="Q14" s="1869"/>
      <c r="R14" s="1869"/>
      <c r="S14" s="1869"/>
      <c r="T14" s="1869"/>
      <c r="U14" s="1869"/>
      <c r="V14" s="1869"/>
      <c r="W14" s="1869"/>
      <c r="X14" s="1869"/>
      <c r="Y14" s="1869"/>
      <c r="Z14" s="1869"/>
      <c r="AA14" s="1869"/>
      <c r="AB14" s="1869"/>
      <c r="AC14" s="1869"/>
      <c r="AD14" s="1869"/>
      <c r="AE14" s="1869"/>
      <c r="AF14" s="1869"/>
      <c r="AG14" s="1869"/>
      <c r="AH14" s="1869"/>
      <c r="AI14" s="1869"/>
      <c r="AJ14" s="1869"/>
      <c r="AK14" s="1869"/>
      <c r="AL14" s="1869"/>
      <c r="AM14" s="1869"/>
      <c r="AN14" s="1869"/>
      <c r="AO14" s="146"/>
      <c r="AP14" s="146"/>
      <c r="AQ14" s="146"/>
      <c r="AR14" s="146"/>
      <c r="AS14" s="146"/>
      <c r="AT14" s="146"/>
    </row>
    <row r="15" spans="1:51" s="145" customFormat="1" ht="16.5" customHeight="1">
      <c r="A15" s="146"/>
      <c r="B15" s="146"/>
      <c r="C15" s="146"/>
      <c r="D15" s="146"/>
      <c r="E15" s="1869"/>
      <c r="F15" s="1869"/>
      <c r="G15" s="1869"/>
      <c r="H15" s="1869"/>
      <c r="I15" s="1869"/>
      <c r="J15" s="1869"/>
      <c r="K15" s="1869"/>
      <c r="L15" s="1869"/>
      <c r="M15" s="1869"/>
      <c r="N15" s="1869"/>
      <c r="O15" s="1869"/>
      <c r="P15" s="1869"/>
      <c r="Q15" s="1869"/>
      <c r="R15" s="1869"/>
      <c r="S15" s="1869"/>
      <c r="T15" s="1869"/>
      <c r="U15" s="1869"/>
      <c r="V15" s="1869"/>
      <c r="W15" s="1869"/>
      <c r="X15" s="1869"/>
      <c r="Y15" s="1869"/>
      <c r="Z15" s="1869"/>
      <c r="AA15" s="1869"/>
      <c r="AB15" s="1869"/>
      <c r="AC15" s="1869"/>
      <c r="AD15" s="1869"/>
      <c r="AE15" s="1869"/>
      <c r="AF15" s="1869"/>
      <c r="AG15" s="1869"/>
      <c r="AH15" s="1869"/>
      <c r="AI15" s="1869"/>
      <c r="AJ15" s="1869"/>
      <c r="AK15" s="1869"/>
      <c r="AL15" s="1869"/>
      <c r="AM15" s="1869"/>
      <c r="AN15" s="1869"/>
      <c r="AO15" s="146"/>
      <c r="AP15" s="146"/>
      <c r="AQ15" s="146"/>
      <c r="AR15" s="146"/>
      <c r="AS15" s="146"/>
      <c r="AT15" s="146"/>
    </row>
    <row r="16" spans="1:51" s="23" customFormat="1" ht="16.5" customHeight="1">
      <c r="A16" s="24"/>
      <c r="B16" s="24"/>
      <c r="C16" s="24"/>
      <c r="D16" s="24"/>
      <c r="E16" s="1869"/>
      <c r="F16" s="1869"/>
      <c r="G16" s="1869"/>
      <c r="H16" s="1869"/>
      <c r="I16" s="1869"/>
      <c r="J16" s="1869"/>
      <c r="K16" s="1869"/>
      <c r="L16" s="1869"/>
      <c r="M16" s="1869"/>
      <c r="N16" s="1869"/>
      <c r="O16" s="1869"/>
      <c r="P16" s="1869"/>
      <c r="Q16" s="1869"/>
      <c r="R16" s="1869"/>
      <c r="S16" s="1869"/>
      <c r="T16" s="1869"/>
      <c r="U16" s="1869"/>
      <c r="V16" s="1869"/>
      <c r="W16" s="1869"/>
      <c r="X16" s="1869"/>
      <c r="Y16" s="1869"/>
      <c r="Z16" s="1869"/>
      <c r="AA16" s="1869"/>
      <c r="AB16" s="1869"/>
      <c r="AC16" s="1869"/>
      <c r="AD16" s="1869"/>
      <c r="AE16" s="1869"/>
      <c r="AF16" s="1869"/>
      <c r="AG16" s="1869"/>
      <c r="AH16" s="1869"/>
      <c r="AI16" s="1869"/>
      <c r="AJ16" s="1869"/>
      <c r="AK16" s="1869"/>
      <c r="AL16" s="1869"/>
      <c r="AM16" s="1869"/>
      <c r="AN16" s="1869"/>
      <c r="AO16" s="24"/>
      <c r="AP16" s="24"/>
      <c r="AQ16" s="24"/>
      <c r="AR16" s="24"/>
      <c r="AS16" s="24"/>
      <c r="AT16" s="24"/>
    </row>
    <row r="17" spans="1:60" s="23" customFormat="1" ht="16.5" customHeight="1">
      <c r="A17" s="12"/>
      <c r="B17" s="12"/>
      <c r="C17" s="12"/>
      <c r="D17" s="12"/>
      <c r="E17" s="1869"/>
      <c r="F17" s="1869"/>
      <c r="G17" s="1869"/>
      <c r="H17" s="1869"/>
      <c r="I17" s="1869"/>
      <c r="J17" s="1869"/>
      <c r="K17" s="1869"/>
      <c r="L17" s="1869"/>
      <c r="M17" s="1869"/>
      <c r="N17" s="1869"/>
      <c r="O17" s="1869"/>
      <c r="P17" s="1869"/>
      <c r="Q17" s="1869"/>
      <c r="R17" s="1869"/>
      <c r="S17" s="1869"/>
      <c r="T17" s="1869"/>
      <c r="U17" s="1869"/>
      <c r="V17" s="1869"/>
      <c r="W17" s="1869"/>
      <c r="X17" s="1869"/>
      <c r="Y17" s="1869"/>
      <c r="Z17" s="1869"/>
      <c r="AA17" s="1869"/>
      <c r="AB17" s="1869"/>
      <c r="AC17" s="1869"/>
      <c r="AD17" s="1869"/>
      <c r="AE17" s="1869"/>
      <c r="AF17" s="1869"/>
      <c r="AG17" s="1869"/>
      <c r="AH17" s="1869"/>
      <c r="AI17" s="1869"/>
      <c r="AJ17" s="1869"/>
      <c r="AK17" s="1869"/>
      <c r="AL17" s="1869"/>
      <c r="AM17" s="1869"/>
      <c r="AN17" s="1869"/>
      <c r="AO17" s="55"/>
      <c r="AP17" s="55"/>
      <c r="AQ17" s="55"/>
      <c r="AR17" s="55"/>
      <c r="AS17" s="55"/>
      <c r="AT17" s="44"/>
    </row>
    <row r="18" spans="1:60" s="23" customFormat="1" ht="16.5" customHeight="1">
      <c r="A18" s="12"/>
      <c r="B18" s="12"/>
      <c r="C18" s="12"/>
      <c r="D18" s="12"/>
      <c r="E18" s="1869"/>
      <c r="F18" s="1869"/>
      <c r="G18" s="1869"/>
      <c r="H18" s="1869"/>
      <c r="I18" s="1869"/>
      <c r="J18" s="1869"/>
      <c r="K18" s="1869"/>
      <c r="L18" s="1869"/>
      <c r="M18" s="1869"/>
      <c r="N18" s="1869"/>
      <c r="O18" s="1869"/>
      <c r="P18" s="1869"/>
      <c r="Q18" s="1869"/>
      <c r="R18" s="1869"/>
      <c r="S18" s="1869"/>
      <c r="T18" s="1869"/>
      <c r="U18" s="1869"/>
      <c r="V18" s="1869"/>
      <c r="W18" s="1869"/>
      <c r="X18" s="1869"/>
      <c r="Y18" s="1869"/>
      <c r="Z18" s="1869"/>
      <c r="AA18" s="1869"/>
      <c r="AB18" s="1869"/>
      <c r="AC18" s="1869"/>
      <c r="AD18" s="1869"/>
      <c r="AE18" s="1869"/>
      <c r="AF18" s="1869"/>
      <c r="AG18" s="1869"/>
      <c r="AH18" s="1869"/>
      <c r="AI18" s="1869"/>
      <c r="AJ18" s="1869"/>
      <c r="AK18" s="1869"/>
      <c r="AL18" s="1869"/>
      <c r="AM18" s="1869"/>
      <c r="AN18" s="1869"/>
      <c r="AO18" s="55"/>
      <c r="AP18" s="55"/>
      <c r="AQ18" s="55"/>
      <c r="AR18" s="55"/>
      <c r="AS18" s="55"/>
      <c r="AT18" s="44"/>
    </row>
    <row r="19" spans="1:60" s="23" customFormat="1" ht="16.5" customHeight="1">
      <c r="A19" s="12"/>
      <c r="B19" s="12"/>
      <c r="C19" s="12"/>
      <c r="D19" s="12"/>
      <c r="E19" s="1869"/>
      <c r="F19" s="1869"/>
      <c r="G19" s="1869"/>
      <c r="H19" s="1869"/>
      <c r="I19" s="1869"/>
      <c r="J19" s="1869"/>
      <c r="K19" s="1869"/>
      <c r="L19" s="1869"/>
      <c r="M19" s="1869"/>
      <c r="N19" s="1869"/>
      <c r="O19" s="1869"/>
      <c r="P19" s="1869"/>
      <c r="Q19" s="1869"/>
      <c r="R19" s="1869"/>
      <c r="S19" s="1869"/>
      <c r="T19" s="1869"/>
      <c r="U19" s="1869"/>
      <c r="V19" s="1869"/>
      <c r="W19" s="1869"/>
      <c r="X19" s="1869"/>
      <c r="Y19" s="1869"/>
      <c r="Z19" s="1869"/>
      <c r="AA19" s="1869"/>
      <c r="AB19" s="1869"/>
      <c r="AC19" s="1869"/>
      <c r="AD19" s="1869"/>
      <c r="AE19" s="1869"/>
      <c r="AF19" s="1869"/>
      <c r="AG19" s="1869"/>
      <c r="AH19" s="1869"/>
      <c r="AI19" s="1869"/>
      <c r="AJ19" s="1869"/>
      <c r="AK19" s="1869"/>
      <c r="AL19" s="1869"/>
      <c r="AM19" s="1869"/>
      <c r="AN19" s="1869"/>
      <c r="AO19" s="55"/>
      <c r="AP19" s="55"/>
      <c r="AQ19" s="55"/>
      <c r="AR19" s="55"/>
      <c r="AS19" s="55"/>
      <c r="AT19" s="44"/>
    </row>
    <row r="20" spans="1:60" s="23" customFormat="1" ht="78" customHeight="1">
      <c r="A20" s="12"/>
      <c r="B20" s="12"/>
      <c r="C20" s="12"/>
      <c r="D20" s="12"/>
      <c r="E20" s="1869"/>
      <c r="F20" s="1869"/>
      <c r="G20" s="1869"/>
      <c r="H20" s="1869"/>
      <c r="I20" s="1869"/>
      <c r="J20" s="1869"/>
      <c r="K20" s="1869"/>
      <c r="L20" s="1869"/>
      <c r="M20" s="1869"/>
      <c r="N20" s="1869"/>
      <c r="O20" s="1869"/>
      <c r="P20" s="1869"/>
      <c r="Q20" s="1869"/>
      <c r="R20" s="1869"/>
      <c r="S20" s="1869"/>
      <c r="T20" s="1869"/>
      <c r="U20" s="1869"/>
      <c r="V20" s="1869"/>
      <c r="W20" s="1869"/>
      <c r="X20" s="1869"/>
      <c r="Y20" s="1869"/>
      <c r="Z20" s="1869"/>
      <c r="AA20" s="1869"/>
      <c r="AB20" s="1869"/>
      <c r="AC20" s="1869"/>
      <c r="AD20" s="1869"/>
      <c r="AE20" s="1869"/>
      <c r="AF20" s="1869"/>
      <c r="AG20" s="1869"/>
      <c r="AH20" s="1869"/>
      <c r="AI20" s="1869"/>
      <c r="AJ20" s="1869"/>
      <c r="AK20" s="1869"/>
      <c r="AL20" s="1869"/>
      <c r="AM20" s="1869"/>
      <c r="AN20" s="1869"/>
      <c r="AO20" s="55"/>
      <c r="AP20" s="55"/>
      <c r="AQ20" s="55"/>
      <c r="AR20" s="55"/>
      <c r="AS20" s="55"/>
      <c r="AT20" s="44"/>
    </row>
    <row r="21" spans="1:60" s="68" customFormat="1" ht="43.5" customHeight="1">
      <c r="A21" s="66"/>
      <c r="B21" s="66"/>
      <c r="C21" s="66"/>
      <c r="D21" s="66"/>
      <c r="E21" s="66"/>
      <c r="F21" s="66"/>
      <c r="G21" s="66"/>
      <c r="H21" s="66"/>
      <c r="I21" s="66"/>
      <c r="J21" s="66"/>
      <c r="K21" s="66"/>
      <c r="L21" s="66"/>
      <c r="M21" s="66"/>
      <c r="N21" s="66"/>
      <c r="O21" s="66"/>
      <c r="P21" s="66"/>
      <c r="Q21" s="66"/>
      <c r="R21" s="66"/>
      <c r="S21" s="66"/>
      <c r="T21" s="66"/>
      <c r="U21" s="66"/>
      <c r="V21" s="66"/>
      <c r="W21" s="66"/>
      <c r="X21" s="66"/>
      <c r="Y21" s="66"/>
      <c r="Z21" s="66"/>
      <c r="AA21" s="66"/>
      <c r="AB21" s="66"/>
      <c r="AC21" s="66"/>
      <c r="AD21" s="66"/>
      <c r="AE21" s="66"/>
      <c r="AG21" s="24"/>
      <c r="AH21" s="24"/>
      <c r="AL21" s="2"/>
      <c r="AM21" s="2"/>
      <c r="AN21" s="2"/>
      <c r="AO21" s="138"/>
      <c r="AP21" s="138"/>
      <c r="AQ21" s="138"/>
      <c r="AR21" s="138"/>
      <c r="AS21" s="138"/>
      <c r="AT21" s="139"/>
    </row>
    <row r="22" spans="1:60" s="68" customFormat="1" ht="43.5" customHeight="1">
      <c r="A22" s="1870"/>
      <c r="B22" s="1870"/>
      <c r="C22" s="1870"/>
      <c r="D22" s="1870"/>
      <c r="E22" s="1870"/>
      <c r="F22" s="1870"/>
      <c r="G22" s="1870"/>
      <c r="H22" s="1870"/>
      <c r="I22" s="1870"/>
      <c r="J22" s="1870"/>
      <c r="K22" s="1870"/>
      <c r="L22" s="1870"/>
      <c r="M22" s="1870"/>
      <c r="N22" s="1870"/>
      <c r="O22" s="1870"/>
      <c r="P22" s="1870"/>
      <c r="Q22" s="1870"/>
      <c r="R22" s="1870"/>
      <c r="S22" s="1870"/>
      <c r="T22" s="1870"/>
      <c r="U22" s="1870"/>
      <c r="V22" s="1870"/>
      <c r="W22" s="1870"/>
      <c r="X22" s="1870"/>
      <c r="Y22" s="1870"/>
      <c r="Z22" s="1870"/>
      <c r="AA22" s="1870"/>
      <c r="AB22" s="1870"/>
      <c r="AC22" s="1870"/>
      <c r="AD22" s="1870"/>
      <c r="AE22" s="1870"/>
      <c r="AF22" s="1870"/>
      <c r="AG22" s="1870"/>
      <c r="AH22" s="1870"/>
      <c r="AI22" s="1870"/>
      <c r="AJ22" s="1870"/>
      <c r="AK22" s="1870"/>
      <c r="AL22" s="1870"/>
      <c r="AM22" s="1870"/>
      <c r="AN22" s="1870"/>
      <c r="AO22" s="1870"/>
      <c r="AP22" s="1870"/>
      <c r="AQ22" s="1870"/>
      <c r="AR22" s="1870"/>
      <c r="AS22" s="1870"/>
      <c r="AT22" s="1870"/>
    </row>
    <row r="23" spans="1:60" s="68" customFormat="1" ht="102.75" customHeight="1">
      <c r="A23" s="66"/>
      <c r="B23" s="66"/>
      <c r="C23" s="66"/>
      <c r="D23" s="66"/>
      <c r="E23" s="66"/>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c r="AE23" s="1870"/>
      <c r="AF23" s="1870"/>
      <c r="AG23" s="1870"/>
      <c r="AH23" s="1870"/>
      <c r="AI23" s="1870"/>
      <c r="AJ23" s="1870"/>
      <c r="AK23" s="1870"/>
      <c r="AL23" s="1870"/>
      <c r="AM23" s="1870"/>
      <c r="AN23" s="1870"/>
      <c r="AO23" s="1870"/>
      <c r="AP23" s="138"/>
      <c r="AQ23" s="138"/>
      <c r="AR23" s="138"/>
      <c r="AS23" s="138"/>
      <c r="AT23" s="139"/>
    </row>
    <row r="24" spans="1:60" s="71" customFormat="1" ht="17.25" customHeight="1">
      <c r="A24" s="1867"/>
      <c r="B24" s="1867"/>
      <c r="C24" s="1867"/>
      <c r="D24" s="1867"/>
      <c r="E24" s="1867"/>
      <c r="F24" s="1867"/>
      <c r="G24" s="1867"/>
      <c r="H24" s="1867"/>
      <c r="I24" s="1867"/>
      <c r="J24" s="1867"/>
      <c r="K24" s="1867"/>
      <c r="Q24" s="273"/>
      <c r="R24" s="273"/>
      <c r="S24" s="1867"/>
      <c r="T24" s="1867"/>
      <c r="U24" s="1867"/>
      <c r="V24" s="1867"/>
      <c r="W24" s="1867"/>
      <c r="X24" s="1867"/>
      <c r="Y24" s="1867"/>
      <c r="Z24" s="1867"/>
      <c r="AA24" s="1867"/>
      <c r="AB24" s="1867"/>
      <c r="AC24" s="1867"/>
      <c r="AD24" s="273"/>
      <c r="AE24" s="273"/>
      <c r="AF24" s="273"/>
      <c r="AG24" s="273"/>
      <c r="AH24" s="273"/>
      <c r="AJ24" s="1867"/>
      <c r="AK24" s="1867"/>
      <c r="AL24" s="1867"/>
      <c r="AM24" s="1867"/>
      <c r="AN24" s="1867"/>
      <c r="AO24" s="1867"/>
      <c r="AP24" s="1867"/>
      <c r="AQ24" s="1867"/>
      <c r="AR24" s="1867"/>
      <c r="AS24" s="1867"/>
      <c r="AT24" s="1867"/>
      <c r="AW24" s="65"/>
      <c r="AX24" s="65"/>
      <c r="AY24" s="65"/>
      <c r="AZ24" s="65"/>
      <c r="BA24" s="65"/>
      <c r="BB24" s="65"/>
      <c r="BC24" s="65"/>
      <c r="BD24" s="65"/>
      <c r="BE24" s="65"/>
      <c r="BF24" s="65"/>
      <c r="BG24" s="65"/>
      <c r="BH24" s="65"/>
    </row>
    <row r="25" spans="1:60" s="71" customFormat="1" ht="17.25" customHeight="1">
      <c r="A25" s="1867"/>
      <c r="B25" s="1867"/>
      <c r="C25" s="1867"/>
      <c r="D25" s="1867"/>
      <c r="E25" s="1867"/>
      <c r="F25" s="1867"/>
      <c r="G25" s="1867"/>
      <c r="H25" s="1867"/>
      <c r="I25" s="1867"/>
      <c r="J25" s="1867"/>
      <c r="K25" s="1867"/>
      <c r="L25" s="141"/>
      <c r="M25" s="141"/>
      <c r="P25" s="1867"/>
      <c r="Q25" s="1867"/>
      <c r="R25" s="1867"/>
      <c r="S25" s="1867"/>
      <c r="T25" s="1867"/>
      <c r="U25" s="1867"/>
      <c r="V25" s="1867"/>
      <c r="W25" s="1867"/>
      <c r="X25" s="1867"/>
      <c r="Y25" s="1867"/>
      <c r="Z25" s="1867"/>
      <c r="AA25" s="1867"/>
      <c r="AB25" s="1867"/>
      <c r="AC25" s="1867"/>
      <c r="AD25" s="1867"/>
      <c r="AE25" s="1867"/>
      <c r="AF25" s="1867"/>
      <c r="AG25" s="273"/>
      <c r="AH25" s="273"/>
      <c r="AJ25" s="1867"/>
      <c r="AK25" s="1867"/>
      <c r="AL25" s="1867"/>
      <c r="AM25" s="1867"/>
      <c r="AN25" s="1867"/>
      <c r="AO25" s="1867"/>
      <c r="AP25" s="1867"/>
      <c r="AQ25" s="1867"/>
      <c r="AR25" s="1867"/>
      <c r="AS25" s="1867"/>
      <c r="AT25" s="1867"/>
      <c r="AW25" s="65"/>
      <c r="AX25" s="65"/>
      <c r="AY25" s="65"/>
      <c r="AZ25" s="65"/>
      <c r="BA25" s="65"/>
      <c r="BB25" s="65"/>
      <c r="BC25" s="65"/>
      <c r="BD25" s="65"/>
      <c r="BE25" s="65"/>
      <c r="BF25" s="65"/>
      <c r="BG25" s="65"/>
      <c r="BH25" s="65"/>
    </row>
    <row r="26" spans="1:60" s="71" customFormat="1" ht="17.25" customHeight="1">
      <c r="A26" s="1867"/>
      <c r="B26" s="1867"/>
      <c r="C26" s="1867"/>
      <c r="D26" s="1867"/>
      <c r="E26" s="1867"/>
      <c r="F26" s="1867"/>
      <c r="G26" s="1867"/>
      <c r="H26" s="1867"/>
      <c r="I26" s="1867"/>
      <c r="J26" s="1867"/>
      <c r="K26" s="1867"/>
      <c r="L26" s="141"/>
      <c r="M26" s="141"/>
      <c r="P26" s="1867"/>
      <c r="Q26" s="1867"/>
      <c r="R26" s="1867"/>
      <c r="S26" s="1867"/>
      <c r="T26" s="1867"/>
      <c r="U26" s="1867"/>
      <c r="V26" s="1867"/>
      <c r="W26" s="1867"/>
      <c r="X26" s="1867"/>
      <c r="Y26" s="1867"/>
      <c r="Z26" s="1867"/>
      <c r="AA26" s="1867"/>
      <c r="AB26" s="1867"/>
      <c r="AC26" s="1867"/>
      <c r="AD26" s="1867"/>
      <c r="AE26" s="1867"/>
      <c r="AF26" s="1867"/>
      <c r="AG26" s="273"/>
      <c r="AH26" s="273"/>
      <c r="AJ26" s="1867"/>
      <c r="AK26" s="1867"/>
      <c r="AL26" s="1867"/>
      <c r="AM26" s="1867"/>
      <c r="AN26" s="1867"/>
      <c r="AO26" s="1867"/>
      <c r="AP26" s="1867"/>
      <c r="AQ26" s="1867"/>
      <c r="AR26" s="1867"/>
      <c r="AS26" s="1867"/>
      <c r="AT26" s="1867"/>
      <c r="AW26" s="65"/>
      <c r="AX26" s="65"/>
      <c r="AY26" s="65"/>
      <c r="AZ26" s="65"/>
      <c r="BA26" s="65"/>
      <c r="BB26" s="65"/>
      <c r="BC26" s="65"/>
      <c r="BD26" s="65"/>
      <c r="BE26" s="65"/>
      <c r="BF26" s="65"/>
      <c r="BG26" s="65"/>
      <c r="BH26" s="65"/>
    </row>
    <row r="27" spans="1:60" s="1" customFormat="1" ht="17.25" customHeight="1">
      <c r="A27" s="1865"/>
      <c r="B27" s="1865"/>
      <c r="C27" s="1865"/>
      <c r="D27" s="1865"/>
      <c r="E27" s="1865"/>
      <c r="F27" s="1865"/>
      <c r="G27" s="1865"/>
      <c r="H27" s="1865"/>
      <c r="I27" s="1865"/>
      <c r="J27" s="1865"/>
      <c r="K27" s="1865"/>
      <c r="L27" s="51"/>
      <c r="M27" s="51"/>
      <c r="P27" s="1865"/>
      <c r="Q27" s="1865"/>
      <c r="R27" s="1865"/>
      <c r="S27" s="1865"/>
      <c r="T27" s="1865"/>
      <c r="U27" s="1865"/>
      <c r="V27" s="1865"/>
      <c r="W27" s="1865"/>
      <c r="X27" s="1865"/>
      <c r="Y27" s="1865"/>
      <c r="Z27" s="1865"/>
      <c r="AA27" s="1865"/>
      <c r="AB27" s="1865"/>
      <c r="AC27" s="1865"/>
      <c r="AD27" s="1865"/>
      <c r="AE27" s="1865"/>
      <c r="AF27" s="1865"/>
      <c r="AG27" s="274"/>
      <c r="AH27" s="274"/>
      <c r="AJ27" s="1865"/>
      <c r="AK27" s="1865"/>
      <c r="AL27" s="1865"/>
      <c r="AM27" s="1865"/>
      <c r="AN27" s="1865"/>
      <c r="AO27" s="1865"/>
      <c r="AP27" s="1865"/>
      <c r="AQ27" s="1865"/>
      <c r="AR27" s="1865"/>
      <c r="AS27" s="1865"/>
      <c r="AT27" s="1865"/>
      <c r="AW27"/>
      <c r="AX27"/>
      <c r="AY27"/>
      <c r="AZ27"/>
      <c r="BA27" s="60"/>
      <c r="BB27" s="60"/>
      <c r="BC27" s="60"/>
      <c r="BD27" s="60"/>
    </row>
    <row r="28" spans="1:60" s="1" customFormat="1" ht="18.75" customHeight="1">
      <c r="B28" s="54"/>
      <c r="C28" s="39"/>
      <c r="D28" s="39"/>
      <c r="E28" s="39"/>
      <c r="F28" s="51"/>
      <c r="G28" s="51"/>
      <c r="H28" s="51"/>
      <c r="I28" s="51"/>
      <c r="J28" s="51"/>
      <c r="K28" s="51"/>
      <c r="L28" s="51"/>
      <c r="M28" s="51"/>
      <c r="AW28"/>
      <c r="AX28"/>
      <c r="AY28"/>
      <c r="AZ28"/>
      <c r="BA28" s="60"/>
      <c r="BB28" s="60"/>
      <c r="BC28" s="60"/>
      <c r="BD28" s="60"/>
    </row>
    <row r="29" spans="1:60" s="1" customFormat="1" ht="18.75" customHeight="1">
      <c r="B29" s="54"/>
      <c r="C29" s="1866"/>
      <c r="D29" s="1866"/>
      <c r="E29" s="1866"/>
      <c r="F29" s="51"/>
      <c r="G29" s="51"/>
      <c r="H29" s="51"/>
      <c r="I29" s="51"/>
      <c r="J29" s="51"/>
      <c r="K29" s="51"/>
      <c r="L29" s="51"/>
      <c r="M29" s="51"/>
      <c r="AW29"/>
      <c r="AX29"/>
      <c r="AY29"/>
      <c r="AZ29"/>
      <c r="BA29" s="60"/>
      <c r="BB29" s="60"/>
      <c r="BC29" s="60"/>
      <c r="BD29" s="60"/>
    </row>
    <row r="30" spans="1:60" s="1" customFormat="1" ht="18.75" customHeight="1">
      <c r="B30" s="54"/>
      <c r="C30" s="1866"/>
      <c r="D30" s="1866"/>
      <c r="E30" s="1866"/>
      <c r="F30" s="51"/>
      <c r="G30" s="51"/>
      <c r="H30" s="51"/>
      <c r="I30" s="51"/>
      <c r="J30" s="51"/>
      <c r="K30" s="51"/>
      <c r="L30" s="51"/>
      <c r="M30" s="51"/>
      <c r="AW30"/>
      <c r="AX30"/>
      <c r="AY30"/>
      <c r="AZ30"/>
      <c r="BA30" s="60"/>
      <c r="BB30" s="60"/>
      <c r="BC30" s="60"/>
      <c r="BD30" s="60"/>
    </row>
    <row r="31" spans="1:60" s="1" customFormat="1" ht="11.25" customHeight="1">
      <c r="A31" s="1871"/>
      <c r="B31" s="1871"/>
      <c r="C31" s="1871"/>
      <c r="D31" s="1871"/>
      <c r="E31" s="1871"/>
      <c r="F31" s="1871"/>
      <c r="G31" s="1871"/>
      <c r="H31" s="1871"/>
      <c r="I31" s="1871"/>
      <c r="J31" s="1871"/>
      <c r="K31" s="1871"/>
      <c r="L31" s="1871"/>
      <c r="M31" s="1871"/>
      <c r="N31" s="1871"/>
      <c r="O31" s="1871"/>
      <c r="P31" s="1871"/>
      <c r="Q31" s="1871"/>
      <c r="R31" s="1871"/>
      <c r="S31" s="1871"/>
      <c r="T31" s="1871"/>
      <c r="U31" s="1871"/>
      <c r="V31" s="1871"/>
      <c r="W31" s="1871"/>
      <c r="X31" s="1871"/>
      <c r="Y31" s="1871"/>
      <c r="Z31" s="1871"/>
      <c r="AA31" s="1871"/>
      <c r="AB31" s="1871"/>
      <c r="AC31" s="1871"/>
      <c r="AD31" s="1871"/>
      <c r="AE31" s="1871"/>
      <c r="AF31" s="1871"/>
      <c r="AG31" s="1871"/>
      <c r="AH31" s="1871"/>
      <c r="AI31" s="1871"/>
      <c r="AJ31" s="1871"/>
      <c r="AK31" s="1871"/>
      <c r="AL31" s="1871"/>
      <c r="AM31" s="1871"/>
      <c r="AN31" s="1871"/>
      <c r="AO31" s="1871"/>
      <c r="AP31" s="1871"/>
      <c r="AQ31" s="1871"/>
      <c r="AR31" s="1871"/>
      <c r="AS31" s="1871"/>
      <c r="AT31" s="1871"/>
    </row>
    <row r="32" spans="1:60" s="1" customFormat="1" ht="18.75" customHeight="1">
      <c r="A32" s="810"/>
      <c r="B32" s="810"/>
      <c r="C32" s="810"/>
      <c r="D32" s="810"/>
      <c r="E32" s="810"/>
      <c r="F32" s="810"/>
      <c r="G32" s="810"/>
      <c r="H32" s="810"/>
      <c r="I32" s="810"/>
      <c r="J32" s="810"/>
      <c r="K32" s="810"/>
      <c r="L32" s="810"/>
      <c r="M32" s="810"/>
      <c r="N32" s="810"/>
      <c r="O32" s="810"/>
      <c r="P32" s="810"/>
      <c r="Q32" s="810"/>
      <c r="R32" s="810"/>
      <c r="S32" s="810"/>
      <c r="T32" s="810"/>
      <c r="U32" s="810"/>
      <c r="V32" s="810"/>
      <c r="W32" s="810"/>
      <c r="X32" s="810"/>
      <c r="Y32" s="810"/>
      <c r="Z32" s="810"/>
      <c r="AA32" s="810"/>
      <c r="AB32" s="810"/>
      <c r="AC32" s="810"/>
      <c r="AD32" s="810"/>
      <c r="AE32" s="810"/>
      <c r="AF32" s="810"/>
      <c r="AG32" s="810"/>
      <c r="AH32" s="810"/>
      <c r="AI32" s="810"/>
      <c r="AJ32" s="810"/>
      <c r="AK32" s="810"/>
      <c r="AL32" s="810"/>
      <c r="AM32" s="810"/>
      <c r="AN32" s="810"/>
      <c r="AO32" s="810"/>
      <c r="AP32" s="810"/>
      <c r="AQ32" s="810"/>
      <c r="AR32" s="810"/>
      <c r="AS32" s="810"/>
      <c r="AT32" s="810"/>
    </row>
    <row r="33" spans="1:46" s="1" customFormat="1" ht="18.75" customHeight="1">
      <c r="A33" s="811"/>
      <c r="B33" s="811"/>
      <c r="C33" s="811"/>
      <c r="D33" s="811"/>
      <c r="E33" s="811"/>
      <c r="F33" s="811"/>
      <c r="G33" s="811"/>
      <c r="H33" s="811"/>
      <c r="I33" s="811"/>
      <c r="J33" s="811"/>
      <c r="K33" s="811"/>
      <c r="L33" s="811"/>
      <c r="M33" s="811"/>
      <c r="N33" s="811"/>
      <c r="O33" s="811"/>
      <c r="P33" s="811"/>
      <c r="Q33" s="811"/>
      <c r="R33" s="811"/>
      <c r="S33" s="811"/>
      <c r="T33" s="811"/>
      <c r="U33" s="811"/>
      <c r="V33" s="811"/>
      <c r="W33" s="811"/>
      <c r="X33" s="811"/>
      <c r="Y33" s="811"/>
      <c r="Z33" s="811"/>
      <c r="AA33" s="811"/>
      <c r="AB33" s="811"/>
      <c r="AC33" s="811"/>
      <c r="AD33" s="811"/>
      <c r="AE33" s="811"/>
      <c r="AF33" s="811"/>
      <c r="AG33" s="811"/>
      <c r="AH33" s="811"/>
      <c r="AI33" s="811"/>
      <c r="AJ33" s="811"/>
      <c r="AK33" s="811"/>
      <c r="AL33" s="811"/>
      <c r="AM33" s="811"/>
      <c r="AN33" s="811"/>
      <c r="AO33" s="811"/>
      <c r="AP33" s="811"/>
      <c r="AQ33" s="811"/>
      <c r="AR33" s="811"/>
      <c r="AS33" s="811"/>
      <c r="AT33" s="811"/>
    </row>
    <row r="34" spans="1:46" s="1" customFormat="1" ht="18.75" customHeight="1">
      <c r="A34" s="1356"/>
      <c r="B34" s="1356"/>
      <c r="C34" s="1356"/>
      <c r="D34" s="1356"/>
      <c r="E34" s="1356"/>
      <c r="F34" s="1356"/>
      <c r="G34" s="1356"/>
      <c r="H34" s="1356"/>
      <c r="I34" s="1356"/>
      <c r="J34" s="1356"/>
      <c r="K34" s="1356"/>
      <c r="L34" s="1356"/>
      <c r="M34" s="1356"/>
      <c r="N34" s="1356"/>
      <c r="O34" s="1356"/>
      <c r="P34" s="1356"/>
      <c r="Q34" s="1356"/>
      <c r="R34" s="1356"/>
      <c r="S34" s="1356"/>
      <c r="T34" s="1356"/>
      <c r="U34" s="1356"/>
      <c r="V34" s="1356"/>
      <c r="W34" s="1356"/>
      <c r="X34" s="1356"/>
      <c r="Y34" s="1356"/>
      <c r="Z34" s="1356"/>
      <c r="AA34" s="1356"/>
      <c r="AB34" s="1356"/>
      <c r="AC34" s="1356"/>
      <c r="AD34" s="1356"/>
      <c r="AE34" s="1356"/>
      <c r="AF34" s="1356"/>
      <c r="AG34" s="1356"/>
      <c r="AH34" s="1356"/>
      <c r="AI34" s="1356"/>
      <c r="AJ34" s="1356"/>
      <c r="AK34" s="1356"/>
      <c r="AL34" s="1356"/>
      <c r="AM34" s="1356"/>
      <c r="AN34" s="1356"/>
      <c r="AO34" s="1356"/>
      <c r="AP34" s="1356"/>
      <c r="AQ34" s="1356"/>
      <c r="AR34" s="1356"/>
      <c r="AS34" s="1356"/>
      <c r="AT34" s="1356"/>
    </row>
    <row r="35" spans="1:46" s="1" customFormat="1" ht="18.75" customHeight="1">
      <c r="A35" s="1872" t="str">
        <f>A5</f>
        <v xml:space="preserve">   FY †KBm bs64(wmGgGmGgB)/2024-25 </v>
      </c>
      <c r="B35" s="1873"/>
      <c r="C35" s="1873"/>
      <c r="D35" s="1873"/>
      <c r="E35" s="1873"/>
      <c r="F35" s="1873"/>
      <c r="G35" s="1873"/>
      <c r="H35" s="1873"/>
      <c r="I35" s="1873"/>
      <c r="J35" s="1873"/>
      <c r="K35" s="1873"/>
      <c r="L35" s="1873"/>
      <c r="M35" s="1873"/>
      <c r="N35" s="1873"/>
      <c r="O35" s="1873"/>
      <c r="P35" s="1873"/>
      <c r="Q35" s="1873"/>
      <c r="R35" s="1873"/>
      <c r="S35" s="1873"/>
      <c r="T35" s="1873"/>
      <c r="U35" s="1873"/>
      <c r="V35" s="1873"/>
      <c r="W35" s="1873"/>
      <c r="X35" s="1873"/>
      <c r="Y35" s="1873"/>
      <c r="Z35" s="1873"/>
      <c r="AA35" s="1873"/>
      <c r="AB35" s="1873"/>
      <c r="AC35" s="1873"/>
      <c r="AD35" s="1873"/>
      <c r="AE35" s="1873"/>
      <c r="AF35" s="135"/>
      <c r="AG35" s="133"/>
      <c r="AH35" s="133"/>
      <c r="AI35" s="135"/>
      <c r="AJ35" s="135"/>
      <c r="AK35" s="135"/>
      <c r="AL35" s="910"/>
      <c r="AM35" s="910"/>
      <c r="AN35" s="910"/>
      <c r="AO35" s="1874"/>
      <c r="AP35" s="1874"/>
      <c r="AQ35" s="1874"/>
      <c r="AR35" s="1874"/>
      <c r="AS35" s="1874"/>
      <c r="AT35" s="136"/>
    </row>
    <row r="36" spans="1:46" ht="18.75" customHeight="1">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23"/>
      <c r="AG36" s="52"/>
      <c r="AH36" s="52"/>
      <c r="AI36" s="23"/>
      <c r="AJ36" s="23"/>
      <c r="AK36" s="23"/>
      <c r="AL36" s="43"/>
      <c r="AM36" s="43"/>
      <c r="AN36" s="43"/>
      <c r="AO36" s="55"/>
      <c r="AP36" s="55"/>
      <c r="AQ36" s="55"/>
      <c r="AR36" s="55"/>
      <c r="AS36" s="55"/>
      <c r="AT36" s="44"/>
    </row>
    <row r="37" spans="1:46" ht="18.75" customHeight="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23"/>
      <c r="AG37" s="52"/>
      <c r="AH37" s="52"/>
      <c r="AI37" s="23"/>
      <c r="AJ37" s="23"/>
      <c r="AK37" s="23"/>
      <c r="AL37" s="43"/>
      <c r="AM37" s="43"/>
      <c r="AN37" s="43"/>
      <c r="AO37" s="55"/>
      <c r="AP37" s="55"/>
      <c r="AQ37" s="55"/>
      <c r="AR37" s="55"/>
      <c r="AS37" s="55"/>
      <c r="AT37" s="44"/>
    </row>
    <row r="38" spans="1:46" ht="18.75" customHeight="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23"/>
      <c r="AG38" s="52"/>
      <c r="AH38" s="52"/>
      <c r="AI38" s="23"/>
      <c r="AJ38" s="23"/>
      <c r="AK38" s="23"/>
      <c r="AL38" s="43"/>
      <c r="AM38" s="43"/>
      <c r="AN38" s="43"/>
      <c r="AO38" s="55"/>
      <c r="AP38" s="55"/>
      <c r="AQ38" s="55"/>
      <c r="AR38" s="55"/>
      <c r="AS38" s="55"/>
      <c r="AT38" s="44"/>
    </row>
    <row r="39" spans="1:46" ht="35.25" customHeight="1">
      <c r="A39" s="1868" t="s">
        <v>1028</v>
      </c>
      <c r="B39" s="1868"/>
      <c r="C39" s="1868"/>
      <c r="D39" s="1868"/>
      <c r="E39" s="1868"/>
      <c r="F39" s="1868"/>
      <c r="G39" s="1868"/>
      <c r="H39" s="1868"/>
      <c r="I39" s="1868"/>
      <c r="J39" s="1868"/>
      <c r="K39" s="1868"/>
      <c r="L39" s="1868"/>
      <c r="M39" s="1868"/>
      <c r="N39" s="1868"/>
      <c r="O39" s="1868"/>
      <c r="P39" s="1868"/>
      <c r="Q39" s="1868"/>
      <c r="R39" s="1868"/>
      <c r="S39" s="1868"/>
      <c r="T39" s="1868"/>
      <c r="U39" s="1868"/>
      <c r="V39" s="1868"/>
      <c r="W39" s="1868"/>
      <c r="X39" s="1868"/>
      <c r="Y39" s="1868"/>
      <c r="Z39" s="1868"/>
      <c r="AA39" s="1868"/>
      <c r="AB39" s="1868"/>
      <c r="AC39" s="1868"/>
      <c r="AD39" s="1868"/>
      <c r="AE39" s="1868"/>
      <c r="AF39" s="1868"/>
      <c r="AG39" s="1868"/>
      <c r="AH39" s="1868"/>
      <c r="AI39" s="1868"/>
      <c r="AJ39" s="1868"/>
      <c r="AK39" s="1868"/>
      <c r="AL39" s="1868"/>
      <c r="AM39" s="1868"/>
      <c r="AN39" s="1868"/>
      <c r="AO39" s="1868"/>
      <c r="AP39" s="1868"/>
      <c r="AQ39" s="1868"/>
      <c r="AR39" s="1868"/>
      <c r="AS39" s="1868"/>
      <c r="AT39" s="1868"/>
    </row>
    <row r="40" spans="1:46" ht="18.75" customHeight="1">
      <c r="A40" s="12"/>
      <c r="B40" s="12"/>
      <c r="C40" s="12"/>
      <c r="D40" s="12"/>
      <c r="E40" s="12"/>
      <c r="F40" s="12"/>
      <c r="G40" s="12"/>
      <c r="H40" s="12"/>
      <c r="I40" s="12"/>
      <c r="J40" s="12"/>
      <c r="K40" s="12"/>
      <c r="L40" s="12"/>
      <c r="M40" s="12"/>
      <c r="N40" s="12"/>
      <c r="O40" s="12" t="s">
        <v>491</v>
      </c>
      <c r="P40" s="12"/>
      <c r="Q40" s="12"/>
      <c r="R40" s="12"/>
      <c r="S40" s="12"/>
      <c r="T40" s="12"/>
      <c r="U40" s="12"/>
      <c r="V40" s="12"/>
      <c r="W40" s="12"/>
      <c r="X40" s="12"/>
      <c r="Y40" s="12"/>
      <c r="Z40" s="12"/>
      <c r="AA40" s="12"/>
      <c r="AB40" s="12"/>
      <c r="AC40" s="12"/>
      <c r="AD40" s="12"/>
      <c r="AE40" s="12"/>
      <c r="AF40" s="23"/>
      <c r="AG40" s="52"/>
      <c r="AH40" s="52"/>
      <c r="AI40" s="23"/>
      <c r="AJ40" s="23"/>
      <c r="AK40" s="23"/>
      <c r="AL40" s="43"/>
      <c r="AM40" s="43"/>
      <c r="AN40" s="43"/>
      <c r="AO40" s="55"/>
      <c r="AP40" s="55"/>
      <c r="AQ40" s="55"/>
      <c r="AR40" s="55"/>
      <c r="AS40" s="55"/>
      <c r="AT40" s="44"/>
    </row>
    <row r="41" spans="1:46" ht="18.75" customHeight="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23"/>
      <c r="AG41" s="52"/>
      <c r="AH41" s="52"/>
      <c r="AI41" s="23"/>
      <c r="AJ41" s="23"/>
      <c r="AK41" s="23"/>
      <c r="AL41" s="43"/>
      <c r="AM41" s="43"/>
      <c r="AN41" s="43"/>
      <c r="AO41" s="55"/>
      <c r="AP41" s="55"/>
      <c r="AQ41" s="55"/>
      <c r="AR41" s="55"/>
      <c r="AS41" s="55"/>
      <c r="AT41" s="44"/>
    </row>
    <row r="42" spans="1:46" ht="18.75" customHeight="1">
      <c r="A42" s="12"/>
      <c r="B42" s="12"/>
      <c r="C42" s="12"/>
      <c r="D42" s="12"/>
      <c r="E42" s="1869" t="str">
        <f>"Avwg "&amp;'Data Input'!D12&amp;", wcZv/¯^vgxi bvgt "&amp;'Data Input'!D13&amp;", gvZvi bvgt "&amp;'Data Input'!D14&amp;", wVKvbvt "&amp;+'Data Input'!D17&amp;", Dc‡Rjvt "&amp;'Data Input'!D22&amp;", ‡Rjvt "&amp;'Data Input'!D23&amp;"| GB g‡g© †Nvlbv KiwQ †h, Avgvi/Avgv‡`i e¨emv cÖwZôvb  "&amp;'Data Input'!D8&amp;" G wewb‡qvMK…Z A‡_©i Drm n‡”Q "&amp;'Data Input'!D10&amp;" ‡_‡K Avq|"</f>
        <v>Avwg ‡gvt Rwb, wcZv/¯^vgxi bvgt g„Z †gvt Bw`ªm Avjx, gvZvi bvgt gvmvt Avgexqv LvZzb, wVKvbvt `vcv B`ªvKcyi, dZzjøv, bvivqYMÄ, Dc‡Rjvt bvivqYMÄ m`i, ‡Rjvt bvivqYMÄ| GB g‡g© †Nvlbv KiwQ †h, Avgvi/Avgv‡`i e¨emv cÖwZôvb  ‡gmvm© mvbd¬vIqvi †UBjvm© GÛ †dweªK&amp;ª G wewb‡qvMK…Z A‡_©i Drm n‡”Q gyw` cY¨ e¨emv ‡_‡K Avq|</v>
      </c>
      <c r="F42" s="1869"/>
      <c r="G42" s="1869"/>
      <c r="H42" s="1869"/>
      <c r="I42" s="1869"/>
      <c r="J42" s="1869"/>
      <c r="K42" s="1869"/>
      <c r="L42" s="1869"/>
      <c r="M42" s="1869"/>
      <c r="N42" s="1869"/>
      <c r="O42" s="1869"/>
      <c r="P42" s="1869"/>
      <c r="Q42" s="1869"/>
      <c r="R42" s="1869"/>
      <c r="S42" s="1869"/>
      <c r="T42" s="1869"/>
      <c r="U42" s="1869"/>
      <c r="V42" s="1869"/>
      <c r="W42" s="1869"/>
      <c r="X42" s="1869"/>
      <c r="Y42" s="1869"/>
      <c r="Z42" s="1869"/>
      <c r="AA42" s="1869"/>
      <c r="AB42" s="1869"/>
      <c r="AC42" s="1869"/>
      <c r="AD42" s="1869"/>
      <c r="AE42" s="1869"/>
      <c r="AF42" s="1869"/>
      <c r="AG42" s="1869"/>
      <c r="AH42" s="1869"/>
      <c r="AI42" s="1869"/>
      <c r="AJ42" s="1869"/>
      <c r="AK42" s="1869"/>
      <c r="AL42" s="1869"/>
      <c r="AM42" s="1869"/>
      <c r="AN42" s="1869"/>
      <c r="AO42" s="55"/>
      <c r="AP42" s="55"/>
      <c r="AQ42" s="55"/>
      <c r="AR42" s="55"/>
      <c r="AS42" s="55"/>
      <c r="AT42" s="44"/>
    </row>
    <row r="43" spans="1:46" ht="18.75" customHeight="1">
      <c r="A43" s="93"/>
      <c r="B43" s="93"/>
      <c r="C43" s="93"/>
      <c r="D43" s="93"/>
      <c r="E43" s="1869"/>
      <c r="F43" s="1869"/>
      <c r="G43" s="1869"/>
      <c r="H43" s="1869"/>
      <c r="I43" s="1869"/>
      <c r="J43" s="1869"/>
      <c r="K43" s="1869"/>
      <c r="L43" s="1869"/>
      <c r="M43" s="1869"/>
      <c r="N43" s="1869"/>
      <c r="O43" s="1869"/>
      <c r="P43" s="1869"/>
      <c r="Q43" s="1869"/>
      <c r="R43" s="1869"/>
      <c r="S43" s="1869"/>
      <c r="T43" s="1869"/>
      <c r="U43" s="1869"/>
      <c r="V43" s="1869"/>
      <c r="W43" s="1869"/>
      <c r="X43" s="1869"/>
      <c r="Y43" s="1869"/>
      <c r="Z43" s="1869"/>
      <c r="AA43" s="1869"/>
      <c r="AB43" s="1869"/>
      <c r="AC43" s="1869"/>
      <c r="AD43" s="1869"/>
      <c r="AE43" s="1869"/>
      <c r="AF43" s="1869"/>
      <c r="AG43" s="1869"/>
      <c r="AH43" s="1869"/>
      <c r="AI43" s="1869"/>
      <c r="AJ43" s="1869"/>
      <c r="AK43" s="1869"/>
      <c r="AL43" s="1869"/>
      <c r="AM43" s="1869"/>
      <c r="AN43" s="1869"/>
      <c r="AO43" s="143"/>
      <c r="AP43" s="143"/>
      <c r="AQ43" s="143"/>
      <c r="AR43" s="143"/>
      <c r="AS43" s="143"/>
      <c r="AT43" s="144"/>
    </row>
    <row r="44" spans="1:46" ht="18.75" customHeight="1">
      <c r="A44" s="145"/>
      <c r="B44" s="146"/>
      <c r="C44" s="146"/>
      <c r="D44" s="146"/>
      <c r="E44" s="1869"/>
      <c r="F44" s="1869"/>
      <c r="G44" s="1869"/>
      <c r="H44" s="1869"/>
      <c r="I44" s="1869"/>
      <c r="J44" s="1869"/>
      <c r="K44" s="1869"/>
      <c r="L44" s="1869"/>
      <c r="M44" s="1869"/>
      <c r="N44" s="1869"/>
      <c r="O44" s="1869"/>
      <c r="P44" s="1869"/>
      <c r="Q44" s="1869"/>
      <c r="R44" s="1869"/>
      <c r="S44" s="1869"/>
      <c r="T44" s="1869"/>
      <c r="U44" s="1869"/>
      <c r="V44" s="1869"/>
      <c r="W44" s="1869"/>
      <c r="X44" s="1869"/>
      <c r="Y44" s="1869"/>
      <c r="Z44" s="1869"/>
      <c r="AA44" s="1869"/>
      <c r="AB44" s="1869"/>
      <c r="AC44" s="1869"/>
      <c r="AD44" s="1869"/>
      <c r="AE44" s="1869"/>
      <c r="AF44" s="1869"/>
      <c r="AG44" s="1869"/>
      <c r="AH44" s="1869"/>
      <c r="AI44" s="1869"/>
      <c r="AJ44" s="1869"/>
      <c r="AK44" s="1869"/>
      <c r="AL44" s="1869"/>
      <c r="AM44" s="1869"/>
      <c r="AN44" s="1869"/>
      <c r="AO44" s="146"/>
      <c r="AP44" s="146"/>
      <c r="AQ44" s="146"/>
      <c r="AR44" s="146"/>
      <c r="AS44" s="146"/>
      <c r="AT44" s="146"/>
    </row>
    <row r="45" spans="1:46" ht="18.75" customHeight="1">
      <c r="A45" s="146"/>
      <c r="B45" s="146"/>
      <c r="C45" s="146"/>
      <c r="D45" s="146"/>
      <c r="E45" s="1869"/>
      <c r="F45" s="1869"/>
      <c r="G45" s="1869"/>
      <c r="H45" s="1869"/>
      <c r="I45" s="1869"/>
      <c r="J45" s="1869"/>
      <c r="K45" s="1869"/>
      <c r="L45" s="1869"/>
      <c r="M45" s="1869"/>
      <c r="N45" s="1869"/>
      <c r="O45" s="1869"/>
      <c r="P45" s="1869"/>
      <c r="Q45" s="1869"/>
      <c r="R45" s="1869"/>
      <c r="S45" s="1869"/>
      <c r="T45" s="1869"/>
      <c r="U45" s="1869"/>
      <c r="V45" s="1869"/>
      <c r="W45" s="1869"/>
      <c r="X45" s="1869"/>
      <c r="Y45" s="1869"/>
      <c r="Z45" s="1869"/>
      <c r="AA45" s="1869"/>
      <c r="AB45" s="1869"/>
      <c r="AC45" s="1869"/>
      <c r="AD45" s="1869"/>
      <c r="AE45" s="1869"/>
      <c r="AF45" s="1869"/>
      <c r="AG45" s="1869"/>
      <c r="AH45" s="1869"/>
      <c r="AI45" s="1869"/>
      <c r="AJ45" s="1869"/>
      <c r="AK45" s="1869"/>
      <c r="AL45" s="1869"/>
      <c r="AM45" s="1869"/>
      <c r="AN45" s="1869"/>
      <c r="AO45" s="146"/>
      <c r="AP45" s="146"/>
      <c r="AQ45" s="146"/>
      <c r="AR45" s="146"/>
      <c r="AS45" s="146"/>
      <c r="AT45" s="146"/>
    </row>
    <row r="46" spans="1:46" ht="18.75" customHeight="1">
      <c r="A46" s="24"/>
      <c r="B46" s="24"/>
      <c r="C46" s="24"/>
      <c r="D46" s="24"/>
      <c r="E46" s="1869"/>
      <c r="F46" s="1869"/>
      <c r="G46" s="1869"/>
      <c r="H46" s="1869"/>
      <c r="I46" s="1869"/>
      <c r="J46" s="1869"/>
      <c r="K46" s="1869"/>
      <c r="L46" s="1869"/>
      <c r="M46" s="1869"/>
      <c r="N46" s="1869"/>
      <c r="O46" s="1869"/>
      <c r="P46" s="1869"/>
      <c r="Q46" s="1869"/>
      <c r="R46" s="1869"/>
      <c r="S46" s="1869"/>
      <c r="T46" s="1869"/>
      <c r="U46" s="1869"/>
      <c r="V46" s="1869"/>
      <c r="W46" s="1869"/>
      <c r="X46" s="1869"/>
      <c r="Y46" s="1869"/>
      <c r="Z46" s="1869"/>
      <c r="AA46" s="1869"/>
      <c r="AB46" s="1869"/>
      <c r="AC46" s="1869"/>
      <c r="AD46" s="1869"/>
      <c r="AE46" s="1869"/>
      <c r="AF46" s="1869"/>
      <c r="AG46" s="1869"/>
      <c r="AH46" s="1869"/>
      <c r="AI46" s="1869"/>
      <c r="AJ46" s="1869"/>
      <c r="AK46" s="1869"/>
      <c r="AL46" s="1869"/>
      <c r="AM46" s="1869"/>
      <c r="AN46" s="1869"/>
      <c r="AO46" s="24"/>
      <c r="AP46" s="24"/>
      <c r="AQ46" s="24"/>
      <c r="AR46" s="24"/>
      <c r="AS46" s="24"/>
      <c r="AT46" s="24"/>
    </row>
    <row r="47" spans="1:46" ht="18.75" customHeight="1">
      <c r="A47" s="12"/>
      <c r="B47" s="12"/>
      <c r="C47" s="12"/>
      <c r="D47" s="12"/>
      <c r="E47" s="1869"/>
      <c r="F47" s="1869"/>
      <c r="G47" s="1869"/>
      <c r="H47" s="1869"/>
      <c r="I47" s="1869"/>
      <c r="J47" s="1869"/>
      <c r="K47" s="1869"/>
      <c r="L47" s="1869"/>
      <c r="M47" s="1869"/>
      <c r="N47" s="1869"/>
      <c r="O47" s="1869"/>
      <c r="P47" s="1869"/>
      <c r="Q47" s="1869"/>
      <c r="R47" s="1869"/>
      <c r="S47" s="1869"/>
      <c r="T47" s="1869"/>
      <c r="U47" s="1869"/>
      <c r="V47" s="1869"/>
      <c r="W47" s="1869"/>
      <c r="X47" s="1869"/>
      <c r="Y47" s="1869"/>
      <c r="Z47" s="1869"/>
      <c r="AA47" s="1869"/>
      <c r="AB47" s="1869"/>
      <c r="AC47" s="1869"/>
      <c r="AD47" s="1869"/>
      <c r="AE47" s="1869"/>
      <c r="AF47" s="1869"/>
      <c r="AG47" s="1869"/>
      <c r="AH47" s="1869"/>
      <c r="AI47" s="1869"/>
      <c r="AJ47" s="1869"/>
      <c r="AK47" s="1869"/>
      <c r="AL47" s="1869"/>
      <c r="AM47" s="1869"/>
      <c r="AN47" s="1869"/>
      <c r="AO47" s="55"/>
      <c r="AP47" s="55"/>
      <c r="AQ47" s="55"/>
      <c r="AR47" s="55"/>
      <c r="AS47" s="55"/>
      <c r="AT47" s="44"/>
    </row>
    <row r="48" spans="1:46" ht="18.75" customHeight="1">
      <c r="A48" s="12"/>
      <c r="B48" s="12"/>
      <c r="C48" s="12"/>
      <c r="D48" s="12"/>
      <c r="E48" s="1869"/>
      <c r="F48" s="1869"/>
      <c r="G48" s="1869"/>
      <c r="H48" s="1869"/>
      <c r="I48" s="1869"/>
      <c r="J48" s="1869"/>
      <c r="K48" s="1869"/>
      <c r="L48" s="1869"/>
      <c r="M48" s="1869"/>
      <c r="N48" s="1869"/>
      <c r="O48" s="1869"/>
      <c r="P48" s="1869"/>
      <c r="Q48" s="1869"/>
      <c r="R48" s="1869"/>
      <c r="S48" s="1869"/>
      <c r="T48" s="1869"/>
      <c r="U48" s="1869"/>
      <c r="V48" s="1869"/>
      <c r="W48" s="1869"/>
      <c r="X48" s="1869"/>
      <c r="Y48" s="1869"/>
      <c r="Z48" s="1869"/>
      <c r="AA48" s="1869"/>
      <c r="AB48" s="1869"/>
      <c r="AC48" s="1869"/>
      <c r="AD48" s="1869"/>
      <c r="AE48" s="1869"/>
      <c r="AF48" s="1869"/>
      <c r="AG48" s="1869"/>
      <c r="AH48" s="1869"/>
      <c r="AI48" s="1869"/>
      <c r="AJ48" s="1869"/>
      <c r="AK48" s="1869"/>
      <c r="AL48" s="1869"/>
      <c r="AM48" s="1869"/>
      <c r="AN48" s="1869"/>
      <c r="AO48" s="55"/>
      <c r="AP48" s="55"/>
      <c r="AQ48" s="55"/>
      <c r="AR48" s="55"/>
      <c r="AS48" s="55"/>
      <c r="AT48" s="44"/>
    </row>
    <row r="49" spans="1:46" ht="18.75" customHeight="1">
      <c r="A49" s="12"/>
      <c r="B49" s="12"/>
      <c r="C49" s="12"/>
      <c r="D49" s="12"/>
      <c r="E49" s="1869"/>
      <c r="F49" s="1869"/>
      <c r="G49" s="1869"/>
      <c r="H49" s="1869"/>
      <c r="I49" s="1869"/>
      <c r="J49" s="1869"/>
      <c r="K49" s="1869"/>
      <c r="L49" s="1869"/>
      <c r="M49" s="1869"/>
      <c r="N49" s="1869"/>
      <c r="O49" s="1869"/>
      <c r="P49" s="1869"/>
      <c r="Q49" s="1869"/>
      <c r="R49" s="1869"/>
      <c r="S49" s="1869"/>
      <c r="T49" s="1869"/>
      <c r="U49" s="1869"/>
      <c r="V49" s="1869"/>
      <c r="W49" s="1869"/>
      <c r="X49" s="1869"/>
      <c r="Y49" s="1869"/>
      <c r="Z49" s="1869"/>
      <c r="AA49" s="1869"/>
      <c r="AB49" s="1869"/>
      <c r="AC49" s="1869"/>
      <c r="AD49" s="1869"/>
      <c r="AE49" s="1869"/>
      <c r="AF49" s="1869"/>
      <c r="AG49" s="1869"/>
      <c r="AH49" s="1869"/>
      <c r="AI49" s="1869"/>
      <c r="AJ49" s="1869"/>
      <c r="AK49" s="1869"/>
      <c r="AL49" s="1869"/>
      <c r="AM49" s="1869"/>
      <c r="AN49" s="1869"/>
      <c r="AO49" s="55"/>
      <c r="AP49" s="55"/>
      <c r="AQ49" s="55"/>
      <c r="AR49" s="55"/>
      <c r="AS49" s="55"/>
      <c r="AT49" s="44"/>
    </row>
    <row r="50" spans="1:46" ht="18.75" customHeight="1">
      <c r="A50" s="12"/>
      <c r="B50" s="12"/>
      <c r="C50" s="12"/>
      <c r="D50" s="12"/>
      <c r="E50" s="1869"/>
      <c r="F50" s="1869"/>
      <c r="G50" s="1869"/>
      <c r="H50" s="1869"/>
      <c r="I50" s="1869"/>
      <c r="J50" s="1869"/>
      <c r="K50" s="1869"/>
      <c r="L50" s="1869"/>
      <c r="M50" s="1869"/>
      <c r="N50" s="1869"/>
      <c r="O50" s="1869"/>
      <c r="P50" s="1869"/>
      <c r="Q50" s="1869"/>
      <c r="R50" s="1869"/>
      <c r="S50" s="1869"/>
      <c r="T50" s="1869"/>
      <c r="U50" s="1869"/>
      <c r="V50" s="1869"/>
      <c r="W50" s="1869"/>
      <c r="X50" s="1869"/>
      <c r="Y50" s="1869"/>
      <c r="Z50" s="1869"/>
      <c r="AA50" s="1869"/>
      <c r="AB50" s="1869"/>
      <c r="AC50" s="1869"/>
      <c r="AD50" s="1869"/>
      <c r="AE50" s="1869"/>
      <c r="AF50" s="1869"/>
      <c r="AG50" s="1869"/>
      <c r="AH50" s="1869"/>
      <c r="AI50" s="1869"/>
      <c r="AJ50" s="1869"/>
      <c r="AK50" s="1869"/>
      <c r="AL50" s="1869"/>
      <c r="AM50" s="1869"/>
      <c r="AN50" s="1869"/>
      <c r="AO50" s="55"/>
      <c r="AP50" s="55"/>
      <c r="AQ50" s="55"/>
      <c r="AR50" s="55"/>
      <c r="AS50" s="55"/>
      <c r="AT50" s="44"/>
    </row>
    <row r="51" spans="1:46" ht="18.75" customHeight="1">
      <c r="A51" s="66"/>
      <c r="B51" s="66"/>
      <c r="C51" s="66"/>
      <c r="D51" s="66"/>
      <c r="E51" s="66"/>
      <c r="F51" s="66"/>
      <c r="G51" s="66"/>
      <c r="H51" s="66"/>
      <c r="I51" s="66"/>
      <c r="J51" s="66"/>
      <c r="K51" s="66"/>
      <c r="L51" s="66"/>
      <c r="M51" s="66"/>
      <c r="N51" s="66"/>
      <c r="O51" s="66"/>
      <c r="P51" s="66"/>
      <c r="Q51" s="66"/>
      <c r="R51" s="66"/>
      <c r="S51" s="66"/>
      <c r="T51" s="66"/>
      <c r="U51" s="66"/>
      <c r="V51" s="66"/>
      <c r="W51" s="66"/>
      <c r="X51" s="66"/>
      <c r="Y51" s="66"/>
      <c r="Z51" s="66"/>
      <c r="AA51" s="66"/>
      <c r="AB51" s="66"/>
      <c r="AC51" s="66"/>
      <c r="AD51" s="66"/>
      <c r="AE51" s="66"/>
      <c r="AF51" s="68"/>
      <c r="AG51" s="24"/>
      <c r="AH51" s="24"/>
      <c r="AI51" s="68"/>
      <c r="AJ51" s="68"/>
      <c r="AK51" s="68"/>
      <c r="AL51" s="2"/>
      <c r="AM51" s="2"/>
      <c r="AN51" s="2"/>
      <c r="AO51" s="138"/>
      <c r="AP51" s="138"/>
      <c r="AQ51" s="138"/>
      <c r="AR51" s="138"/>
      <c r="AS51" s="138"/>
      <c r="AT51" s="139"/>
    </row>
    <row r="52" spans="1:46" ht="18.75" customHeight="1">
      <c r="A52" s="1870"/>
      <c r="B52" s="1870"/>
      <c r="C52" s="1870"/>
      <c r="D52" s="1870"/>
      <c r="E52" s="1870"/>
      <c r="F52" s="1870"/>
      <c r="G52" s="1870"/>
      <c r="H52" s="1870"/>
      <c r="I52" s="1870"/>
      <c r="J52" s="1870"/>
      <c r="K52" s="1870"/>
      <c r="L52" s="1870"/>
      <c r="M52" s="1870"/>
      <c r="N52" s="1870"/>
      <c r="O52" s="1870"/>
      <c r="P52" s="1870"/>
      <c r="Q52" s="1870"/>
      <c r="R52" s="1870"/>
      <c r="S52" s="1870"/>
      <c r="T52" s="1870"/>
      <c r="U52" s="1870"/>
      <c r="V52" s="1870"/>
      <c r="W52" s="1870"/>
      <c r="X52" s="1870"/>
      <c r="Y52" s="1870"/>
      <c r="Z52" s="1870"/>
      <c r="AA52" s="1870"/>
      <c r="AB52" s="1870"/>
      <c r="AC52" s="1870"/>
      <c r="AD52" s="1870"/>
      <c r="AE52" s="1870"/>
      <c r="AF52" s="1870"/>
      <c r="AG52" s="1870"/>
      <c r="AH52" s="1870"/>
      <c r="AI52" s="1870"/>
      <c r="AJ52" s="1870"/>
      <c r="AK52" s="1870"/>
      <c r="AL52" s="1870"/>
      <c r="AM52" s="1870"/>
      <c r="AN52" s="1870"/>
      <c r="AO52" s="1870"/>
      <c r="AP52" s="1870"/>
      <c r="AQ52" s="1870"/>
      <c r="AR52" s="1870"/>
      <c r="AS52" s="1870"/>
      <c r="AT52" s="1870"/>
    </row>
    <row r="53" spans="1:46" ht="18.75" customHeight="1">
      <c r="A53" s="66"/>
      <c r="B53" s="66"/>
      <c r="C53" s="66"/>
      <c r="D53" s="66"/>
      <c r="E53" s="66"/>
      <c r="F53" s="66"/>
      <c r="G53" s="66"/>
      <c r="H53" s="66"/>
      <c r="I53" s="66"/>
      <c r="J53" s="66"/>
      <c r="K53" s="66"/>
      <c r="L53" s="66"/>
      <c r="M53" s="66"/>
      <c r="N53" s="66"/>
      <c r="O53" s="66"/>
      <c r="P53" s="66"/>
      <c r="Q53" s="66"/>
      <c r="R53" s="66"/>
      <c r="S53" s="66"/>
      <c r="T53" s="66"/>
      <c r="U53" s="66"/>
      <c r="V53" s="66"/>
      <c r="W53" s="66"/>
      <c r="X53" s="66"/>
      <c r="Y53" s="66"/>
      <c r="Z53" s="66"/>
      <c r="AA53" s="66"/>
      <c r="AB53" s="66"/>
      <c r="AC53" s="66"/>
      <c r="AD53" s="66"/>
      <c r="AE53" s="1870"/>
      <c r="AF53" s="1870"/>
      <c r="AG53" s="1870"/>
      <c r="AH53" s="1870"/>
      <c r="AI53" s="1870"/>
      <c r="AJ53" s="1870"/>
      <c r="AK53" s="1870"/>
      <c r="AL53" s="1870"/>
      <c r="AM53" s="1870"/>
      <c r="AN53" s="1870"/>
      <c r="AO53" s="1870"/>
      <c r="AP53" s="138"/>
      <c r="AQ53" s="138"/>
      <c r="AR53" s="138"/>
      <c r="AS53" s="138"/>
      <c r="AT53" s="139"/>
    </row>
    <row r="54" spans="1:46" ht="18.75" customHeight="1">
      <c r="A54" s="1867"/>
      <c r="B54" s="1867"/>
      <c r="C54" s="1867"/>
      <c r="D54" s="1867"/>
      <c r="E54" s="1867"/>
      <c r="F54" s="1867"/>
      <c r="G54" s="1867"/>
      <c r="H54" s="1867"/>
      <c r="I54" s="1867"/>
      <c r="J54" s="1867"/>
      <c r="K54" s="1867"/>
      <c r="L54" s="71"/>
      <c r="M54" s="71"/>
      <c r="N54" s="71"/>
      <c r="O54" s="71"/>
      <c r="P54" s="71"/>
      <c r="Q54" s="273"/>
      <c r="R54" s="273"/>
      <c r="S54" s="1867"/>
      <c r="T54" s="1867"/>
      <c r="U54" s="1867"/>
      <c r="V54" s="1867"/>
      <c r="W54" s="1867"/>
      <c r="X54" s="1867"/>
      <c r="Y54" s="1867"/>
      <c r="Z54" s="1867"/>
      <c r="AA54" s="1867"/>
      <c r="AB54" s="1867"/>
      <c r="AC54" s="1867"/>
      <c r="AD54" s="273"/>
      <c r="AE54" s="273"/>
      <c r="AF54" s="273"/>
      <c r="AG54" s="273"/>
      <c r="AH54" s="273"/>
      <c r="AI54" s="71"/>
      <c r="AJ54" s="1867"/>
      <c r="AK54" s="1867"/>
      <c r="AL54" s="1867"/>
      <c r="AM54" s="1867"/>
      <c r="AN54" s="1867"/>
      <c r="AO54" s="1867"/>
      <c r="AP54" s="1867"/>
      <c r="AQ54" s="1867"/>
      <c r="AR54" s="1867"/>
      <c r="AS54" s="1867"/>
      <c r="AT54" s="1867"/>
    </row>
    <row r="55" spans="1:46" ht="18.75" customHeight="1">
      <c r="A55" s="1867"/>
      <c r="B55" s="1867"/>
      <c r="C55" s="1867"/>
      <c r="D55" s="1867"/>
      <c r="E55" s="1867"/>
      <c r="F55" s="1867"/>
      <c r="G55" s="1867"/>
      <c r="H55" s="1867"/>
      <c r="I55" s="1867"/>
      <c r="J55" s="1867"/>
      <c r="K55" s="1867"/>
      <c r="L55" s="141"/>
      <c r="M55" s="141"/>
      <c r="N55" s="71"/>
      <c r="O55" s="71"/>
      <c r="P55" s="1867"/>
      <c r="Q55" s="1867"/>
      <c r="R55" s="1867"/>
      <c r="S55" s="1867"/>
      <c r="T55" s="1867"/>
      <c r="U55" s="1867"/>
      <c r="V55" s="1867"/>
      <c r="W55" s="1867"/>
      <c r="X55" s="1867"/>
      <c r="Y55" s="1867"/>
      <c r="Z55" s="1867"/>
      <c r="AA55" s="1867"/>
      <c r="AB55" s="1867"/>
      <c r="AC55" s="1867"/>
      <c r="AD55" s="1867"/>
      <c r="AE55" s="1867"/>
      <c r="AF55" s="1867"/>
      <c r="AG55" s="273"/>
      <c r="AH55" s="273"/>
      <c r="AI55" s="71"/>
      <c r="AJ55" s="1867"/>
      <c r="AK55" s="1867"/>
      <c r="AL55" s="1867"/>
      <c r="AM55" s="1867"/>
      <c r="AN55" s="1867"/>
      <c r="AO55" s="1867"/>
      <c r="AP55" s="1867"/>
      <c r="AQ55" s="1867"/>
      <c r="AR55" s="1867"/>
      <c r="AS55" s="1867"/>
      <c r="AT55" s="1867"/>
    </row>
    <row r="56" spans="1:46" ht="18.75" customHeight="1">
      <c r="A56" s="1867"/>
      <c r="B56" s="1867"/>
      <c r="C56" s="1867"/>
      <c r="D56" s="1867"/>
      <c r="E56" s="1867"/>
      <c r="F56" s="1867"/>
      <c r="G56" s="1867"/>
      <c r="H56" s="1867"/>
      <c r="I56" s="1867"/>
      <c r="J56" s="1867"/>
      <c r="K56" s="1867"/>
      <c r="L56" s="141"/>
      <c r="M56" s="141"/>
      <c r="N56" s="71"/>
      <c r="O56" s="71"/>
      <c r="P56" s="1867"/>
      <c r="Q56" s="1867"/>
      <c r="R56" s="1867"/>
      <c r="S56" s="1867"/>
      <c r="T56" s="1867"/>
      <c r="U56" s="1867"/>
      <c r="V56" s="1867"/>
      <c r="W56" s="1867"/>
      <c r="X56" s="1867"/>
      <c r="Y56" s="1867"/>
      <c r="Z56" s="1867"/>
      <c r="AA56" s="1867"/>
      <c r="AB56" s="1867"/>
      <c r="AC56" s="1867"/>
      <c r="AD56" s="1867"/>
      <c r="AE56" s="1867"/>
      <c r="AF56" s="1867"/>
      <c r="AG56" s="273"/>
      <c r="AH56" s="273"/>
      <c r="AI56" s="71"/>
      <c r="AJ56" s="1867"/>
      <c r="AK56" s="1867"/>
      <c r="AL56" s="1867"/>
      <c r="AM56" s="1867"/>
      <c r="AN56" s="1867"/>
      <c r="AO56" s="1867"/>
      <c r="AP56" s="1867"/>
      <c r="AQ56" s="1867"/>
      <c r="AR56" s="1867"/>
      <c r="AS56" s="1867"/>
      <c r="AT56" s="1867"/>
    </row>
    <row r="57" spans="1:46" ht="18.75" customHeight="1">
      <c r="A57" s="1865"/>
      <c r="B57" s="1865"/>
      <c r="C57" s="1865"/>
      <c r="D57" s="1865"/>
      <c r="E57" s="1865"/>
      <c r="F57" s="1865"/>
      <c r="G57" s="1865"/>
      <c r="H57" s="1865"/>
      <c r="I57" s="1865"/>
      <c r="J57" s="1865"/>
      <c r="K57" s="1865"/>
      <c r="L57" s="51"/>
      <c r="M57" s="51"/>
      <c r="N57" s="1"/>
      <c r="O57" s="1"/>
      <c r="P57" s="1865"/>
      <c r="Q57" s="1865"/>
      <c r="R57" s="1865"/>
      <c r="S57" s="1865"/>
      <c r="T57" s="1865"/>
      <c r="U57" s="1865"/>
      <c r="V57" s="1865"/>
      <c r="W57" s="1865"/>
      <c r="X57" s="1865"/>
      <c r="Y57" s="1865"/>
      <c r="Z57" s="1865"/>
      <c r="AA57" s="1865"/>
      <c r="AB57" s="1865"/>
      <c r="AC57" s="1865"/>
      <c r="AD57" s="1865"/>
      <c r="AE57" s="1865"/>
      <c r="AF57" s="1865"/>
      <c r="AG57" s="274"/>
      <c r="AH57" s="274"/>
      <c r="AI57" s="1"/>
      <c r="AJ57" s="1865"/>
      <c r="AK57" s="1865"/>
      <c r="AL57" s="1865"/>
      <c r="AM57" s="1865"/>
      <c r="AN57" s="1865"/>
      <c r="AO57" s="1865"/>
      <c r="AP57" s="1865"/>
      <c r="AQ57" s="1865"/>
      <c r="AR57" s="1865"/>
      <c r="AS57" s="1865"/>
      <c r="AT57" s="1865"/>
    </row>
    <row r="58" spans="1:46" ht="18.75" customHeight="1">
      <c r="A58" s="1"/>
      <c r="B58" s="54"/>
      <c r="C58" s="39"/>
      <c r="D58" s="39"/>
      <c r="E58" s="39"/>
      <c r="F58" s="51"/>
      <c r="G58" s="51"/>
      <c r="H58" s="51"/>
      <c r="I58" s="51"/>
      <c r="J58" s="51"/>
      <c r="K58" s="51"/>
      <c r="L58" s="51"/>
      <c r="M58" s="5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ht="18.75" customHeight="1">
      <c r="A59" s="1"/>
      <c r="B59" s="54"/>
      <c r="C59" s="1866"/>
      <c r="D59" s="1866"/>
      <c r="E59" s="1866"/>
      <c r="F59" s="51"/>
      <c r="G59" s="51"/>
      <c r="H59" s="51"/>
      <c r="I59" s="51"/>
      <c r="J59" s="51"/>
      <c r="K59" s="51"/>
      <c r="L59" s="51"/>
      <c r="M59" s="5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ht="18.75" customHeight="1">
      <c r="A60" s="1"/>
      <c r="B60" s="54"/>
      <c r="C60" s="1866"/>
      <c r="D60" s="1866"/>
      <c r="E60" s="1866"/>
      <c r="F60" s="51"/>
      <c r="G60" s="51"/>
      <c r="H60" s="51"/>
      <c r="I60" s="51"/>
      <c r="J60" s="51"/>
      <c r="K60" s="51"/>
      <c r="L60" s="51"/>
      <c r="M60" s="5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sheetData>
  <mergeCells count="50">
    <mergeCell ref="A27:K27"/>
    <mergeCell ref="P27:AF27"/>
    <mergeCell ref="AJ27:AT27"/>
    <mergeCell ref="C29:E29"/>
    <mergeCell ref="C30:E30"/>
    <mergeCell ref="A25:K25"/>
    <mergeCell ref="P25:AF25"/>
    <mergeCell ref="AJ25:AT25"/>
    <mergeCell ref="A26:K26"/>
    <mergeCell ref="P26:AF26"/>
    <mergeCell ref="AJ26:AT26"/>
    <mergeCell ref="A9:AT9"/>
    <mergeCell ref="E12:AN20"/>
    <mergeCell ref="A22:AT22"/>
    <mergeCell ref="AE23:AO23"/>
    <mergeCell ref="A24:K24"/>
    <mergeCell ref="S24:AC24"/>
    <mergeCell ref="AJ24:AT24"/>
    <mergeCell ref="A1:AT1"/>
    <mergeCell ref="A2:AT2"/>
    <mergeCell ref="A3:AT3"/>
    <mergeCell ref="A4:AT4"/>
    <mergeCell ref="A5:AE5"/>
    <mergeCell ref="AL5:AN5"/>
    <mergeCell ref="AO5:AS5"/>
    <mergeCell ref="A31:AT31"/>
    <mergeCell ref="A32:AT32"/>
    <mergeCell ref="A33:AT33"/>
    <mergeCell ref="A34:AT34"/>
    <mergeCell ref="A35:AE35"/>
    <mergeCell ref="AL35:AN35"/>
    <mergeCell ref="AO35:AS35"/>
    <mergeCell ref="A39:AT39"/>
    <mergeCell ref="E42:AN50"/>
    <mergeCell ref="A52:AT52"/>
    <mergeCell ref="AE53:AO53"/>
    <mergeCell ref="A54:K54"/>
    <mergeCell ref="S54:AC54"/>
    <mergeCell ref="AJ54:AT54"/>
    <mergeCell ref="A55:K55"/>
    <mergeCell ref="P55:AF55"/>
    <mergeCell ref="AJ55:AT55"/>
    <mergeCell ref="A56:K56"/>
    <mergeCell ref="P56:AF56"/>
    <mergeCell ref="AJ56:AT56"/>
    <mergeCell ref="A57:K57"/>
    <mergeCell ref="P57:AF57"/>
    <mergeCell ref="AJ57:AT57"/>
    <mergeCell ref="C59:E59"/>
    <mergeCell ref="C60:E60"/>
  </mergeCells>
  <pageMargins left="0.43307086614173229" right="0.43307086614173229" top="0.94488188976377963" bottom="0.94488188976377963" header="0.31496062992125984" footer="0.31496062992125984"/>
  <pageSetup paperSize="9" scale="91" fitToHeight="0" orientation="portrait" r:id="rId1"/>
  <headerFooter>
    <oddFooter>&amp;LPrepared By Tariqul Islam; &amp;Z&amp;F&amp;R&amp;"SutonnyMJ,Regular"evsjv‡`k K…wl e¨vsK, c„ôv &amp;P &amp;"-,Regular"of&amp;"SutonnyMJ,Regular" &amp;N</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tabColor rgb="FF92D050"/>
  </sheetPr>
  <dimension ref="A1:L142"/>
  <sheetViews>
    <sheetView view="pageBreakPreview" topLeftCell="A9" zoomScale="60" zoomScalePageLayoutView="90" workbookViewId="0">
      <selection activeCell="B18" sqref="B18:K20"/>
    </sheetView>
  </sheetViews>
  <sheetFormatPr defaultRowHeight="15"/>
  <cols>
    <col min="1" max="1" width="6.7109375" style="1" customWidth="1"/>
    <col min="2" max="2" width="14" style="1" customWidth="1"/>
    <col min="3" max="3" width="11.5703125" style="1" customWidth="1"/>
    <col min="4" max="4" width="14" style="1" customWidth="1"/>
    <col min="5" max="5" width="12.85546875" style="1" customWidth="1"/>
    <col min="6" max="6" width="11.42578125" style="1" customWidth="1"/>
    <col min="7" max="7" width="5.5703125" style="1" customWidth="1"/>
    <col min="8" max="8" width="12" style="1" customWidth="1"/>
    <col min="9" max="9" width="14" style="1" customWidth="1"/>
    <col min="10" max="10" width="17.140625" style="1" customWidth="1"/>
    <col min="11" max="11" width="8.85546875" style="1" customWidth="1"/>
    <col min="12" max="16384" width="9.140625" style="1"/>
  </cols>
  <sheetData>
    <row r="1" spans="2:12" ht="23.25" customHeight="1">
      <c r="B1" s="640"/>
      <c r="C1" s="640"/>
      <c r="D1" s="640"/>
      <c r="E1" s="640"/>
      <c r="F1" s="640"/>
      <c r="G1" s="640"/>
      <c r="H1" s="640"/>
      <c r="I1" s="640"/>
      <c r="J1" s="640"/>
      <c r="K1" s="640"/>
      <c r="L1" s="9"/>
    </row>
    <row r="2" spans="2:12" ht="25.5" customHeight="1">
      <c r="B2" s="278"/>
      <c r="C2" s="278"/>
      <c r="D2" s="278"/>
      <c r="E2" s="278"/>
      <c r="F2" s="278"/>
      <c r="G2" s="278"/>
      <c r="H2" s="278"/>
      <c r="I2" s="278"/>
      <c r="J2" s="1876" t="s">
        <v>976</v>
      </c>
      <c r="K2" s="1876"/>
      <c r="L2" s="9"/>
    </row>
    <row r="3" spans="2:12" ht="19.5" customHeight="1">
      <c r="B3" s="278"/>
      <c r="C3" s="278"/>
      <c r="D3" s="278"/>
      <c r="E3" s="278"/>
      <c r="F3" s="278"/>
      <c r="G3" s="278"/>
      <c r="H3" s="278"/>
      <c r="I3" s="278"/>
      <c r="J3" s="656"/>
      <c r="K3" s="656"/>
      <c r="L3" s="9"/>
    </row>
    <row r="4" spans="2:12" ht="25.5" customHeight="1">
      <c r="B4" s="1879" t="str">
        <f>'Data Input'!D8&amp;" Gi ‡cÖvcvBUi "&amp;'Data Input'!D12&amp;" Gi "&amp;'LF-5'!Y6</f>
        <v xml:space="preserve">‡gmvm© mvbd¬vIqvi †UBjvm© GÛ †dweªK&amp;ª Gi ‡cÖvcvBUi ‡gvt Rwb Gi FY †KBm bs 64(wmGgGmGgB)/2024-25 </v>
      </c>
      <c r="C4" s="1879"/>
      <c r="D4" s="1879"/>
      <c r="E4" s="1879"/>
      <c r="F4" s="1879"/>
      <c r="G4" s="1879"/>
      <c r="H4" s="1879"/>
      <c r="I4" s="1879"/>
      <c r="J4" s="1879"/>
      <c r="K4" s="1879"/>
      <c r="L4" s="9"/>
    </row>
    <row r="5" spans="2:12" ht="31.5" customHeight="1">
      <c r="B5" s="1880" t="s">
        <v>979</v>
      </c>
      <c r="C5" s="1880"/>
      <c r="D5" s="1880"/>
      <c r="E5" s="1880"/>
      <c r="F5" s="1880"/>
      <c r="G5" s="1880"/>
      <c r="H5" s="1880"/>
      <c r="I5" s="1880"/>
      <c r="J5" s="1880"/>
      <c r="K5" s="1880"/>
      <c r="L5" s="11"/>
    </row>
    <row r="6" spans="2:12" ht="22.5" customHeight="1">
      <c r="L6" s="11"/>
    </row>
    <row r="7" spans="2:12" ht="21.75" customHeight="1">
      <c r="B7" s="639"/>
      <c r="C7" s="639"/>
      <c r="D7" s="639"/>
      <c r="E7" s="639"/>
      <c r="F7" s="639"/>
      <c r="G7" s="639"/>
      <c r="H7" s="639"/>
      <c r="I7" s="639"/>
      <c r="J7" s="639"/>
      <c r="K7" s="639"/>
      <c r="L7" s="11"/>
    </row>
    <row r="8" spans="2:12" ht="31.5" customHeight="1">
      <c r="B8" s="1878" t="s">
        <v>1013</v>
      </c>
      <c r="C8" s="1878"/>
      <c r="D8" s="1878"/>
      <c r="E8" s="1878"/>
      <c r="F8" s="1878"/>
      <c r="G8" s="1878"/>
      <c r="H8" s="1878"/>
      <c r="I8" s="1878"/>
      <c r="J8" s="1878"/>
      <c r="K8" s="1878"/>
      <c r="L8" s="11"/>
    </row>
    <row r="9" spans="2:12" ht="31.5" customHeight="1">
      <c r="B9" s="633" t="s">
        <v>986</v>
      </c>
      <c r="C9" s="632"/>
      <c r="D9" s="632"/>
      <c r="E9" s="632"/>
      <c r="F9" s="632"/>
      <c r="G9" s="632"/>
      <c r="H9" s="632"/>
      <c r="I9" s="632"/>
      <c r="J9" s="632"/>
      <c r="K9" s="632"/>
      <c r="L9" s="11"/>
    </row>
    <row r="10" spans="2:12" ht="31.5" customHeight="1">
      <c r="B10" s="1877" t="s">
        <v>729</v>
      </c>
      <c r="C10" s="1877" t="s">
        <v>980</v>
      </c>
      <c r="D10" s="1877" t="s">
        <v>606</v>
      </c>
      <c r="E10" s="1877"/>
      <c r="F10" s="1877"/>
      <c r="G10" s="1881" t="s">
        <v>981</v>
      </c>
      <c r="H10" s="1882"/>
      <c r="I10" s="1883"/>
      <c r="J10" s="1877" t="s">
        <v>982</v>
      </c>
      <c r="K10" s="632"/>
      <c r="L10" s="11"/>
    </row>
    <row r="11" spans="2:12" ht="31.5" customHeight="1">
      <c r="B11" s="1877"/>
      <c r="C11" s="1877"/>
      <c r="D11" s="636" t="s">
        <v>983</v>
      </c>
      <c r="E11" s="636" t="s">
        <v>984</v>
      </c>
      <c r="F11" s="636" t="s">
        <v>985</v>
      </c>
      <c r="G11" s="1881" t="s">
        <v>984</v>
      </c>
      <c r="H11" s="1883"/>
      <c r="I11" s="636" t="s">
        <v>985</v>
      </c>
      <c r="J11" s="1877"/>
      <c r="K11" s="632"/>
      <c r="L11" s="11"/>
    </row>
    <row r="12" spans="2:12" ht="31.5" customHeight="1">
      <c r="B12" s="436" t="str">
        <f>'Data Input'!K2</f>
        <v>wmw×iMÄ</v>
      </c>
      <c r="C12" s="287">
        <f>'Data Input'!J4</f>
        <v>0</v>
      </c>
      <c r="D12" s="436">
        <v>5226</v>
      </c>
      <c r="E12" s="637">
        <v>161</v>
      </c>
      <c r="F12" s="637" t="s">
        <v>1183</v>
      </c>
      <c r="G12" s="1887">
        <v>80</v>
      </c>
      <c r="H12" s="1888"/>
      <c r="I12" s="637" t="s">
        <v>1184</v>
      </c>
      <c r="J12" s="686">
        <f>'LF-5'!S17</f>
        <v>0</v>
      </c>
      <c r="K12" s="632"/>
      <c r="L12" s="11"/>
    </row>
    <row r="13" spans="2:12" ht="31.5" customHeight="1">
      <c r="B13" s="436"/>
      <c r="C13" s="287"/>
      <c r="D13" s="436"/>
      <c r="E13" s="637"/>
      <c r="F13" s="637"/>
      <c r="G13" s="1887"/>
      <c r="H13" s="1888"/>
      <c r="I13" s="637"/>
      <c r="J13" s="686">
        <f>'LF-5'!S20</f>
        <v>0</v>
      </c>
      <c r="K13" s="632"/>
      <c r="L13" s="11"/>
    </row>
    <row r="14" spans="2:12" ht="31.5" customHeight="1">
      <c r="B14" s="1884" t="s">
        <v>307</v>
      </c>
      <c r="C14" s="1884"/>
      <c r="D14" s="1884"/>
      <c r="E14" s="1884"/>
      <c r="F14" s="1884"/>
      <c r="G14" s="1884"/>
      <c r="H14" s="1884"/>
      <c r="I14" s="1884"/>
      <c r="J14" s="687">
        <f>J12+J13</f>
        <v>0</v>
      </c>
      <c r="K14" s="632"/>
      <c r="L14" s="11"/>
    </row>
    <row r="15" spans="2:12" ht="31.5" customHeight="1">
      <c r="B15" s="632"/>
      <c r="C15" s="632"/>
      <c r="D15" s="632"/>
      <c r="E15" s="632"/>
      <c r="F15" s="632"/>
      <c r="G15" s="632"/>
      <c r="H15" s="632"/>
      <c r="I15" s="632"/>
      <c r="J15" s="632"/>
      <c r="K15" s="632"/>
      <c r="L15" s="11"/>
    </row>
    <row r="16" spans="2:12" ht="46.5" customHeight="1">
      <c r="B16" s="1885" t="s">
        <v>1064</v>
      </c>
      <c r="C16" s="1885"/>
      <c r="D16" s="1885"/>
      <c r="E16" s="1885"/>
      <c r="F16" s="1885"/>
      <c r="G16" s="1885"/>
      <c r="H16" s="1885"/>
      <c r="I16" s="1885"/>
      <c r="J16" s="1885"/>
      <c r="K16" s="1885"/>
      <c r="L16" s="11"/>
    </row>
    <row r="17" spans="1:12" ht="18.75" customHeight="1">
      <c r="B17" s="632"/>
      <c r="C17" s="632"/>
      <c r="D17" s="632"/>
      <c r="E17" s="632"/>
      <c r="F17" s="632"/>
      <c r="G17" s="632"/>
      <c r="H17" s="632"/>
      <c r="I17" s="632"/>
      <c r="J17" s="632"/>
      <c r="K17" s="632"/>
      <c r="L17" s="11"/>
    </row>
    <row r="18" spans="1:12" ht="391.5" customHeight="1">
      <c r="B18" s="1889" t="str">
        <f>+'Data Input'!B32</f>
        <v xml:space="preserve">cÖ¯ÍvweZ RvgvbZx m¤úwËi Gm.G. †iKW©xq gvwjK QwjgwÏb wgqv| D³ QwjgwÏb wgqv gvwjK I †fvM`LjKvi _vKv Ae¯’vq 30/09/1968 Bs Zvwi‡L 6648 bs I 6649 bs mvd Kejv `wjj g~‡j AvwQqv LvZzb I nvRx `ei DwÏb †gvjøv G‡`i wbKU mvd Kejv weµq K‡i D³ m¤úwË †_‡K wPiZ‡i wbt¯^Z¡evb nb| D³ AvwQqv LvZzb  10/03/1970 Bs Zvwi‡L 2313 bs mvd Kejv `wjj g~‡j wKq`vsk m¤úwË AvBbwÏb Gi wbKU weµq K‡ib|    AZ:ci AvBbwÏb gvwjK I †fvM`LjKvi _vKv Ae¯’vq  20/06/1970 Bs Zvwi‡L 5466 bs ‡nev `wj‡ji gva¨‡g cyÎ bRiæj Bmjvg †K †nev K‡i D³ m¤úwË †_‡K wPiZ‡i wbt¯^Z¡evb nb| cieZ©x‡Z D³ bvevjK bRiæj Bmjvg Gi c‡ÿ ¯^vfvweK AwfeveK D³ AvBbwÏb Øviv I ¯^qs MZ 10/01/1979 Bs Zvwi‡L 1547 bs mvd Kejv `wjj g~‡j †gv: Pvby wgqv Ii‡d Pvby wgqvi wbKU weµq K‡i D³ m¤úwË †_‡K wPiZ‡i wbt¯^Z¡evb nb|  AZ:ci AvBbwÏb gvwjK I †fvM`LjKvi _vKv Ae¯’vq  20/06/1970 Bs Zvwi‡L 5466 bs ‡nev `wj‡ji gva¨‡g cyÎ bRiæj Bmjvg †K †nev K‡i D³ m¤úwË †_‡K wPiZ‡i wbt¯^Z¡evb nb| cieZ©x‡Z D³ bvevjK bRiæj Bmjvg Gi c‡ÿ ¯^vfvweK AwfeveK D³ AvBbwÏb Øviv I ¯^qs MZ 10/01/1979 Bs Zvwi‡L 1547 bs mvd Kejv `wjj g~‡j †gv: Pvb wgqv Ii‡d Pvby wgqvi wbKU weµq K‡i D³ m¤úwË †_‡K wPiZ‡i wbt¯^Z¡evb nb |   AZ:ci †gv: Pvb wgqv Ii‡d Pvby wgqv 09/07/1979 Bs Zvwi‡L 26921 bs mvd Kejv `wj‡ji gva¨‡g Avãyj Avwjg †gvj¨vi wbKU mvd weµq K‡i D³ m¤úwË †_‡K wPiZ‡i wbt¯^Z¡evb nb|  AZ:ci D‡jøwLZ AvwQqv _vZzb D³ m¤úwË weMZ 26/08/1976 Bs Zvwi‡L 16431 bs mvd Kejv `wj‡ji gva¨‡g Igi Avjx I dz‡jmv wewei wbKU mvd weµq K‡i  wPiZ‡i wbt¯^Z¡evb nb | Ges AZ:ci D‡jøwLZ Igi Avjx I dz‡jmv wewe D³ m¤úwË weMZ 11/01/1983 Bs Zvwi‡L 267 bs mvd Kejv `wj‡ji gva¨‡g Avãyj Avwjg †gvj¨vi wbKU mvd weµq K‡i  wPiZ‡i wbt¯^Z¡evb nb | Ges AZ:ci Avãyj Avwjg †gvj¨v Zdwmj ewYZ m¤úwË 26921 I 267 bs mvd Kejv `wj‡ji gva¨‡g Lwi` Kwiqv 28/03/2005 Bs Zvwi‡L  2280  mvd Kejv `wjj `¦viv AvjnvR †`‡jvqvi †nv‡mb wbKU mvd weµq K‡i  wPiZ‡i wbt¯^Z¡evb nb | AZ:ci AvjnvR †`‡jvqvi †nv‡mb mvd Kejv `wjj gy‡j Lwi` Kwiqv 14/02/2006 Bs Zvwi‡L  596  mvd Kejv `wjj `¦viv ‡gv: wejøvj †nv‡mb  Gi wbKU mvd weµq K‡i AvjnvR †`‡jvqvi †nv‡mb wPiZ‡i wbt¯^Z¡evb nb | Aciw`‡K `eiwÏb †gvjøv D‡jøwLZ 6649 bs `wjj gy‡j Lwi` Kwiqv ‡fvM`Lj LvKv Aeövq AvBbwÏb †K cyÎ mn Ab¨vb¨ Iqvwik we`¨vgvb ivwLqv `eiwÏb  ci‡jvK Mgb K‡ib| Ges AZ:ci AvBbwÏb Zdwmj ewYZ m¤úwË ‰cwÎK Iqvwik my‡Î gvwjK nBqv weMZ 02/03/1972 Bs Zvwi‡L  1348  mvd Kejv `wjj `¦viv bv‡RgwÏb wgqv Ii‡d bRygwÏb Gi wbKU mvd weµq K‡i wPiZ‡i wbt¯^Z¡evb nb | AZ:ci bv‡RgwÏb wgqv Ii‡d bRygwÏb ewY©Z m¤úwË mvd Kejv `wjj gy‡j Lwi` Kwiqv weMZ Avi Gm -222 bs LwZqv‡b wbR bvg ‡iKW©fz³ Ae¯’vq ‡gvnv¤§` †nv‡mb, †gv: Lwjj, wcqviv ‡eMg I ‡gvnv¤§` Avjx cyÎ I Kb¨v Ges ¯¿x †iwRqv LvZzb‡K Iqvwik we`¨vgvb ivwLqv D³ bv‡RgwÏb wgqv Ii‡d bRygwÏb ci‡jvK Mgb K‡ib|Ges AZ:ci D³ ‡gvnv¤§` †nv‡mb, †gv: Lwjj, wcqviv ‡eMg I ‡gvnv¤§` Avjx cyÎ I Kb¨v ewY©Z m¤úwË ˆcwÎK Iqvwikm~‡Î Ges ¯¿x †iwRqv LvZzb ¯^vgxi Iqvwikm~‡Î gvwjK nBqv 17/05/2004 Zvwi‡L ‡gvnv¤§` †nv‡mb, †gv: Lwjj, wcqviv ‡eMg I ¯¿x †iwRqv LvZzb Zvnv‡`i cÖvc¨ Ask 1704 bs Avg‡gv³vi `wjj Øviv Ges ‡gvnv¤§` Avjx weMZ 28/10/2003 Zvwi‡L 4086 bs Avg‡gv³vi `wjj Øviv ‡gvmv¤§Z gwiqg ‡eMg‡K Avg‡gv³vi wbhy³ K‡ib|Ges AZ:ci AvBbwÏb Zdwmj ewYZ m¤úwË ‰cwÎK Iqvwik my‡Î gvwjK nBqv weMZ 20/04/1970 Bs Zvwi‡L  3741 bs  mvd Kejv `wjj `¦viv L‡ZRv wewe, ¯^vgx-Rxeb &amp;Lvb Gi wbKU mvd weµq K‡i wPiZ‡i wbt¯^Z¡evb nb | AZ:ci D³ L‡ZRv wewe weMZ 24/08/1978 Bs Zvwi‡L  17306 bs  mvd Kejv `wjj `¦viv ‡gv: Pvb wgqv Ii‡d Pvby wgqv Gi wbKU mvd weµq K‡i wPiZ‡i wbt¯^Z¡evb nb|Ges  D³ AvwQqv LvZzb 10/03/1970 Bs Zvwi‡L 2315 bs  mvd Kejv `wjj `¦viv Avãym mvgv` Gi wbKU mvd weµq K‡ib| Ges AZ:ci D³ Avãym mvgv` 01/01/1979 Bs Zvwi‡L  47 bs  mvd Kejv `wjj `¦viv ‡gv: Pvb wgqv Ii‡d Pvby wgqv Gi wbKU mvd weµq K‡i wPiZ‡i wbt¯^Z¡evb nb| Ges AZ:ci D³ ‡gv: Pvb wgqv Ii‡d Pvby wgqv 1730 I 47 bs `wjj g~‡j cÖß m¤úwË 07/03/1979 Bs Zvwi‡L  5108 bs  mvd Kejv `wjj `¦viv ‡gv: Avjx †nv‡mb I R‡e`v LvZzb Gi wbKU mvd weµq K‡i wPiZ‡i wbt¯^Z¡evb nb| AZ:ci D³ ‡gv: Avjx †nv‡mb I R‡e`v LvZzb 30/07/1979 Bs Zvwi‡L  29726 bs  mvd Kejv `wjj `¦viv ‡gv: ‡n`v‡qZ †nv‡mb Lvb I Lvb kvnv`Z †nv‡mb G‡`i wbKU mvd weµq K‡i wPiZ‡i wbt¯^Z¡evb nb| Ges AZ:ci D³ ‡gv: ‡n`v‡qZ †nv‡mb Lvb I Lvb kvnv`Z †nv‡mb 18/04/1985 Bs Zvwi‡L  9272 bs  mvd Kejv `wjj `¦viv ‡gvmv¤§r KzjQzg Aviv †eMg Gi wbKU mvd weµq K‡i wPiZ‡i wbt¯^Z¡evb nb| AZ:ci D³ ‡gvmv¤§r KzjQzg Aviv †eMg gvwjK I †fvM`LjKvi wbqZ n‡q 23/11/2004 Bs Zvwi‡L  4380 bs  Avg-‡gv³vibvgv `wjj `¦viv †gv: †`‡jvqvi †nv‡mb †K Avg-‡gv³vi wbhy³ K‡ib Ges D³ †gv: †`‡jvqvi †nv‡mb 01/09/2005 Bs Zvwi‡L  4009 bs  mvd Kejv `wjj `¦viv ‡gvt wejøvj †nvmvBb Gi wbKU mvd weµq K‡i wPiZ‡i wbt¯^Z¡evb nb| AZ:ci D³ ‡gvt wejøvj †nvmvBb 26/05/2024 Bs Zvwi‡L  3642 bs  mvd Kejv `wjj `¦viv mvB`yi ingvb wgVz Gi wbKU mvd weµq K‡i wPiZ‡i wbt¯^Z¡evb nb| AZ:ci D³ mvB`yi ingvb wgVz µqm~‡Î gvwjK n‡q Zdwm‡j ewb©Z  D³ m¤úwË wbR wbR bv‡g LvwiR K‡ib| hvnvi †gvKÏgv bs 1100/2024-25 Zvs 21/08/2024 BsGes nvj LvRbv cwi‡kva K‡ib|
</v>
      </c>
      <c r="C18" s="1889"/>
      <c r="D18" s="1889"/>
      <c r="E18" s="1889"/>
      <c r="F18" s="1889"/>
      <c r="G18" s="1889"/>
      <c r="H18" s="1889"/>
      <c r="I18" s="1889"/>
      <c r="J18" s="1889"/>
      <c r="K18" s="1889"/>
      <c r="L18" s="11"/>
    </row>
    <row r="19" spans="1:12" ht="391.5" customHeight="1">
      <c r="B19" s="1889"/>
      <c r="C19" s="1889"/>
      <c r="D19" s="1889"/>
      <c r="E19" s="1889"/>
      <c r="F19" s="1889"/>
      <c r="G19" s="1889"/>
      <c r="H19" s="1889"/>
      <c r="I19" s="1889"/>
      <c r="J19" s="1889"/>
      <c r="K19" s="1889"/>
      <c r="L19" s="11"/>
    </row>
    <row r="20" spans="1:12" ht="409.5" customHeight="1">
      <c r="B20" s="1889"/>
      <c r="C20" s="1889"/>
      <c r="D20" s="1889"/>
      <c r="E20" s="1889"/>
      <c r="F20" s="1889"/>
      <c r="G20" s="1889"/>
      <c r="H20" s="1889"/>
      <c r="I20" s="1889"/>
      <c r="J20" s="1889"/>
      <c r="K20" s="1889"/>
      <c r="L20" s="11"/>
    </row>
    <row r="21" spans="1:12" ht="9" customHeight="1">
      <c r="B21" s="634"/>
      <c r="C21" s="634"/>
      <c r="D21" s="634"/>
      <c r="E21" s="634"/>
      <c r="F21" s="634"/>
      <c r="G21" s="634"/>
      <c r="H21" s="634"/>
      <c r="I21" s="634"/>
      <c r="J21" s="634"/>
      <c r="K21" s="634"/>
      <c r="L21" s="11"/>
    </row>
    <row r="22" spans="1:12" ht="23.25" customHeight="1">
      <c r="B22" s="1095" t="str">
        <f>"‡PŠnÏx t "&amp;'Data Input'!J51&amp;""&amp;'Data Input'!K51&amp;""&amp;'Data Input'!J52&amp;""&amp;'Data Input'!K52&amp;""&amp;'Data Input'!J53&amp;""&amp;'Data Input'!K53&amp;""&amp;'Data Input'!J54&amp;""&amp;'Data Input'!K54</f>
        <v>‡PŠnÏx t DË‡i-Kwei`wÿ‡b-ev`kv wgqv I gwZb Msc~‡e©-gwZb Mscwð‡g-byiæbœvnvi</v>
      </c>
      <c r="C22" s="1095"/>
      <c r="D22" s="1095"/>
      <c r="E22" s="1095"/>
      <c r="F22" s="1095"/>
      <c r="G22" s="1095"/>
      <c r="H22" s="1095"/>
      <c r="I22" s="1095"/>
      <c r="J22" s="1095"/>
      <c r="K22" s="1095"/>
      <c r="L22" s="11"/>
    </row>
    <row r="23" spans="1:12" ht="6.75" customHeight="1"/>
    <row r="24" spans="1:12" ht="19.5" customHeight="1">
      <c r="B24" s="1886" t="str">
        <f>"cÖ¯ÍvweZ "&amp;'Data Input'!J4&amp;" ‡gŠRvi "&amp;'Data Input'!N48&amp;" GKi Rwg RvgvbwZ m¤úwË wnmv‡e MÖnb Kiv hvq|"</f>
        <v>cÖ¯ÍvweZ  ‡gŠRvi 0 GKi Rwg RvgvbwZ m¤úwË wnmv‡e MÖnb Kiv hvq|</v>
      </c>
      <c r="C24" s="1886"/>
      <c r="D24" s="1886"/>
      <c r="E24" s="1886"/>
      <c r="F24" s="1886"/>
      <c r="G24" s="1886"/>
      <c r="H24" s="1886"/>
      <c r="I24" s="1886"/>
      <c r="J24" s="1886"/>
      <c r="K24" s="1886"/>
      <c r="L24" s="8"/>
    </row>
    <row r="25" spans="1:12" ht="22.5" customHeight="1">
      <c r="B25" s="634"/>
      <c r="C25" s="634"/>
      <c r="D25" s="634"/>
      <c r="E25" s="634"/>
      <c r="F25" s="634"/>
      <c r="G25" s="634"/>
      <c r="H25" s="634"/>
      <c r="I25" s="634"/>
      <c r="J25" s="634"/>
      <c r="K25" s="634"/>
      <c r="L25" s="8"/>
    </row>
    <row r="26" spans="1:12" ht="35.25" customHeight="1">
      <c r="B26" s="634"/>
      <c r="C26" s="634"/>
      <c r="D26" s="634"/>
      <c r="E26" s="634"/>
      <c r="F26" s="634"/>
      <c r="G26" s="634"/>
      <c r="H26" s="634"/>
      <c r="I26" s="634"/>
      <c r="J26" s="634"/>
      <c r="K26" s="634"/>
      <c r="L26" s="8"/>
    </row>
    <row r="27" spans="1:12" ht="71.25" customHeight="1">
      <c r="B27" s="634"/>
      <c r="C27" s="634"/>
      <c r="D27" s="634"/>
      <c r="E27" s="634"/>
      <c r="F27" s="634"/>
      <c r="G27" s="634"/>
      <c r="H27" s="634"/>
      <c r="I27" s="634"/>
      <c r="J27" s="634"/>
      <c r="K27" s="634"/>
      <c r="L27" s="8"/>
    </row>
    <row r="28" spans="1:12" ht="71.25" customHeight="1">
      <c r="B28" s="634"/>
      <c r="C28" s="634"/>
      <c r="D28" s="634"/>
      <c r="E28" s="634"/>
      <c r="F28" s="634"/>
      <c r="G28" s="634"/>
      <c r="H28" s="634"/>
      <c r="I28" s="634"/>
      <c r="J28" s="634"/>
      <c r="K28" s="634"/>
      <c r="L28" s="8"/>
    </row>
    <row r="29" spans="1:12" ht="71.25" customHeight="1">
      <c r="B29" s="634"/>
      <c r="C29" s="634"/>
      <c r="D29" s="634"/>
      <c r="E29" s="634"/>
      <c r="F29" s="634"/>
      <c r="G29" s="634"/>
      <c r="H29" s="634"/>
      <c r="I29" s="634"/>
      <c r="J29" s="634"/>
      <c r="K29" s="634"/>
      <c r="L29" s="8"/>
    </row>
    <row r="30" spans="1:12" ht="34.5" customHeight="1"/>
    <row r="31" spans="1:12" ht="15.75" customHeight="1">
      <c r="A31" s="919" t="s">
        <v>22</v>
      </c>
      <c r="B31" s="919"/>
      <c r="C31" s="919"/>
      <c r="E31" s="1202" t="s">
        <v>511</v>
      </c>
      <c r="F31" s="1202"/>
      <c r="G31" s="1202"/>
      <c r="H31" s="1202"/>
      <c r="I31" s="42"/>
      <c r="J31" s="1202" t="s">
        <v>162</v>
      </c>
      <c r="K31" s="1202"/>
      <c r="L31" s="24"/>
    </row>
    <row r="32" spans="1:12" ht="29.25" customHeight="1">
      <c r="A32" s="1875" t="str">
        <f>+'Data Input'!D8</f>
        <v>‡gmvm© mvbd¬vIqvi †UBjvm© GÛ †dweªK&amp;ª</v>
      </c>
      <c r="B32" s="1875"/>
      <c r="C32" s="1875"/>
      <c r="D32" s="24"/>
      <c r="E32" s="1875" t="e">
        <f>+#REF!</f>
        <v>#REF!</v>
      </c>
      <c r="F32" s="1875"/>
      <c r="G32" s="1875"/>
      <c r="H32" s="1875"/>
      <c r="I32" s="13"/>
      <c r="J32" s="1875" t="e">
        <f>+E32</f>
        <v>#REF!</v>
      </c>
      <c r="K32" s="1875"/>
    </row>
    <row r="33" spans="1:11" ht="19.5" customHeight="1">
      <c r="A33" s="1214"/>
      <c r="B33" s="1214"/>
      <c r="C33" s="1214"/>
      <c r="E33" s="1875" t="str">
        <f>+'Data Input'!D2</f>
        <v>wmw×iMÄ kvLv, bvivqYMÄ</v>
      </c>
      <c r="F33" s="1875"/>
      <c r="G33" s="1875"/>
      <c r="H33" s="1875"/>
      <c r="I33" s="13"/>
      <c r="J33" s="1875" t="str">
        <f>+E33</f>
        <v>wmw×iMÄ kvLv, bvivqYMÄ</v>
      </c>
      <c r="K33" s="1875"/>
    </row>
    <row r="34" spans="1:11" ht="19.5" customHeight="1"/>
    <row r="35" spans="1:11" ht="19.5" customHeight="1"/>
    <row r="36" spans="1:11" ht="19.5" customHeight="1"/>
    <row r="37" spans="1:11" ht="19.5" customHeight="1"/>
    <row r="38" spans="1:11" ht="19.5" customHeight="1"/>
    <row r="39" spans="1:11" ht="19.5" customHeight="1"/>
    <row r="40" spans="1:11" ht="19.5" customHeight="1"/>
    <row r="41" spans="1:11" ht="19.5" customHeight="1"/>
    <row r="42" spans="1:11" ht="19.5" customHeight="1"/>
    <row r="43" spans="1:11" ht="19.5" customHeight="1"/>
    <row r="44" spans="1:11" ht="19.5" customHeight="1"/>
    <row r="45" spans="1:11" ht="19.5" customHeight="1"/>
    <row r="46" spans="1:11" ht="19.5" customHeight="1"/>
    <row r="47" spans="1:11" ht="19.5" customHeight="1"/>
    <row r="48" spans="1:11"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sheetData>
  <mergeCells count="26">
    <mergeCell ref="B14:I14"/>
    <mergeCell ref="B16:K16"/>
    <mergeCell ref="B22:K22"/>
    <mergeCell ref="B24:K24"/>
    <mergeCell ref="G11:H11"/>
    <mergeCell ref="G12:H12"/>
    <mergeCell ref="B18:K20"/>
    <mergeCell ref="G13:H13"/>
    <mergeCell ref="J2:K2"/>
    <mergeCell ref="B10:B11"/>
    <mergeCell ref="C10:C11"/>
    <mergeCell ref="D10:F10"/>
    <mergeCell ref="J10:J11"/>
    <mergeCell ref="B8:K8"/>
    <mergeCell ref="B4:K4"/>
    <mergeCell ref="B5:K5"/>
    <mergeCell ref="G10:I10"/>
    <mergeCell ref="E33:H33"/>
    <mergeCell ref="E31:H31"/>
    <mergeCell ref="E32:H32"/>
    <mergeCell ref="A31:C31"/>
    <mergeCell ref="J31:K31"/>
    <mergeCell ref="J32:K32"/>
    <mergeCell ref="J33:K33"/>
    <mergeCell ref="A32:C32"/>
    <mergeCell ref="A33:C33"/>
  </mergeCells>
  <pageMargins left="0.43307086614173229" right="0.23622047244094491" top="0.74803149606299213" bottom="0.74803149606299213" header="0.31496062992125984" footer="0.31496062992125984"/>
  <pageSetup paperSize="9" scale="75" fitToHeight="0" orientation="portrait" r:id="rId1"/>
  <headerFooter differentFirst="1">
    <oddFooter>&amp;LPrepared By Tariqul Islam, &amp;F&amp;R&amp;"SutonnyMJ,Regular"evsjv‡`k K…wl e¨vsK, c„ôv &amp;P &amp;"-,Regular"of&amp;"SutonnyMJ,Regular"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Button4_Click">
                <anchor moveWithCells="1" sizeWithCells="1">
                  <from>
                    <xdr:col>11</xdr:col>
                    <xdr:colOff>504825</xdr:colOff>
                    <xdr:row>4</xdr:row>
                    <xdr:rowOff>333375</xdr:rowOff>
                  </from>
                  <to>
                    <xdr:col>12</xdr:col>
                    <xdr:colOff>523875</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5">
    <tabColor rgb="FF006600"/>
    <pageSetUpPr fitToPage="1"/>
  </sheetPr>
  <dimension ref="A1:BH32"/>
  <sheetViews>
    <sheetView showGridLines="0" view="pageBreakPreview" zoomScaleSheetLayoutView="100" workbookViewId="0">
      <selection activeCell="E12" sqref="E12:AN15"/>
    </sheetView>
  </sheetViews>
  <sheetFormatPr defaultRowHeight="18.75" customHeight="1"/>
  <cols>
    <col min="1" max="1" width="3.7109375" customWidth="1"/>
    <col min="2" max="2" width="4.42578125" style="53" customWidth="1"/>
    <col min="3" max="8" width="2.28515625" customWidth="1"/>
    <col min="9" max="9" width="1.28515625" customWidth="1"/>
    <col min="10" max="11" width="2.7109375" customWidth="1"/>
    <col min="12"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1" width="2.28515625" customWidth="1"/>
    <col min="42" max="42" width="3.140625" customWidth="1"/>
    <col min="43" max="43" width="2.28515625" customWidth="1"/>
    <col min="44" max="44" width="2.140625" customWidth="1"/>
    <col min="45" max="45" width="1.7109375" customWidth="1"/>
    <col min="46" max="46" width="3.140625" customWidth="1"/>
    <col min="48" max="48" width="11.42578125" customWidth="1"/>
    <col min="49" max="49" width="11.7109375" customWidth="1"/>
    <col min="50" max="51" width="26.85546875" customWidth="1"/>
  </cols>
  <sheetData>
    <row r="1" spans="1:51" ht="30.75" customHeight="1">
      <c r="A1" s="1871"/>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891"/>
      <c r="B4" s="1891"/>
      <c r="C4" s="1891"/>
      <c r="D4" s="1891"/>
      <c r="E4" s="1891"/>
      <c r="F4" s="1891"/>
      <c r="G4" s="1891"/>
      <c r="H4" s="1891"/>
      <c r="I4" s="1891"/>
      <c r="J4" s="1891"/>
      <c r="K4" s="1891"/>
      <c r="L4" s="1891"/>
      <c r="M4" s="1891"/>
      <c r="N4" s="1891"/>
      <c r="O4" s="1891"/>
      <c r="P4" s="1891"/>
      <c r="Q4" s="1891"/>
      <c r="R4" s="1891"/>
      <c r="S4" s="1891"/>
      <c r="T4" s="1891"/>
      <c r="U4" s="1891"/>
      <c r="V4" s="1891"/>
      <c r="W4" s="1891"/>
      <c r="X4" s="1891"/>
      <c r="Y4" s="1891"/>
      <c r="Z4" s="1891"/>
      <c r="AA4" s="1891"/>
      <c r="AB4" s="1891"/>
      <c r="AC4" s="1891"/>
      <c r="AD4" s="1891"/>
      <c r="AE4" s="1891"/>
      <c r="AF4" s="1891"/>
      <c r="AG4" s="1891"/>
      <c r="AH4" s="1891"/>
      <c r="AI4" s="1891"/>
      <c r="AJ4" s="1891"/>
      <c r="AK4" s="1891"/>
      <c r="AL4" s="1891"/>
      <c r="AM4" s="1891"/>
      <c r="AN4" s="1891"/>
      <c r="AO4" s="1891"/>
      <c r="AP4" s="1891"/>
      <c r="AQ4" s="1891"/>
      <c r="AR4" s="1891"/>
      <c r="AS4" s="1891"/>
      <c r="AT4" s="1891"/>
      <c r="AY4" s="160"/>
    </row>
    <row r="5" spans="1:51" s="68" customFormat="1" ht="16.5" customHeight="1">
      <c r="A5" s="1892"/>
      <c r="B5" s="1892"/>
      <c r="C5" s="1892"/>
      <c r="D5" s="1892"/>
      <c r="E5" s="1892"/>
      <c r="F5" s="1892"/>
      <c r="G5" s="1892"/>
      <c r="H5" s="1892"/>
      <c r="I5" s="1892"/>
      <c r="J5" s="1892"/>
      <c r="K5" s="1892"/>
      <c r="L5" s="1892"/>
      <c r="M5" s="1892"/>
      <c r="N5" s="1892"/>
      <c r="O5" s="1892"/>
      <c r="P5" s="1892"/>
      <c r="Q5" s="1892"/>
      <c r="R5" s="1892"/>
      <c r="S5" s="1892"/>
      <c r="T5" s="1892"/>
      <c r="U5" s="1892"/>
      <c r="V5" s="1892"/>
      <c r="W5" s="1892"/>
      <c r="X5" s="1892"/>
      <c r="Y5" s="1892"/>
      <c r="Z5" s="1892"/>
      <c r="AA5" s="1892"/>
      <c r="AB5" s="1892"/>
      <c r="AC5" s="1892"/>
      <c r="AD5" s="1892"/>
      <c r="AE5" s="1892"/>
      <c r="AG5" s="24"/>
      <c r="AH5" s="24"/>
      <c r="AL5" s="995"/>
      <c r="AM5" s="995"/>
      <c r="AN5" s="995"/>
      <c r="AO5" s="1893"/>
      <c r="AP5" s="1893"/>
      <c r="AQ5" s="1893"/>
      <c r="AR5" s="1893"/>
      <c r="AS5" s="1893"/>
      <c r="AT5" s="139"/>
    </row>
    <row r="6" spans="1:51" s="23" customFormat="1" ht="9" customHeight="1">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6.5" customHeight="1">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G8" s="52"/>
      <c r="AH8" s="52"/>
      <c r="AL8" s="43"/>
      <c r="AM8" s="43"/>
      <c r="AN8" s="43"/>
      <c r="AO8" s="55"/>
      <c r="AP8" s="55"/>
      <c r="AQ8" s="55"/>
      <c r="AR8" s="55"/>
      <c r="AS8" s="55"/>
      <c r="AT8" s="44"/>
    </row>
    <row r="9" spans="1:51" s="137" customFormat="1" ht="27.75" customHeight="1">
      <c r="A9" s="1894" t="s">
        <v>490</v>
      </c>
      <c r="B9" s="1894"/>
      <c r="C9" s="1894"/>
      <c r="D9" s="1894"/>
      <c r="E9" s="1894"/>
      <c r="F9" s="1894"/>
      <c r="G9" s="1894"/>
      <c r="H9" s="1894"/>
      <c r="I9" s="1894"/>
      <c r="J9" s="1894"/>
      <c r="K9" s="1894"/>
      <c r="L9" s="1894"/>
      <c r="M9" s="1894"/>
      <c r="N9" s="1894"/>
      <c r="O9" s="1894"/>
      <c r="P9" s="1894"/>
      <c r="Q9" s="1894"/>
      <c r="R9" s="1894"/>
      <c r="S9" s="1894"/>
      <c r="T9" s="1894"/>
      <c r="U9" s="1894"/>
      <c r="V9" s="1894"/>
      <c r="W9" s="1894"/>
      <c r="X9" s="1894"/>
      <c r="Y9" s="1894"/>
      <c r="Z9" s="1894"/>
      <c r="AA9" s="1894"/>
      <c r="AB9" s="1894"/>
      <c r="AC9" s="1894"/>
      <c r="AD9" s="1894"/>
      <c r="AE9" s="1894"/>
      <c r="AF9" s="1894"/>
      <c r="AG9" s="1894"/>
      <c r="AH9" s="1894"/>
      <c r="AI9" s="1894"/>
      <c r="AJ9" s="1894"/>
      <c r="AK9" s="1894"/>
      <c r="AL9" s="1894"/>
      <c r="AM9" s="1894"/>
      <c r="AN9" s="1894"/>
      <c r="AO9" s="1894"/>
      <c r="AP9" s="1894"/>
      <c r="AQ9" s="1894"/>
      <c r="AR9" s="1894"/>
      <c r="AS9" s="1894"/>
      <c r="AT9" s="1894"/>
    </row>
    <row r="10" spans="1:51" s="23" customFormat="1" ht="16.5" customHeight="1">
      <c r="A10" s="12"/>
      <c r="B10" s="12"/>
      <c r="C10" s="12"/>
      <c r="D10" s="12"/>
      <c r="E10" s="12"/>
      <c r="F10" s="12"/>
      <c r="G10" s="12"/>
      <c r="H10" s="12"/>
      <c r="I10" s="12"/>
      <c r="J10" s="12"/>
      <c r="K10" s="12"/>
      <c r="L10" s="12"/>
      <c r="M10" s="12"/>
      <c r="N10" s="12"/>
      <c r="O10" s="12" t="s">
        <v>491</v>
      </c>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G11" s="52"/>
      <c r="AH11" s="52"/>
      <c r="AL11" s="43"/>
      <c r="AM11" s="43"/>
      <c r="AN11" s="43"/>
      <c r="AO11" s="55"/>
      <c r="AP11" s="55"/>
      <c r="AQ11" s="55"/>
      <c r="AR11" s="55"/>
      <c r="AS11" s="55"/>
      <c r="AT11" s="44"/>
    </row>
    <row r="12" spans="1:51" s="23" customFormat="1" ht="16.5" customHeight="1">
      <c r="A12" s="12"/>
      <c r="B12" s="12"/>
      <c r="C12" s="12"/>
      <c r="D12" s="12"/>
      <c r="E12" s="1869" t="str">
        <f>"Ò"&amp;'Data Input'!D8&amp;"Ó Gi gvwjK "&amp;'Data Input'!D12&amp;", wcZv/¯^vgxi bvg t "&amp;'Data Input'!D13&amp;", gvZvi bvg t "&amp;'Data Input'!D14&amp;", mvs t "&amp;+'Data Input'!D17&amp;" Avgiv wb¤œ ¯^vÿiKvix weMZ "&amp;IF('LF-5'!R33="","    /       /20     ",TEXT('LF-5'!R33,"dd/mm/yyyy"))&amp;" Zvwi‡L Ò"&amp;'Data Input'!D8&amp;"Ó Gi e¨emv cÖwZôvbwU m‡iRwg‡b Z`šÍ K‡i Pvjy Ae¯’vq cvB|"</f>
        <v>Ò‡gmvm© mvbd¬vIqvi †UBjvm© GÛ †dweªK&amp;ªÓ Gi gvwjK ‡gvt Rwb, wcZv/¯^vgxi bvg t g„Z †gvt Bw`ªm Avjx, gvZvi bvg t gvmvt Avgexqv LvZzb, mvs t `vcv B`ªvKcyi, dZzjøv, bvivqYMÄ Avgiv wb¤œ ¯^vÿiKvix weMZ 19/01/2025 Zvwi‡L Ò‡gmvm© mvbd¬vIqvi †UBjvm© GÛ †dweªK&amp;ªÓ Gi e¨emv cÖwZôvbwU m‡iRwg‡b Z`šÍ K‡i Pvjy Ae¯’vq cvB|</v>
      </c>
      <c r="F12" s="1869"/>
      <c r="G12" s="1869"/>
      <c r="H12" s="1869"/>
      <c r="I12" s="1869"/>
      <c r="J12" s="1869"/>
      <c r="K12" s="1869"/>
      <c r="L12" s="1869"/>
      <c r="M12" s="1869"/>
      <c r="N12" s="1869"/>
      <c r="O12" s="1869"/>
      <c r="P12" s="1869"/>
      <c r="Q12" s="1869"/>
      <c r="R12" s="1869"/>
      <c r="S12" s="1869"/>
      <c r="T12" s="1869"/>
      <c r="U12" s="1869"/>
      <c r="V12" s="1869"/>
      <c r="W12" s="1869"/>
      <c r="X12" s="1869"/>
      <c r="Y12" s="1869"/>
      <c r="Z12" s="1869"/>
      <c r="AA12" s="1869"/>
      <c r="AB12" s="1869"/>
      <c r="AC12" s="1869"/>
      <c r="AD12" s="1869"/>
      <c r="AE12" s="1869"/>
      <c r="AF12" s="1869"/>
      <c r="AG12" s="1869"/>
      <c r="AH12" s="1869"/>
      <c r="AI12" s="1869"/>
      <c r="AJ12" s="1869"/>
      <c r="AK12" s="1869"/>
      <c r="AL12" s="1869"/>
      <c r="AM12" s="1869"/>
      <c r="AN12" s="1869"/>
      <c r="AO12" s="55"/>
      <c r="AP12" s="55"/>
      <c r="AQ12" s="55"/>
      <c r="AR12" s="55"/>
      <c r="AS12" s="55"/>
      <c r="AT12" s="44"/>
    </row>
    <row r="13" spans="1:51" s="23" customFormat="1" ht="60" customHeight="1">
      <c r="A13" s="12"/>
      <c r="B13" s="12"/>
      <c r="C13" s="12"/>
      <c r="D13" s="12"/>
      <c r="E13" s="1869"/>
      <c r="F13" s="1869"/>
      <c r="G13" s="1869"/>
      <c r="H13" s="1869"/>
      <c r="I13" s="1869"/>
      <c r="J13" s="1869"/>
      <c r="K13" s="1869"/>
      <c r="L13" s="1869"/>
      <c r="M13" s="1869"/>
      <c r="N13" s="1869"/>
      <c r="O13" s="1869"/>
      <c r="P13" s="1869"/>
      <c r="Q13" s="1869"/>
      <c r="R13" s="1869"/>
      <c r="S13" s="1869"/>
      <c r="T13" s="1869"/>
      <c r="U13" s="1869"/>
      <c r="V13" s="1869"/>
      <c r="W13" s="1869"/>
      <c r="X13" s="1869"/>
      <c r="Y13" s="1869"/>
      <c r="Z13" s="1869"/>
      <c r="AA13" s="1869"/>
      <c r="AB13" s="1869"/>
      <c r="AC13" s="1869"/>
      <c r="AD13" s="1869"/>
      <c r="AE13" s="1869"/>
      <c r="AF13" s="1869"/>
      <c r="AG13" s="1869"/>
      <c r="AH13" s="1869"/>
      <c r="AI13" s="1869"/>
      <c r="AJ13" s="1869"/>
      <c r="AK13" s="1869"/>
      <c r="AL13" s="1869"/>
      <c r="AM13" s="1869"/>
      <c r="AN13" s="1869"/>
      <c r="AO13" s="55"/>
      <c r="AP13" s="55"/>
      <c r="AQ13" s="55"/>
      <c r="AR13" s="55"/>
      <c r="AS13" s="55"/>
      <c r="AT13" s="44"/>
    </row>
    <row r="14" spans="1:51" s="23" customFormat="1" ht="57.75" customHeight="1">
      <c r="B14" s="24"/>
      <c r="C14" s="24"/>
      <c r="D14" s="24"/>
      <c r="E14" s="1869"/>
      <c r="F14" s="1869"/>
      <c r="G14" s="1869"/>
      <c r="H14" s="1869"/>
      <c r="I14" s="1869"/>
      <c r="J14" s="1869"/>
      <c r="K14" s="1869"/>
      <c r="L14" s="1869"/>
      <c r="M14" s="1869"/>
      <c r="N14" s="1869"/>
      <c r="O14" s="1869"/>
      <c r="P14" s="1869"/>
      <c r="Q14" s="1869"/>
      <c r="R14" s="1869"/>
      <c r="S14" s="1869"/>
      <c r="T14" s="1869"/>
      <c r="U14" s="1869"/>
      <c r="V14" s="1869"/>
      <c r="W14" s="1869"/>
      <c r="X14" s="1869"/>
      <c r="Y14" s="1869"/>
      <c r="Z14" s="1869"/>
      <c r="AA14" s="1869"/>
      <c r="AB14" s="1869"/>
      <c r="AC14" s="1869"/>
      <c r="AD14" s="1869"/>
      <c r="AE14" s="1869"/>
      <c r="AF14" s="1869"/>
      <c r="AG14" s="1869"/>
      <c r="AH14" s="1869"/>
      <c r="AI14" s="1869"/>
      <c r="AJ14" s="1869"/>
      <c r="AK14" s="1869"/>
      <c r="AL14" s="1869"/>
      <c r="AM14" s="1869"/>
      <c r="AN14" s="1869"/>
      <c r="AO14" s="24"/>
      <c r="AP14" s="24"/>
      <c r="AQ14" s="24"/>
      <c r="AR14" s="24"/>
      <c r="AS14" s="24"/>
      <c r="AT14" s="24"/>
    </row>
    <row r="15" spans="1:51" s="23" customFormat="1" ht="57.75" customHeight="1">
      <c r="A15" s="24"/>
      <c r="B15" s="24"/>
      <c r="C15" s="24"/>
      <c r="D15" s="24"/>
      <c r="E15" s="1869"/>
      <c r="F15" s="1869"/>
      <c r="G15" s="1869"/>
      <c r="H15" s="1869"/>
      <c r="I15" s="1869"/>
      <c r="J15" s="1869"/>
      <c r="K15" s="1869"/>
      <c r="L15" s="1869"/>
      <c r="M15" s="1869"/>
      <c r="N15" s="1869"/>
      <c r="O15" s="1869"/>
      <c r="P15" s="1869"/>
      <c r="Q15" s="1869"/>
      <c r="R15" s="1869"/>
      <c r="S15" s="1869"/>
      <c r="T15" s="1869"/>
      <c r="U15" s="1869"/>
      <c r="V15" s="1869"/>
      <c r="W15" s="1869"/>
      <c r="X15" s="1869"/>
      <c r="Y15" s="1869"/>
      <c r="Z15" s="1869"/>
      <c r="AA15" s="1869"/>
      <c r="AB15" s="1869"/>
      <c r="AC15" s="1869"/>
      <c r="AD15" s="1869"/>
      <c r="AE15" s="1869"/>
      <c r="AF15" s="1869"/>
      <c r="AG15" s="1869"/>
      <c r="AH15" s="1869"/>
      <c r="AI15" s="1869"/>
      <c r="AJ15" s="1869"/>
      <c r="AK15" s="1869"/>
      <c r="AL15" s="1869"/>
      <c r="AM15" s="1869"/>
      <c r="AN15" s="1869"/>
      <c r="AO15" s="24"/>
      <c r="AP15" s="24"/>
      <c r="AQ15" s="24"/>
      <c r="AR15" s="24"/>
      <c r="AS15" s="24"/>
      <c r="AT15" s="24"/>
    </row>
    <row r="16" spans="1:51" s="23" customFormat="1" ht="21" customHeight="1">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row>
    <row r="17" spans="1:60" s="23" customFormat="1" ht="16.5" customHeight="1">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G17" s="52"/>
      <c r="AH17" s="52"/>
      <c r="AL17" s="43"/>
      <c r="AM17" s="43"/>
      <c r="AN17" s="43"/>
      <c r="AO17" s="55"/>
      <c r="AP17" s="55"/>
      <c r="AQ17" s="55"/>
      <c r="AR17" s="55"/>
      <c r="AS17" s="55"/>
      <c r="AT17" s="44"/>
      <c r="AX17" s="42"/>
      <c r="AY17" s="161"/>
    </row>
    <row r="18" spans="1:60" s="68" customFormat="1" ht="18.75" customHeight="1">
      <c r="A18" s="66"/>
      <c r="B18" s="66"/>
      <c r="C18" s="66"/>
      <c r="D18" s="66"/>
      <c r="E18" s="66"/>
      <c r="F18" s="66"/>
      <c r="G18" s="66"/>
      <c r="H18" s="66"/>
      <c r="I18" s="66"/>
      <c r="J18" s="66"/>
      <c r="K18" s="66"/>
      <c r="L18" s="66"/>
      <c r="M18" s="66"/>
      <c r="N18" s="66"/>
      <c r="O18" s="66"/>
      <c r="P18" s="66"/>
      <c r="Q18" s="66"/>
      <c r="R18" s="66"/>
      <c r="S18" s="66"/>
      <c r="T18" s="66"/>
      <c r="U18" s="66"/>
      <c r="V18" s="66"/>
      <c r="W18" s="66"/>
      <c r="X18" s="66"/>
      <c r="Y18" s="66"/>
      <c r="Z18" s="66"/>
      <c r="AA18" s="66"/>
      <c r="AB18" s="66"/>
      <c r="AC18" s="66"/>
      <c r="AD18" s="66"/>
      <c r="AE18" s="66"/>
      <c r="AG18" s="24"/>
      <c r="AH18" s="24"/>
      <c r="AL18" s="2"/>
      <c r="AM18" s="2"/>
      <c r="AN18" s="2"/>
      <c r="AO18" s="138"/>
      <c r="AP18" s="138"/>
      <c r="AQ18" s="138"/>
      <c r="AR18" s="138"/>
      <c r="AS18" s="138"/>
      <c r="AT18" s="139"/>
    </row>
    <row r="19" spans="1:60" s="68" customFormat="1" ht="22.5" customHeight="1">
      <c r="A19" s="66"/>
      <c r="B19" s="66"/>
      <c r="C19" s="66"/>
      <c r="D19" s="66"/>
      <c r="E19" s="66"/>
      <c r="F19" s="66"/>
      <c r="G19" s="66"/>
      <c r="H19" s="66"/>
      <c r="I19" s="66"/>
      <c r="J19" s="66"/>
      <c r="K19" s="66"/>
      <c r="L19" s="66"/>
      <c r="M19" s="66"/>
      <c r="N19" s="66"/>
      <c r="O19" s="66"/>
      <c r="P19" s="66"/>
      <c r="Q19" s="66"/>
      <c r="R19" s="66"/>
      <c r="S19" s="66"/>
      <c r="T19" s="66"/>
      <c r="U19" s="66"/>
      <c r="V19" s="66"/>
      <c r="W19" s="66"/>
      <c r="X19" s="66"/>
      <c r="Y19" s="66"/>
      <c r="Z19" s="66"/>
      <c r="AA19" s="66"/>
      <c r="AB19" s="66"/>
      <c r="AC19" s="1870"/>
      <c r="AD19" s="1870"/>
      <c r="AE19" s="1870"/>
      <c r="AF19" s="1870"/>
      <c r="AG19" s="1870"/>
      <c r="AH19" s="1870"/>
      <c r="AI19" s="1870"/>
      <c r="AJ19" s="1870"/>
      <c r="AK19" s="1870"/>
      <c r="AL19" s="1870"/>
      <c r="AM19" s="1870"/>
      <c r="AN19" s="1870"/>
      <c r="AO19" s="1870"/>
      <c r="AP19" s="1870"/>
      <c r="AQ19" s="138"/>
      <c r="AR19" s="138"/>
      <c r="AS19" s="138"/>
      <c r="AT19" s="139"/>
    </row>
    <row r="20" spans="1:60" s="68" customFormat="1" ht="82.5" customHeight="1">
      <c r="A20" s="66"/>
      <c r="B20" s="66"/>
      <c r="C20" s="66"/>
      <c r="D20" s="66"/>
      <c r="E20" s="66"/>
      <c r="F20" s="66"/>
      <c r="G20" s="66"/>
      <c r="H20" s="66"/>
      <c r="I20" s="66"/>
      <c r="J20" s="66"/>
      <c r="K20" s="66"/>
      <c r="L20" s="66"/>
      <c r="M20" s="66"/>
      <c r="N20" s="66"/>
      <c r="O20" s="66"/>
      <c r="P20" s="66"/>
      <c r="Q20" s="66"/>
      <c r="R20" s="66"/>
      <c r="S20" s="66"/>
      <c r="T20" s="66"/>
      <c r="U20" s="66"/>
      <c r="V20" s="66"/>
      <c r="W20" s="66"/>
      <c r="X20" s="66"/>
      <c r="Y20" s="66"/>
      <c r="Z20" s="66"/>
      <c r="AA20" s="66"/>
      <c r="AB20" s="66"/>
      <c r="AC20" s="66"/>
      <c r="AD20" s="66"/>
      <c r="AE20" s="1870"/>
      <c r="AF20" s="1870"/>
      <c r="AG20" s="1870"/>
      <c r="AH20" s="1870"/>
      <c r="AI20" s="1870"/>
      <c r="AJ20" s="1870"/>
      <c r="AK20" s="1870"/>
      <c r="AL20" s="1870"/>
      <c r="AM20" s="1870"/>
      <c r="AN20" s="1870"/>
      <c r="AO20" s="1870"/>
      <c r="AP20" s="138"/>
      <c r="AQ20" s="138"/>
      <c r="AR20" s="138"/>
      <c r="AS20" s="138"/>
      <c r="AT20" s="139"/>
    </row>
    <row r="21" spans="1:60" s="71" customFormat="1" ht="17.25" customHeight="1">
      <c r="B21" s="921" t="str">
        <f>Valuation!A95</f>
        <v>gyj¨vqbKvix Kg©KZv©</v>
      </c>
      <c r="C21" s="921"/>
      <c r="D21" s="921"/>
      <c r="E21" s="921"/>
      <c r="F21" s="921"/>
      <c r="G21" s="921"/>
      <c r="H21" s="921"/>
      <c r="I21" s="921"/>
      <c r="J21" s="921"/>
      <c r="K21" s="921"/>
      <c r="L21" s="921"/>
      <c r="M21" s="921"/>
      <c r="N21" s="921"/>
      <c r="O21" s="921"/>
      <c r="P21" s="921"/>
      <c r="AC21" s="1867" t="s">
        <v>162</v>
      </c>
      <c r="AD21" s="1867"/>
      <c r="AE21" s="1867"/>
      <c r="AF21" s="1867"/>
      <c r="AG21" s="1867"/>
      <c r="AH21" s="1867"/>
      <c r="AI21" s="1867"/>
      <c r="AJ21" s="1867"/>
      <c r="AK21" s="1867"/>
      <c r="AL21" s="1867"/>
      <c r="AM21" s="1867"/>
      <c r="AN21" s="1867"/>
      <c r="AO21" s="1867"/>
      <c r="AP21" s="1867"/>
      <c r="AQ21" s="1867"/>
      <c r="AW21" s="65"/>
      <c r="AX21" s="65"/>
      <c r="AY21" s="65"/>
      <c r="AZ21" s="65"/>
      <c r="BA21" s="65"/>
      <c r="BB21" s="65"/>
      <c r="BC21" s="65"/>
      <c r="BD21" s="65"/>
      <c r="BE21" s="65"/>
      <c r="BF21" s="65"/>
      <c r="BG21" s="65"/>
      <c r="BH21" s="65"/>
    </row>
    <row r="22" spans="1:60" s="71" customFormat="1" ht="17.25" customHeight="1">
      <c r="B22" s="140"/>
      <c r="F22" s="141"/>
      <c r="G22" s="141"/>
      <c r="H22" s="141"/>
      <c r="I22" s="141"/>
      <c r="J22" s="141"/>
      <c r="K22" s="141"/>
      <c r="L22" s="141"/>
      <c r="M22" s="141"/>
      <c r="AC22" s="1867"/>
      <c r="AD22" s="1867"/>
      <c r="AE22" s="1867"/>
      <c r="AF22" s="1867"/>
      <c r="AG22" s="1867"/>
      <c r="AH22" s="1867"/>
      <c r="AI22" s="1867"/>
      <c r="AJ22" s="1867"/>
      <c r="AK22" s="1867"/>
      <c r="AL22" s="1867"/>
      <c r="AM22" s="1867"/>
      <c r="AN22" s="1867"/>
      <c r="AO22" s="1867"/>
      <c r="AP22" s="1867"/>
      <c r="AQ22" s="1867"/>
      <c r="AW22" s="65"/>
      <c r="AX22" s="65"/>
      <c r="AY22" s="65"/>
      <c r="AZ22" s="65"/>
      <c r="BA22" s="65"/>
      <c r="BB22" s="65"/>
      <c r="BC22" s="65"/>
      <c r="BD22" s="65"/>
      <c r="BE22" s="65"/>
      <c r="BF22" s="65"/>
      <c r="BG22" s="65"/>
      <c r="BH22" s="65"/>
    </row>
    <row r="23" spans="1:60" s="71" customFormat="1" ht="17.25" customHeight="1">
      <c r="B23" s="140"/>
      <c r="C23" s="1055"/>
      <c r="D23" s="1055"/>
      <c r="E23" s="1055"/>
      <c r="F23" s="141"/>
      <c r="G23" s="141"/>
      <c r="H23" s="141"/>
      <c r="I23" s="141"/>
      <c r="J23" s="141"/>
      <c r="K23" s="141"/>
      <c r="L23" s="141"/>
      <c r="M23" s="141"/>
      <c r="AC23" s="1867"/>
      <c r="AD23" s="1867"/>
      <c r="AE23" s="1867"/>
      <c r="AF23" s="1867"/>
      <c r="AG23" s="1867"/>
      <c r="AH23" s="1867"/>
      <c r="AI23" s="1867"/>
      <c r="AJ23" s="1867"/>
      <c r="AK23" s="1867"/>
      <c r="AL23" s="1867"/>
      <c r="AM23" s="1867"/>
      <c r="AN23" s="1867"/>
      <c r="AO23" s="1867"/>
      <c r="AP23" s="1867"/>
      <c r="AQ23" s="1867"/>
      <c r="AW23" s="65"/>
      <c r="AX23" s="65"/>
      <c r="AY23" s="65"/>
      <c r="AZ23" s="65"/>
      <c r="BA23" s="65"/>
      <c r="BB23" s="65"/>
      <c r="BC23" s="65"/>
      <c r="BD23" s="65"/>
      <c r="BE23" s="65"/>
      <c r="BF23" s="65"/>
      <c r="BG23" s="65"/>
      <c r="BH23" s="65"/>
    </row>
    <row r="24" spans="1:60" s="71" customFormat="1" ht="17.25" customHeight="1">
      <c r="B24" s="140"/>
      <c r="C24" s="64"/>
      <c r="D24" s="64"/>
      <c r="E24" s="64"/>
      <c r="F24" s="141"/>
      <c r="G24" s="141"/>
      <c r="H24" s="141"/>
      <c r="I24" s="141"/>
      <c r="J24" s="141"/>
      <c r="K24" s="141"/>
      <c r="L24" s="141"/>
      <c r="M24" s="141"/>
      <c r="AC24" s="1890"/>
      <c r="AD24" s="1890"/>
      <c r="AE24" s="1890"/>
      <c r="AF24" s="1890"/>
      <c r="AG24" s="1890"/>
      <c r="AH24" s="1890"/>
      <c r="AI24" s="1890"/>
      <c r="AJ24" s="1890"/>
      <c r="AK24" s="1890"/>
      <c r="AL24" s="1890"/>
      <c r="AM24" s="1890"/>
      <c r="AN24" s="1890"/>
      <c r="AO24" s="1890"/>
      <c r="AP24" s="1890"/>
      <c r="AQ24" s="1890"/>
      <c r="AW24" s="65"/>
      <c r="AX24" s="65"/>
      <c r="AY24" s="65"/>
      <c r="AZ24" s="65"/>
      <c r="BA24" s="142"/>
      <c r="BB24" s="142"/>
      <c r="BC24" s="142"/>
      <c r="BD24" s="142"/>
    </row>
    <row r="25" spans="1:60" s="71" customFormat="1" ht="18.75" customHeight="1">
      <c r="B25" s="140"/>
      <c r="C25" s="64"/>
      <c r="D25" s="64"/>
      <c r="E25" s="64"/>
      <c r="F25" s="141"/>
      <c r="G25" s="141"/>
      <c r="H25" s="141"/>
      <c r="I25" s="141"/>
      <c r="J25" s="141"/>
      <c r="K25" s="141"/>
      <c r="L25" s="141"/>
      <c r="M25" s="141"/>
      <c r="AW25" s="65"/>
      <c r="AX25" s="65"/>
      <c r="AY25" s="65"/>
      <c r="AZ25" s="65"/>
      <c r="BA25" s="142"/>
      <c r="BB25" s="142"/>
      <c r="BC25" s="142"/>
      <c r="BD25" s="142"/>
    </row>
    <row r="26" spans="1:60" s="1" customFormat="1" ht="18.75" customHeight="1">
      <c r="B26" s="54"/>
      <c r="C26" s="1866"/>
      <c r="D26" s="1866"/>
      <c r="E26" s="1866"/>
      <c r="F26" s="51"/>
      <c r="G26" s="51"/>
      <c r="H26" s="51"/>
      <c r="I26" s="51"/>
      <c r="J26" s="51"/>
      <c r="K26" s="51"/>
      <c r="L26" s="51"/>
      <c r="M26" s="51"/>
      <c r="AW26"/>
      <c r="AX26"/>
      <c r="AY26"/>
      <c r="AZ26"/>
      <c r="BA26" s="60"/>
      <c r="BB26" s="60"/>
      <c r="BC26" s="60"/>
      <c r="BD26" s="60"/>
    </row>
    <row r="27" spans="1:60" s="1" customFormat="1" ht="18.75" customHeight="1">
      <c r="B27" s="54"/>
      <c r="C27" s="1866"/>
      <c r="D27" s="1866"/>
      <c r="E27" s="1866"/>
      <c r="F27" s="51"/>
      <c r="G27" s="51"/>
      <c r="H27" s="51"/>
      <c r="I27" s="51"/>
      <c r="J27" s="51"/>
      <c r="K27" s="51"/>
      <c r="L27" s="51"/>
      <c r="M27" s="51"/>
      <c r="AW27"/>
      <c r="AX27"/>
      <c r="AY27"/>
      <c r="AZ27"/>
      <c r="BA27" s="60"/>
      <c r="BB27" s="60"/>
      <c r="BC27" s="60"/>
      <c r="BD27" s="60"/>
    </row>
    <row r="28" spans="1:60" s="1" customFormat="1" ht="11.25" customHeight="1">
      <c r="B28" s="54"/>
      <c r="F28" s="51"/>
      <c r="G28" s="51"/>
      <c r="H28" s="51"/>
      <c r="I28" s="51"/>
      <c r="J28" s="51"/>
      <c r="K28" s="51"/>
      <c r="L28" s="51"/>
      <c r="M28" s="51"/>
    </row>
    <row r="29" spans="1:60" s="1" customFormat="1" ht="18.75" customHeight="1">
      <c r="B29" s="54"/>
      <c r="F29" s="51"/>
      <c r="G29" s="51"/>
      <c r="H29" s="51"/>
      <c r="I29" s="51"/>
      <c r="J29" s="51"/>
      <c r="K29" s="51"/>
      <c r="L29" s="51"/>
      <c r="M29" s="51"/>
    </row>
    <row r="30" spans="1:60" s="1" customFormat="1" ht="18.75" customHeight="1">
      <c r="A30" s="30"/>
      <c r="B30" s="53"/>
      <c r="C30" s="51"/>
      <c r="D30" s="51"/>
      <c r="E30" s="51"/>
      <c r="F30" s="51"/>
      <c r="G30" s="51"/>
      <c r="H30" s="51"/>
      <c r="I30" s="51"/>
      <c r="J30" s="51"/>
      <c r="K30" s="51"/>
      <c r="L30" s="51"/>
      <c r="M30" s="51"/>
    </row>
    <row r="31" spans="1:60" s="1" customFormat="1" ht="18.75" customHeight="1">
      <c r="A31" s="30"/>
      <c r="B31" s="53"/>
      <c r="C31" s="51"/>
      <c r="D31" s="51"/>
      <c r="E31" s="51"/>
      <c r="F31" s="51"/>
      <c r="G31" s="51"/>
      <c r="H31" s="51"/>
      <c r="I31" s="51"/>
      <c r="J31" s="51"/>
      <c r="K31" s="51"/>
      <c r="L31" s="51"/>
      <c r="M31" s="51"/>
    </row>
    <row r="32" spans="1:60" s="1" customFormat="1" ht="18.75" customHeight="1">
      <c r="A32" s="30"/>
      <c r="B32" s="53"/>
    </row>
  </sheetData>
  <mergeCells count="19">
    <mergeCell ref="AC22:AQ22"/>
    <mergeCell ref="A1:AT1"/>
    <mergeCell ref="A2:AT2"/>
    <mergeCell ref="A3:AT3"/>
    <mergeCell ref="A4:AT4"/>
    <mergeCell ref="A5:AE5"/>
    <mergeCell ref="AL5:AN5"/>
    <mergeCell ref="AO5:AS5"/>
    <mergeCell ref="B21:P21"/>
    <mergeCell ref="A9:AT9"/>
    <mergeCell ref="E12:AN15"/>
    <mergeCell ref="AC19:AP19"/>
    <mergeCell ref="AE20:AO20"/>
    <mergeCell ref="AC21:AQ21"/>
    <mergeCell ref="C23:E23"/>
    <mergeCell ref="AC23:AQ23"/>
    <mergeCell ref="AC24:AQ24"/>
    <mergeCell ref="C26:E26"/>
    <mergeCell ref="C27:E27"/>
  </mergeCells>
  <pageMargins left="0.43307086614173229" right="0.43307086614173229" top="0.94488188976377963" bottom="0.94488188976377963" header="0.31496062992125984" footer="0.31496062992125984"/>
  <pageSetup paperSize="9" scale="89" fitToHeight="0" orientation="portrait" r:id="rId1"/>
  <headerFooter>
    <oddFooter>&amp;LPrepared By Tariqul Islam; &amp;Z&amp;F&amp;R&amp;"SutonnyMJ,Regular"evsjv‡`k K…wl e¨vsK, c„ôv &amp;P &amp;"-,Regular"of&amp;"SutonnyMJ,Regular" &amp;N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AFFFAF"/>
  </sheetPr>
  <dimension ref="A1:N34"/>
  <sheetViews>
    <sheetView view="pageBreakPreview" zoomScale="80" zoomScaleNormal="90" zoomScaleSheetLayoutView="80" workbookViewId="0">
      <selection activeCell="G22" sqref="G22"/>
    </sheetView>
  </sheetViews>
  <sheetFormatPr defaultRowHeight="15"/>
  <cols>
    <col min="1" max="1" width="7" customWidth="1"/>
    <col min="2" max="2" width="9.28515625" customWidth="1"/>
    <col min="3" max="3" width="2.7109375" customWidth="1"/>
    <col min="4" max="4" width="7.85546875" customWidth="1"/>
    <col min="5" max="5" width="7.7109375" customWidth="1"/>
    <col min="6" max="6" width="6.5703125" customWidth="1"/>
    <col min="7" max="7" width="7.7109375" customWidth="1"/>
    <col min="8" max="8" width="8.42578125" customWidth="1"/>
    <col min="9" max="9" width="3" customWidth="1"/>
    <col min="11" max="11" width="6.5703125" customWidth="1"/>
    <col min="13" max="13" width="7.5703125" customWidth="1"/>
    <col min="14" max="14" width="7.7109375" customWidth="1"/>
  </cols>
  <sheetData>
    <row r="1" spans="1:14" ht="40.5">
      <c r="A1" s="1904" t="s">
        <v>488</v>
      </c>
      <c r="B1" s="1904"/>
      <c r="C1" s="1904"/>
      <c r="D1" s="1904"/>
      <c r="E1" s="1904"/>
      <c r="F1" s="1904"/>
      <c r="G1" s="1904"/>
      <c r="H1" s="1904"/>
      <c r="I1" s="1904"/>
      <c r="J1" s="1904"/>
      <c r="K1" s="1904"/>
      <c r="L1" s="1904"/>
      <c r="M1" s="1904"/>
      <c r="N1" s="1904"/>
    </row>
    <row r="2" spans="1:14" ht="21.75">
      <c r="A2" s="1011" t="str">
        <f>+'Data Input'!D8</f>
        <v>‡gmvm© mvbd¬vIqvi †UBjvm© GÛ †dweªK&amp;ª</v>
      </c>
      <c r="B2" s="1011"/>
      <c r="C2" s="1011"/>
      <c r="D2" s="1011"/>
      <c r="E2" s="1011"/>
      <c r="F2" s="1011"/>
      <c r="G2" s="1011"/>
      <c r="H2" s="1011"/>
      <c r="I2" s="1011"/>
      <c r="J2" s="1011"/>
      <c r="K2" s="1011"/>
      <c r="L2" s="1011"/>
      <c r="M2" s="1011"/>
      <c r="N2" s="1011"/>
    </row>
    <row r="3" spans="1:14" ht="21.75">
      <c r="A3" s="1905" t="str">
        <f>'Data Input'!B12&amp;" "&amp;'Data Input'!C12&amp;" "&amp;'Data Input'!D12&amp;""</f>
        <v>‡cÖvcvBUi t ‡gvt Rwb</v>
      </c>
      <c r="B3" s="1905"/>
      <c r="C3" s="1905"/>
      <c r="D3" s="1905"/>
      <c r="E3" s="1905"/>
      <c r="F3" s="1905"/>
      <c r="G3" s="1905"/>
      <c r="H3" s="1905"/>
      <c r="I3" s="1905"/>
      <c r="J3" s="1905"/>
      <c r="K3" s="1905"/>
      <c r="L3" s="1905"/>
      <c r="M3" s="1905"/>
      <c r="N3" s="1905"/>
    </row>
    <row r="4" spans="1:14" ht="21.75">
      <c r="A4" s="1905" t="str">
        <f>+'Data Input'!D9</f>
        <v>`vcv B`ªvKcyi, dZzjøv, bvivqYMÄ</v>
      </c>
      <c r="B4" s="1905"/>
      <c r="C4" s="1905"/>
      <c r="D4" s="1905"/>
      <c r="E4" s="1905"/>
      <c r="F4" s="1905"/>
      <c r="G4" s="1905"/>
      <c r="H4" s="1905"/>
      <c r="I4" s="1905"/>
      <c r="J4" s="1905"/>
      <c r="K4" s="1905"/>
      <c r="L4" s="1905"/>
      <c r="M4" s="1905"/>
      <c r="N4" s="1905"/>
    </row>
    <row r="5" spans="1:14" ht="15.75">
      <c r="A5" s="34"/>
      <c r="B5" s="34"/>
    </row>
    <row r="6" spans="1:14" ht="21.75">
      <c r="A6" s="93"/>
      <c r="B6" s="93"/>
    </row>
    <row r="7" spans="1:14">
      <c r="A7" s="17"/>
      <c r="B7" s="17"/>
    </row>
    <row r="9" spans="1:14" ht="21.75">
      <c r="D9" s="128"/>
      <c r="E9" s="128"/>
      <c r="F9" s="128"/>
      <c r="G9" s="128"/>
      <c r="H9" s="128"/>
      <c r="I9" s="128"/>
      <c r="J9" s="128"/>
      <c r="K9" s="128"/>
    </row>
    <row r="10" spans="1:14" ht="21.75">
      <c r="A10" s="124"/>
      <c r="B10" s="124"/>
      <c r="C10" s="128"/>
      <c r="D10" s="749"/>
      <c r="E10" s="128"/>
      <c r="F10" s="128"/>
      <c r="G10" s="128"/>
      <c r="H10" s="128"/>
      <c r="I10" s="128"/>
      <c r="J10" s="128"/>
      <c r="K10" s="128"/>
    </row>
    <row r="11" spans="1:14" ht="21.75" customHeight="1">
      <c r="A11" s="1898" t="s">
        <v>1186</v>
      </c>
      <c r="B11" s="1899"/>
      <c r="C11" s="754"/>
      <c r="D11" s="77"/>
      <c r="E11" s="746"/>
      <c r="F11" s="128"/>
      <c r="G11" s="128"/>
      <c r="H11" s="128"/>
      <c r="I11" s="128"/>
      <c r="J11" s="128"/>
      <c r="K11" s="128"/>
    </row>
    <row r="12" spans="1:14" ht="15" customHeight="1">
      <c r="A12" s="1901"/>
      <c r="B12" s="1902"/>
      <c r="C12" s="754"/>
      <c r="D12" s="77"/>
      <c r="E12" s="18"/>
      <c r="H12" s="747"/>
    </row>
    <row r="13" spans="1:14" ht="21.75">
      <c r="A13" s="124"/>
      <c r="B13" s="124"/>
      <c r="D13" s="747"/>
      <c r="H13" s="747"/>
    </row>
    <row r="14" spans="1:14" ht="21.75">
      <c r="A14" s="124"/>
      <c r="B14" s="124"/>
      <c r="D14" s="747"/>
      <c r="H14" s="747"/>
    </row>
    <row r="15" spans="1:14" ht="22.5" thickBot="1">
      <c r="A15" s="124"/>
      <c r="B15" s="124"/>
      <c r="C15" s="19"/>
      <c r="E15" s="18"/>
      <c r="H15" s="747"/>
    </row>
    <row r="16" spans="1:14" ht="42" customHeight="1">
      <c r="A16" s="125"/>
      <c r="B16" s="125"/>
      <c r="D16" s="20"/>
      <c r="E16" s="49"/>
      <c r="F16" s="49"/>
      <c r="G16" s="49"/>
      <c r="H16" s="19"/>
      <c r="J16" s="1906" t="s">
        <v>0</v>
      </c>
      <c r="K16" s="1907"/>
      <c r="L16" s="1908"/>
    </row>
    <row r="17" spans="1:12" ht="20.25" thickBot="1">
      <c r="A17" s="126"/>
      <c r="B17" s="126"/>
      <c r="H17" s="747"/>
      <c r="J17" s="1895" t="str">
        <f>+'Data Input'!D2</f>
        <v>wmw×iMÄ kvLv, bvivqYMÄ</v>
      </c>
      <c r="K17" s="1896"/>
      <c r="L17" s="1897"/>
    </row>
    <row r="18" spans="1:12" ht="19.5">
      <c r="A18" s="123"/>
      <c r="B18" s="123"/>
      <c r="H18" s="747"/>
    </row>
    <row r="19" spans="1:12" ht="15.75" customHeight="1">
      <c r="A19" s="125"/>
      <c r="B19" s="125"/>
      <c r="H19" s="747"/>
    </row>
    <row r="20" spans="1:12" ht="21.75" customHeight="1">
      <c r="E20" s="429"/>
      <c r="F20" s="429"/>
      <c r="G20" s="429"/>
      <c r="H20" s="748"/>
      <c r="I20" s="429"/>
      <c r="J20" s="1898" t="str">
        <f>+'Data Input'!D8</f>
        <v>‡gmvm© mvbd¬vIqvi †UBjvm© GÛ †dweªK&amp;ª</v>
      </c>
      <c r="K20" s="1899"/>
      <c r="L20" s="1900"/>
    </row>
    <row r="21" spans="1:12" ht="21.75">
      <c r="E21" s="429"/>
      <c r="F21" s="429"/>
      <c r="G21" s="429"/>
      <c r="H21" s="748"/>
      <c r="I21" s="429"/>
      <c r="J21" s="1901"/>
      <c r="K21" s="1902"/>
      <c r="L21" s="1903"/>
    </row>
    <row r="22" spans="1:12" ht="21.75">
      <c r="A22" s="128"/>
      <c r="B22" s="128"/>
      <c r="C22" s="128"/>
      <c r="D22" s="128"/>
      <c r="E22" s="128"/>
      <c r="F22" s="429"/>
      <c r="G22" s="429"/>
      <c r="H22" s="748"/>
      <c r="I22" s="429"/>
    </row>
    <row r="23" spans="1:12" ht="21.75">
      <c r="A23" s="124"/>
      <c r="B23" s="124"/>
      <c r="H23" s="747"/>
      <c r="J23" s="123"/>
      <c r="K23" s="123"/>
      <c r="L23" s="123"/>
    </row>
    <row r="24" spans="1:12" ht="12.75" customHeight="1">
      <c r="A24" s="127"/>
      <c r="B24" s="127"/>
      <c r="H24" s="747"/>
    </row>
    <row r="25" spans="1:12" ht="21.75">
      <c r="A25" s="124"/>
      <c r="B25" s="124"/>
    </row>
    <row r="26" spans="1:12" ht="21.75">
      <c r="A26" s="124"/>
      <c r="B26" s="124"/>
    </row>
    <row r="27" spans="1:12" ht="21.75">
      <c r="A27" s="124"/>
      <c r="B27" s="124"/>
    </row>
    <row r="28" spans="1:12" ht="21.75">
      <c r="A28" s="124"/>
      <c r="B28" s="124"/>
    </row>
    <row r="31" spans="1:12" ht="15.75" customHeight="1"/>
    <row r="32" spans="1:12" ht="15" customHeight="1"/>
    <row r="33" ht="15" customHeight="1"/>
    <row r="34" ht="15.75" customHeight="1"/>
  </sheetData>
  <mergeCells count="8">
    <mergeCell ref="J17:L17"/>
    <mergeCell ref="J20:L21"/>
    <mergeCell ref="A1:N1"/>
    <mergeCell ref="A2:N2"/>
    <mergeCell ref="A3:N3"/>
    <mergeCell ref="A4:N4"/>
    <mergeCell ref="J16:L16"/>
    <mergeCell ref="A11:B12"/>
  </mergeCells>
  <pageMargins left="0.7" right="0.7" top="0.75" bottom="0.75" header="0.3" footer="0.3"/>
  <pageSetup paperSize="9" scale="86" orientation="portrait" r:id="rId1"/>
  <colBreaks count="1" manualBreakCount="1">
    <brk id="14" max="1048575" man="1"/>
  </colBreak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FF0000"/>
    <pageSetUpPr fitToPage="1"/>
  </sheetPr>
  <dimension ref="A1:BI53"/>
  <sheetViews>
    <sheetView showGridLines="0" view="pageBreakPreview" zoomScaleSheetLayoutView="100" workbookViewId="0">
      <selection activeCell="AE47" sqref="AE47:AN47"/>
    </sheetView>
  </sheetViews>
  <sheetFormatPr defaultRowHeight="18" customHeight="1"/>
  <cols>
    <col min="1" max="1" width="2.85546875" style="72" customWidth="1"/>
    <col min="2" max="4" width="2.28515625" style="72" customWidth="1"/>
    <col min="5" max="5" width="3.42578125" style="72" customWidth="1"/>
    <col min="6" max="8" width="2.28515625" style="72" customWidth="1"/>
    <col min="9" max="24" width="2.140625" style="72" customWidth="1"/>
    <col min="25" max="26" width="2.42578125" style="72" customWidth="1"/>
    <col min="27" max="30" width="2.140625" style="72" customWidth="1"/>
    <col min="31" max="32" width="2.28515625" style="72" customWidth="1"/>
    <col min="33" max="33" width="4" style="72" customWidth="1"/>
    <col min="34" max="34" width="3.42578125" style="72" customWidth="1"/>
    <col min="35" max="35" width="3.7109375" style="72" customWidth="1"/>
    <col min="36" max="36" width="3" style="72" customWidth="1"/>
    <col min="37" max="39" width="2.28515625" style="72" customWidth="1"/>
    <col min="40" max="40" width="3.28515625" style="72" customWidth="1"/>
    <col min="41" max="43" width="2.28515625" style="72" customWidth="1"/>
    <col min="44" max="44" width="7.85546875" style="72" bestFit="1" customWidth="1"/>
    <col min="45" max="45" width="2.28515625" style="72" customWidth="1"/>
    <col min="46" max="16384" width="9.140625" style="72"/>
  </cols>
  <sheetData>
    <row r="1" spans="1:46" customFormat="1" ht="19.5" customHeight="1">
      <c r="A1" s="130"/>
      <c r="D1" s="194"/>
      <c r="F1" s="194"/>
      <c r="G1" s="194"/>
      <c r="H1" s="72"/>
      <c r="I1" s="217"/>
      <c r="J1" s="217"/>
      <c r="K1" s="217"/>
      <c r="L1" s="217"/>
      <c r="M1" s="1927" t="s">
        <v>0</v>
      </c>
      <c r="N1" s="1927"/>
      <c r="O1" s="1927"/>
      <c r="P1" s="1927"/>
      <c r="Q1" s="1927"/>
      <c r="R1" s="1927"/>
      <c r="S1" s="1927"/>
      <c r="T1" s="1927"/>
      <c r="U1" s="1927"/>
      <c r="V1" s="1927"/>
      <c r="W1" s="1927"/>
      <c r="X1" s="1927"/>
      <c r="Y1" s="1927"/>
      <c r="Z1" s="1927"/>
      <c r="AA1" s="1927"/>
      <c r="AB1" s="1927"/>
      <c r="AC1" s="220"/>
      <c r="AD1" s="216"/>
      <c r="AE1" s="1913" t="s">
        <v>575</v>
      </c>
      <c r="AF1" s="1913"/>
      <c r="AG1" s="1913"/>
      <c r="AH1" s="1913"/>
      <c r="AI1" s="1913"/>
      <c r="AJ1" s="1913"/>
      <c r="AK1" s="1913"/>
      <c r="AL1" s="1913"/>
      <c r="AM1" s="1913"/>
      <c r="AN1" s="1913"/>
    </row>
    <row r="2" spans="1:46" customFormat="1" ht="15" customHeight="1">
      <c r="A2" s="130"/>
      <c r="C2" s="194"/>
      <c r="D2" s="194"/>
      <c r="F2" s="194"/>
      <c r="G2" s="194"/>
      <c r="H2" s="217"/>
      <c r="I2" s="217"/>
      <c r="J2" s="217"/>
      <c r="K2" s="217"/>
      <c r="L2" s="217"/>
      <c r="M2" s="1927"/>
      <c r="N2" s="1927"/>
      <c r="O2" s="1927"/>
      <c r="P2" s="1927"/>
      <c r="Q2" s="1927"/>
      <c r="R2" s="1927"/>
      <c r="S2" s="1927"/>
      <c r="T2" s="1927"/>
      <c r="U2" s="1927"/>
      <c r="V2" s="1927"/>
      <c r="W2" s="1927"/>
      <c r="X2" s="1927"/>
      <c r="Y2" s="1927"/>
      <c r="Z2" s="1927"/>
      <c r="AA2" s="1927"/>
      <c r="AB2" s="1927"/>
      <c r="AC2" s="221"/>
      <c r="AD2" s="218"/>
      <c r="AE2" s="1914" t="s">
        <v>607</v>
      </c>
      <c r="AF2" s="1914"/>
      <c r="AG2" s="1914"/>
      <c r="AH2" s="1914"/>
      <c r="AI2" s="1914"/>
      <c r="AJ2" s="1914"/>
      <c r="AK2" s="1914"/>
      <c r="AL2" s="1914"/>
      <c r="AM2" s="1914"/>
      <c r="AN2" s="1914"/>
    </row>
    <row r="3" spans="1:46" customFormat="1" ht="11.25" customHeight="1">
      <c r="A3" s="130"/>
      <c r="B3" s="134"/>
      <c r="D3" s="24"/>
      <c r="F3" s="24"/>
      <c r="G3" s="24"/>
      <c r="I3" s="77"/>
      <c r="J3" s="77"/>
      <c r="K3" s="72"/>
      <c r="L3" s="77"/>
      <c r="M3" s="72"/>
      <c r="N3" s="1925" t="str">
        <f>+'Data Input'!D2</f>
        <v>wmw×iMÄ kvLv, bvivqYMÄ</v>
      </c>
      <c r="O3" s="1925"/>
      <c r="P3" s="1925"/>
      <c r="Q3" s="1925"/>
      <c r="R3" s="1925"/>
      <c r="S3" s="1925"/>
      <c r="T3" s="1925"/>
      <c r="U3" s="1925"/>
      <c r="V3" s="1925"/>
      <c r="W3" s="1925"/>
      <c r="X3" s="1925"/>
      <c r="Y3" s="1925"/>
      <c r="Z3" s="1925"/>
      <c r="AA3" s="1925"/>
      <c r="AB3" s="1925"/>
      <c r="AC3" s="222"/>
      <c r="AD3" s="219"/>
      <c r="AE3" s="1915" t="str">
        <f>'Data Input'!D3</f>
        <v>Mobile: 01730-708739</v>
      </c>
      <c r="AF3" s="1915"/>
      <c r="AG3" s="1915"/>
      <c r="AH3" s="1915"/>
      <c r="AI3" s="1915"/>
      <c r="AJ3" s="1915"/>
      <c r="AK3" s="1915"/>
      <c r="AL3" s="1915"/>
      <c r="AM3" s="1915"/>
      <c r="AN3" s="1915"/>
    </row>
    <row r="4" spans="1:46" customFormat="1" ht="15" customHeight="1">
      <c r="A4" s="130"/>
      <c r="B4" s="134"/>
      <c r="C4" s="24"/>
      <c r="D4" s="24"/>
      <c r="F4" s="24"/>
      <c r="G4" s="24"/>
      <c r="H4" s="77"/>
      <c r="I4" s="77"/>
      <c r="J4" s="77"/>
      <c r="K4" s="77"/>
      <c r="L4" s="77"/>
      <c r="M4" s="77"/>
      <c r="N4" s="1926"/>
      <c r="O4" s="1926"/>
      <c r="P4" s="1926"/>
      <c r="Q4" s="1926"/>
      <c r="R4" s="1926"/>
      <c r="S4" s="1926"/>
      <c r="T4" s="1926"/>
      <c r="U4" s="1926"/>
      <c r="V4" s="1926"/>
      <c r="W4" s="1926"/>
      <c r="X4" s="1926"/>
      <c r="Y4" s="1926"/>
      <c r="Z4" s="1926"/>
      <c r="AA4" s="1926"/>
      <c r="AB4" s="1926"/>
      <c r="AC4" s="223"/>
      <c r="AD4" s="1916" t="str">
        <f>+'Data Input'!D4</f>
        <v>mgrsiddhirgonj@krishibank.org.bd</v>
      </c>
      <c r="AE4" s="1916"/>
      <c r="AF4" s="1916"/>
      <c r="AG4" s="1916"/>
      <c r="AH4" s="1916"/>
      <c r="AI4" s="1916"/>
      <c r="AJ4" s="1916"/>
      <c r="AK4" s="1916"/>
      <c r="AL4" s="1916"/>
      <c r="AM4" s="1916"/>
      <c r="AN4" s="1916"/>
    </row>
    <row r="5" spans="1:46" s="23" customFormat="1" ht="16.5" customHeight="1">
      <c r="A5" s="1918" t="str">
        <f>"   "&amp;'Data Input'!B5&amp;""&amp;'Data Input'!D5</f>
        <v xml:space="preserve">   FY †KBm bs64(wmGgGmGgB)/2024-25 </v>
      </c>
      <c r="B5" s="1919"/>
      <c r="C5" s="1919"/>
      <c r="D5" s="1919"/>
      <c r="E5" s="1919"/>
      <c r="F5" s="1919"/>
      <c r="G5" s="1919"/>
      <c r="H5" s="1919"/>
      <c r="I5" s="1919"/>
      <c r="J5" s="1919"/>
      <c r="K5" s="1919"/>
      <c r="L5" s="1919"/>
      <c r="M5" s="1919"/>
      <c r="N5" s="1919"/>
      <c r="O5" s="1919"/>
      <c r="P5" s="1919"/>
      <c r="Q5" s="1919"/>
      <c r="R5" s="1919"/>
      <c r="S5" s="1919"/>
      <c r="T5" s="1919"/>
      <c r="U5" s="1919"/>
      <c r="V5" s="1919"/>
      <c r="W5" s="1919"/>
      <c r="X5" s="1919"/>
      <c r="Y5" s="1919"/>
      <c r="Z5" s="1919"/>
      <c r="AA5" s="1919"/>
      <c r="AB5" s="1919"/>
      <c r="AC5" s="1919"/>
      <c r="AD5" s="1919"/>
      <c r="AE5" s="1919"/>
      <c r="AF5" s="1920"/>
      <c r="AG5" s="1920"/>
      <c r="AH5" s="1920"/>
      <c r="AI5" s="210"/>
      <c r="AJ5" s="210"/>
      <c r="AK5" s="1922" t="s">
        <v>439</v>
      </c>
      <c r="AL5" s="1922"/>
      <c r="AM5" s="1922"/>
      <c r="AN5" s="1923"/>
    </row>
    <row r="6" spans="1:46" s="23" customFormat="1" ht="5.25" customHeight="1">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30"/>
      <c r="AG6" s="30"/>
      <c r="AH6" s="30"/>
      <c r="AI6" s="111"/>
      <c r="AJ6" s="111"/>
      <c r="AK6" s="112"/>
      <c r="AL6" s="111"/>
      <c r="AM6" s="111"/>
      <c r="AN6" s="111"/>
    </row>
    <row r="7" spans="1:46" s="23" customFormat="1" ht="19.5">
      <c r="A7" s="1939" t="s">
        <v>404</v>
      </c>
      <c r="B7" s="1939"/>
      <c r="C7" s="1939"/>
      <c r="D7" s="1939"/>
      <c r="E7" s="1939"/>
      <c r="F7" s="1939"/>
      <c r="G7" s="1939"/>
      <c r="H7" s="1939"/>
      <c r="I7" s="1939"/>
      <c r="J7" s="1939"/>
      <c r="K7" s="1939"/>
      <c r="L7" s="1939"/>
      <c r="M7" s="1939"/>
      <c r="N7" s="1939"/>
      <c r="O7" s="1939"/>
      <c r="P7" s="1939"/>
      <c r="Q7" s="1939"/>
      <c r="R7" s="1939"/>
      <c r="S7" s="1939"/>
      <c r="T7" s="1939"/>
      <c r="U7" s="1939"/>
      <c r="V7" s="1939"/>
      <c r="W7" s="1939"/>
      <c r="X7" s="1939"/>
      <c r="Y7" s="1939"/>
      <c r="Z7" s="1939"/>
      <c r="AA7" s="1939"/>
      <c r="AB7" s="1939"/>
      <c r="AC7" s="1939"/>
      <c r="AD7" s="1939"/>
      <c r="AE7" s="1939"/>
      <c r="AF7" s="1939"/>
      <c r="AG7" s="1939"/>
      <c r="AH7" s="1939"/>
      <c r="AI7" s="1939"/>
      <c r="AJ7" s="1939"/>
      <c r="AK7" s="1939"/>
      <c r="AL7" s="1939"/>
      <c r="AM7" s="1939"/>
      <c r="AN7" s="1939"/>
    </row>
    <row r="8" spans="1:46" s="23" customFormat="1" ht="16.5" customHeight="1">
      <c r="A8" s="1940" t="s">
        <v>405</v>
      </c>
      <c r="B8" s="1940"/>
      <c r="C8" s="1940"/>
      <c r="D8" s="1940"/>
      <c r="E8" s="1940"/>
      <c r="F8" s="1940"/>
      <c r="G8" s="1940"/>
      <c r="H8" s="1940"/>
      <c r="I8" s="1940"/>
      <c r="J8" s="1940"/>
      <c r="K8" s="1940"/>
      <c r="L8" s="1940"/>
      <c r="M8" s="1940"/>
      <c r="N8" s="1940"/>
      <c r="O8" s="1940"/>
      <c r="P8" s="1940"/>
      <c r="Q8" s="1940"/>
      <c r="R8" s="1940"/>
      <c r="S8" s="1940"/>
      <c r="T8" s="1940"/>
      <c r="U8" s="1940"/>
      <c r="V8" s="1940"/>
      <c r="W8" s="1940"/>
      <c r="X8" s="1940"/>
      <c r="Y8" s="1940"/>
      <c r="Z8" s="1940"/>
      <c r="AA8" s="1940"/>
      <c r="AB8" s="1940"/>
      <c r="AC8" s="1940"/>
      <c r="AD8" s="1940"/>
      <c r="AE8" s="1940"/>
      <c r="AF8" s="1940"/>
      <c r="AG8" s="1940"/>
      <c r="AH8" s="1940"/>
      <c r="AI8" s="1940"/>
      <c r="AJ8" s="1940"/>
      <c r="AK8" s="1940"/>
      <c r="AL8" s="1940"/>
      <c r="AM8" s="1940"/>
      <c r="AN8" s="1940"/>
    </row>
    <row r="9" spans="1:46" s="31" customFormat="1" ht="9.75" customHeight="1">
      <c r="B9" s="36"/>
      <c r="C9" s="36"/>
      <c r="D9" s="36"/>
      <c r="E9" s="36"/>
      <c r="F9" s="36"/>
      <c r="G9" s="36"/>
      <c r="H9" s="36"/>
      <c r="I9" s="36"/>
      <c r="J9" s="36"/>
      <c r="K9" s="36"/>
    </row>
    <row r="10" spans="1:46" s="31" customFormat="1" ht="34.5" customHeight="1">
      <c r="A10" s="31" t="s">
        <v>23</v>
      </c>
      <c r="B10" s="1866" t="s">
        <v>443</v>
      </c>
      <c r="C10" s="1866"/>
      <c r="D10" s="1866"/>
      <c r="E10" s="1866"/>
      <c r="F10" s="1866"/>
      <c r="G10" s="1866"/>
      <c r="H10" s="1866"/>
      <c r="I10" s="1866"/>
      <c r="J10" s="31" t="s">
        <v>1</v>
      </c>
      <c r="K10" s="1924" t="str">
        <f>'Data Input'!D8&amp;",  ‡cÖvcvBUit "&amp;'Data Input'!D12</f>
        <v>‡gmvm© mvbd¬vIqvi †UBjvm© GÛ †dweªK&amp;ª,  ‡cÖvcvBUit ‡gvt Rwb</v>
      </c>
      <c r="L10" s="1924"/>
      <c r="M10" s="1924"/>
      <c r="N10" s="1924"/>
      <c r="O10" s="1924"/>
      <c r="P10" s="1924"/>
      <c r="Q10" s="1924"/>
      <c r="R10" s="1924"/>
      <c r="S10" s="1924"/>
      <c r="T10" s="1924"/>
      <c r="U10" s="1924"/>
      <c r="V10" s="1924"/>
      <c r="W10" s="1924"/>
      <c r="X10" s="1924"/>
      <c r="Y10" s="1924"/>
      <c r="Z10" s="1924"/>
      <c r="AA10" s="1924"/>
      <c r="AB10" s="1924"/>
      <c r="AC10" s="1924"/>
      <c r="AD10" s="1924"/>
      <c r="AE10" s="1921" t="s">
        <v>749</v>
      </c>
      <c r="AF10" s="1921"/>
      <c r="AG10" s="1921"/>
      <c r="AH10" s="1921"/>
      <c r="AI10" s="1921"/>
      <c r="AJ10" s="1921"/>
      <c r="AK10" s="1921"/>
      <c r="AL10" s="1921"/>
      <c r="AM10" s="1921"/>
      <c r="AN10" s="1921"/>
      <c r="AR10" s="31" t="s">
        <v>590</v>
      </c>
      <c r="AS10" s="1959">
        <v>700000</v>
      </c>
      <c r="AT10" s="1960"/>
    </row>
    <row r="11" spans="1:46" s="36" customFormat="1" ht="18" customHeight="1">
      <c r="A11" s="31" t="s">
        <v>406</v>
      </c>
      <c r="B11" s="1866" t="s">
        <v>58</v>
      </c>
      <c r="C11" s="1866"/>
      <c r="D11" s="1866"/>
      <c r="E11" s="1866"/>
      <c r="F11" s="1866"/>
      <c r="G11" s="1866"/>
      <c r="H11" s="1866"/>
      <c r="I11" s="1866"/>
      <c r="J11" s="31" t="s">
        <v>1</v>
      </c>
      <c r="K11" s="1924" t="str">
        <f>+'Data Input'!D17&amp;", Dc‡Rjvt "&amp;'Data Input'!D22&amp;", ‡Rjvt "&amp;'Data Input'!D23</f>
        <v>`vcv B`ªvKcyi, dZzjøv, bvivqYMÄ, Dc‡Rjvt bvivqYMÄ m`i, ‡Rjvt bvivqYMÄ</v>
      </c>
      <c r="L11" s="1924"/>
      <c r="M11" s="1924"/>
      <c r="N11" s="1924"/>
      <c r="O11" s="1924"/>
      <c r="P11" s="1924"/>
      <c r="Q11" s="1924"/>
      <c r="R11" s="1924"/>
      <c r="S11" s="1924"/>
      <c r="T11" s="1924"/>
      <c r="U11" s="1924"/>
      <c r="V11" s="1924"/>
      <c r="W11" s="1924"/>
      <c r="X11" s="1924"/>
      <c r="Y11" s="1924"/>
      <c r="Z11" s="1924"/>
      <c r="AA11" s="1924"/>
      <c r="AB11" s="1924"/>
      <c r="AC11" s="1924"/>
      <c r="AD11" s="1924"/>
      <c r="AE11" s="1921"/>
      <c r="AF11" s="1921"/>
      <c r="AG11" s="1921"/>
      <c r="AH11" s="1921"/>
      <c r="AI11" s="1921"/>
      <c r="AJ11" s="1921"/>
      <c r="AK11" s="1921"/>
      <c r="AL11" s="1921"/>
      <c r="AM11" s="1921"/>
      <c r="AN11" s="1921"/>
    </row>
    <row r="12" spans="1:46" s="36" customFormat="1" ht="18" customHeight="1">
      <c r="A12" s="31"/>
      <c r="B12" s="1917"/>
      <c r="C12" s="1917"/>
      <c r="D12" s="1917"/>
      <c r="E12" s="1917"/>
      <c r="F12" s="1917"/>
      <c r="G12" s="1917"/>
      <c r="H12" s="1917"/>
      <c r="I12" s="1917"/>
      <c r="J12" s="31"/>
      <c r="K12" s="1924"/>
      <c r="L12" s="1924"/>
      <c r="M12" s="1924"/>
      <c r="N12" s="1924"/>
      <c r="O12" s="1924"/>
      <c r="P12" s="1924"/>
      <c r="Q12" s="1924"/>
      <c r="R12" s="1924"/>
      <c r="S12" s="1924"/>
      <c r="T12" s="1924"/>
      <c r="U12" s="1924"/>
      <c r="V12" s="1924"/>
      <c r="W12" s="1924"/>
      <c r="X12" s="1924"/>
      <c r="Y12" s="1924"/>
      <c r="Z12" s="1924"/>
      <c r="AA12" s="1924"/>
      <c r="AB12" s="1924"/>
      <c r="AC12" s="1924"/>
      <c r="AD12" s="1924"/>
      <c r="AE12" s="31" t="s">
        <v>440</v>
      </c>
      <c r="AF12" s="31"/>
      <c r="AG12" s="31"/>
      <c r="AH12" s="31"/>
      <c r="AI12" s="31"/>
      <c r="AJ12" s="1964"/>
      <c r="AK12" s="1965"/>
      <c r="AL12" s="1965"/>
      <c r="AM12" s="1965"/>
      <c r="AN12" s="1965"/>
    </row>
    <row r="13" spans="1:46" s="36" customFormat="1" ht="18" customHeight="1">
      <c r="A13" s="31" t="s">
        <v>407</v>
      </c>
      <c r="B13" s="1866" t="s">
        <v>442</v>
      </c>
      <c r="C13" s="1866"/>
      <c r="D13" s="1866"/>
      <c r="E13" s="1866"/>
      <c r="F13" s="1866"/>
      <c r="G13" s="1866"/>
      <c r="H13" s="1866"/>
      <c r="I13" s="1866"/>
      <c r="J13" s="31" t="s">
        <v>1</v>
      </c>
      <c r="K13" s="1917" t="e">
        <f ca="1">AS10&amp;"/- ("&amp;ConvertCurrencyToBangla(AS10)&amp;" )"</f>
        <v>#NAME?</v>
      </c>
      <c r="L13" s="1917"/>
      <c r="M13" s="1917"/>
      <c r="N13" s="1917"/>
      <c r="O13" s="1917"/>
      <c r="P13" s="1917"/>
      <c r="Q13" s="1917"/>
      <c r="R13" s="1917"/>
      <c r="S13" s="1917"/>
      <c r="T13" s="1917"/>
      <c r="U13" s="1917"/>
      <c r="V13" s="1917"/>
      <c r="W13" s="1917"/>
      <c r="X13" s="1917"/>
      <c r="Y13" s="1917"/>
      <c r="Z13" s="1917"/>
      <c r="AA13" s="1917"/>
      <c r="AB13" s="1917"/>
      <c r="AC13" s="1917"/>
      <c r="AD13" s="1917"/>
      <c r="AE13" s="31"/>
      <c r="AF13" s="31"/>
      <c r="AG13" s="31"/>
      <c r="AH13" s="31"/>
      <c r="AI13" s="31"/>
      <c r="AJ13" s="31"/>
      <c r="AK13" s="31"/>
      <c r="AL13" s="31"/>
      <c r="AM13" s="31"/>
      <c r="AN13" s="31"/>
    </row>
    <row r="14" spans="1:46" s="36" customFormat="1" ht="20.25" customHeight="1">
      <c r="A14" s="31" t="s">
        <v>408</v>
      </c>
      <c r="B14" s="1866" t="s">
        <v>444</v>
      </c>
      <c r="C14" s="1866"/>
      <c r="D14" s="1866"/>
      <c r="E14" s="1866"/>
      <c r="F14" s="1866"/>
      <c r="G14" s="1866"/>
      <c r="H14" s="1866"/>
      <c r="I14" s="1866"/>
      <c r="J14" s="31" t="s">
        <v>1</v>
      </c>
      <c r="K14" s="1917" t="str">
        <f>+'Data Input'!D10</f>
        <v>gyw` cY¨ e¨emv</v>
      </c>
      <c r="L14" s="1917"/>
      <c r="M14" s="1917"/>
      <c r="N14" s="1917"/>
      <c r="O14" s="1917"/>
      <c r="P14" s="1917"/>
      <c r="Q14" s="1917"/>
      <c r="R14" s="1917"/>
      <c r="S14" s="1917"/>
      <c r="T14" s="1917"/>
      <c r="U14" s="1917"/>
      <c r="V14" s="1917"/>
      <c r="W14" s="1917"/>
      <c r="X14" s="1917"/>
      <c r="Y14" s="1917"/>
      <c r="Z14" s="1917"/>
      <c r="AA14" s="1917"/>
      <c r="AB14" s="1917"/>
      <c r="AC14" s="1917"/>
      <c r="AD14" s="1917"/>
      <c r="AE14" s="31" t="s">
        <v>513</v>
      </c>
      <c r="AF14" s="31"/>
      <c r="AG14" s="31"/>
      <c r="AH14" s="31"/>
      <c r="AI14" s="31"/>
      <c r="AJ14" s="1961" t="s">
        <v>485</v>
      </c>
      <c r="AK14" s="1961"/>
      <c r="AL14" s="1961"/>
      <c r="AM14" s="1961"/>
      <c r="AN14" s="1961"/>
    </row>
    <row r="15" spans="1:46" s="36" customFormat="1" ht="18" customHeight="1">
      <c r="A15" s="31" t="s">
        <v>512</v>
      </c>
      <c r="B15" s="1866" t="s">
        <v>445</v>
      </c>
      <c r="C15" s="1866"/>
      <c r="D15" s="1866"/>
      <c r="E15" s="1866"/>
      <c r="F15" s="1866"/>
      <c r="G15" s="1866"/>
      <c r="H15" s="1866"/>
      <c r="I15" s="1866"/>
      <c r="J15" s="31" t="s">
        <v>1</v>
      </c>
      <c r="L15" s="1962" t="e">
        <f>+'Data Input'!G16/('Data Input'!D11+'Data Input'!G16)</f>
        <v>#DIV/0!</v>
      </c>
      <c r="M15" s="1963"/>
      <c r="N15" s="1963"/>
      <c r="O15" s="31" t="s">
        <v>1</v>
      </c>
      <c r="P15" s="1962" t="e">
        <f>+'Data Input'!D11/('Data Input'!D11+'Data Input'!G16)</f>
        <v>#DIV/0!</v>
      </c>
      <c r="Q15" s="1963"/>
      <c r="R15" s="1963"/>
      <c r="S15" s="1963"/>
      <c r="T15" s="39"/>
      <c r="U15" s="39"/>
      <c r="V15" s="39"/>
      <c r="W15" s="39"/>
      <c r="X15" s="39"/>
      <c r="Y15" s="39"/>
      <c r="Z15" s="39"/>
      <c r="AA15" s="39"/>
      <c r="AB15" s="39"/>
      <c r="AC15" s="39"/>
      <c r="AD15" s="39"/>
      <c r="AE15" s="31" t="s">
        <v>514</v>
      </c>
      <c r="AF15" s="31"/>
      <c r="AG15" s="31"/>
      <c r="AH15" s="31"/>
      <c r="AI15" s="31"/>
      <c r="AJ15" s="119"/>
      <c r="AK15" s="1966">
        <v>1</v>
      </c>
      <c r="AL15" s="1966"/>
      <c r="AM15" s="1966"/>
      <c r="AN15" s="1966"/>
    </row>
    <row r="16" spans="1:46" s="36" customFormat="1" ht="16.5" customHeight="1">
      <c r="A16" s="1941" t="s">
        <v>409</v>
      </c>
      <c r="B16" s="1941"/>
      <c r="C16" s="1941"/>
      <c r="D16" s="1941"/>
      <c r="E16" s="1941"/>
      <c r="F16" s="1941"/>
      <c r="G16" s="1941"/>
      <c r="H16" s="1941"/>
      <c r="I16" s="1941"/>
      <c r="J16" s="1941"/>
      <c r="K16" s="1941"/>
      <c r="L16" s="1941"/>
      <c r="M16" s="1941"/>
      <c r="N16" s="1941"/>
      <c r="O16" s="1941"/>
      <c r="P16" s="1941"/>
      <c r="Q16" s="1941"/>
      <c r="R16" s="1941"/>
      <c r="S16" s="1941"/>
      <c r="T16" s="1941"/>
      <c r="U16" s="1941"/>
      <c r="V16" s="1941"/>
      <c r="W16" s="1941"/>
      <c r="X16" s="1941"/>
      <c r="Y16" s="1941"/>
      <c r="Z16" s="1941"/>
      <c r="AA16" s="1941"/>
      <c r="AB16" s="1941"/>
      <c r="AC16" s="1941"/>
      <c r="AD16" s="1941"/>
      <c r="AE16" s="1941"/>
      <c r="AF16" s="1941"/>
      <c r="AG16" s="1941"/>
      <c r="AH16" s="1941"/>
      <c r="AI16" s="1941"/>
      <c r="AJ16" s="1941"/>
      <c r="AK16" s="1941"/>
      <c r="AL16" s="1941"/>
      <c r="AM16" s="1941"/>
      <c r="AN16" s="1941"/>
    </row>
    <row r="17" spans="1:46" s="36" customFormat="1" ht="18" customHeight="1">
      <c r="A17" s="31"/>
      <c r="L17" s="118"/>
      <c r="M17" s="118"/>
      <c r="N17" s="118"/>
      <c r="O17" s="118"/>
      <c r="P17" s="118"/>
      <c r="Q17" s="118"/>
      <c r="R17" s="118"/>
      <c r="S17" s="118"/>
      <c r="T17" s="118"/>
      <c r="U17" s="118"/>
      <c r="V17" s="31"/>
      <c r="W17" s="118"/>
      <c r="X17" s="118"/>
      <c r="Y17" s="118"/>
      <c r="Z17" s="118"/>
      <c r="AA17" s="118"/>
      <c r="AB17" s="118"/>
      <c r="AC17" s="118"/>
      <c r="AD17" s="118"/>
      <c r="AE17" s="118"/>
      <c r="AF17" s="118"/>
      <c r="AG17" s="118"/>
      <c r="AH17" s="118"/>
      <c r="AI17" s="118"/>
      <c r="AJ17" s="118"/>
      <c r="AK17" s="118"/>
      <c r="AL17" s="118"/>
      <c r="AM17" s="118"/>
      <c r="AN17" s="118"/>
    </row>
    <row r="18" spans="1:46" s="36" customFormat="1" ht="18" customHeight="1">
      <c r="A18" s="31" t="s">
        <v>93</v>
      </c>
      <c r="B18" s="1917" t="s">
        <v>446</v>
      </c>
      <c r="C18" s="1917"/>
      <c r="D18" s="1917"/>
      <c r="E18" s="1917"/>
      <c r="F18" s="1917"/>
      <c r="G18" s="1917"/>
      <c r="H18" s="1917"/>
      <c r="I18" s="1917"/>
      <c r="J18" s="1917"/>
      <c r="K18" s="1917"/>
      <c r="L18" s="1917"/>
      <c r="M18" s="1917"/>
      <c r="N18" s="1917"/>
      <c r="O18" s="1917"/>
      <c r="P18" s="1917"/>
      <c r="Q18" s="1917"/>
      <c r="R18" s="118" t="s">
        <v>1</v>
      </c>
      <c r="S18" s="214" t="s">
        <v>410</v>
      </c>
      <c r="T18" s="214"/>
      <c r="U18" s="118"/>
      <c r="V18" s="31"/>
      <c r="W18" s="118"/>
      <c r="X18" s="118"/>
      <c r="Y18" s="118"/>
      <c r="Z18" s="118"/>
      <c r="AC18" s="118"/>
      <c r="AD18" s="118"/>
      <c r="AE18" s="118"/>
      <c r="AF18" s="118"/>
      <c r="AG18" s="1912"/>
      <c r="AH18" s="1912"/>
      <c r="AI18" s="1912"/>
      <c r="AJ18" s="1912"/>
      <c r="AK18" s="1912"/>
      <c r="AL18" s="1912"/>
      <c r="AM18" s="1912"/>
      <c r="AN18" s="1912"/>
    </row>
    <row r="19" spans="1:46" s="36" customFormat="1" ht="18" customHeight="1">
      <c r="B19" s="1942"/>
      <c r="C19" s="1942"/>
      <c r="D19" s="1942"/>
      <c r="E19" s="1942"/>
      <c r="F19" s="1942"/>
      <c r="G19" s="1942"/>
      <c r="H19" s="1942"/>
      <c r="I19" s="1942"/>
      <c r="J19" s="1942"/>
      <c r="K19" s="1942"/>
      <c r="L19" s="1942"/>
      <c r="M19" s="1942"/>
      <c r="N19" s="1942"/>
      <c r="O19" s="1942"/>
      <c r="P19" s="1942"/>
      <c r="Q19" s="1942"/>
      <c r="R19" s="118"/>
      <c r="S19" s="214" t="s">
        <v>411</v>
      </c>
      <c r="T19" s="214"/>
      <c r="U19" s="118"/>
      <c r="V19" s="31"/>
      <c r="W19" s="118"/>
      <c r="X19" s="118"/>
      <c r="Y19" s="118"/>
      <c r="Z19" s="118"/>
      <c r="AC19" s="118"/>
      <c r="AD19" s="118"/>
      <c r="AE19" s="118"/>
      <c r="AF19" s="118"/>
      <c r="AG19" s="1909"/>
      <c r="AH19" s="1909"/>
      <c r="AI19" s="1909"/>
      <c r="AJ19" s="1909"/>
      <c r="AK19" s="1909"/>
      <c r="AL19" s="1909"/>
      <c r="AM19" s="1909"/>
      <c r="AN19" s="1909"/>
    </row>
    <row r="20" spans="1:46" s="36" customFormat="1" ht="18" customHeight="1">
      <c r="A20" s="31" t="s">
        <v>412</v>
      </c>
      <c r="B20" s="1917" t="s">
        <v>447</v>
      </c>
      <c r="C20" s="1917"/>
      <c r="D20" s="1917"/>
      <c r="E20" s="1917"/>
      <c r="F20" s="1917"/>
      <c r="G20" s="1917"/>
      <c r="H20" s="1917"/>
      <c r="I20" s="1917"/>
      <c r="J20" s="1917"/>
      <c r="K20" s="1917"/>
      <c r="L20" s="1917"/>
      <c r="M20" s="1917"/>
      <c r="N20" s="1917"/>
      <c r="O20" s="1917"/>
      <c r="P20" s="1917"/>
      <c r="Q20" s="1917"/>
      <c r="R20" s="118" t="s">
        <v>1</v>
      </c>
      <c r="S20" s="118"/>
      <c r="T20" s="118"/>
      <c r="U20" s="118"/>
      <c r="V20" s="31"/>
      <c r="W20" s="118"/>
      <c r="X20" s="118"/>
      <c r="Y20" s="118"/>
      <c r="Z20" s="118"/>
      <c r="AA20" s="118"/>
      <c r="AB20" s="118"/>
      <c r="AC20" s="118"/>
      <c r="AD20" s="118"/>
      <c r="AE20" s="214"/>
      <c r="AF20" s="118"/>
      <c r="AG20" s="121"/>
      <c r="AH20" s="121"/>
      <c r="AI20" s="121"/>
      <c r="AJ20" s="121"/>
      <c r="AK20" s="121"/>
      <c r="AL20" s="121"/>
      <c r="AM20" s="121"/>
      <c r="AN20" s="121"/>
    </row>
    <row r="21" spans="1:46" s="36" customFormat="1" ht="18" customHeight="1">
      <c r="A21" s="31" t="s">
        <v>413</v>
      </c>
      <c r="B21" s="1917" t="s">
        <v>448</v>
      </c>
      <c r="C21" s="1917"/>
      <c r="D21" s="1917"/>
      <c r="E21" s="1917"/>
      <c r="F21" s="1917"/>
      <c r="G21" s="1917"/>
      <c r="H21" s="1917"/>
      <c r="I21" s="1917"/>
      <c r="J21" s="1917"/>
      <c r="K21" s="1917"/>
      <c r="L21" s="1917"/>
      <c r="M21" s="1917"/>
      <c r="N21" s="1917"/>
      <c r="O21" s="1917"/>
      <c r="P21" s="1917"/>
      <c r="Q21" s="1917"/>
      <c r="R21" s="118" t="s">
        <v>1</v>
      </c>
      <c r="S21" s="1917" t="s">
        <v>453</v>
      </c>
      <c r="T21" s="1917"/>
      <c r="U21" s="1917"/>
      <c r="V21" s="1917"/>
      <c r="W21" s="1917"/>
      <c r="X21" s="1917"/>
      <c r="Y21" s="1917"/>
      <c r="Z21" s="1917"/>
      <c r="AA21" s="1917"/>
      <c r="AB21" s="1917"/>
      <c r="AC21" s="1917"/>
      <c r="AD21" s="1917"/>
      <c r="AE21" s="214" t="s">
        <v>1</v>
      </c>
      <c r="AG21" s="122"/>
      <c r="AH21" s="122"/>
      <c r="AI21" s="1910">
        <f>+'LF-5'!Y65</f>
        <v>0</v>
      </c>
      <c r="AJ21" s="1910"/>
      <c r="AK21" s="1910"/>
      <c r="AL21" s="1910"/>
      <c r="AM21" s="1910"/>
      <c r="AN21" s="1910"/>
    </row>
    <row r="22" spans="1:46" s="36" customFormat="1" ht="18" customHeight="1">
      <c r="B22" s="1942"/>
      <c r="C22" s="1942"/>
      <c r="D22" s="1942"/>
      <c r="E22" s="1942"/>
      <c r="F22" s="1942"/>
      <c r="G22" s="1942"/>
      <c r="H22" s="1942"/>
      <c r="I22" s="1942"/>
      <c r="J22" s="1942"/>
      <c r="K22" s="1942"/>
      <c r="L22" s="1942"/>
      <c r="M22" s="1942"/>
      <c r="N22" s="1942"/>
      <c r="O22" s="1942"/>
      <c r="P22" s="1942"/>
      <c r="Q22" s="1942"/>
      <c r="R22" s="120"/>
      <c r="S22" s="1917" t="s">
        <v>454</v>
      </c>
      <c r="T22" s="1917"/>
      <c r="U22" s="1917"/>
      <c r="V22" s="1917"/>
      <c r="W22" s="1917"/>
      <c r="X22" s="1917"/>
      <c r="Y22" s="1917"/>
      <c r="Z22" s="1917"/>
      <c r="AA22" s="1917"/>
      <c r="AB22" s="1917"/>
      <c r="AC22" s="1917"/>
      <c r="AD22" s="1917"/>
      <c r="AE22" s="214" t="s">
        <v>1</v>
      </c>
      <c r="AF22" s="118"/>
      <c r="AG22" s="118"/>
      <c r="AH22" s="118"/>
      <c r="AI22" s="1911" t="e">
        <f>'LF-5'!#REF!</f>
        <v>#REF!</v>
      </c>
      <c r="AJ22" s="1911"/>
      <c r="AK22" s="1911"/>
      <c r="AL22" s="1911"/>
      <c r="AM22" s="1911"/>
      <c r="AN22" s="1911"/>
    </row>
    <row r="23" spans="1:46" s="36" customFormat="1" ht="18" customHeight="1">
      <c r="A23" s="31" t="s">
        <v>414</v>
      </c>
      <c r="B23" s="1942"/>
      <c r="C23" s="1942"/>
      <c r="D23" s="1942"/>
      <c r="E23" s="1942"/>
      <c r="F23" s="1942"/>
      <c r="G23" s="1942"/>
      <c r="H23" s="1942"/>
      <c r="I23" s="1942"/>
      <c r="J23" s="1942"/>
      <c r="K23" s="1942"/>
      <c r="L23" s="1942"/>
      <c r="M23" s="1942"/>
      <c r="N23" s="1942"/>
      <c r="O23" s="1942"/>
      <c r="P23" s="1942"/>
      <c r="Q23" s="1942"/>
      <c r="R23" s="118"/>
      <c r="S23" s="118"/>
      <c r="T23" s="118"/>
      <c r="U23" s="118"/>
      <c r="V23" s="31"/>
      <c r="W23" s="118"/>
      <c r="X23" s="118"/>
      <c r="Y23" s="118"/>
      <c r="Z23" s="118"/>
      <c r="AA23" s="118"/>
      <c r="AB23" s="118"/>
      <c r="AC23" s="118"/>
      <c r="AD23" s="118"/>
      <c r="AE23" s="118"/>
      <c r="AF23" s="118"/>
      <c r="AG23" s="118"/>
      <c r="AH23" s="118"/>
      <c r="AI23" s="118"/>
      <c r="AJ23" s="118"/>
      <c r="AK23" s="118"/>
      <c r="AL23" s="118"/>
      <c r="AM23" s="118"/>
      <c r="AN23" s="118"/>
    </row>
    <row r="24" spans="1:46" s="36" customFormat="1" ht="18" customHeight="1">
      <c r="A24" s="31" t="s">
        <v>415</v>
      </c>
      <c r="B24" s="1917" t="s">
        <v>449</v>
      </c>
      <c r="C24" s="1917"/>
      <c r="D24" s="1917"/>
      <c r="E24" s="1917"/>
      <c r="F24" s="1917"/>
      <c r="G24" s="1917"/>
      <c r="H24" s="1917"/>
      <c r="I24" s="1917"/>
      <c r="J24" s="1917"/>
      <c r="K24" s="1917"/>
      <c r="L24" s="1917"/>
      <c r="M24" s="1917"/>
      <c r="N24" s="1917"/>
      <c r="O24" s="1917"/>
      <c r="P24" s="1917"/>
      <c r="Q24" s="1917"/>
      <c r="R24" s="118" t="s">
        <v>1</v>
      </c>
      <c r="S24" s="1934" t="s">
        <v>759</v>
      </c>
      <c r="T24" s="1934"/>
      <c r="U24" s="1934"/>
      <c r="V24" s="1934"/>
      <c r="W24" s="1934"/>
      <c r="X24" s="1934"/>
      <c r="Y24" s="1934"/>
      <c r="Z24" s="1934"/>
      <c r="AA24" s="1934"/>
      <c r="AB24" s="1934"/>
      <c r="AC24" s="1934"/>
      <c r="AD24" s="1934"/>
      <c r="AE24" s="1934"/>
      <c r="AF24" s="1934"/>
      <c r="AG24" s="1934"/>
      <c r="AH24" s="1934"/>
      <c r="AI24" s="1934"/>
      <c r="AJ24" s="1934"/>
      <c r="AK24" s="1934"/>
      <c r="AL24" s="1934"/>
      <c r="AM24" s="1934"/>
      <c r="AN24" s="1934"/>
      <c r="AR24" s="36" t="s">
        <v>719</v>
      </c>
    </row>
    <row r="25" spans="1:46" s="36" customFormat="1" ht="18" customHeight="1">
      <c r="A25" s="31" t="s">
        <v>312</v>
      </c>
      <c r="B25" s="1917" t="s">
        <v>721</v>
      </c>
      <c r="C25" s="1917"/>
      <c r="D25" s="1917"/>
      <c r="E25" s="1917"/>
      <c r="F25" s="1917"/>
      <c r="G25" s="1917"/>
      <c r="H25" s="1917"/>
      <c r="I25" s="1917"/>
      <c r="J25" s="1917"/>
      <c r="K25" s="1917"/>
      <c r="L25" s="1917"/>
      <c r="M25" s="1917"/>
      <c r="N25" s="1917"/>
      <c r="O25" s="1917"/>
      <c r="P25" s="1917"/>
      <c r="Q25" s="1917"/>
      <c r="R25" s="118"/>
      <c r="S25" s="1934"/>
      <c r="T25" s="1934"/>
      <c r="U25" s="1934"/>
      <c r="V25" s="1934"/>
      <c r="W25" s="1934"/>
      <c r="X25" s="1934"/>
      <c r="Y25" s="1934"/>
      <c r="Z25" s="1934"/>
      <c r="AA25" s="1934"/>
      <c r="AB25" s="1934"/>
      <c r="AC25" s="1934"/>
      <c r="AD25" s="1934"/>
      <c r="AE25" s="1934"/>
      <c r="AF25" s="1934"/>
      <c r="AG25" s="1934"/>
      <c r="AH25" s="1934"/>
      <c r="AI25" s="1934"/>
      <c r="AJ25" s="1934"/>
      <c r="AK25" s="1934"/>
      <c r="AL25" s="1934"/>
      <c r="AM25" s="1934"/>
      <c r="AN25" s="1934"/>
      <c r="AR25" s="36" t="str">
        <f>"Gj Gd-5 c~e©vbygvb cÖwZ‡e`‡b ewY©Z bvj Rwg, "&amp;TEXT('LF-5'!G65,"0.00")&amp;"  GKi RvgvbZ wn‡m‡e eÜK _vK‡e| cÖPwjZ wbq‡g cÖ_g PvR© m„wó Ki‡Z n‡e|"</f>
        <v>Gj Gd-5 c~e©vbygvb cÖwZ‡e`‡b ewY©Z bvj Rwg, 0.00  GKi RvgvbZ wn‡m‡e eÜK _vK‡e| cÖPwjZ wbq‡g cÖ_g PvR© m„wó Ki‡Z n‡e|</v>
      </c>
    </row>
    <row r="26" spans="1:46" s="36" customFormat="1" ht="18" customHeight="1">
      <c r="A26" s="31" t="s">
        <v>416</v>
      </c>
      <c r="B26" s="1917" t="s">
        <v>450</v>
      </c>
      <c r="C26" s="1917"/>
      <c r="D26" s="1917"/>
      <c r="E26" s="1917"/>
      <c r="F26" s="1917"/>
      <c r="G26" s="1917"/>
      <c r="H26" s="1917"/>
      <c r="I26" s="1917"/>
      <c r="J26" s="1917"/>
      <c r="K26" s="1917"/>
      <c r="L26" s="1917"/>
      <c r="M26" s="1917"/>
      <c r="N26" s="1917"/>
      <c r="O26" s="1917"/>
      <c r="P26" s="1917"/>
      <c r="Q26" s="1917"/>
      <c r="R26" s="118" t="s">
        <v>1</v>
      </c>
      <c r="S26" s="215"/>
      <c r="T26" s="118"/>
      <c r="U26" s="118"/>
      <c r="V26" s="31"/>
      <c r="W26" s="118"/>
      <c r="X26" s="118"/>
      <c r="Y26" s="118"/>
      <c r="Z26" s="118"/>
      <c r="AA26" s="118"/>
      <c r="AB26" s="118"/>
      <c r="AC26" s="118"/>
      <c r="AD26" s="118"/>
      <c r="AE26" s="118"/>
      <c r="AF26" s="118"/>
      <c r="AG26" s="118"/>
      <c r="AH26" s="118"/>
      <c r="AI26" s="118"/>
      <c r="AJ26" s="118"/>
      <c r="AK26" s="118"/>
      <c r="AL26" s="118"/>
      <c r="AM26" s="118"/>
      <c r="AN26" s="118"/>
    </row>
    <row r="27" spans="1:46" s="36" customFormat="1" ht="18" customHeight="1">
      <c r="A27" s="31" t="s">
        <v>417</v>
      </c>
      <c r="B27" s="1917" t="s">
        <v>451</v>
      </c>
      <c r="C27" s="1917"/>
      <c r="D27" s="1917"/>
      <c r="E27" s="1917"/>
      <c r="F27" s="1917"/>
      <c r="G27" s="1917"/>
      <c r="H27" s="1917"/>
      <c r="I27" s="1917"/>
      <c r="J27" s="1917"/>
      <c r="K27" s="1917"/>
      <c r="L27" s="1917"/>
      <c r="M27" s="1917"/>
      <c r="N27" s="1917"/>
      <c r="O27" s="1917"/>
      <c r="P27" s="1917"/>
      <c r="Q27" s="1917"/>
      <c r="R27" s="118" t="s">
        <v>1</v>
      </c>
      <c r="S27" s="1933" t="s">
        <v>720</v>
      </c>
      <c r="T27" s="1933"/>
      <c r="U27" s="1933"/>
      <c r="V27" s="1933"/>
      <c r="W27" s="1933"/>
      <c r="X27" s="1933"/>
      <c r="Y27" s="1933"/>
      <c r="Z27" s="1933"/>
      <c r="AA27" s="1933"/>
      <c r="AB27" s="1933"/>
      <c r="AC27" s="1933"/>
      <c r="AD27" s="1933"/>
      <c r="AE27" s="1933"/>
      <c r="AF27" s="1933"/>
      <c r="AG27" s="1933"/>
      <c r="AH27" s="1933"/>
      <c r="AI27" s="1933"/>
      <c r="AJ27" s="1933"/>
      <c r="AK27" s="1933"/>
      <c r="AL27" s="1933"/>
      <c r="AM27" s="1933"/>
      <c r="AN27" s="1933"/>
    </row>
    <row r="28" spans="1:46" s="36" customFormat="1" ht="18" customHeight="1">
      <c r="A28" s="31" t="s">
        <v>418</v>
      </c>
      <c r="B28" s="1917" t="s">
        <v>452</v>
      </c>
      <c r="C28" s="1917"/>
      <c r="D28" s="1917"/>
      <c r="E28" s="1917"/>
      <c r="F28" s="1917"/>
      <c r="G28" s="1917"/>
      <c r="H28" s="1917"/>
      <c r="I28" s="1917"/>
      <c r="J28" s="1917"/>
      <c r="K28" s="1917"/>
      <c r="L28" s="1917"/>
      <c r="M28" s="1917"/>
      <c r="N28" s="1917"/>
      <c r="O28" s="1917"/>
      <c r="P28" s="1917"/>
      <c r="Q28" s="1917"/>
      <c r="R28" s="118"/>
      <c r="S28" s="118"/>
      <c r="T28" s="118"/>
      <c r="U28" s="118"/>
      <c r="V28" s="31"/>
      <c r="W28" s="118"/>
      <c r="X28" s="118"/>
      <c r="Y28" s="118"/>
      <c r="Z28" s="118"/>
      <c r="AA28" s="118"/>
      <c r="AB28" s="118"/>
      <c r="AC28" s="118"/>
      <c r="AD28" s="118"/>
      <c r="AE28" s="118"/>
      <c r="AF28" s="118"/>
      <c r="AG28" s="118"/>
      <c r="AH28" s="118"/>
      <c r="AI28" s="118"/>
      <c r="AJ28" s="118"/>
      <c r="AK28" s="118"/>
      <c r="AL28" s="118"/>
      <c r="AM28" s="118"/>
      <c r="AN28" s="118"/>
    </row>
    <row r="29" spans="1:46" s="36" customFormat="1" ht="18" customHeight="1">
      <c r="B29" s="1935" t="s">
        <v>67</v>
      </c>
      <c r="C29" s="1929"/>
      <c r="D29" s="1929"/>
      <c r="E29" s="1929"/>
      <c r="F29" s="1929" t="s">
        <v>73</v>
      </c>
      <c r="G29" s="1929"/>
      <c r="H29" s="1929"/>
      <c r="I29" s="1929"/>
      <c r="J29" s="1929"/>
      <c r="K29" s="1929"/>
      <c r="L29" s="1929"/>
      <c r="M29" s="1929" t="s">
        <v>419</v>
      </c>
      <c r="N29" s="1929"/>
      <c r="O29" s="1929"/>
      <c r="P29" s="1929"/>
      <c r="Q29" s="1929"/>
      <c r="R29" s="1929"/>
      <c r="S29" s="1929"/>
      <c r="T29" s="1929"/>
      <c r="U29" s="1929"/>
      <c r="V29" s="1929"/>
      <c r="W29" s="1929" t="s">
        <v>420</v>
      </c>
      <c r="X29" s="1929"/>
      <c r="Y29" s="1929"/>
      <c r="Z29" s="1929"/>
      <c r="AA29" s="1929"/>
      <c r="AB29" s="1929"/>
      <c r="AC29" s="1929"/>
      <c r="AD29" s="1929"/>
      <c r="AE29" s="1929"/>
      <c r="AF29" s="1929"/>
      <c r="AG29" s="1929" t="s">
        <v>106</v>
      </c>
      <c r="AH29" s="1929"/>
      <c r="AI29" s="1929"/>
      <c r="AJ29" s="1929"/>
      <c r="AK29" s="1929"/>
      <c r="AL29" s="1929"/>
      <c r="AM29" s="1929"/>
      <c r="AN29" s="1938"/>
    </row>
    <row r="30" spans="1:46" s="36" customFormat="1" ht="18" customHeight="1">
      <c r="A30" s="39"/>
      <c r="B30" s="1932" t="e">
        <f>+#REF!</f>
        <v>#REF!</v>
      </c>
      <c r="C30" s="1931"/>
      <c r="D30" s="1931"/>
      <c r="E30" s="1931"/>
      <c r="F30" s="1936">
        <v>3</v>
      </c>
      <c r="G30" s="1936"/>
      <c r="H30" s="1936"/>
      <c r="I30" s="1936"/>
      <c r="J30" s="1936"/>
      <c r="K30" s="1936"/>
      <c r="L30" s="1936"/>
      <c r="M30" s="1930"/>
      <c r="N30" s="1931"/>
      <c r="O30" s="1931"/>
      <c r="P30" s="1931"/>
      <c r="Q30" s="1931"/>
      <c r="R30" s="1931"/>
      <c r="S30" s="1931"/>
      <c r="T30" s="1931"/>
      <c r="U30" s="1931"/>
      <c r="V30" s="1931"/>
      <c r="W30" s="1930"/>
      <c r="X30" s="1931"/>
      <c r="Y30" s="1931"/>
      <c r="Z30" s="1931"/>
      <c r="AA30" s="1931"/>
      <c r="AB30" s="1931"/>
      <c r="AC30" s="1931"/>
      <c r="AD30" s="1931"/>
      <c r="AE30" s="1931"/>
      <c r="AF30" s="1931"/>
      <c r="AG30" s="1951">
        <f>+M30-W30</f>
        <v>0</v>
      </c>
      <c r="AH30" s="1951"/>
      <c r="AI30" s="1951"/>
      <c r="AJ30" s="1951"/>
      <c r="AK30" s="1951"/>
      <c r="AL30" s="1951"/>
      <c r="AM30" s="1951"/>
      <c r="AN30" s="1952"/>
      <c r="AT30" s="212"/>
    </row>
    <row r="31" spans="1:46" s="36" customFormat="1" ht="18" customHeight="1">
      <c r="A31" s="39"/>
      <c r="B31" s="1932" t="e">
        <f>+#REF!</f>
        <v>#REF!</v>
      </c>
      <c r="C31" s="1931"/>
      <c r="D31" s="1931"/>
      <c r="E31" s="1931"/>
      <c r="F31" s="1936"/>
      <c r="G31" s="1936"/>
      <c r="H31" s="1936"/>
      <c r="I31" s="1936"/>
      <c r="J31" s="1936"/>
      <c r="K31" s="1936"/>
      <c r="L31" s="1936"/>
      <c r="M31" s="1944"/>
      <c r="N31" s="1944"/>
      <c r="O31" s="1944"/>
      <c r="P31" s="1944"/>
      <c r="Q31" s="1944"/>
      <c r="R31" s="1944"/>
      <c r="S31" s="1944"/>
      <c r="T31" s="1944"/>
      <c r="U31" s="1944"/>
      <c r="V31" s="1944"/>
      <c r="W31" s="1944"/>
      <c r="X31" s="1944"/>
      <c r="Y31" s="1944"/>
      <c r="Z31" s="1944"/>
      <c r="AA31" s="1944"/>
      <c r="AB31" s="1944"/>
      <c r="AC31" s="1944"/>
      <c r="AD31" s="1944"/>
      <c r="AE31" s="1944"/>
      <c r="AF31" s="1944"/>
      <c r="AG31" s="1953">
        <f>+M31-W31</f>
        <v>0</v>
      </c>
      <c r="AH31" s="1954"/>
      <c r="AI31" s="1954"/>
      <c r="AJ31" s="1954"/>
      <c r="AK31" s="1954"/>
      <c r="AL31" s="1954"/>
      <c r="AM31" s="1954"/>
      <c r="AN31" s="1955"/>
    </row>
    <row r="32" spans="1:46" s="36" customFormat="1" ht="18" customHeight="1">
      <c r="A32" s="31"/>
      <c r="B32" s="1932" t="e">
        <f>+#REF!</f>
        <v>#REF!</v>
      </c>
      <c r="C32" s="1931"/>
      <c r="D32" s="1931"/>
      <c r="E32" s="1931"/>
      <c r="F32" s="1936"/>
      <c r="G32" s="1936"/>
      <c r="H32" s="1936"/>
      <c r="I32" s="1936"/>
      <c r="J32" s="1936"/>
      <c r="K32" s="1936"/>
      <c r="L32" s="1936"/>
      <c r="M32" s="1957"/>
      <c r="N32" s="1958"/>
      <c r="O32" s="1958"/>
      <c r="P32" s="1958"/>
      <c r="Q32" s="1958"/>
      <c r="R32" s="1958"/>
      <c r="S32" s="1958"/>
      <c r="T32" s="1958"/>
      <c r="U32" s="1958"/>
      <c r="V32" s="1958"/>
      <c r="W32" s="1958"/>
      <c r="X32" s="1958"/>
      <c r="Y32" s="1958"/>
      <c r="Z32" s="1958"/>
      <c r="AA32" s="1958"/>
      <c r="AB32" s="1958"/>
      <c r="AC32" s="1958"/>
      <c r="AD32" s="1958"/>
      <c r="AE32" s="1958"/>
      <c r="AF32" s="1958"/>
      <c r="AG32" s="1945">
        <f>+M32-W32</f>
        <v>0</v>
      </c>
      <c r="AH32" s="1946"/>
      <c r="AI32" s="1946"/>
      <c r="AJ32" s="1946"/>
      <c r="AK32" s="1946"/>
      <c r="AL32" s="1946"/>
      <c r="AM32" s="1946"/>
      <c r="AN32" s="1947"/>
    </row>
    <row r="33" spans="1:61" s="36" customFormat="1" ht="18" customHeight="1">
      <c r="A33" s="31" t="s">
        <v>421</v>
      </c>
      <c r="B33" s="1948" t="s">
        <v>608</v>
      </c>
      <c r="C33" s="1948"/>
      <c r="D33" s="1948"/>
      <c r="E33" s="1948"/>
      <c r="F33" s="1948"/>
      <c r="G33" s="1948"/>
      <c r="H33" s="1948"/>
      <c r="I33" s="1948"/>
      <c r="J33" s="1948"/>
      <c r="K33" s="1948"/>
      <c r="L33" s="1948"/>
      <c r="M33" s="1948"/>
      <c r="N33" s="1948"/>
      <c r="O33" s="1948"/>
      <c r="P33" s="1948"/>
      <c r="Q33" s="1948"/>
      <c r="R33" s="118" t="s">
        <v>1</v>
      </c>
      <c r="S33" s="118"/>
      <c r="T33" s="12" t="s">
        <v>486</v>
      </c>
      <c r="U33" s="118"/>
      <c r="V33" s="31"/>
      <c r="W33" s="118"/>
      <c r="X33" s="118"/>
      <c r="Y33" s="118"/>
      <c r="Z33" s="118"/>
      <c r="AA33" s="118"/>
      <c r="AB33" s="12" t="s">
        <v>487</v>
      </c>
      <c r="AC33" s="118"/>
      <c r="AD33" s="118"/>
      <c r="AE33" s="118"/>
      <c r="AF33" s="118"/>
      <c r="AG33" s="118"/>
      <c r="AH33" s="118"/>
      <c r="AI33" s="118"/>
      <c r="AJ33" s="118"/>
      <c r="AK33" s="118"/>
      <c r="AL33" s="118"/>
      <c r="AM33" s="118"/>
      <c r="AN33" s="118"/>
    </row>
    <row r="34" spans="1:61" s="36" customFormat="1" ht="18" customHeight="1">
      <c r="B34" s="1948"/>
      <c r="C34" s="1948"/>
      <c r="D34" s="1948"/>
      <c r="E34" s="1948"/>
      <c r="F34" s="1948"/>
      <c r="G34" s="1948"/>
      <c r="H34" s="1948"/>
      <c r="I34" s="1948"/>
      <c r="J34" s="1948"/>
      <c r="K34" s="1948"/>
      <c r="L34" s="1948"/>
      <c r="M34" s="1948"/>
      <c r="N34" s="1948"/>
      <c r="O34" s="1948"/>
      <c r="P34" s="1948"/>
      <c r="Q34" s="1948"/>
      <c r="R34" s="118"/>
      <c r="S34" s="118"/>
      <c r="T34" s="31" t="s">
        <v>422</v>
      </c>
      <c r="U34" s="118"/>
      <c r="W34" s="118"/>
      <c r="X34" s="118"/>
      <c r="Y34" s="118"/>
      <c r="Z34" s="118"/>
      <c r="AA34" s="118"/>
      <c r="AB34" s="12" t="s">
        <v>487</v>
      </c>
      <c r="AC34" s="118"/>
      <c r="AD34" s="118"/>
      <c r="AE34" s="118"/>
      <c r="AF34" s="118"/>
      <c r="AG34" s="118"/>
      <c r="AH34" s="118"/>
      <c r="AI34" s="118"/>
      <c r="AJ34" s="118"/>
      <c r="AK34" s="118"/>
      <c r="AL34" s="118"/>
      <c r="AM34" s="118"/>
      <c r="AN34" s="118"/>
    </row>
    <row r="35" spans="1:61" s="36" customFormat="1" ht="18" customHeight="1">
      <c r="A35" s="31" t="s">
        <v>423</v>
      </c>
      <c r="B35" s="1924" t="s">
        <v>424</v>
      </c>
      <c r="C35" s="1924"/>
      <c r="D35" s="1924"/>
      <c r="E35" s="1924"/>
      <c r="F35" s="1924"/>
      <c r="G35" s="1924"/>
      <c r="H35" s="1924"/>
      <c r="I35" s="1924"/>
      <c r="J35" s="1924"/>
      <c r="K35" s="1924"/>
      <c r="L35" s="1924"/>
      <c r="M35" s="1924"/>
      <c r="N35" s="1924"/>
      <c r="O35" s="1924"/>
      <c r="P35" s="1924"/>
      <c r="Q35" s="1924"/>
      <c r="R35" s="31" t="s">
        <v>425</v>
      </c>
      <c r="S35" s="118"/>
      <c r="T35" s="1950" t="s">
        <v>426</v>
      </c>
      <c r="U35" s="1950"/>
      <c r="V35" s="31" t="s">
        <v>441</v>
      </c>
      <c r="W35" s="325"/>
      <c r="X35" s="325"/>
      <c r="Y35" s="325"/>
      <c r="Z35" s="325"/>
      <c r="AA35" s="325"/>
      <c r="AB35" s="215" t="s">
        <v>425</v>
      </c>
      <c r="AC35" s="325"/>
      <c r="AD35" s="325"/>
      <c r="AE35" s="325"/>
      <c r="AF35" s="325"/>
      <c r="AG35" s="325"/>
      <c r="AH35" s="325"/>
      <c r="AI35" s="325"/>
      <c r="AJ35" s="325"/>
      <c r="AK35" s="325"/>
      <c r="AL35" s="325"/>
      <c r="AM35" s="325"/>
      <c r="AN35" s="325"/>
    </row>
    <row r="36" spans="1:61" s="36" customFormat="1" ht="18" customHeight="1">
      <c r="A36" s="31" t="s">
        <v>427</v>
      </c>
      <c r="B36" s="1924"/>
      <c r="C36" s="1924"/>
      <c r="D36" s="1924"/>
      <c r="E36" s="1924"/>
      <c r="F36" s="1924"/>
      <c r="G36" s="1924"/>
      <c r="H36" s="1924"/>
      <c r="I36" s="1924"/>
      <c r="J36" s="1924"/>
      <c r="K36" s="1924"/>
      <c r="L36" s="1924"/>
      <c r="M36" s="1924"/>
      <c r="N36" s="1924"/>
      <c r="O36" s="1924"/>
      <c r="P36" s="1924"/>
      <c r="Q36" s="1924"/>
      <c r="R36" s="118"/>
      <c r="S36" s="118"/>
      <c r="U36" s="118"/>
      <c r="X36" s="118"/>
      <c r="Y36" s="118"/>
      <c r="AA36" s="118"/>
      <c r="AC36" s="1956"/>
      <c r="AD36" s="1956"/>
      <c r="AE36" s="1956"/>
      <c r="AF36" s="1956"/>
      <c r="AG36" s="1956"/>
      <c r="AH36" s="1956"/>
      <c r="AI36" s="1956"/>
      <c r="AJ36" s="1956"/>
      <c r="AK36" s="1956"/>
      <c r="AL36" s="1956"/>
      <c r="AM36" s="1956"/>
      <c r="AN36" s="1956"/>
    </row>
    <row r="37" spans="1:61" s="36" customFormat="1" ht="22.5" customHeight="1">
      <c r="A37" s="31" t="s">
        <v>428</v>
      </c>
      <c r="B37" s="31" t="s">
        <v>589</v>
      </c>
      <c r="R37" s="36" t="s">
        <v>1</v>
      </c>
      <c r="S37" s="31" t="str">
        <f>TEXT(AG30, "0.00")&amp;" jÿ UvKv"</f>
        <v>0.00 jÿ UvKv</v>
      </c>
      <c r="AB37" s="31"/>
      <c r="AC37" s="31"/>
    </row>
    <row r="38" spans="1:61" s="36" customFormat="1" ht="18" customHeight="1">
      <c r="A38" s="31" t="s">
        <v>429</v>
      </c>
      <c r="B38" s="31" t="s">
        <v>430</v>
      </c>
      <c r="L38" s="118"/>
      <c r="M38" s="118"/>
      <c r="N38" s="118"/>
      <c r="O38" s="118"/>
      <c r="P38" s="118"/>
      <c r="Q38" s="118"/>
      <c r="R38" s="118"/>
      <c r="S38" s="118"/>
      <c r="T38" s="118"/>
      <c r="U38" s="118"/>
      <c r="V38" s="118"/>
      <c r="W38" s="118"/>
      <c r="X38" s="118"/>
      <c r="Y38" s="118"/>
      <c r="Z38" s="118"/>
      <c r="AA38" s="118"/>
      <c r="AB38" s="118"/>
      <c r="AC38" s="118"/>
      <c r="AD38" s="118"/>
      <c r="AE38" s="118"/>
      <c r="AF38" s="118"/>
      <c r="AG38" s="118"/>
      <c r="AH38" s="118"/>
      <c r="AI38" s="118"/>
      <c r="AJ38" s="118"/>
      <c r="AK38" s="118"/>
      <c r="AL38" s="118"/>
      <c r="AM38" s="118"/>
      <c r="AN38" s="118"/>
    </row>
    <row r="39" spans="1:61" s="36" customFormat="1" ht="18" customHeight="1">
      <c r="B39" s="1943" t="s">
        <v>431</v>
      </c>
      <c r="C39" s="1943"/>
      <c r="D39" s="1943"/>
      <c r="E39" s="1943"/>
      <c r="F39" s="1943"/>
      <c r="G39" s="1943"/>
      <c r="H39" s="1943"/>
      <c r="I39" s="1943"/>
      <c r="J39" s="1943"/>
      <c r="K39" s="1943" t="s">
        <v>208</v>
      </c>
      <c r="L39" s="1943"/>
      <c r="M39" s="1943"/>
      <c r="N39" s="1943"/>
      <c r="O39" s="1943"/>
      <c r="P39" s="1943" t="s">
        <v>432</v>
      </c>
      <c r="Q39" s="1943"/>
      <c r="R39" s="1943"/>
      <c r="S39" s="1943"/>
      <c r="T39" s="1943"/>
      <c r="U39" s="1943"/>
      <c r="V39" s="1943"/>
      <c r="W39" s="1943"/>
      <c r="X39" s="1943"/>
      <c r="Y39" s="1943"/>
      <c r="Z39" s="1943"/>
      <c r="AA39" s="1943"/>
      <c r="AB39" s="1943"/>
      <c r="AC39" s="1943"/>
      <c r="AD39" s="1943" t="s">
        <v>109</v>
      </c>
      <c r="AE39" s="1943"/>
      <c r="AF39" s="1943"/>
      <c r="AG39" s="1943"/>
      <c r="AH39" s="1943"/>
      <c r="AI39" s="1943"/>
      <c r="AJ39" s="1943"/>
      <c r="AK39" s="1943"/>
      <c r="AL39" s="1943"/>
      <c r="AM39" s="1943"/>
      <c r="AN39" s="1943"/>
    </row>
    <row r="40" spans="1:61" s="36" customFormat="1" ht="18" customHeight="1">
      <c r="A40" s="39"/>
      <c r="B40" s="984"/>
      <c r="C40" s="984"/>
      <c r="D40" s="984"/>
      <c r="E40" s="984"/>
      <c r="F40" s="984"/>
      <c r="G40" s="984"/>
      <c r="H40" s="984"/>
      <c r="I40" s="984"/>
      <c r="J40" s="984"/>
      <c r="K40" s="985"/>
      <c r="L40" s="985"/>
      <c r="M40" s="985"/>
      <c r="N40" s="985"/>
      <c r="O40" s="985"/>
      <c r="P40" s="1949"/>
      <c r="Q40" s="1949"/>
      <c r="R40" s="1949"/>
      <c r="S40" s="1949"/>
      <c r="T40" s="1949"/>
      <c r="U40" s="1949"/>
      <c r="V40" s="1949"/>
      <c r="W40" s="1949"/>
      <c r="X40" s="1949"/>
      <c r="Y40" s="1949"/>
      <c r="Z40" s="1949"/>
      <c r="AA40" s="1949"/>
      <c r="AB40" s="1949"/>
      <c r="AC40" s="1949"/>
      <c r="AD40" s="1949"/>
      <c r="AE40" s="1949"/>
      <c r="AF40" s="1949"/>
      <c r="AG40" s="1949"/>
      <c r="AH40" s="1949"/>
      <c r="AI40" s="1949"/>
      <c r="AJ40" s="1949"/>
      <c r="AK40" s="1949"/>
      <c r="AL40" s="1949"/>
      <c r="AM40" s="1949"/>
      <c r="AN40" s="1949"/>
    </row>
    <row r="41" spans="1:61" s="36" customFormat="1" ht="4.5" customHeight="1">
      <c r="A41" s="31"/>
    </row>
    <row r="42" spans="1:61" s="36" customFormat="1" ht="32.25" customHeight="1">
      <c r="A42" s="31" t="s">
        <v>433</v>
      </c>
      <c r="B42" s="31" t="s">
        <v>434</v>
      </c>
      <c r="J42" s="36" t="s">
        <v>1</v>
      </c>
      <c r="K42" s="1924" t="s">
        <v>576</v>
      </c>
      <c r="L42" s="1924"/>
      <c r="M42" s="1924"/>
      <c r="N42" s="1924"/>
      <c r="O42" s="1924"/>
      <c r="P42" s="1924"/>
      <c r="Q42" s="1924"/>
      <c r="R42" s="1924"/>
      <c r="S42" s="1924"/>
      <c r="T42" s="1924"/>
      <c r="U42" s="1924"/>
      <c r="V42" s="1924"/>
      <c r="W42" s="1924"/>
      <c r="X42" s="1924"/>
      <c r="Y42" s="1924"/>
      <c r="Z42" s="1924"/>
      <c r="AA42" s="1924"/>
      <c r="AB42" s="1924"/>
      <c r="AC42" s="1924"/>
      <c r="AD42" s="1924"/>
      <c r="AE42" s="1924"/>
      <c r="AF42" s="1924"/>
      <c r="AG42" s="1924"/>
      <c r="AH42" s="1924"/>
      <c r="AI42" s="1924"/>
      <c r="AJ42" s="1924"/>
      <c r="AK42" s="1924"/>
      <c r="AL42" s="1924"/>
      <c r="AM42" s="1924"/>
      <c r="AN42" s="1924"/>
      <c r="AR42"/>
      <c r="AS42"/>
      <c r="AT42"/>
      <c r="AU42"/>
      <c r="AV42"/>
      <c r="AW42"/>
      <c r="AX42"/>
      <c r="AY42"/>
      <c r="AZ42"/>
      <c r="BA42"/>
      <c r="BB42"/>
      <c r="BC42"/>
      <c r="BD42"/>
      <c r="BE42"/>
      <c r="BF42"/>
      <c r="BG42"/>
      <c r="BH42"/>
      <c r="BI42"/>
    </row>
    <row r="43" spans="1:61" s="36" customFormat="1" ht="21" customHeight="1">
      <c r="A43" s="31" t="s">
        <v>435</v>
      </c>
      <c r="B43" s="31" t="s">
        <v>436</v>
      </c>
      <c r="J43" s="36" t="s">
        <v>1</v>
      </c>
      <c r="K43" s="1917" t="str">
        <f>'Data Input'!G18*30&amp;" w`‡bi P‡µ mgš^q mn 1 eQ‡ii g‡a¨ PzovšÍfv‡e cwi‡kva †hvM¨|"</f>
        <v>60 w`‡bi P‡µ mgš^q mn 1 eQ‡ii g‡a¨ PzovšÍfv‡e cwi‡kva †hvM¨|</v>
      </c>
      <c r="L43" s="1917"/>
      <c r="M43" s="1917"/>
      <c r="N43" s="1917"/>
      <c r="O43" s="1917"/>
      <c r="P43" s="1917"/>
      <c r="Q43" s="1917"/>
      <c r="R43" s="1917"/>
      <c r="S43" s="1917"/>
      <c r="T43" s="1917"/>
      <c r="U43" s="1917"/>
      <c r="V43" s="1917"/>
      <c r="W43" s="1917"/>
      <c r="X43" s="1917"/>
      <c r="Y43" s="1917"/>
      <c r="Z43" s="1917"/>
      <c r="AA43" s="1917"/>
      <c r="AB43" s="1917"/>
      <c r="AC43" s="1917"/>
      <c r="AD43" s="1917"/>
      <c r="AE43" s="1917"/>
      <c r="AF43" s="1917"/>
      <c r="AG43" s="1917"/>
      <c r="AH43" s="1917"/>
      <c r="AI43" s="1917"/>
      <c r="AJ43" s="1917"/>
      <c r="AK43" s="1917"/>
      <c r="AL43" s="1917"/>
      <c r="AM43" s="1917"/>
      <c r="AN43" s="1917"/>
      <c r="AR43"/>
      <c r="AS43"/>
      <c r="AT43"/>
      <c r="AU43"/>
      <c r="AV43"/>
      <c r="AW43"/>
      <c r="AX43"/>
      <c r="AY43"/>
      <c r="AZ43"/>
      <c r="BA43"/>
      <c r="BB43"/>
      <c r="BC43"/>
      <c r="BD43"/>
      <c r="BE43"/>
      <c r="BF43"/>
      <c r="BG43"/>
      <c r="BH43"/>
      <c r="BI43"/>
    </row>
    <row r="44" spans="1:61" s="36" customFormat="1" ht="21" customHeight="1">
      <c r="A44" s="31" t="s">
        <v>437</v>
      </c>
      <c r="B44" s="1937" t="s">
        <v>588</v>
      </c>
      <c r="C44" s="1937"/>
      <c r="D44" s="1937"/>
      <c r="E44" s="1937"/>
      <c r="F44" s="1937"/>
      <c r="G44" s="1937"/>
      <c r="H44" s="1937"/>
      <c r="I44" s="1937"/>
      <c r="J44" s="36" t="s">
        <v>1</v>
      </c>
      <c r="K44" s="1917" t="e">
        <f ca="1">'Data Input'!D11&amp;" UvKv ("&amp;ConvertCurrencyToBangla('Data Input'!D11)&amp;" ) gvÎ|"</f>
        <v>#NAME?</v>
      </c>
      <c r="L44" s="1917"/>
      <c r="M44" s="1917"/>
      <c r="N44" s="1917"/>
      <c r="O44" s="1917"/>
      <c r="P44" s="1917"/>
      <c r="Q44" s="1917"/>
      <c r="R44" s="1917"/>
      <c r="S44" s="1917"/>
      <c r="T44" s="1917"/>
      <c r="U44" s="1917"/>
      <c r="V44" s="1917"/>
      <c r="W44" s="1917"/>
      <c r="X44" s="1917"/>
      <c r="Y44" s="1917"/>
      <c r="Z44" s="1917"/>
      <c r="AA44" s="1917"/>
      <c r="AB44" s="1917"/>
      <c r="AC44" s="1917"/>
      <c r="AD44" s="1917"/>
      <c r="AE44" s="1917"/>
      <c r="AF44" s="1917"/>
      <c r="AG44" s="1917"/>
      <c r="AH44" s="1917"/>
      <c r="AI44" s="1917"/>
      <c r="AJ44" s="1917"/>
      <c r="AK44" s="1917"/>
      <c r="AL44" s="1917"/>
      <c r="AM44" s="1917"/>
      <c r="AN44" s="1917"/>
    </row>
    <row r="45" spans="1:61" s="36" customFormat="1" ht="18" customHeight="1">
      <c r="B45" s="1937"/>
      <c r="C45" s="1937"/>
      <c r="D45" s="1937"/>
      <c r="E45" s="1937"/>
      <c r="F45" s="1937"/>
      <c r="G45" s="1937"/>
      <c r="H45" s="1937"/>
      <c r="I45" s="1937"/>
      <c r="K45" s="113" t="s">
        <v>438</v>
      </c>
    </row>
    <row r="46" spans="1:61" s="36" customFormat="1" ht="15" customHeight="1">
      <c r="AE46" s="1928" t="s">
        <v>162</v>
      </c>
      <c r="AF46" s="1928"/>
      <c r="AG46" s="1928"/>
      <c r="AH46" s="1928"/>
      <c r="AI46" s="1928"/>
      <c r="AJ46" s="1928"/>
      <c r="AK46" s="1928"/>
      <c r="AL46" s="1928"/>
      <c r="AM46" s="1928"/>
      <c r="AN46" s="1928"/>
    </row>
    <row r="47" spans="1:61" s="36" customFormat="1" ht="15" customHeight="1">
      <c r="AE47" s="1928" t="s">
        <v>165</v>
      </c>
      <c r="AF47" s="1928"/>
      <c r="AG47" s="1928"/>
      <c r="AH47" s="1928"/>
      <c r="AI47" s="1928"/>
      <c r="AJ47" s="1928"/>
      <c r="AK47" s="1928"/>
      <c r="AL47" s="1928"/>
      <c r="AM47" s="1928"/>
      <c r="AN47" s="1928"/>
    </row>
    <row r="48" spans="1:61" s="36" customFormat="1" ht="15" customHeight="1">
      <c r="A48" s="31"/>
      <c r="AE48" s="1928" t="str">
        <f>+'Data Input'!D2</f>
        <v>wmw×iMÄ kvLv, bvivqYMÄ</v>
      </c>
      <c r="AF48" s="1928"/>
      <c r="AG48" s="1928"/>
      <c r="AH48" s="1928"/>
      <c r="AI48" s="1928"/>
      <c r="AJ48" s="1928"/>
      <c r="AK48" s="1928"/>
      <c r="AL48" s="1928"/>
      <c r="AM48" s="1928"/>
      <c r="AN48" s="1928"/>
    </row>
    <row r="49" s="36" customFormat="1" ht="18" customHeight="1"/>
    <row r="50" s="36" customFormat="1" ht="18" customHeight="1"/>
    <row r="51" s="36" customFormat="1" ht="18" customHeight="1"/>
    <row r="52" s="36" customFormat="1" ht="18" customHeight="1"/>
    <row r="53" s="36" customFormat="1" ht="18" customHeight="1"/>
  </sheetData>
  <sheetProtection sheet="1" objects="1" scenarios="1" formatCells="0" formatColumns="0" formatRows="0" insertColumns="0" insertRows="0" deleteColumns="0" deleteRows="0"/>
  <protectedRanges>
    <protectedRange sqref="AG18:AN19 S24:AN25 S27:AN27 B30:AF32 AJ12:AN12 AE10:AN11" name="Range4"/>
    <protectedRange sqref="AS10:AT10" name="Range2" securityDescriptor="O:WDG:WDD:(A;;CC;;;WD)"/>
    <protectedRange sqref="AE10:AN11 AJ12:AN12 S24:AN25 S27:AN27" name="Range1" securityDescriptor="O:WDG:WDD:(A;;CC;;;WD)"/>
    <protectedRange sqref="S24:AN25" name="Range3" securityDescriptor="O:WDG:WDD:(A;;CC;;;WD)"/>
  </protectedRanges>
  <mergeCells count="87">
    <mergeCell ref="AS10:AT10"/>
    <mergeCell ref="B12:I12"/>
    <mergeCell ref="B13:I13"/>
    <mergeCell ref="B14:I14"/>
    <mergeCell ref="B15:I15"/>
    <mergeCell ref="K10:AD10"/>
    <mergeCell ref="K13:AD13"/>
    <mergeCell ref="K14:AD14"/>
    <mergeCell ref="AJ14:AN14"/>
    <mergeCell ref="L15:N15"/>
    <mergeCell ref="P15:S15"/>
    <mergeCell ref="AJ12:AN12"/>
    <mergeCell ref="AK15:AN15"/>
    <mergeCell ref="B18:Q18"/>
    <mergeCell ref="K43:AN43"/>
    <mergeCell ref="K44:AN44"/>
    <mergeCell ref="T35:U35"/>
    <mergeCell ref="F31:L31"/>
    <mergeCell ref="B23:Q23"/>
    <mergeCell ref="B22:Q22"/>
    <mergeCell ref="S22:AD22"/>
    <mergeCell ref="W31:AF31"/>
    <mergeCell ref="AG30:AN30"/>
    <mergeCell ref="AG31:AN31"/>
    <mergeCell ref="B24:Q24"/>
    <mergeCell ref="K42:AN42"/>
    <mergeCell ref="AC36:AN36"/>
    <mergeCell ref="M32:V32"/>
    <mergeCell ref="W32:AF32"/>
    <mergeCell ref="AG32:AN32"/>
    <mergeCell ref="B33:Q34"/>
    <mergeCell ref="B35:Q36"/>
    <mergeCell ref="K40:O40"/>
    <mergeCell ref="P39:AC39"/>
    <mergeCell ref="P40:AC40"/>
    <mergeCell ref="AD39:AN39"/>
    <mergeCell ref="AD40:AN40"/>
    <mergeCell ref="K39:O39"/>
    <mergeCell ref="F32:L32"/>
    <mergeCell ref="B44:I45"/>
    <mergeCell ref="AG29:AN29"/>
    <mergeCell ref="AE47:AN47"/>
    <mergeCell ref="AE48:AN48"/>
    <mergeCell ref="A7:AN7"/>
    <mergeCell ref="A8:AN8"/>
    <mergeCell ref="A16:AN16"/>
    <mergeCell ref="B40:J40"/>
    <mergeCell ref="B27:Q27"/>
    <mergeCell ref="B19:Q19"/>
    <mergeCell ref="B20:Q20"/>
    <mergeCell ref="B21:Q21"/>
    <mergeCell ref="B39:J39"/>
    <mergeCell ref="W29:AF29"/>
    <mergeCell ref="W30:AF30"/>
    <mergeCell ref="M31:V31"/>
    <mergeCell ref="N3:AB4"/>
    <mergeCell ref="M1:AB2"/>
    <mergeCell ref="AE46:AN46"/>
    <mergeCell ref="B25:Q25"/>
    <mergeCell ref="B26:Q26"/>
    <mergeCell ref="M29:V29"/>
    <mergeCell ref="M30:V30"/>
    <mergeCell ref="B30:E30"/>
    <mergeCell ref="S27:AN27"/>
    <mergeCell ref="S24:AN25"/>
    <mergeCell ref="B29:E29"/>
    <mergeCell ref="B31:E31"/>
    <mergeCell ref="B28:Q28"/>
    <mergeCell ref="B32:E32"/>
    <mergeCell ref="F30:L30"/>
    <mergeCell ref="F29:L29"/>
    <mergeCell ref="AG19:AN19"/>
    <mergeCell ref="AI21:AN21"/>
    <mergeCell ref="AI22:AN22"/>
    <mergeCell ref="AG18:AN18"/>
    <mergeCell ref="AE1:AN1"/>
    <mergeCell ref="AE2:AN2"/>
    <mergeCell ref="AE3:AN3"/>
    <mergeCell ref="AD4:AN4"/>
    <mergeCell ref="S21:AD21"/>
    <mergeCell ref="A5:AE5"/>
    <mergeCell ref="AF5:AH5"/>
    <mergeCell ref="AE10:AN11"/>
    <mergeCell ref="AK5:AN5"/>
    <mergeCell ref="B10:I10"/>
    <mergeCell ref="B11:I11"/>
    <mergeCell ref="K11:AD12"/>
  </mergeCells>
  <dataValidations count="1">
    <dataValidation type="list" allowBlank="1" showInputMessage="1" showErrorMessage="1" sqref="S24:AN25" xr:uid="{00000000-0002-0000-0E00-000000000000}">
      <formula1>$AR$24:$AR$25</formula1>
    </dataValidation>
  </dataValidations>
  <pageMargins left="0.70866141732283472" right="0.39370078740157483" top="0.39370078740157483" bottom="0.39370078740157483" header="0.31496062992125984" footer="0.31496062992125984"/>
  <pageSetup paperSize="9" scale="94" fitToHeight="0" orientation="portrait" blackAndWhite="1" r:id="rId1"/>
  <headerFooter>
    <oddFooter>&amp;L&amp;Z&amp;F&amp;R&amp;"SutonnyMJ,Regular"evsjv‡`k K…wl e¨vsK, c„ôv &amp;P &amp;"-,Regular"of&amp;"SutonnyMJ,Regular"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utton4_Click">
                <anchor moveWithCells="1" sizeWithCells="1">
                  <from>
                    <xdr:col>40</xdr:col>
                    <xdr:colOff>142875</xdr:colOff>
                    <xdr:row>2</xdr:row>
                    <xdr:rowOff>9525</xdr:rowOff>
                  </from>
                  <to>
                    <xdr:col>43</xdr:col>
                    <xdr:colOff>419100</xdr:colOff>
                    <xdr:row>5</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92D050"/>
  </sheetPr>
  <dimension ref="A1:CK61"/>
  <sheetViews>
    <sheetView showGridLines="0" view="pageBreakPreview" zoomScaleSheetLayoutView="100" workbookViewId="0">
      <selection activeCell="A10" sqref="A10:AN11"/>
    </sheetView>
  </sheetViews>
  <sheetFormatPr defaultRowHeight="18" customHeight="1"/>
  <cols>
    <col min="1" max="1" width="2.5703125" customWidth="1"/>
    <col min="2" max="2" width="2" customWidth="1"/>
    <col min="3" max="6" width="1" customWidth="1"/>
    <col min="7" max="8" width="2.140625" customWidth="1"/>
    <col min="9" max="11" width="1" customWidth="1"/>
    <col min="12" max="12" width="2.5703125" customWidth="1"/>
    <col min="13" max="21" width="1" customWidth="1"/>
    <col min="22" max="22" width="2.140625" style="51" customWidth="1"/>
    <col min="23" max="25" width="3.28515625" customWidth="1"/>
    <col min="26" max="26" width="2.7109375" customWidth="1"/>
    <col min="27" max="27" width="4" customWidth="1"/>
    <col min="28" max="29" width="3.28515625" customWidth="1"/>
    <col min="30" max="30" width="4.5703125" customWidth="1"/>
    <col min="31" max="31" width="3.28515625" customWidth="1"/>
    <col min="32" max="32" width="4.42578125" customWidth="1"/>
    <col min="33" max="33" width="3.28515625" customWidth="1"/>
    <col min="34" max="34" width="4.7109375" customWidth="1"/>
    <col min="35" max="40" width="3.28515625" customWidth="1"/>
    <col min="41" max="41" width="7.42578125" customWidth="1"/>
    <col min="42" max="42" width="5.140625" customWidth="1"/>
    <col min="43" max="43" width="3.42578125" customWidth="1"/>
    <col min="44" max="44" width="4.42578125" customWidth="1"/>
    <col min="45" max="45" width="6.5703125" customWidth="1"/>
    <col min="46" max="66" width="3.42578125" customWidth="1"/>
  </cols>
  <sheetData>
    <row r="1" spans="1:69" ht="15.75" customHeight="1">
      <c r="B1" s="162"/>
      <c r="C1" s="162"/>
      <c r="D1" s="162"/>
      <c r="E1" s="162"/>
      <c r="F1" s="162"/>
      <c r="G1" s="162"/>
      <c r="H1" s="162"/>
      <c r="I1" s="162"/>
      <c r="J1" s="162"/>
      <c r="K1" s="162"/>
      <c r="M1" s="277"/>
      <c r="N1" s="277"/>
      <c r="O1" s="277"/>
      <c r="P1" s="277"/>
      <c r="Q1" s="277"/>
      <c r="R1" s="277"/>
      <c r="S1" s="1978" t="s">
        <v>0</v>
      </c>
      <c r="T1" s="1978"/>
      <c r="U1" s="1978"/>
      <c r="V1" s="1978"/>
      <c r="W1" s="1978"/>
      <c r="X1" s="1978"/>
      <c r="Y1" s="1978"/>
      <c r="Z1" s="1978"/>
      <c r="AA1" s="1978"/>
      <c r="AB1" s="1978"/>
      <c r="AC1" s="1978"/>
      <c r="AD1" s="1978"/>
      <c r="AE1" s="1978"/>
      <c r="AF1" s="798" t="s">
        <v>667</v>
      </c>
      <c r="AG1" s="798"/>
      <c r="AH1" s="798"/>
      <c r="AI1" s="798"/>
      <c r="AJ1" s="798"/>
      <c r="AK1" s="798"/>
      <c r="AL1" s="798"/>
      <c r="AM1" s="798"/>
      <c r="AN1" s="798"/>
      <c r="AO1" s="162"/>
      <c r="AP1" s="162"/>
      <c r="AQ1" s="162"/>
      <c r="AR1" s="162"/>
      <c r="AS1" s="162"/>
    </row>
    <row r="2" spans="1:69" ht="15.75" customHeight="1">
      <c r="B2" s="163"/>
      <c r="C2" s="163"/>
      <c r="D2" s="163"/>
      <c r="E2" s="163"/>
      <c r="F2" s="163"/>
      <c r="G2" s="163"/>
      <c r="H2" s="163"/>
      <c r="I2" s="163"/>
      <c r="J2" s="163"/>
      <c r="K2" s="163"/>
      <c r="M2" s="277"/>
      <c r="N2" s="277"/>
      <c r="O2" s="277"/>
      <c r="P2" s="277"/>
      <c r="Q2" s="277"/>
      <c r="R2" s="277"/>
      <c r="S2" s="1978"/>
      <c r="T2" s="1978"/>
      <c r="U2" s="1978"/>
      <c r="V2" s="1978"/>
      <c r="W2" s="1978"/>
      <c r="X2" s="1978"/>
      <c r="Y2" s="1978"/>
      <c r="Z2" s="1978"/>
      <c r="AA2" s="1978"/>
      <c r="AB2" s="1978"/>
      <c r="AC2" s="1978"/>
      <c r="AD2" s="1978"/>
      <c r="AE2" s="1978"/>
      <c r="AF2" s="800" t="s">
        <v>575</v>
      </c>
      <c r="AG2" s="800"/>
      <c r="AH2" s="800"/>
      <c r="AI2" s="800"/>
      <c r="AJ2" s="800"/>
      <c r="AK2" s="800"/>
      <c r="AL2" s="800"/>
      <c r="AM2" s="800"/>
      <c r="AN2" s="800"/>
      <c r="AO2" s="163"/>
      <c r="AP2" s="163"/>
      <c r="AQ2" s="163"/>
      <c r="AR2" s="163"/>
      <c r="AS2" s="163"/>
    </row>
    <row r="3" spans="1:69" ht="18" customHeight="1">
      <c r="B3" s="159"/>
      <c r="C3" s="159"/>
      <c r="D3" s="159"/>
      <c r="E3" s="159"/>
      <c r="F3" s="159"/>
      <c r="G3" s="159"/>
      <c r="H3" s="159"/>
      <c r="I3" s="159"/>
      <c r="J3" s="159"/>
      <c r="K3" s="159"/>
      <c r="M3" s="276"/>
      <c r="N3" s="276"/>
      <c r="O3" s="276"/>
      <c r="P3" s="276"/>
      <c r="Q3" s="276"/>
      <c r="R3" s="276"/>
      <c r="S3" s="1979" t="str">
        <f>+'Data Input'!D2</f>
        <v>wmw×iMÄ kvLv, bvivqYMÄ</v>
      </c>
      <c r="T3" s="1979"/>
      <c r="U3" s="1979"/>
      <c r="V3" s="1979"/>
      <c r="W3" s="1979"/>
      <c r="X3" s="1979"/>
      <c r="Y3" s="1979"/>
      <c r="Z3" s="1979"/>
      <c r="AA3" s="1979"/>
      <c r="AB3" s="1979"/>
      <c r="AC3" s="1979"/>
      <c r="AD3" s="1979"/>
      <c r="AE3" s="1979"/>
      <c r="AF3" s="799" t="str">
        <f>+'Data Input'!D3</f>
        <v>Mobile: 01730-708739</v>
      </c>
      <c r="AG3" s="799"/>
      <c r="AH3" s="799"/>
      <c r="AI3" s="799"/>
      <c r="AJ3" s="799"/>
      <c r="AK3" s="799"/>
      <c r="AL3" s="799"/>
      <c r="AM3" s="799"/>
      <c r="AN3" s="799"/>
      <c r="AO3" s="159"/>
      <c r="AP3" s="159"/>
      <c r="AQ3" s="159"/>
      <c r="AR3" s="159"/>
      <c r="AS3" s="159"/>
    </row>
    <row r="4" spans="1:69" ht="13.5" customHeight="1">
      <c r="A4" s="1237" t="str">
        <f>"Mail: "&amp;+'Data Input'!D4&amp;",  Web: www.krishibank.org.bd"</f>
        <v>Mail: mgrsiddhirgonj@krishibank.org.bd,  Web: www.krishibank.org.bd</v>
      </c>
      <c r="B4" s="1237"/>
      <c r="C4" s="1237"/>
      <c r="D4" s="1237"/>
      <c r="E4" s="1237"/>
      <c r="F4" s="1237"/>
      <c r="G4" s="1237"/>
      <c r="H4" s="1237"/>
      <c r="I4" s="1237"/>
      <c r="J4" s="1237"/>
      <c r="K4" s="1237"/>
      <c r="L4" s="1237"/>
      <c r="M4" s="1237"/>
      <c r="N4" s="1237"/>
      <c r="O4" s="1237"/>
      <c r="P4" s="1237"/>
      <c r="Q4" s="1237"/>
      <c r="R4" s="1237"/>
      <c r="S4" s="1237"/>
      <c r="T4" s="1237"/>
      <c r="U4" s="1237"/>
      <c r="V4" s="1237"/>
      <c r="W4" s="1237"/>
      <c r="X4" s="1237"/>
      <c r="Y4" s="1237"/>
      <c r="Z4" s="1237"/>
      <c r="AA4" s="1237"/>
      <c r="AB4" s="1237"/>
      <c r="AC4" s="1237"/>
      <c r="AD4" s="1237"/>
      <c r="AE4" s="1237"/>
      <c r="AF4" s="1237"/>
      <c r="AG4" s="1237"/>
      <c r="AH4" s="1237"/>
      <c r="AI4" s="1237"/>
      <c r="AJ4" s="1237"/>
      <c r="AK4" s="1237"/>
      <c r="AL4" s="1237"/>
      <c r="AM4" s="1237"/>
      <c r="AN4" s="1237"/>
      <c r="AO4" s="160"/>
      <c r="AP4" s="160"/>
      <c r="AQ4" s="160"/>
      <c r="AR4" s="160"/>
      <c r="AS4" s="160"/>
    </row>
    <row r="5" spans="1:69" s="23" customFormat="1" ht="16.5" customHeight="1">
      <c r="A5" s="1971" t="str">
        <f>"   "&amp;'Data Input'!B5&amp;" "&amp;'Data Input'!D5&amp;"/ "&amp;AS5</f>
        <v xml:space="preserve">   FY †KBm bs 64(wmGgGmGgB)/2024-25 / </v>
      </c>
      <c r="B5" s="1971"/>
      <c r="C5" s="1971"/>
      <c r="D5" s="1971"/>
      <c r="E5" s="1971"/>
      <c r="F5" s="1971"/>
      <c r="G5" s="1971"/>
      <c r="H5" s="1971"/>
      <c r="I5" s="1971"/>
      <c r="J5" s="1971"/>
      <c r="K5" s="1971"/>
      <c r="L5" s="1971"/>
      <c r="M5" s="1971"/>
      <c r="N5" s="1971"/>
      <c r="O5" s="1971"/>
      <c r="P5" s="1971"/>
      <c r="Q5" s="1971"/>
      <c r="R5" s="1971"/>
      <c r="S5" s="1971"/>
      <c r="T5" s="1971"/>
      <c r="U5" s="1971"/>
      <c r="V5" s="1971"/>
      <c r="W5" s="1971"/>
      <c r="X5" s="1971"/>
      <c r="Y5" s="1971"/>
      <c r="Z5" s="1971"/>
      <c r="AA5" s="1971"/>
      <c r="AB5" s="1971"/>
      <c r="AC5" s="1971"/>
      <c r="AD5" s="1971"/>
      <c r="AE5" s="1971"/>
      <c r="AF5" s="662"/>
      <c r="AG5" s="663"/>
      <c r="AH5" s="825" t="s">
        <v>209</v>
      </c>
      <c r="AI5" s="825"/>
      <c r="AJ5" s="1972">
        <v>45669</v>
      </c>
      <c r="AK5" s="1972"/>
      <c r="AL5" s="1972"/>
      <c r="AM5" s="1972"/>
      <c r="AN5" s="664" t="s">
        <v>275</v>
      </c>
      <c r="AO5"/>
      <c r="AP5" s="259" t="s">
        <v>587</v>
      </c>
      <c r="AQ5"/>
      <c r="AR5"/>
      <c r="AS5" s="1973"/>
      <c r="AT5" s="1974"/>
      <c r="AU5"/>
      <c r="AV5"/>
      <c r="AW5"/>
      <c r="AX5"/>
      <c r="AY5"/>
      <c r="AZ5"/>
      <c r="BA5"/>
      <c r="BB5"/>
      <c r="BC5"/>
      <c r="BD5"/>
      <c r="BE5"/>
      <c r="BF5"/>
      <c r="BG5"/>
      <c r="BH5"/>
      <c r="BI5"/>
      <c r="BJ5"/>
      <c r="BK5"/>
      <c r="BL5"/>
      <c r="BM5"/>
      <c r="BN5"/>
      <c r="BO5"/>
      <c r="BP5"/>
      <c r="BQ5"/>
    </row>
    <row r="6" spans="1:69" s="23" customFormat="1" ht="10.5" customHeight="1">
      <c r="A6" s="12"/>
      <c r="B6" s="12"/>
      <c r="C6" s="12"/>
      <c r="D6" s="12"/>
      <c r="E6" s="12"/>
      <c r="F6" s="12"/>
      <c r="G6" s="12"/>
      <c r="H6" s="12"/>
      <c r="I6" s="12"/>
      <c r="J6" s="12"/>
      <c r="K6" s="12"/>
      <c r="L6" s="12"/>
      <c r="M6" s="12"/>
      <c r="N6" s="12"/>
      <c r="O6" s="12"/>
      <c r="P6" s="12"/>
      <c r="Q6" s="12"/>
      <c r="R6" s="12"/>
      <c r="S6" s="12"/>
      <c r="T6" s="12"/>
      <c r="U6" s="12"/>
      <c r="V6" s="39"/>
      <c r="W6" s="12"/>
      <c r="X6" s="12"/>
      <c r="Y6" s="12"/>
      <c r="Z6" s="12"/>
      <c r="AA6" s="12"/>
      <c r="AB6" s="12"/>
      <c r="AC6" s="12"/>
      <c r="AD6" s="12"/>
      <c r="AE6" s="12"/>
      <c r="AF6" s="43"/>
      <c r="AG6" s="43"/>
      <c r="AH6" s="43"/>
      <c r="AI6" s="44"/>
      <c r="AJ6" s="44"/>
      <c r="AK6" s="44"/>
      <c r="AL6" s="44"/>
      <c r="AM6" s="44"/>
      <c r="AN6" s="44"/>
      <c r="AO6"/>
      <c r="AP6"/>
      <c r="AQ6"/>
      <c r="AR6"/>
      <c r="AS6"/>
      <c r="AT6"/>
      <c r="AU6"/>
      <c r="AV6"/>
      <c r="AW6"/>
      <c r="AX6"/>
      <c r="AY6"/>
      <c r="AZ6"/>
      <c r="BA6"/>
      <c r="BB6"/>
      <c r="BC6"/>
      <c r="BD6"/>
      <c r="BE6"/>
      <c r="BF6"/>
      <c r="BG6"/>
      <c r="BH6"/>
      <c r="BI6"/>
      <c r="BJ6"/>
      <c r="BK6"/>
      <c r="BL6"/>
      <c r="BM6"/>
      <c r="BN6"/>
      <c r="BO6"/>
      <c r="BP6"/>
      <c r="BQ6"/>
    </row>
    <row r="7" spans="1:69" s="23" customFormat="1" ht="16.5" customHeight="1">
      <c r="A7" s="66"/>
      <c r="B7" s="66"/>
      <c r="C7" s="66"/>
      <c r="D7" s="66"/>
      <c r="E7" s="66"/>
      <c r="F7" s="66"/>
      <c r="G7" s="66"/>
      <c r="H7" s="66"/>
      <c r="I7" s="66"/>
      <c r="J7" s="66"/>
      <c r="K7" s="66"/>
      <c r="L7" s="66"/>
      <c r="M7" s="66"/>
      <c r="N7" s="66"/>
      <c r="O7" s="66"/>
      <c r="P7" s="66"/>
      <c r="Q7" s="66"/>
      <c r="R7" s="66"/>
      <c r="S7" s="66"/>
      <c r="T7" s="66"/>
      <c r="U7" s="1000" t="s">
        <v>1059</v>
      </c>
      <c r="V7" s="1000"/>
      <c r="W7" s="1000"/>
      <c r="X7" s="1000"/>
      <c r="Y7" s="983" t="s">
        <v>1060</v>
      </c>
      <c r="Z7" s="983"/>
      <c r="AA7" s="983"/>
      <c r="AB7" s="983"/>
      <c r="AC7" s="983"/>
      <c r="AD7" s="983"/>
      <c r="AE7" s="983"/>
      <c r="AF7" s="983"/>
      <c r="AG7" s="66"/>
      <c r="AH7" s="66"/>
      <c r="AI7" s="66"/>
      <c r="AJ7" s="66"/>
      <c r="AK7" s="66"/>
      <c r="AL7" s="66"/>
      <c r="AM7" s="66"/>
      <c r="AN7" s="66"/>
      <c r="AO7"/>
      <c r="AP7" t="s">
        <v>150</v>
      </c>
      <c r="AQ7"/>
      <c r="AR7"/>
      <c r="AS7"/>
      <c r="AT7"/>
      <c r="AU7"/>
      <c r="AV7"/>
      <c r="AW7"/>
      <c r="AX7"/>
      <c r="AY7"/>
      <c r="AZ7"/>
      <c r="BA7"/>
      <c r="BB7"/>
      <c r="BC7"/>
      <c r="BD7"/>
      <c r="BE7"/>
      <c r="BF7"/>
      <c r="BG7"/>
      <c r="BH7"/>
      <c r="BI7"/>
      <c r="BJ7"/>
      <c r="BK7"/>
      <c r="BL7"/>
      <c r="BM7"/>
      <c r="BN7"/>
      <c r="BO7"/>
      <c r="BP7"/>
      <c r="BQ7"/>
    </row>
    <row r="8" spans="1:69" s="23" customFormat="1" ht="16.5" customHeight="1">
      <c r="A8" s="1975" t="s">
        <v>163</v>
      </c>
      <c r="B8" s="1975"/>
      <c r="C8" s="1975"/>
      <c r="D8" s="1975"/>
      <c r="E8" s="1975"/>
      <c r="F8" s="1975"/>
      <c r="G8" s="1975"/>
      <c r="H8" s="1975"/>
      <c r="I8" s="1975"/>
      <c r="J8" s="1975"/>
      <c r="K8" s="1975"/>
      <c r="L8" s="1975"/>
      <c r="M8" s="1975"/>
      <c r="N8" s="1975"/>
      <c r="O8" s="1975"/>
      <c r="P8" s="1975"/>
      <c r="Q8" s="1975"/>
      <c r="R8" s="1975"/>
      <c r="S8" s="1975"/>
      <c r="T8" s="1975"/>
      <c r="U8" s="1975"/>
      <c r="V8" s="1975"/>
      <c r="W8" s="1975"/>
      <c r="X8" s="1975"/>
      <c r="Y8" s="1975"/>
      <c r="Z8" s="1975"/>
      <c r="AA8" s="1975"/>
      <c r="AB8" s="1975"/>
      <c r="AC8" s="1975"/>
      <c r="AD8" s="1975"/>
      <c r="AE8" s="1975"/>
      <c r="AF8" s="1975"/>
      <c r="AG8" s="1975"/>
      <c r="AH8" s="1975"/>
      <c r="AI8" s="1975"/>
      <c r="AJ8" s="1975"/>
      <c r="AK8" s="1975"/>
      <c r="AL8" s="1975"/>
      <c r="AM8" s="1975"/>
      <c r="AN8" s="1975"/>
      <c r="AO8"/>
      <c r="AP8"/>
      <c r="AQ8"/>
      <c r="AR8"/>
      <c r="AS8"/>
      <c r="AT8"/>
      <c r="AU8"/>
      <c r="AV8"/>
      <c r="AW8"/>
      <c r="AX8"/>
      <c r="AY8"/>
      <c r="AZ8"/>
      <c r="BA8"/>
      <c r="BB8"/>
      <c r="BC8"/>
      <c r="BD8"/>
      <c r="BE8"/>
      <c r="BF8"/>
      <c r="BG8"/>
      <c r="BH8"/>
      <c r="BI8"/>
      <c r="BJ8"/>
      <c r="BK8"/>
      <c r="BL8"/>
      <c r="BM8"/>
      <c r="BN8"/>
      <c r="BO8"/>
      <c r="BP8"/>
      <c r="BQ8"/>
    </row>
    <row r="9" spans="1:69" s="23" customFormat="1" ht="8.25" customHeight="1">
      <c r="A9" s="12"/>
      <c r="V9" s="39"/>
      <c r="AO9"/>
      <c r="AP9"/>
      <c r="AQ9"/>
      <c r="AR9"/>
      <c r="AS9"/>
      <c r="AT9"/>
      <c r="AU9"/>
      <c r="AV9"/>
      <c r="AW9"/>
      <c r="AX9"/>
      <c r="AY9"/>
      <c r="AZ9"/>
      <c r="BA9"/>
      <c r="BB9"/>
      <c r="BC9"/>
      <c r="BD9"/>
      <c r="BE9"/>
      <c r="BF9"/>
      <c r="BG9"/>
      <c r="BH9"/>
      <c r="BI9"/>
      <c r="BJ9"/>
      <c r="BK9"/>
      <c r="BL9"/>
      <c r="BM9"/>
      <c r="BN9"/>
      <c r="BO9"/>
      <c r="BP9"/>
      <c r="BQ9"/>
    </row>
    <row r="10" spans="1:69" s="23" customFormat="1" ht="17.25" customHeight="1">
      <c r="A10" s="1224" t="str">
        <f>'Data Input'!D8&amp;" Gi ‡cÖvcvBUi "&amp;'Data Input'!D12&amp;" "&amp;'Data Input'!B13&amp;" "&amp;'Data Input'!D13&amp;", gvZvi bvg "&amp;'Data Input'!D14&amp;" "&amp;'Data Input'!D17&amp;", Dc‡Rjvt "&amp;'Data Input'!D22&amp;", ‡Rjvt "&amp;'Data Input'!D23</f>
        <v>‡gmvm© mvbd¬vIqvi †UBjvm© GÛ †dweªK&amp;ª Gi ‡cÖvcvBUi ‡gvt Rwb wcZv/¯^vgxi bvg g„Z †gvt Bw`ªm Avjx, gvZvi bvg gvmvt Avgexqv LvZzb `vcv B`ªvKcyi, dZzjøv, bvivqYMÄ, Dc‡Rjvt bvivqYMÄ m`i, ‡Rjvt bvivqYMÄ</v>
      </c>
      <c r="B10" s="1224"/>
      <c r="C10" s="1224"/>
      <c r="D10" s="1224"/>
      <c r="E10" s="1224"/>
      <c r="F10" s="1224"/>
      <c r="G10" s="1224"/>
      <c r="H10" s="1224"/>
      <c r="I10" s="1224"/>
      <c r="J10" s="1224"/>
      <c r="K10" s="1224"/>
      <c r="L10" s="1224"/>
      <c r="M10" s="1224"/>
      <c r="N10" s="1224"/>
      <c r="O10" s="1224"/>
      <c r="P10" s="1224"/>
      <c r="Q10" s="1224"/>
      <c r="R10" s="1224"/>
      <c r="S10" s="1224"/>
      <c r="T10" s="1224"/>
      <c r="U10" s="1224"/>
      <c r="V10" s="1224"/>
      <c r="W10" s="1224"/>
      <c r="X10" s="1224"/>
      <c r="Y10" s="1224"/>
      <c r="Z10" s="1224"/>
      <c r="AA10" s="1224"/>
      <c r="AB10" s="1224"/>
      <c r="AC10" s="1224"/>
      <c r="AD10" s="1224"/>
      <c r="AE10" s="1224"/>
      <c r="AF10" s="1224"/>
      <c r="AG10" s="1224"/>
      <c r="AH10" s="1224"/>
      <c r="AI10" s="1224"/>
      <c r="AJ10" s="1224"/>
      <c r="AK10" s="1224"/>
      <c r="AL10" s="1224"/>
      <c r="AM10" s="1224"/>
      <c r="AN10" s="1224"/>
      <c r="AO10"/>
      <c r="AP10"/>
      <c r="AQ10"/>
      <c r="AR10"/>
      <c r="AS10"/>
      <c r="AT10"/>
      <c r="AU10"/>
      <c r="AV10"/>
      <c r="AW10"/>
      <c r="AX10"/>
      <c r="AY10"/>
      <c r="AZ10"/>
      <c r="BA10"/>
      <c r="BB10"/>
      <c r="BC10"/>
      <c r="BD10"/>
      <c r="BE10"/>
      <c r="BF10"/>
      <c r="BG10"/>
      <c r="BH10"/>
      <c r="BI10"/>
      <c r="BJ10"/>
      <c r="BK10"/>
      <c r="BL10"/>
      <c r="BM10"/>
      <c r="BN10"/>
      <c r="BO10"/>
      <c r="BP10"/>
      <c r="BQ10"/>
    </row>
    <row r="11" spans="1:69" s="23" customFormat="1" ht="17.25">
      <c r="A11" s="1224"/>
      <c r="B11" s="1224"/>
      <c r="C11" s="1224"/>
      <c r="D11" s="1224"/>
      <c r="E11" s="1224"/>
      <c r="F11" s="1224"/>
      <c r="G11" s="1224"/>
      <c r="H11" s="1224"/>
      <c r="I11" s="1224"/>
      <c r="J11" s="1224"/>
      <c r="K11" s="1224"/>
      <c r="L11" s="1224"/>
      <c r="M11" s="1224"/>
      <c r="N11" s="1224"/>
      <c r="O11" s="1224"/>
      <c r="P11" s="1224"/>
      <c r="Q11" s="1224"/>
      <c r="R11" s="1224"/>
      <c r="S11" s="1224"/>
      <c r="T11" s="1224"/>
      <c r="U11" s="1224"/>
      <c r="V11" s="1224"/>
      <c r="W11" s="1224"/>
      <c r="X11" s="1224"/>
      <c r="Y11" s="1224"/>
      <c r="Z11" s="1224"/>
      <c r="AA11" s="1224"/>
      <c r="AB11" s="1224"/>
      <c r="AC11" s="1224"/>
      <c r="AD11" s="1224"/>
      <c r="AE11" s="1224"/>
      <c r="AF11" s="1224"/>
      <c r="AG11" s="1224"/>
      <c r="AH11" s="1224"/>
      <c r="AI11" s="1224"/>
      <c r="AJ11" s="1224"/>
      <c r="AK11" s="1224"/>
      <c r="AL11" s="1224"/>
      <c r="AM11" s="1224"/>
      <c r="AN11" s="1224"/>
      <c r="AO11"/>
      <c r="AP11"/>
      <c r="AQ11"/>
      <c r="AR11"/>
      <c r="AS11"/>
      <c r="AT11"/>
      <c r="AU11"/>
      <c r="AV11"/>
      <c r="AW11"/>
      <c r="AX11"/>
      <c r="AY11"/>
      <c r="AZ11"/>
      <c r="BA11"/>
      <c r="BB11"/>
      <c r="BC11"/>
      <c r="BD11"/>
      <c r="BE11"/>
      <c r="BF11"/>
      <c r="BG11"/>
      <c r="BH11"/>
      <c r="BI11"/>
      <c r="BJ11"/>
      <c r="BK11"/>
      <c r="BL11"/>
      <c r="BM11"/>
      <c r="BN11"/>
      <c r="BO11"/>
      <c r="BP11"/>
      <c r="BQ11"/>
    </row>
    <row r="12" spans="1:69" s="23" customFormat="1" ht="16.5" customHeight="1">
      <c r="A12" s="1976"/>
      <c r="B12" s="1976"/>
      <c r="C12" s="1976"/>
      <c r="D12" s="1976"/>
      <c r="E12" s="1976"/>
      <c r="F12" s="1976"/>
      <c r="G12" s="1976"/>
      <c r="H12" s="12"/>
      <c r="I12" s="1977"/>
      <c r="J12" s="1917"/>
      <c r="K12" s="1917"/>
      <c r="L12" s="1917"/>
      <c r="M12" s="1917"/>
      <c r="N12" s="1917"/>
      <c r="O12" s="1917"/>
      <c r="P12" s="1917"/>
      <c r="Q12" s="1917"/>
      <c r="R12" s="1917"/>
      <c r="S12" s="1917"/>
      <c r="T12" s="1917"/>
      <c r="U12" s="1917"/>
      <c r="V12" s="1917"/>
      <c r="W12" s="1917"/>
      <c r="X12" s="1917"/>
      <c r="Y12" s="1917"/>
      <c r="Z12" s="1917"/>
      <c r="AA12" s="1917"/>
      <c r="AB12" s="1917"/>
      <c r="AC12" s="1917"/>
      <c r="AD12" s="1917"/>
      <c r="AE12" s="1917"/>
      <c r="AF12" s="1917"/>
      <c r="AG12" s="1917"/>
      <c r="AH12" s="1917"/>
      <c r="AI12" s="1917"/>
      <c r="AJ12" s="1917"/>
      <c r="AK12" s="1917"/>
      <c r="AL12" s="1917"/>
      <c r="AM12" s="1917"/>
      <c r="AN12" s="1917"/>
      <c r="AO12"/>
      <c r="AP12"/>
      <c r="AQ12"/>
      <c r="AR12"/>
      <c r="AS12"/>
      <c r="AT12"/>
      <c r="AU12"/>
      <c r="AV12"/>
      <c r="AW12"/>
      <c r="AX12"/>
      <c r="AY12"/>
      <c r="AZ12"/>
      <c r="BA12"/>
      <c r="BB12"/>
      <c r="BC12"/>
      <c r="BD12"/>
      <c r="BE12"/>
      <c r="BF12"/>
      <c r="BG12"/>
      <c r="BH12"/>
      <c r="BI12"/>
      <c r="BJ12"/>
      <c r="BK12"/>
      <c r="BL12"/>
      <c r="BM12"/>
      <c r="BN12"/>
      <c r="BO12"/>
      <c r="BP12"/>
      <c r="BQ12"/>
    </row>
    <row r="13" spans="1:69" s="23" customFormat="1" ht="4.5" customHeight="1">
      <c r="C13" s="12"/>
      <c r="D13" s="12"/>
      <c r="E13" s="12"/>
      <c r="F13" s="12"/>
      <c r="G13" s="12"/>
      <c r="H13" s="12"/>
      <c r="I13" s="12"/>
      <c r="J13" s="12"/>
      <c r="K13" s="12"/>
      <c r="L13" s="12"/>
      <c r="M13" s="12"/>
      <c r="N13" s="12"/>
      <c r="O13" s="12"/>
      <c r="P13" s="12"/>
      <c r="Q13" s="12"/>
      <c r="R13" s="12"/>
      <c r="S13" s="12"/>
      <c r="T13" s="12"/>
      <c r="U13" s="12"/>
      <c r="V13" s="39"/>
      <c r="W13" s="12"/>
      <c r="X13" s="12"/>
      <c r="Y13" s="12"/>
      <c r="Z13" s="12"/>
      <c r="AA13" s="12"/>
      <c r="AB13" s="12"/>
      <c r="AC13" s="12"/>
      <c r="AD13" s="12"/>
      <c r="AE13" s="12"/>
      <c r="AF13" s="12"/>
      <c r="AG13" s="12"/>
      <c r="AH13" s="12"/>
      <c r="AI13" s="12"/>
      <c r="AJ13" s="12"/>
      <c r="AK13" s="12"/>
      <c r="AL13" s="12"/>
      <c r="AM13" s="12"/>
      <c r="AN13" s="12"/>
      <c r="AO13"/>
      <c r="AP13"/>
      <c r="AQ13"/>
      <c r="AR13"/>
      <c r="AS13"/>
      <c r="AT13"/>
      <c r="AU13"/>
      <c r="AV13"/>
      <c r="AW13"/>
      <c r="AX13"/>
      <c r="AY13"/>
      <c r="AZ13"/>
      <c r="BA13"/>
      <c r="BB13"/>
      <c r="BC13"/>
      <c r="BD13"/>
      <c r="BE13"/>
      <c r="BF13"/>
      <c r="BG13"/>
      <c r="BH13"/>
      <c r="BI13"/>
      <c r="BJ13"/>
      <c r="BK13"/>
      <c r="BL13"/>
      <c r="BM13"/>
      <c r="BN13"/>
      <c r="BO13"/>
      <c r="BP13"/>
      <c r="BQ13"/>
    </row>
    <row r="14" spans="1:69" ht="18" customHeight="1">
      <c r="B14" s="93"/>
      <c r="C14" s="93"/>
      <c r="D14" s="93"/>
      <c r="E14" s="93"/>
      <c r="F14" s="93"/>
      <c r="G14" s="93"/>
      <c r="H14" s="93"/>
      <c r="I14" s="93"/>
      <c r="J14" s="93"/>
      <c r="K14" s="93"/>
      <c r="L14" s="93"/>
      <c r="M14" s="93"/>
      <c r="N14" s="93"/>
      <c r="O14" s="93"/>
      <c r="P14" s="93"/>
      <c r="Q14" s="93"/>
      <c r="R14" s="93"/>
      <c r="S14" s="93"/>
      <c r="T14" s="93"/>
      <c r="U14" s="93"/>
      <c r="V14" s="93"/>
      <c r="W14" s="1983" t="s">
        <v>1056</v>
      </c>
      <c r="X14" s="1983"/>
      <c r="Y14" s="1984" t="s">
        <v>1057</v>
      </c>
      <c r="Z14" s="1984"/>
      <c r="AA14" s="1984"/>
      <c r="AB14" s="1984"/>
      <c r="AC14" s="1984"/>
      <c r="AD14" s="1984"/>
      <c r="AE14" s="1984"/>
      <c r="AF14" s="1984"/>
      <c r="AG14" s="93"/>
      <c r="AH14" s="93"/>
      <c r="AI14" s="93"/>
      <c r="AJ14" s="93"/>
      <c r="AK14" s="93"/>
      <c r="AL14" s="93"/>
      <c r="AM14" s="93"/>
      <c r="AN14" s="93"/>
    </row>
    <row r="15" spans="1:69" ht="18" customHeight="1">
      <c r="A15" s="124"/>
      <c r="B15" s="124"/>
      <c r="C15" s="124"/>
      <c r="D15" s="124"/>
      <c r="E15" s="124"/>
      <c r="F15" s="124"/>
      <c r="G15" s="124"/>
      <c r="H15" s="124"/>
      <c r="I15" s="124"/>
      <c r="J15" s="124"/>
      <c r="K15" s="124"/>
      <c r="L15" s="124"/>
      <c r="M15" s="124"/>
      <c r="N15" s="124"/>
      <c r="O15" s="124"/>
      <c r="P15" s="124"/>
      <c r="Q15" s="124"/>
      <c r="R15" s="124"/>
      <c r="S15" s="124"/>
      <c r="T15" s="124"/>
      <c r="U15" s="124"/>
      <c r="V15" s="124"/>
      <c r="W15" s="1983" t="s">
        <v>1031</v>
      </c>
      <c r="X15" s="1983"/>
      <c r="Y15" s="1984">
        <f>'Data Input'!D11</f>
        <v>500000</v>
      </c>
      <c r="Z15" s="1984"/>
      <c r="AA15" s="1984"/>
      <c r="AB15" s="1984"/>
      <c r="AC15" s="1984"/>
      <c r="AD15" s="1984"/>
      <c r="AE15" s="1984"/>
      <c r="AF15" s="1984"/>
      <c r="AG15" s="124"/>
      <c r="AH15" s="124"/>
      <c r="AI15" s="124"/>
      <c r="AJ15" s="124"/>
      <c r="AK15" s="124"/>
      <c r="AL15" s="124"/>
      <c r="AM15" s="124"/>
      <c r="AN15" s="124"/>
    </row>
    <row r="16" spans="1:69" ht="18" customHeight="1">
      <c r="A16" s="1982" t="s">
        <v>164</v>
      </c>
      <c r="B16" s="1982"/>
      <c r="C16" s="1982"/>
      <c r="D16" s="1982"/>
      <c r="E16" s="1982"/>
      <c r="F16" s="1982"/>
      <c r="G16" s="1982"/>
      <c r="H16" s="1982"/>
      <c r="I16" s="1982"/>
      <c r="J16" s="1982"/>
      <c r="K16" s="1982"/>
      <c r="L16" s="1982"/>
      <c r="M16" s="1982"/>
      <c r="N16" s="1982"/>
      <c r="O16" s="1982"/>
      <c r="P16" s="1982"/>
      <c r="Q16" s="1982"/>
      <c r="R16" s="1982"/>
      <c r="S16" s="1982"/>
      <c r="T16" s="1982"/>
      <c r="U16" s="1982"/>
      <c r="V16" s="1982"/>
      <c r="W16" s="1982"/>
      <c r="X16" s="1982"/>
      <c r="Y16" s="1982"/>
      <c r="Z16" s="1982"/>
      <c r="AA16" s="1982"/>
      <c r="AB16" s="1982"/>
      <c r="AC16" s="1982"/>
      <c r="AD16" s="1982"/>
      <c r="AE16" s="1982"/>
      <c r="AF16" s="1982"/>
      <c r="AG16" s="1982"/>
      <c r="AH16" s="1982"/>
      <c r="AI16" s="1982"/>
      <c r="AJ16" s="1982"/>
      <c r="AK16" s="1982"/>
      <c r="AL16" s="1982"/>
      <c r="AM16" s="1982"/>
      <c r="AN16" s="1982"/>
    </row>
    <row r="17" spans="1:89" ht="18.75" customHeight="1">
      <c r="A17" s="1924" t="e">
        <f ca="1">"Avcbvi MZ "&amp;IF('LF-5'!P182="","    /       /20     ",TEXT('LF-5'!P182,"dd/mm/yyyy"))&amp;" Bs Zvwi‡L Av‡e`‡bi †cÖwÿ‡Z "&amp;'Data Input'!D10&amp;" e¨emv cwiPvjbvi Rb¨ wb¤œwjwLZ kZ© mv‡c‡ÿ e¨vsK UvKvt "&amp;'Data Input'!D11&amp;"/- (K_vqt "&amp;ConvertCurrencyToBangla('Data Input'!D11)&amp; " ) gvÎ FY gÄyi Kwiqv‡Q|"</f>
        <v>#NAME?</v>
      </c>
      <c r="B17" s="1924"/>
      <c r="C17" s="1924"/>
      <c r="D17" s="1924"/>
      <c r="E17" s="1924"/>
      <c r="F17" s="1924"/>
      <c r="G17" s="1924"/>
      <c r="H17" s="1924"/>
      <c r="I17" s="1924"/>
      <c r="J17" s="1924"/>
      <c r="K17" s="1924"/>
      <c r="L17" s="1924"/>
      <c r="M17" s="1924"/>
      <c r="N17" s="1924"/>
      <c r="O17" s="1924"/>
      <c r="P17" s="1924"/>
      <c r="Q17" s="1924"/>
      <c r="R17" s="1924"/>
      <c r="S17" s="1924"/>
      <c r="T17" s="1924"/>
      <c r="U17" s="1924"/>
      <c r="V17" s="1924"/>
      <c r="W17" s="1924"/>
      <c r="X17" s="1924"/>
      <c r="Y17" s="1924"/>
      <c r="Z17" s="1924"/>
      <c r="AA17" s="1924"/>
      <c r="AB17" s="1924"/>
      <c r="AC17" s="1924"/>
      <c r="AD17" s="1924"/>
      <c r="AE17" s="1924"/>
      <c r="AF17" s="1924"/>
      <c r="AG17" s="1924"/>
      <c r="AH17" s="1924"/>
      <c r="AI17" s="1924"/>
      <c r="AJ17" s="1924"/>
      <c r="AK17" s="1924"/>
      <c r="AL17" s="1924"/>
      <c r="AM17" s="1924"/>
      <c r="AN17" s="1924"/>
      <c r="AP17" s="213" t="s">
        <v>604</v>
      </c>
      <c r="AX17" s="1924"/>
      <c r="AY17" s="1924"/>
      <c r="AZ17" s="1924"/>
      <c r="BA17" s="1924"/>
      <c r="BB17" s="1924"/>
      <c r="BC17" s="1924"/>
      <c r="BD17" s="1924"/>
      <c r="BE17" s="1924"/>
      <c r="BF17" s="1924"/>
      <c r="BG17" s="1924"/>
      <c r="BH17" s="1924"/>
      <c r="BI17" s="1924"/>
      <c r="BJ17" s="1924"/>
      <c r="BK17" s="1924"/>
      <c r="BL17" s="1924"/>
      <c r="BM17" s="1924"/>
      <c r="BN17" s="1924"/>
      <c r="BO17" s="1924"/>
      <c r="BP17" s="1924"/>
      <c r="BQ17" s="1924"/>
      <c r="BR17" s="1924"/>
      <c r="BS17" s="1924"/>
      <c r="BT17" s="1924"/>
      <c r="BU17" s="1924"/>
      <c r="BV17" s="1924"/>
      <c r="BW17" s="1924"/>
      <c r="BX17" s="1924"/>
      <c r="BY17" s="1924"/>
      <c r="BZ17" s="1924"/>
      <c r="CA17" s="1924"/>
      <c r="CB17" s="1924"/>
      <c r="CC17" s="1924"/>
      <c r="CD17" s="1924"/>
      <c r="CE17" s="1924"/>
      <c r="CF17" s="1924"/>
      <c r="CG17" s="1924"/>
      <c r="CH17" s="1924"/>
      <c r="CI17" s="1924"/>
      <c r="CJ17" s="1924"/>
      <c r="CK17" s="1924"/>
    </row>
    <row r="18" spans="1:89" ht="13.5" customHeight="1">
      <c r="A18" s="1924"/>
      <c r="B18" s="1924"/>
      <c r="C18" s="1924"/>
      <c r="D18" s="1924"/>
      <c r="E18" s="1924"/>
      <c r="F18" s="1924"/>
      <c r="G18" s="1924"/>
      <c r="H18" s="1924"/>
      <c r="I18" s="1924"/>
      <c r="J18" s="1924"/>
      <c r="K18" s="1924"/>
      <c r="L18" s="1924"/>
      <c r="M18" s="1924"/>
      <c r="N18" s="1924"/>
      <c r="O18" s="1924"/>
      <c r="P18" s="1924"/>
      <c r="Q18" s="1924"/>
      <c r="R18" s="1924"/>
      <c r="S18" s="1924"/>
      <c r="T18" s="1924"/>
      <c r="U18" s="1924"/>
      <c r="V18" s="1924"/>
      <c r="W18" s="1924"/>
      <c r="X18" s="1924"/>
      <c r="Y18" s="1924"/>
      <c r="Z18" s="1924"/>
      <c r="AA18" s="1924"/>
      <c r="AB18" s="1924"/>
      <c r="AC18" s="1924"/>
      <c r="AD18" s="1924"/>
      <c r="AE18" s="1924"/>
      <c r="AF18" s="1924"/>
      <c r="AG18" s="1924"/>
      <c r="AH18" s="1924"/>
      <c r="AI18" s="1924"/>
      <c r="AJ18" s="1924"/>
      <c r="AK18" s="1924"/>
      <c r="AL18" s="1924"/>
      <c r="AM18" s="1924"/>
      <c r="AN18" s="1924"/>
      <c r="AX18" s="1924"/>
      <c r="AY18" s="1924"/>
      <c r="AZ18" s="1924"/>
      <c r="BA18" s="1924"/>
      <c r="BB18" s="1924"/>
      <c r="BC18" s="1924"/>
      <c r="BD18" s="1924"/>
      <c r="BE18" s="1924"/>
      <c r="BF18" s="1924"/>
      <c r="BG18" s="1924"/>
      <c r="BH18" s="1924"/>
      <c r="BI18" s="1924"/>
      <c r="BJ18" s="1924"/>
      <c r="BK18" s="1924"/>
      <c r="BL18" s="1924"/>
      <c r="BM18" s="1924"/>
      <c r="BN18" s="1924"/>
      <c r="BO18" s="1924"/>
      <c r="BP18" s="1924"/>
      <c r="BQ18" s="1924"/>
      <c r="BR18" s="1924"/>
      <c r="BS18" s="1924"/>
      <c r="BT18" s="1924"/>
      <c r="BU18" s="1924"/>
      <c r="BV18" s="1924"/>
      <c r="BW18" s="1924"/>
      <c r="BX18" s="1924"/>
      <c r="BY18" s="1924"/>
      <c r="BZ18" s="1924"/>
      <c r="CA18" s="1924"/>
      <c r="CB18" s="1924"/>
      <c r="CC18" s="1924"/>
      <c r="CD18" s="1924"/>
      <c r="CE18" s="1924"/>
      <c r="CF18" s="1924"/>
      <c r="CG18" s="1924"/>
      <c r="CH18" s="1924"/>
      <c r="CI18" s="1924"/>
      <c r="CJ18" s="1924"/>
      <c r="CK18" s="1924"/>
    </row>
    <row r="19" spans="1:89" ht="4.5" customHeight="1">
      <c r="B19" s="12"/>
    </row>
    <row r="20" spans="1:89" ht="18.75" customHeight="1">
      <c r="A20" s="1963" t="s">
        <v>276</v>
      </c>
      <c r="B20" s="1963"/>
      <c r="C20" s="1980" t="s">
        <v>281</v>
      </c>
      <c r="D20" s="1980"/>
      <c r="E20" s="1980"/>
      <c r="F20" s="1980"/>
      <c r="G20" s="1980"/>
      <c r="H20" s="1980"/>
      <c r="I20" s="1980"/>
      <c r="J20" s="1980"/>
      <c r="K20" s="1980"/>
      <c r="L20" s="1980"/>
      <c r="M20" s="1980"/>
      <c r="N20" s="1980"/>
      <c r="O20" s="1980"/>
      <c r="P20" s="1980"/>
      <c r="Q20" s="1980"/>
      <c r="R20" s="1980"/>
      <c r="S20" s="1980"/>
      <c r="T20" s="1980"/>
      <c r="U20" s="1980"/>
      <c r="V20" s="39" t="s">
        <v>1</v>
      </c>
      <c r="W20" s="1980" t="s">
        <v>1062</v>
      </c>
      <c r="X20" s="1980"/>
      <c r="Y20" s="1980"/>
      <c r="Z20" s="1980"/>
      <c r="AA20" s="1980"/>
      <c r="AB20" s="1980"/>
      <c r="AC20" s="1980"/>
      <c r="AD20" s="1980"/>
      <c r="AE20" s="1980"/>
      <c r="AF20" s="1980"/>
      <c r="AG20" s="1980"/>
      <c r="AH20" s="1980"/>
      <c r="AI20" s="1980"/>
      <c r="AJ20" s="1980"/>
      <c r="AK20" s="1980"/>
      <c r="AL20" s="1980"/>
      <c r="AM20" s="1980"/>
      <c r="AN20" s="1980"/>
      <c r="AP20" s="1986" t="s">
        <v>210</v>
      </c>
      <c r="AQ20" s="1986"/>
      <c r="AR20" s="1987">
        <f>Profile!H64*100</f>
        <v>13</v>
      </c>
      <c r="AS20" s="1987"/>
    </row>
    <row r="21" spans="1:89" ht="20.25" customHeight="1">
      <c r="A21" s="1963" t="s">
        <v>56</v>
      </c>
      <c r="B21" s="1963"/>
      <c r="C21" s="1980" t="s">
        <v>280</v>
      </c>
      <c r="D21" s="1980"/>
      <c r="E21" s="1980"/>
      <c r="F21" s="1980"/>
      <c r="G21" s="1980"/>
      <c r="H21" s="1980"/>
      <c r="I21" s="1980"/>
      <c r="J21" s="1980"/>
      <c r="K21" s="1980"/>
      <c r="L21" s="1980"/>
      <c r="M21" s="1980"/>
      <c r="N21" s="1980"/>
      <c r="O21" s="1980"/>
      <c r="P21" s="1980"/>
      <c r="Q21" s="1980"/>
      <c r="R21" s="1980"/>
      <c r="S21" s="1980"/>
      <c r="T21" s="1980"/>
      <c r="U21" s="1980"/>
      <c r="V21" s="39" t="s">
        <v>1</v>
      </c>
      <c r="W21" s="1981"/>
      <c r="X21" s="1981"/>
      <c r="Y21" s="1981"/>
      <c r="Z21" s="1981"/>
      <c r="AA21" s="1981"/>
      <c r="AB21" s="1981"/>
      <c r="AC21" s="1981"/>
      <c r="AD21" s="1981"/>
      <c r="AE21" s="1981"/>
      <c r="AF21" s="1981"/>
      <c r="AG21" s="1981"/>
      <c r="AH21" s="1981"/>
      <c r="AI21" s="1981"/>
      <c r="AJ21" s="1981"/>
      <c r="AK21" s="1981"/>
      <c r="AL21" s="1981"/>
      <c r="AM21" s="1981"/>
      <c r="AN21" s="1981"/>
    </row>
    <row r="22" spans="1:89" ht="20.25" customHeight="1">
      <c r="A22" s="1963" t="s">
        <v>229</v>
      </c>
      <c r="B22" s="1963"/>
      <c r="C22" s="1980" t="s">
        <v>489</v>
      </c>
      <c r="D22" s="1980"/>
      <c r="E22" s="1980"/>
      <c r="F22" s="1980"/>
      <c r="G22" s="1980"/>
      <c r="H22" s="1980"/>
      <c r="I22" s="1980"/>
      <c r="J22" s="1980"/>
      <c r="K22" s="1980"/>
      <c r="L22" s="1980"/>
      <c r="M22" s="1980"/>
      <c r="N22" s="1980"/>
      <c r="O22" s="1980"/>
      <c r="P22" s="1980"/>
      <c r="Q22" s="1980"/>
      <c r="R22" s="1980"/>
      <c r="S22" s="1980"/>
      <c r="T22" s="1980"/>
      <c r="U22" s="1980"/>
      <c r="V22" s="39" t="s">
        <v>1</v>
      </c>
      <c r="W22" s="1980" t="str">
        <f>"K) †`kxq gy`ªv t "&amp;'Data Input'!D11&amp;" UvKv gvÎ,  ‰e‡`wkK gy`ªv UvKv/BDGm Wjvi t 0.00 UvKv"</f>
        <v>K) †`kxq gy`ªv t 500000 UvKv gvÎ,  ‰e‡`wkK gy`ªv UvKv/BDGm Wjvi t 0.00 UvKv</v>
      </c>
      <c r="X22" s="1980"/>
      <c r="Y22" s="1980"/>
      <c r="Z22" s="1980"/>
      <c r="AA22" s="1980"/>
      <c r="AB22" s="1980"/>
      <c r="AC22" s="1980"/>
      <c r="AD22" s="1980"/>
      <c r="AE22" s="1980"/>
      <c r="AF22" s="1980"/>
      <c r="AG22" s="1980"/>
      <c r="AH22" s="1980"/>
      <c r="AI22" s="1980"/>
      <c r="AJ22" s="1980"/>
      <c r="AK22" s="1980"/>
      <c r="AL22" s="1980"/>
      <c r="AM22" s="1980"/>
      <c r="AN22" s="1980"/>
    </row>
    <row r="23" spans="1:89" ht="20.25" customHeight="1">
      <c r="A23" s="1963"/>
      <c r="B23" s="1963"/>
      <c r="C23" s="46"/>
      <c r="D23" s="46"/>
      <c r="E23" s="46"/>
      <c r="F23" s="46"/>
      <c r="G23" s="46"/>
      <c r="H23" s="46"/>
      <c r="I23" s="46"/>
      <c r="J23" s="46"/>
      <c r="K23" s="46"/>
      <c r="L23" s="46"/>
      <c r="M23" s="46"/>
      <c r="N23" s="46"/>
      <c r="O23" s="46"/>
      <c r="P23" s="46"/>
      <c r="Q23" s="46"/>
      <c r="R23" s="46"/>
      <c r="S23" s="46"/>
      <c r="T23" s="46"/>
      <c r="U23" s="46"/>
      <c r="V23" s="39"/>
      <c r="W23" s="1980" t="s">
        <v>1032</v>
      </c>
      <c r="X23" s="1980"/>
      <c r="Y23" s="1980"/>
      <c r="Z23" s="1980"/>
      <c r="AA23" s="1980"/>
      <c r="AB23" s="1980"/>
      <c r="AC23" s="1980"/>
      <c r="AD23" s="1980"/>
      <c r="AE23" s="1980"/>
      <c r="AF23" s="1980"/>
      <c r="AG23" s="1980"/>
      <c r="AH23" s="1980"/>
      <c r="AI23" s="1980"/>
      <c r="AJ23" s="1980"/>
      <c r="AK23" s="1980"/>
      <c r="AL23" s="1980"/>
      <c r="AM23" s="1980"/>
      <c r="AN23" s="1980"/>
    </row>
    <row r="24" spans="1:89" ht="20.25" customHeight="1">
      <c r="A24" s="1963"/>
      <c r="B24" s="1963"/>
      <c r="C24" s="46"/>
      <c r="D24" s="46"/>
      <c r="E24" s="46"/>
      <c r="F24" s="46"/>
      <c r="G24" s="46"/>
      <c r="H24" s="46"/>
      <c r="I24" s="46"/>
      <c r="J24" s="46"/>
      <c r="K24" s="46"/>
      <c r="L24" s="46"/>
      <c r="M24" s="46"/>
      <c r="N24" s="46"/>
      <c r="O24" s="46"/>
      <c r="P24" s="46"/>
      <c r="Q24" s="46"/>
      <c r="R24" s="46"/>
      <c r="S24" s="46"/>
      <c r="T24" s="46"/>
      <c r="U24" s="46"/>
      <c r="V24" s="39"/>
      <c r="W24" s="1234" t="s">
        <v>1033</v>
      </c>
      <c r="X24" s="1234"/>
      <c r="Y24" s="1234"/>
      <c r="Z24" s="1234"/>
      <c r="AA24" s="818">
        <f>Y15</f>
        <v>500000</v>
      </c>
      <c r="AB24" s="818"/>
      <c r="AC24" s="818"/>
      <c r="AD24" s="818"/>
      <c r="AE24" s="818"/>
      <c r="AF24" s="818"/>
      <c r="AG24" s="818"/>
      <c r="AH24" s="46"/>
      <c r="AI24" s="46"/>
      <c r="AJ24" s="46"/>
      <c r="AK24" s="46"/>
      <c r="AL24" s="46"/>
      <c r="AM24" s="46"/>
      <c r="AN24" s="46"/>
    </row>
    <row r="25" spans="1:89" ht="28.5" customHeight="1">
      <c r="A25" s="1963" t="s">
        <v>232</v>
      </c>
      <c r="B25" s="1963"/>
      <c r="C25" s="1985" t="s">
        <v>1048</v>
      </c>
      <c r="D25" s="1988"/>
      <c r="E25" s="1988"/>
      <c r="F25" s="1988"/>
      <c r="G25" s="1988"/>
      <c r="H25" s="1988"/>
      <c r="I25" s="1988"/>
      <c r="J25" s="1988"/>
      <c r="K25" s="1988"/>
      <c r="L25" s="1988"/>
      <c r="M25" s="1988"/>
      <c r="N25" s="1988"/>
      <c r="O25" s="1988"/>
      <c r="P25" s="1988"/>
      <c r="Q25" s="1988"/>
      <c r="R25" s="1988"/>
      <c r="S25" s="1988"/>
      <c r="T25" s="1988"/>
      <c r="U25" s="1988"/>
      <c r="V25" s="39" t="s">
        <v>1</v>
      </c>
      <c r="W25" s="1989">
        <f>Profile!H96</f>
        <v>58.333333333333336</v>
      </c>
      <c r="X25" s="1989"/>
      <c r="Y25" s="1989"/>
      <c r="Z25" s="660" t="s">
        <v>1</v>
      </c>
      <c r="AA25" s="1990">
        <f>Profile!J96</f>
        <v>41.666666666666671</v>
      </c>
      <c r="AB25" s="1990"/>
      <c r="AC25" s="1990"/>
      <c r="AD25" s="1990"/>
      <c r="AE25" s="46"/>
      <c r="AF25" s="46"/>
      <c r="AG25" s="46"/>
      <c r="AH25" s="46"/>
      <c r="AI25" s="46"/>
      <c r="AJ25" s="46"/>
      <c r="AK25" s="46"/>
      <c r="AL25" s="46"/>
      <c r="AM25" s="46"/>
      <c r="AN25" s="46"/>
    </row>
    <row r="26" spans="1:89" ht="20.25" customHeight="1">
      <c r="A26" s="1963" t="s">
        <v>237</v>
      </c>
      <c r="B26" s="1963"/>
      <c r="C26" s="1985" t="s">
        <v>286</v>
      </c>
      <c r="D26" s="1985"/>
      <c r="E26" s="1985"/>
      <c r="F26" s="1985"/>
      <c r="G26" s="1985"/>
      <c r="H26" s="1985"/>
      <c r="I26" s="1985"/>
      <c r="J26" s="1985"/>
      <c r="K26" s="1985"/>
      <c r="L26" s="1985"/>
      <c r="M26" s="1985"/>
      <c r="N26" s="1985"/>
      <c r="O26" s="1985"/>
      <c r="P26" s="1985"/>
      <c r="Q26" s="1985"/>
      <c r="R26" s="1985"/>
      <c r="S26" s="1985"/>
      <c r="T26" s="1985"/>
      <c r="U26" s="1985"/>
      <c r="V26" s="39" t="s">
        <v>1</v>
      </c>
      <c r="W26" s="1980" t="s">
        <v>605</v>
      </c>
      <c r="X26" s="1980"/>
      <c r="Y26" s="1980"/>
      <c r="Z26" s="1980"/>
      <c r="AA26" s="1980"/>
      <c r="AB26" s="1980"/>
      <c r="AC26" s="1980"/>
      <c r="AD26" s="1980"/>
      <c r="AE26" s="1980"/>
      <c r="AF26" s="1980"/>
      <c r="AG26" s="1980"/>
      <c r="AH26" s="1980"/>
      <c r="AI26" s="1980"/>
      <c r="AJ26" s="1980"/>
      <c r="AK26" s="1980"/>
      <c r="AL26" s="1980"/>
      <c r="AM26" s="1980"/>
      <c r="AN26" s="1980"/>
    </row>
    <row r="27" spans="1:89" ht="20.25" customHeight="1">
      <c r="A27" s="1963" t="s">
        <v>238</v>
      </c>
      <c r="B27" s="1963"/>
      <c r="C27" s="1970" t="s">
        <v>1034</v>
      </c>
      <c r="D27" s="1970"/>
      <c r="E27" s="1970"/>
      <c r="F27" s="1970"/>
      <c r="G27" s="1970"/>
      <c r="H27" s="1970"/>
      <c r="I27" s="1970"/>
      <c r="J27" s="1970"/>
      <c r="K27" s="1970"/>
      <c r="L27" s="1970"/>
      <c r="M27" s="1970"/>
      <c r="N27" s="1970"/>
      <c r="O27" s="1970"/>
      <c r="P27" s="1970"/>
      <c r="Q27" s="1970"/>
      <c r="R27" s="1970"/>
      <c r="S27" s="1970"/>
      <c r="T27" s="1970"/>
      <c r="U27" s="1970"/>
      <c r="V27" s="39" t="s">
        <v>1</v>
      </c>
      <c r="W27" s="46"/>
      <c r="X27" s="46"/>
      <c r="Y27" s="46"/>
      <c r="Z27" s="46"/>
      <c r="AA27" s="46"/>
      <c r="AB27" s="46"/>
      <c r="AC27" s="46"/>
      <c r="AD27" s="46"/>
      <c r="AE27" s="46"/>
      <c r="AF27" s="46"/>
      <c r="AG27" s="46"/>
      <c r="AH27" s="46"/>
      <c r="AI27" s="46"/>
      <c r="AJ27" s="46"/>
      <c r="AK27" s="46"/>
      <c r="AL27" s="46"/>
      <c r="AM27" s="46"/>
      <c r="AN27" s="46"/>
    </row>
    <row r="28" spans="1:89" ht="20.25" customHeight="1">
      <c r="A28" s="1963"/>
      <c r="B28" s="1963"/>
      <c r="C28" s="1877" t="s">
        <v>729</v>
      </c>
      <c r="D28" s="1877"/>
      <c r="E28" s="1877"/>
      <c r="F28" s="1877"/>
      <c r="G28" s="1877"/>
      <c r="H28" s="1877"/>
      <c r="I28" s="1877"/>
      <c r="J28" s="1877"/>
      <c r="K28" s="1877"/>
      <c r="L28" s="1877" t="s">
        <v>662</v>
      </c>
      <c r="M28" s="1877"/>
      <c r="N28" s="1877"/>
      <c r="O28" s="1877"/>
      <c r="P28" s="1877"/>
      <c r="Q28" s="1877"/>
      <c r="R28" s="1877"/>
      <c r="S28" s="1877"/>
      <c r="T28" s="1877"/>
      <c r="U28" s="1877"/>
      <c r="V28" s="1877" t="s">
        <v>606</v>
      </c>
      <c r="W28" s="1877"/>
      <c r="X28" s="1877"/>
      <c r="Y28" s="1877"/>
      <c r="Z28" s="1877"/>
      <c r="AA28" s="1877"/>
      <c r="AB28" s="1877"/>
      <c r="AC28" s="1877"/>
      <c r="AD28" s="1877"/>
      <c r="AE28" s="1877" t="s">
        <v>981</v>
      </c>
      <c r="AF28" s="1877"/>
      <c r="AG28" s="1877"/>
      <c r="AH28" s="1877"/>
      <c r="AI28" s="1877"/>
      <c r="AJ28" s="1877"/>
      <c r="AK28" s="1877" t="s">
        <v>982</v>
      </c>
      <c r="AL28" s="1877"/>
      <c r="AM28" s="1877"/>
      <c r="AN28" s="1877"/>
    </row>
    <row r="29" spans="1:89" ht="20.25" customHeight="1">
      <c r="A29" s="1963"/>
      <c r="B29" s="1963"/>
      <c r="C29" s="1877"/>
      <c r="D29" s="1877"/>
      <c r="E29" s="1877"/>
      <c r="F29" s="1877"/>
      <c r="G29" s="1877"/>
      <c r="H29" s="1877"/>
      <c r="I29" s="1877"/>
      <c r="J29" s="1877"/>
      <c r="K29" s="1877"/>
      <c r="L29" s="1877"/>
      <c r="M29" s="1877"/>
      <c r="N29" s="1877"/>
      <c r="O29" s="1877"/>
      <c r="P29" s="1877"/>
      <c r="Q29" s="1877"/>
      <c r="R29" s="1877"/>
      <c r="S29" s="1877"/>
      <c r="T29" s="1877"/>
      <c r="U29" s="1877"/>
      <c r="V29" s="1877" t="s">
        <v>983</v>
      </c>
      <c r="W29" s="1877"/>
      <c r="X29" s="1877"/>
      <c r="Y29" s="1877" t="s">
        <v>984</v>
      </c>
      <c r="Z29" s="1877"/>
      <c r="AA29" s="1877"/>
      <c r="AB29" s="1877" t="s">
        <v>985</v>
      </c>
      <c r="AC29" s="1877"/>
      <c r="AD29" s="1877"/>
      <c r="AE29" s="1877" t="s">
        <v>984</v>
      </c>
      <c r="AF29" s="1877"/>
      <c r="AG29" s="1877"/>
      <c r="AH29" s="1877" t="s">
        <v>985</v>
      </c>
      <c r="AI29" s="1877"/>
      <c r="AJ29" s="1877"/>
      <c r="AK29" s="1877"/>
      <c r="AL29" s="1877"/>
      <c r="AM29" s="1877"/>
      <c r="AN29" s="1877"/>
    </row>
    <row r="30" spans="1:89" ht="20.25" customHeight="1">
      <c r="A30" s="1963"/>
      <c r="B30" s="1963"/>
      <c r="C30" s="962" t="str">
        <f>'25 Years Succession'!B12</f>
        <v>wmw×iMÄ</v>
      </c>
      <c r="D30" s="962"/>
      <c r="E30" s="962"/>
      <c r="F30" s="962"/>
      <c r="G30" s="962"/>
      <c r="H30" s="962"/>
      <c r="I30" s="962"/>
      <c r="J30" s="962"/>
      <c r="K30" s="962"/>
      <c r="L30" s="1967">
        <f>'25 Years Succession'!C12</f>
        <v>0</v>
      </c>
      <c r="M30" s="1967"/>
      <c r="N30" s="1967"/>
      <c r="O30" s="1967"/>
      <c r="P30" s="1967"/>
      <c r="Q30" s="1967"/>
      <c r="R30" s="1967"/>
      <c r="S30" s="1967"/>
      <c r="T30" s="1967"/>
      <c r="U30" s="1967"/>
      <c r="V30" s="984">
        <f>'25 Years Succession'!D12</f>
        <v>5226</v>
      </c>
      <c r="W30" s="984"/>
      <c r="X30" s="984"/>
      <c r="Y30" s="1968">
        <f>'25 Years Succession'!E12</f>
        <v>161</v>
      </c>
      <c r="Z30" s="1968"/>
      <c r="AA30" s="1968"/>
      <c r="AB30" s="1968" t="str">
        <f>'25 Years Succession'!F12</f>
        <v>101, 222</v>
      </c>
      <c r="AC30" s="1968"/>
      <c r="AD30" s="1968"/>
      <c r="AE30" s="1968">
        <f>'25 Years Succession'!G12</f>
        <v>80</v>
      </c>
      <c r="AF30" s="1968"/>
      <c r="AG30" s="1968"/>
      <c r="AH30" s="1968" t="str">
        <f>'25 Years Succession'!I12</f>
        <v>23, 226</v>
      </c>
      <c r="AI30" s="1968"/>
      <c r="AJ30" s="1968"/>
      <c r="AK30" s="1969">
        <f>'25 Years Succession'!J12</f>
        <v>0</v>
      </c>
      <c r="AL30" s="1969"/>
      <c r="AM30" s="1969"/>
      <c r="AN30" s="1969"/>
    </row>
    <row r="31" spans="1:89" ht="20.25" customHeight="1">
      <c r="A31" s="1963"/>
      <c r="B31" s="1963"/>
      <c r="C31" s="962">
        <f>'25 Years Succession'!B13</f>
        <v>0</v>
      </c>
      <c r="D31" s="962"/>
      <c r="E31" s="962"/>
      <c r="F31" s="962"/>
      <c r="G31" s="962"/>
      <c r="H31" s="962"/>
      <c r="I31" s="962"/>
      <c r="J31" s="962"/>
      <c r="K31" s="962"/>
      <c r="L31" s="1967">
        <f>'25 Years Succession'!C13</f>
        <v>0</v>
      </c>
      <c r="M31" s="1967"/>
      <c r="N31" s="1967"/>
      <c r="O31" s="1967"/>
      <c r="P31" s="1967"/>
      <c r="Q31" s="1967"/>
      <c r="R31" s="1967"/>
      <c r="S31" s="1967"/>
      <c r="T31" s="1967"/>
      <c r="U31" s="1967"/>
      <c r="V31" s="984">
        <f>'25 Years Succession'!D13</f>
        <v>0</v>
      </c>
      <c r="W31" s="984"/>
      <c r="X31" s="984"/>
      <c r="Y31" s="1968">
        <f>'25 Years Succession'!E13</f>
        <v>0</v>
      </c>
      <c r="Z31" s="1968"/>
      <c r="AA31" s="1968"/>
      <c r="AB31" s="1968">
        <f>'25 Years Succession'!F13</f>
        <v>0</v>
      </c>
      <c r="AC31" s="1968"/>
      <c r="AD31" s="1968"/>
      <c r="AE31" s="1968">
        <f>'25 Years Succession'!G13</f>
        <v>0</v>
      </c>
      <c r="AF31" s="1968"/>
      <c r="AG31" s="1968"/>
      <c r="AH31" s="1968">
        <f>'25 Years Succession'!I13</f>
        <v>0</v>
      </c>
      <c r="AI31" s="1968"/>
      <c r="AJ31" s="1968"/>
      <c r="AK31" s="1969">
        <f>'25 Years Succession'!J13</f>
        <v>0</v>
      </c>
      <c r="AL31" s="1969"/>
      <c r="AM31" s="1969"/>
      <c r="AN31" s="1969"/>
    </row>
    <row r="32" spans="1:89" ht="20.25" customHeight="1">
      <c r="A32" s="1963"/>
      <c r="B32" s="1963"/>
      <c r="C32" s="1967" t="s">
        <v>307</v>
      </c>
      <c r="D32" s="1967"/>
      <c r="E32" s="1967"/>
      <c r="F32" s="1967"/>
      <c r="G32" s="1967"/>
      <c r="H32" s="1967"/>
      <c r="I32" s="1967"/>
      <c r="J32" s="1967"/>
      <c r="K32" s="1967"/>
      <c r="L32" s="1967"/>
      <c r="M32" s="1967"/>
      <c r="N32" s="1967"/>
      <c r="O32" s="1967"/>
      <c r="P32" s="1967"/>
      <c r="Q32" s="1967"/>
      <c r="R32" s="1967"/>
      <c r="S32" s="1967"/>
      <c r="T32" s="1967"/>
      <c r="U32" s="1967"/>
      <c r="V32" s="1967"/>
      <c r="W32" s="1967"/>
      <c r="X32" s="1967"/>
      <c r="Y32" s="1967"/>
      <c r="Z32" s="1967"/>
      <c r="AA32" s="1967"/>
      <c r="AB32" s="1967"/>
      <c r="AC32" s="1967"/>
      <c r="AD32" s="1967"/>
      <c r="AE32" s="1967"/>
      <c r="AF32" s="1967"/>
      <c r="AG32" s="1967"/>
      <c r="AH32" s="1967"/>
      <c r="AI32" s="1967"/>
      <c r="AJ32" s="1967"/>
      <c r="AK32" s="1969">
        <f>AK30+AK31</f>
        <v>0</v>
      </c>
      <c r="AL32" s="1968"/>
      <c r="AM32" s="1968"/>
      <c r="AN32" s="1968"/>
    </row>
    <row r="33" spans="1:40" ht="11.25" customHeight="1">
      <c r="A33" s="660"/>
      <c r="B33" s="660"/>
      <c r="C33" s="60"/>
      <c r="D33" s="60"/>
      <c r="E33" s="60"/>
      <c r="F33" s="60"/>
      <c r="G33" s="60"/>
      <c r="H33" s="60"/>
      <c r="I33" s="60"/>
      <c r="J33" s="60"/>
      <c r="K33" s="60"/>
      <c r="L33" s="60"/>
      <c r="M33" s="60"/>
      <c r="N33" s="60"/>
      <c r="O33" s="60"/>
      <c r="P33" s="60"/>
      <c r="Q33" s="60"/>
      <c r="R33" s="60"/>
      <c r="S33" s="60"/>
      <c r="T33" s="60"/>
      <c r="U33" s="60"/>
      <c r="V33" s="39"/>
      <c r="W33" s="46"/>
      <c r="X33" s="46"/>
      <c r="Y33" s="46"/>
      <c r="Z33" s="46"/>
      <c r="AA33" s="46"/>
      <c r="AB33" s="46"/>
      <c r="AC33" s="46"/>
      <c r="AD33" s="46"/>
      <c r="AE33" s="46"/>
      <c r="AF33" s="46"/>
      <c r="AG33" s="46"/>
      <c r="AH33" s="46"/>
      <c r="AI33" s="46"/>
      <c r="AJ33" s="46"/>
      <c r="AK33" s="46"/>
      <c r="AL33" s="46"/>
      <c r="AM33" s="46"/>
      <c r="AN33" s="46"/>
    </row>
    <row r="34" spans="1:40" ht="33.75" customHeight="1">
      <c r="A34" s="1963" t="s">
        <v>252</v>
      </c>
      <c r="B34" s="1963"/>
      <c r="C34" s="1970" t="s">
        <v>1035</v>
      </c>
      <c r="D34" s="1970"/>
      <c r="E34" s="1970"/>
      <c r="F34" s="1970"/>
      <c r="G34" s="1970"/>
      <c r="H34" s="1970"/>
      <c r="I34" s="1970"/>
      <c r="J34" s="1970"/>
      <c r="K34" s="1970"/>
      <c r="L34" s="1970"/>
      <c r="M34" s="1970"/>
      <c r="N34" s="1970"/>
      <c r="O34" s="1970"/>
      <c r="P34" s="1970"/>
      <c r="Q34" s="1970"/>
      <c r="R34" s="1970"/>
      <c r="S34" s="1970"/>
      <c r="T34" s="1970"/>
      <c r="U34" s="1970"/>
      <c r="V34" s="39" t="s">
        <v>1</v>
      </c>
      <c r="W34" s="1992" t="s">
        <v>1036</v>
      </c>
      <c r="X34" s="1992"/>
      <c r="Y34" s="1992"/>
      <c r="Z34" s="1992"/>
      <c r="AA34" s="1992"/>
      <c r="AB34" s="1992"/>
      <c r="AC34" s="1992"/>
      <c r="AD34" s="1992"/>
      <c r="AE34" s="1992"/>
      <c r="AF34" s="1992"/>
      <c r="AG34" s="1992"/>
      <c r="AH34" s="1992"/>
      <c r="AI34" s="1992"/>
      <c r="AJ34" s="1992"/>
      <c r="AK34" s="1992"/>
      <c r="AL34" s="1992"/>
      <c r="AM34" s="1992"/>
      <c r="AN34" s="1992"/>
    </row>
    <row r="35" spans="1:40" ht="18.75" customHeight="1">
      <c r="A35" s="1963" t="s">
        <v>253</v>
      </c>
      <c r="B35" s="1963"/>
      <c r="C35" s="1991" t="s">
        <v>284</v>
      </c>
      <c r="D35" s="1991"/>
      <c r="E35" s="1991"/>
      <c r="F35" s="1991"/>
      <c r="G35" s="1991"/>
      <c r="H35" s="1991"/>
      <c r="I35" s="1991"/>
      <c r="J35" s="1991"/>
      <c r="K35" s="1991"/>
      <c r="L35" s="1991"/>
      <c r="M35" s="1991"/>
      <c r="N35" s="1991"/>
      <c r="O35" s="1991"/>
      <c r="P35" s="1991"/>
      <c r="Q35" s="1991"/>
      <c r="R35" s="1991"/>
      <c r="S35" s="1991"/>
      <c r="T35" s="1991"/>
      <c r="U35" s="1991"/>
      <c r="V35" s="39" t="s">
        <v>1</v>
      </c>
      <c r="W35" s="1992" t="s">
        <v>1037</v>
      </c>
      <c r="X35" s="1992"/>
      <c r="Y35" s="1992"/>
      <c r="Z35" s="1992"/>
      <c r="AA35" s="1992"/>
      <c r="AB35" s="1992"/>
      <c r="AC35" s="1992"/>
      <c r="AD35" s="1992"/>
      <c r="AE35" s="1992"/>
      <c r="AF35" s="1992"/>
      <c r="AG35" s="1992"/>
      <c r="AH35" s="1992"/>
      <c r="AI35" s="1992"/>
      <c r="AJ35" s="1992"/>
      <c r="AK35" s="1992"/>
      <c r="AL35" s="1992"/>
      <c r="AM35" s="1992"/>
      <c r="AN35" s="1992"/>
    </row>
    <row r="36" spans="1:40" ht="69.75" customHeight="1">
      <c r="A36" s="1963" t="s">
        <v>254</v>
      </c>
      <c r="B36" s="1963"/>
      <c r="C36" s="1993" t="s">
        <v>285</v>
      </c>
      <c r="D36" s="1993"/>
      <c r="E36" s="1993"/>
      <c r="F36" s="1993"/>
      <c r="G36" s="1993"/>
      <c r="H36" s="1993"/>
      <c r="I36" s="1993"/>
      <c r="J36" s="1993"/>
      <c r="K36" s="1993"/>
      <c r="L36" s="1993"/>
      <c r="M36" s="1993"/>
      <c r="N36" s="1993"/>
      <c r="O36" s="1993"/>
      <c r="P36" s="1993"/>
      <c r="Q36" s="1993"/>
      <c r="R36" s="1993"/>
      <c r="S36" s="1993"/>
      <c r="T36" s="1993"/>
      <c r="U36" s="1993"/>
      <c r="V36" s="39" t="s">
        <v>1</v>
      </c>
      <c r="W36" s="1994" t="str">
        <f>TEXT(AR20,"00.00")&amp;"% (cwieZ©b †hvM¨) ˆÎgvwmK wfwË‡Z Av`vq‡hvM¨| (Z‡e gÄyixc‡Îi kZ© wba©vwiZ  mg‡q cwi‡kv‡a e¨_© n‡j e¨vsK KZ©„K cwiewZ©Z my‡`i nvi GB F‡Yi †ÿ‡Î cÖ‡hvR¨ n‡e| h_v mg‡q cwi‡kva Ki‡Z bv cvi‡j AwZwi³ 1.50% nv‡i my` Av`vq Kiv n‡e)|"</f>
        <v>13.00% (cwieZ©b †hvM¨) ˆÎgvwmK wfwË‡Z Av`vq‡hvM¨| (Z‡e gÄyixc‡Îi kZ© wba©vwiZ  mg‡q cwi‡kv‡a e¨_© n‡j e¨vsK KZ©„K cwiewZ©Z my‡`i nvi GB F‡Yi †ÿ‡Î cÖ‡hvR¨ n‡e| h_v mg‡q cwi‡kva Ki‡Z bv cvi‡j AwZwi³ 1.50% nv‡i my` Av`vq Kiv n‡e)|</v>
      </c>
      <c r="X36" s="1995"/>
      <c r="Y36" s="1995"/>
      <c r="Z36" s="1995"/>
      <c r="AA36" s="1995"/>
      <c r="AB36" s="1995"/>
      <c r="AC36" s="1995"/>
      <c r="AD36" s="1995"/>
      <c r="AE36" s="1995"/>
      <c r="AF36" s="1995"/>
      <c r="AG36" s="1995"/>
      <c r="AH36" s="1995"/>
      <c r="AI36" s="1995"/>
      <c r="AJ36" s="1995"/>
      <c r="AK36" s="1995"/>
      <c r="AL36" s="1995"/>
      <c r="AM36" s="1995"/>
      <c r="AN36" s="1995"/>
    </row>
    <row r="37" spans="1:40" ht="18" customHeight="1">
      <c r="A37" s="1963" t="s">
        <v>186</v>
      </c>
      <c r="B37" s="1963"/>
      <c r="C37" s="1993" t="s">
        <v>434</v>
      </c>
      <c r="D37" s="1993"/>
      <c r="E37" s="1993"/>
      <c r="F37" s="1993"/>
      <c r="G37" s="1993"/>
      <c r="H37" s="1993"/>
      <c r="I37" s="1993"/>
      <c r="J37" s="1993"/>
      <c r="K37" s="1993"/>
      <c r="L37" s="1993"/>
      <c r="M37" s="1993"/>
      <c r="N37" s="1993"/>
      <c r="O37" s="1993"/>
      <c r="P37" s="1993"/>
      <c r="Q37" s="1993"/>
      <c r="R37" s="1993"/>
      <c r="S37" s="1993"/>
      <c r="T37" s="1993"/>
      <c r="U37" s="1993"/>
      <c r="V37" s="31" t="s">
        <v>1</v>
      </c>
      <c r="W37" s="1996" t="s">
        <v>1038</v>
      </c>
      <c r="X37" s="1996"/>
      <c r="Y37" s="1996"/>
      <c r="Z37" s="1996"/>
      <c r="AA37" s="1996"/>
      <c r="AB37" s="1996"/>
      <c r="AC37" s="1996"/>
      <c r="AD37" s="1996"/>
      <c r="AE37" s="1996"/>
      <c r="AF37" s="1996"/>
      <c r="AG37" s="1996"/>
      <c r="AH37" s="1996"/>
      <c r="AI37" s="1996"/>
      <c r="AJ37" s="1996"/>
      <c r="AK37" s="1996"/>
      <c r="AL37" s="1996"/>
      <c r="AM37" s="1996"/>
      <c r="AN37" s="1996"/>
    </row>
    <row r="38" spans="1:40" ht="18" customHeight="1">
      <c r="A38" s="1963" t="s">
        <v>187</v>
      </c>
      <c r="B38" s="1963"/>
      <c r="C38" s="1993" t="s">
        <v>1039</v>
      </c>
      <c r="D38" s="1993"/>
      <c r="E38" s="1993"/>
      <c r="F38" s="1993"/>
      <c r="G38" s="1993"/>
      <c r="H38" s="1993"/>
      <c r="I38" s="1993"/>
      <c r="J38" s="1993"/>
      <c r="K38" s="1993"/>
      <c r="L38" s="1993"/>
      <c r="M38" s="1993"/>
      <c r="N38" s="1993"/>
      <c r="O38" s="1993"/>
      <c r="P38" s="1993"/>
      <c r="Q38" s="1993"/>
      <c r="R38" s="1993"/>
      <c r="S38" s="1993"/>
      <c r="T38" s="1993"/>
      <c r="U38" s="1993"/>
      <c r="V38" s="31" t="s">
        <v>1</v>
      </c>
      <c r="W38" s="1996"/>
      <c r="X38" s="1996"/>
      <c r="Y38" s="1996"/>
      <c r="Z38" s="1996"/>
      <c r="AA38" s="1996"/>
      <c r="AB38" s="1996"/>
      <c r="AC38" s="1996"/>
      <c r="AD38" s="1996"/>
      <c r="AE38" s="1996"/>
      <c r="AF38" s="1996"/>
      <c r="AG38" s="1996"/>
      <c r="AH38" s="1996"/>
      <c r="AI38" s="1996"/>
      <c r="AJ38" s="1996"/>
      <c r="AK38" s="1996"/>
      <c r="AL38" s="1996"/>
      <c r="AM38" s="1996"/>
      <c r="AN38" s="1996"/>
    </row>
    <row r="39" spans="1:40" ht="53.25" customHeight="1">
      <c r="A39" s="1963" t="s">
        <v>188</v>
      </c>
      <c r="B39" s="1963"/>
      <c r="C39" s="1991" t="s">
        <v>283</v>
      </c>
      <c r="D39" s="1991"/>
      <c r="E39" s="1991"/>
      <c r="F39" s="1991"/>
      <c r="G39" s="1991"/>
      <c r="H39" s="1991"/>
      <c r="I39" s="1991"/>
      <c r="J39" s="1991"/>
      <c r="K39" s="1991"/>
      <c r="L39" s="1991"/>
      <c r="M39" s="1991"/>
      <c r="N39" s="1991"/>
      <c r="O39" s="1991"/>
      <c r="P39" s="1991"/>
      <c r="Q39" s="1991"/>
      <c r="R39" s="1991"/>
      <c r="S39" s="1991"/>
      <c r="T39" s="1991"/>
      <c r="U39" s="1991"/>
      <c r="V39" s="39" t="s">
        <v>1</v>
      </c>
      <c r="W39" s="1993" t="s">
        <v>1040</v>
      </c>
      <c r="X39" s="1997"/>
      <c r="Y39" s="1997"/>
      <c r="Z39" s="1997"/>
      <c r="AA39" s="1997"/>
      <c r="AB39" s="1997"/>
      <c r="AC39" s="1997"/>
      <c r="AD39" s="1997"/>
      <c r="AE39" s="1997"/>
      <c r="AF39" s="1997"/>
      <c r="AG39" s="1997"/>
      <c r="AH39" s="1997"/>
      <c r="AI39" s="1997"/>
      <c r="AJ39" s="1997"/>
      <c r="AK39" s="1997"/>
      <c r="AL39" s="1997"/>
      <c r="AM39" s="1997"/>
      <c r="AN39" s="1997"/>
    </row>
    <row r="40" spans="1:40" ht="15" customHeight="1">
      <c r="A40" s="1963" t="s">
        <v>189</v>
      </c>
      <c r="B40" s="1963"/>
      <c r="C40" s="1980" t="s">
        <v>282</v>
      </c>
      <c r="D40" s="1980"/>
      <c r="E40" s="1980"/>
      <c r="F40" s="1980"/>
      <c r="G40" s="1980"/>
      <c r="H40" s="1980"/>
      <c r="I40" s="1980"/>
      <c r="J40" s="1980"/>
      <c r="K40" s="1980"/>
      <c r="L40" s="1980"/>
      <c r="M40" s="1980"/>
      <c r="N40" s="1980"/>
      <c r="O40" s="1980"/>
      <c r="P40" s="1980"/>
      <c r="Q40" s="1980"/>
      <c r="R40" s="1980"/>
      <c r="S40" s="1980"/>
      <c r="T40" s="1980"/>
      <c r="U40" s="1980"/>
      <c r="V40" s="39" t="s">
        <v>1</v>
      </c>
      <c r="W40" s="1980" t="s">
        <v>1041</v>
      </c>
      <c r="X40" s="1980"/>
      <c r="Y40" s="1980"/>
      <c r="Z40" s="1980"/>
      <c r="AA40" s="1980"/>
      <c r="AB40" s="1980"/>
      <c r="AC40" s="1980"/>
      <c r="AD40" s="1980"/>
      <c r="AE40" s="1980"/>
      <c r="AF40" s="1980"/>
      <c r="AG40" s="1980"/>
      <c r="AH40" s="1980"/>
      <c r="AI40" s="1980"/>
      <c r="AJ40" s="1980"/>
      <c r="AK40" s="1980"/>
      <c r="AL40" s="1980"/>
      <c r="AM40" s="1980"/>
      <c r="AN40" s="1980"/>
    </row>
    <row r="41" spans="1:40" ht="32.25" customHeight="1">
      <c r="A41" s="1963" t="s">
        <v>190</v>
      </c>
      <c r="B41" s="1963"/>
      <c r="C41" s="1985" t="s">
        <v>1043</v>
      </c>
      <c r="D41" s="1985"/>
      <c r="E41" s="1985"/>
      <c r="F41" s="1985"/>
      <c r="G41" s="1985"/>
      <c r="H41" s="1985"/>
      <c r="I41" s="1985"/>
      <c r="J41" s="1985"/>
      <c r="K41" s="1985"/>
      <c r="L41" s="1985"/>
      <c r="M41" s="1985"/>
      <c r="N41" s="1985"/>
      <c r="O41" s="1985"/>
      <c r="P41" s="1985"/>
      <c r="Q41" s="1985"/>
      <c r="R41" s="1985"/>
      <c r="S41" s="1985"/>
      <c r="T41" s="1985"/>
      <c r="U41" s="1985"/>
      <c r="V41" s="39" t="s">
        <v>1</v>
      </c>
      <c r="W41" s="1991" t="s">
        <v>1042</v>
      </c>
      <c r="X41" s="1991"/>
      <c r="Y41" s="1991"/>
      <c r="Z41" s="1991"/>
      <c r="AA41" s="1991"/>
      <c r="AB41" s="1991"/>
      <c r="AC41" s="1991"/>
      <c r="AD41" s="1991"/>
      <c r="AE41" s="1991"/>
      <c r="AF41" s="1991"/>
      <c r="AG41" s="1991"/>
      <c r="AH41" s="1991"/>
      <c r="AI41" s="1991"/>
      <c r="AJ41" s="1991"/>
      <c r="AK41" s="1991"/>
      <c r="AL41" s="1991"/>
      <c r="AM41" s="1991"/>
      <c r="AN41" s="1991"/>
    </row>
    <row r="42" spans="1:40" ht="32.25" customHeight="1">
      <c r="A42" s="660"/>
      <c r="B42" s="660"/>
      <c r="C42" s="60"/>
      <c r="D42" s="60"/>
      <c r="E42" s="60"/>
      <c r="F42" s="60"/>
      <c r="G42" s="60"/>
      <c r="H42" s="60"/>
      <c r="I42" s="60"/>
      <c r="J42" s="60"/>
      <c r="K42" s="60"/>
      <c r="L42" s="60"/>
      <c r="M42" s="60"/>
      <c r="N42" s="60"/>
      <c r="O42" s="60"/>
      <c r="P42" s="60"/>
      <c r="Q42" s="60"/>
      <c r="R42" s="60"/>
      <c r="S42" s="60"/>
      <c r="T42" s="60"/>
      <c r="U42" s="60"/>
      <c r="V42" s="39"/>
      <c r="W42" s="661"/>
      <c r="X42" s="661"/>
      <c r="Y42" s="661"/>
      <c r="Z42" s="661"/>
      <c r="AA42" s="661"/>
      <c r="AB42" s="661"/>
      <c r="AC42" s="661"/>
      <c r="AD42" s="661"/>
      <c r="AE42" s="661"/>
      <c r="AF42" s="661"/>
      <c r="AG42" s="661"/>
      <c r="AH42" s="661"/>
      <c r="AI42" s="661"/>
      <c r="AJ42" s="661"/>
      <c r="AK42" s="661"/>
      <c r="AL42" s="661"/>
      <c r="AM42" s="661"/>
      <c r="AN42" s="661"/>
    </row>
    <row r="43" spans="1:40" ht="32.25" customHeight="1">
      <c r="A43" s="660"/>
      <c r="B43" s="660"/>
      <c r="C43" s="60"/>
      <c r="D43" s="60"/>
      <c r="E43" s="60"/>
      <c r="F43" s="60"/>
      <c r="G43" s="60"/>
      <c r="H43" s="60"/>
      <c r="I43" s="60"/>
      <c r="J43" s="60"/>
      <c r="K43" s="60"/>
      <c r="L43" s="60"/>
      <c r="M43" s="60"/>
      <c r="N43" s="60"/>
      <c r="O43" s="60"/>
      <c r="P43" s="60"/>
      <c r="Q43" s="60"/>
      <c r="R43" s="60"/>
      <c r="S43" s="60"/>
      <c r="T43" s="60"/>
      <c r="U43" s="60"/>
      <c r="V43" s="39"/>
      <c r="W43" s="661"/>
      <c r="X43" s="661"/>
      <c r="Y43" s="661"/>
      <c r="Z43" s="661"/>
      <c r="AA43" s="661"/>
      <c r="AB43" s="661"/>
      <c r="AC43" s="661"/>
      <c r="AD43" s="661"/>
      <c r="AE43" s="661"/>
      <c r="AF43" s="661"/>
      <c r="AG43" s="661"/>
      <c r="AH43" s="661"/>
      <c r="AI43" s="661"/>
      <c r="AJ43" s="661"/>
      <c r="AK43" s="661"/>
      <c r="AL43" s="661"/>
      <c r="AM43" s="661"/>
      <c r="AN43" s="661"/>
    </row>
    <row r="44" spans="1:40" ht="32.25" customHeight="1">
      <c r="A44" s="660"/>
      <c r="B44" s="660"/>
      <c r="C44" s="60"/>
      <c r="D44" s="60"/>
      <c r="E44" s="60"/>
      <c r="F44" s="60"/>
      <c r="G44" s="60"/>
      <c r="H44" s="60"/>
      <c r="I44" s="60"/>
      <c r="J44" s="60"/>
      <c r="K44" s="60"/>
      <c r="L44" s="60"/>
      <c r="M44" s="60"/>
      <c r="N44" s="60"/>
      <c r="O44" s="60"/>
      <c r="P44" s="60"/>
      <c r="Q44" s="60"/>
      <c r="R44" s="60"/>
      <c r="S44" s="60"/>
      <c r="T44" s="60"/>
      <c r="U44" s="60"/>
      <c r="V44" s="39"/>
      <c r="W44" s="661"/>
      <c r="X44" s="661"/>
      <c r="Y44" s="661"/>
      <c r="Z44" s="661"/>
      <c r="AA44" s="661"/>
      <c r="AB44" s="661"/>
      <c r="AC44" s="661"/>
      <c r="AD44" s="661"/>
      <c r="AE44" s="661"/>
      <c r="AF44" s="661"/>
      <c r="AG44" s="661"/>
      <c r="AH44" s="661"/>
      <c r="AI44" s="661"/>
      <c r="AJ44" s="661"/>
      <c r="AK44" s="661"/>
      <c r="AL44" s="661"/>
      <c r="AM44" s="661"/>
      <c r="AN44" s="661"/>
    </row>
    <row r="45" spans="1:40" ht="39.75" customHeight="1">
      <c r="A45" s="1963" t="s">
        <v>191</v>
      </c>
      <c r="B45" s="1963"/>
      <c r="C45" s="1970" t="s">
        <v>668</v>
      </c>
      <c r="D45" s="1970"/>
      <c r="E45" s="1970"/>
      <c r="F45" s="1970"/>
      <c r="G45" s="1970"/>
      <c r="H45" s="1970"/>
      <c r="I45" s="1970"/>
      <c r="J45" s="1970"/>
      <c r="K45" s="1970"/>
      <c r="L45" s="1970"/>
      <c r="M45" s="1970"/>
      <c r="N45" s="1970"/>
      <c r="O45" s="1970"/>
      <c r="P45" s="1970"/>
      <c r="Q45" s="1970"/>
      <c r="R45" s="1970"/>
      <c r="S45" s="1970"/>
      <c r="T45" s="1970"/>
      <c r="U45" s="1970"/>
      <c r="V45" s="39" t="s">
        <v>1</v>
      </c>
      <c r="W45" s="1970" t="s">
        <v>1044</v>
      </c>
      <c r="X45" s="1970"/>
      <c r="Y45" s="1970"/>
      <c r="Z45" s="1970"/>
      <c r="AA45" s="1970"/>
      <c r="AB45" s="1970"/>
      <c r="AC45" s="1970"/>
      <c r="AD45" s="1970"/>
      <c r="AE45" s="1970"/>
      <c r="AF45" s="1970"/>
      <c r="AG45" s="1970"/>
      <c r="AH45" s="1970"/>
      <c r="AI45" s="1970"/>
      <c r="AJ45" s="1970"/>
      <c r="AK45" s="1970"/>
      <c r="AL45" s="1970"/>
      <c r="AM45" s="1970"/>
      <c r="AN45" s="1970"/>
    </row>
    <row r="46" spans="1:40" ht="37.5" customHeight="1">
      <c r="A46" s="1963" t="s">
        <v>132</v>
      </c>
      <c r="B46" s="1963"/>
      <c r="C46" s="1970" t="s">
        <v>1045</v>
      </c>
      <c r="D46" s="1970"/>
      <c r="E46" s="1970"/>
      <c r="F46" s="1970"/>
      <c r="G46" s="1970"/>
      <c r="H46" s="1970"/>
      <c r="I46" s="1970"/>
      <c r="J46" s="1970"/>
      <c r="K46" s="1970"/>
      <c r="L46" s="1970"/>
      <c r="M46" s="1970"/>
      <c r="N46" s="1970"/>
      <c r="O46" s="1970"/>
      <c r="P46" s="1970"/>
      <c r="Q46" s="1970"/>
      <c r="R46" s="1970"/>
      <c r="S46" s="1970"/>
      <c r="T46" s="1970"/>
      <c r="U46" s="1970"/>
      <c r="V46" s="39" t="s">
        <v>1</v>
      </c>
      <c r="W46" s="1970" t="s">
        <v>1058</v>
      </c>
      <c r="X46" s="1970"/>
      <c r="Y46" s="1970"/>
      <c r="Z46" s="1970"/>
      <c r="AA46" s="1970"/>
      <c r="AB46" s="1970"/>
      <c r="AC46" s="1970"/>
      <c r="AD46" s="1970"/>
      <c r="AE46" s="1970"/>
      <c r="AF46" s="1970"/>
      <c r="AG46" s="1970"/>
      <c r="AH46" s="1970"/>
      <c r="AI46" s="1970"/>
      <c r="AJ46" s="1970"/>
      <c r="AK46" s="1970"/>
      <c r="AL46" s="1970"/>
      <c r="AM46" s="1970"/>
      <c r="AN46" s="1970"/>
    </row>
    <row r="47" spans="1:40" ht="0.75" customHeight="1">
      <c r="A47" s="50"/>
      <c r="B47" s="50"/>
      <c r="C47" s="17"/>
      <c r="D47" s="17"/>
      <c r="E47" s="17"/>
      <c r="F47" s="17"/>
      <c r="G47" s="17"/>
      <c r="H47" s="17"/>
      <c r="I47" s="17"/>
      <c r="J47" s="17"/>
      <c r="K47" s="17"/>
      <c r="L47" s="17"/>
      <c r="M47" s="17"/>
      <c r="N47" s="17"/>
      <c r="O47" s="17"/>
      <c r="P47" s="17"/>
      <c r="Q47" s="17"/>
      <c r="R47" s="17"/>
      <c r="S47" s="17"/>
      <c r="T47" s="17"/>
      <c r="U47" s="17"/>
      <c r="W47" s="46"/>
      <c r="X47" s="46"/>
      <c r="Y47" s="46"/>
      <c r="Z47" s="46"/>
      <c r="AA47" s="46"/>
      <c r="AB47" s="46"/>
      <c r="AC47" s="46"/>
      <c r="AD47" s="46"/>
      <c r="AE47" s="46"/>
      <c r="AF47" s="46"/>
      <c r="AG47" s="46"/>
      <c r="AH47" s="46"/>
      <c r="AI47" s="46"/>
      <c r="AJ47" s="46"/>
      <c r="AK47" s="46"/>
      <c r="AL47" s="46"/>
      <c r="AM47" s="46"/>
      <c r="AN47" s="46"/>
    </row>
    <row r="48" spans="1:40" ht="18" customHeight="1">
      <c r="A48" s="1996" t="s">
        <v>1047</v>
      </c>
      <c r="B48" s="1996"/>
      <c r="C48" s="1996"/>
      <c r="D48" s="1996"/>
      <c r="E48" s="1996"/>
      <c r="F48" s="1996"/>
      <c r="G48" s="1996"/>
      <c r="H48" s="1996"/>
      <c r="I48" s="1996"/>
      <c r="J48" s="1996"/>
      <c r="K48" s="1996"/>
      <c r="L48" s="1996"/>
      <c r="M48" s="1996"/>
      <c r="N48" s="1996"/>
      <c r="O48" s="1996"/>
      <c r="P48" s="1996"/>
      <c r="Q48" s="1996"/>
      <c r="R48" s="1996"/>
      <c r="S48" s="1996"/>
      <c r="T48" s="1996"/>
      <c r="U48" s="1996"/>
      <c r="V48" s="1996"/>
      <c r="W48" s="1996"/>
      <c r="X48" s="1996"/>
      <c r="Y48" s="1996"/>
      <c r="Z48" s="1996"/>
      <c r="AA48" s="1996"/>
      <c r="AB48" s="1996"/>
      <c r="AC48" s="1996"/>
      <c r="AD48" s="1996"/>
      <c r="AE48" s="1996"/>
      <c r="AF48" s="1996"/>
      <c r="AG48" s="1996"/>
      <c r="AH48" s="1996"/>
      <c r="AI48" s="1996"/>
      <c r="AJ48" s="1996"/>
      <c r="AK48" s="1996"/>
      <c r="AL48" s="1996"/>
      <c r="AM48" s="1996"/>
      <c r="AN48" s="1996"/>
    </row>
    <row r="49" spans="1:40" ht="18" customHeight="1">
      <c r="A49" s="1996"/>
      <c r="B49" s="1996"/>
      <c r="C49" s="1996"/>
      <c r="D49" s="1996"/>
      <c r="E49" s="1996"/>
      <c r="F49" s="1996"/>
      <c r="G49" s="1996"/>
      <c r="H49" s="1996"/>
      <c r="I49" s="1996"/>
      <c r="J49" s="1996"/>
      <c r="K49" s="1996"/>
      <c r="L49" s="1996"/>
      <c r="M49" s="1996"/>
      <c r="N49" s="1996"/>
      <c r="O49" s="1996"/>
      <c r="P49" s="1996"/>
      <c r="Q49" s="1996"/>
      <c r="R49" s="1996"/>
      <c r="S49" s="1996"/>
      <c r="T49" s="1996"/>
      <c r="U49" s="1996"/>
      <c r="V49" s="1996"/>
      <c r="W49" s="1996"/>
      <c r="X49" s="1996"/>
      <c r="Y49" s="1996"/>
      <c r="Z49" s="1996"/>
      <c r="AA49" s="1996"/>
      <c r="AB49" s="1996"/>
      <c r="AC49" s="1996"/>
      <c r="AD49" s="1996"/>
      <c r="AE49" s="1996"/>
      <c r="AF49" s="1996"/>
      <c r="AG49" s="1996"/>
      <c r="AH49" s="1996"/>
      <c r="AI49" s="1996"/>
      <c r="AJ49" s="1996"/>
      <c r="AK49" s="1996"/>
      <c r="AL49" s="1996"/>
      <c r="AM49" s="1996"/>
      <c r="AN49" s="1996"/>
    </row>
    <row r="50" spans="1:40" ht="18" customHeight="1">
      <c r="A50" s="1992" t="str">
        <f>"hw` Dc‡iv³ kZ©vejx MÖnY‡hvM¨ nq Zvnv nB‡j AÎ gÄyixc‡Îi GKwU Abywjwc Òc‡o eySjvg I MÖnY KijvgÓ wjwLqv ¯^v¶i`vb c~e©K wb¤œ ¯^v¶iKvixi wbKU  "&amp;IF(AJ5="","     /       /20    ",TEXT('LF-5'!P185+10,"dd/mm/yyyy"))&amp;" wLªt Zvwi‡Li g‡a¨ †dir cvVv‡Z n‡e|"</f>
        <v>hw` Dc‡iv³ kZ©vejx MÖnY‡hvM¨ nq Zvnv nB‡j AÎ gÄyixc‡Îi GKwU Abywjwc Òc‡o eySjvg I MÖnY KijvgÓ wjwLqv ¯^v¶i`vb c~e©K wb¤œ ¯^v¶iKvixi wbKU  10/01/1900 wLªt Zvwi‡Li g‡a¨ †dir cvVv‡Z n‡e|</v>
      </c>
      <c r="B50" s="1992"/>
      <c r="C50" s="1992"/>
      <c r="D50" s="1992"/>
      <c r="E50" s="1992"/>
      <c r="F50" s="1992"/>
      <c r="G50" s="1992"/>
      <c r="H50" s="1992"/>
      <c r="I50" s="1992"/>
      <c r="J50" s="1992"/>
      <c r="K50" s="1992"/>
      <c r="L50" s="1992"/>
      <c r="M50" s="1992"/>
      <c r="N50" s="1992"/>
      <c r="O50" s="1992"/>
      <c r="P50" s="1992"/>
      <c r="Q50" s="1992"/>
      <c r="R50" s="1992"/>
      <c r="S50" s="1992"/>
      <c r="T50" s="1992"/>
      <c r="U50" s="1992"/>
      <c r="V50" s="1992"/>
      <c r="W50" s="1992"/>
      <c r="X50" s="1992"/>
      <c r="Y50" s="1992"/>
      <c r="Z50" s="1992"/>
      <c r="AA50" s="1992"/>
      <c r="AB50" s="1992"/>
      <c r="AC50" s="1992"/>
      <c r="AD50" s="1992"/>
      <c r="AE50" s="1992"/>
      <c r="AF50" s="1992"/>
      <c r="AG50" s="1992"/>
      <c r="AH50" s="1992"/>
      <c r="AI50" s="1992"/>
      <c r="AJ50" s="1992"/>
      <c r="AK50" s="1992"/>
      <c r="AL50" s="1992"/>
      <c r="AM50" s="1992"/>
      <c r="AN50" s="1992"/>
    </row>
    <row r="51" spans="1:40" ht="18" customHeight="1">
      <c r="A51" s="1992"/>
      <c r="B51" s="1992"/>
      <c r="C51" s="1992"/>
      <c r="D51" s="1992"/>
      <c r="E51" s="1992"/>
      <c r="F51" s="1992"/>
      <c r="G51" s="1992"/>
      <c r="H51" s="1992"/>
      <c r="I51" s="1992"/>
      <c r="J51" s="1992"/>
      <c r="K51" s="1992"/>
      <c r="L51" s="1992"/>
      <c r="M51" s="1992"/>
      <c r="N51" s="1992"/>
      <c r="O51" s="1992"/>
      <c r="P51" s="1992"/>
      <c r="Q51" s="1992"/>
      <c r="R51" s="1992"/>
      <c r="S51" s="1992"/>
      <c r="T51" s="1992"/>
      <c r="U51" s="1992"/>
      <c r="V51" s="1992"/>
      <c r="W51" s="1992"/>
      <c r="X51" s="1992"/>
      <c r="Y51" s="1992"/>
      <c r="Z51" s="1992"/>
      <c r="AA51" s="1992"/>
      <c r="AB51" s="1992"/>
      <c r="AC51" s="1992"/>
      <c r="AD51" s="1992"/>
      <c r="AE51" s="1992"/>
      <c r="AF51" s="1992"/>
      <c r="AG51" s="1992"/>
      <c r="AH51" s="1992"/>
      <c r="AI51" s="1992"/>
      <c r="AJ51" s="1992"/>
      <c r="AK51" s="1992"/>
      <c r="AL51" s="1992"/>
      <c r="AM51" s="1992"/>
      <c r="AN51" s="1992"/>
    </row>
    <row r="52" spans="1:40" ht="50.25" customHeight="1">
      <c r="H52" s="1"/>
      <c r="I52" s="1"/>
      <c r="J52" s="1"/>
      <c r="K52" s="1"/>
      <c r="L52" s="1"/>
      <c r="M52" s="1"/>
      <c r="N52" s="1"/>
      <c r="O52" s="1"/>
      <c r="P52" s="1"/>
      <c r="Q52" s="1"/>
      <c r="R52" s="1"/>
      <c r="S52" s="1"/>
      <c r="T52" s="1"/>
      <c r="U52" s="1"/>
      <c r="V52" s="33"/>
      <c r="W52" s="1"/>
      <c r="X52" s="1"/>
      <c r="Y52" s="1"/>
      <c r="Z52" s="1"/>
      <c r="AA52" s="1"/>
      <c r="AB52" s="1"/>
      <c r="AC52" s="1"/>
    </row>
    <row r="53" spans="1:40" s="51" customFormat="1" ht="20.25" customHeight="1">
      <c r="A53" s="1997" t="s">
        <v>1046</v>
      </c>
      <c r="B53" s="1997"/>
      <c r="C53" s="1997"/>
      <c r="D53" s="1997"/>
      <c r="E53" s="1997"/>
      <c r="F53" s="1997"/>
      <c r="G53" s="1997"/>
      <c r="H53" s="1997"/>
      <c r="I53" s="1997"/>
      <c r="J53" s="1997"/>
      <c r="K53" s="1997"/>
      <c r="L53" s="1997"/>
      <c r="M53" s="1997"/>
      <c r="N53" s="1997"/>
      <c r="O53" s="1997"/>
      <c r="P53" s="1997"/>
      <c r="Q53" s="1997"/>
      <c r="R53" s="1997"/>
      <c r="S53" s="33"/>
      <c r="T53" s="33"/>
      <c r="U53" s="33"/>
      <c r="V53" s="33"/>
      <c r="W53" s="33"/>
      <c r="X53" s="33"/>
      <c r="Y53" s="33"/>
      <c r="Z53" s="33"/>
      <c r="AA53" s="33"/>
      <c r="AB53" s="33"/>
      <c r="AC53" s="33"/>
    </row>
    <row r="54" spans="1:40" ht="18" customHeight="1">
      <c r="C54" s="47"/>
      <c r="D54" s="47"/>
      <c r="E54" s="47"/>
      <c r="F54" s="47"/>
      <c r="G54" s="1"/>
      <c r="H54" s="1"/>
      <c r="I54" s="1"/>
      <c r="J54" s="1"/>
      <c r="K54" s="1"/>
      <c r="L54" s="1"/>
      <c r="M54" s="1"/>
      <c r="N54" s="1"/>
      <c r="O54" s="1"/>
      <c r="P54" s="1"/>
      <c r="Q54" s="1"/>
      <c r="R54" s="1"/>
      <c r="S54" s="1"/>
      <c r="T54" s="1"/>
      <c r="U54" s="1"/>
      <c r="V54" s="33"/>
      <c r="W54" s="1"/>
      <c r="X54" s="1"/>
      <c r="Y54" s="1"/>
      <c r="Z54" s="1"/>
      <c r="AA54" s="1"/>
      <c r="AB54" s="1"/>
      <c r="AC54" s="1"/>
      <c r="AF54" s="204"/>
      <c r="AG54" s="204"/>
      <c r="AH54" s="2000" t="s">
        <v>162</v>
      </c>
      <c r="AI54" s="2000"/>
      <c r="AJ54" s="2000"/>
      <c r="AK54" s="2000"/>
      <c r="AL54" s="2000"/>
      <c r="AM54" s="2000"/>
      <c r="AN54" s="2000"/>
    </row>
    <row r="55" spans="1:40" ht="18" customHeight="1">
      <c r="H55" s="1"/>
      <c r="I55" s="1"/>
      <c r="J55" s="1"/>
      <c r="K55" s="1"/>
      <c r="L55" s="1"/>
      <c r="M55" s="1"/>
      <c r="N55" s="1"/>
      <c r="O55" s="1"/>
      <c r="P55" s="1"/>
      <c r="Q55" s="1"/>
      <c r="R55" s="1"/>
      <c r="S55" s="1"/>
      <c r="T55" s="1"/>
      <c r="U55" s="1"/>
      <c r="V55" s="33"/>
      <c r="W55" s="1"/>
      <c r="X55" s="1"/>
      <c r="Y55" s="1"/>
      <c r="Z55" s="1"/>
      <c r="AA55" s="1"/>
      <c r="AB55" s="1"/>
      <c r="AC55" s="1"/>
      <c r="AF55" s="204"/>
      <c r="AG55" s="204"/>
      <c r="AH55" s="2000" t="s">
        <v>165</v>
      </c>
      <c r="AI55" s="2000"/>
      <c r="AJ55" s="2000"/>
      <c r="AK55" s="2000"/>
      <c r="AL55" s="2000"/>
      <c r="AM55" s="2000"/>
      <c r="AN55" s="2000"/>
    </row>
    <row r="56" spans="1:40" ht="18" customHeight="1">
      <c r="A56" s="1999" t="s">
        <v>1061</v>
      </c>
      <c r="B56" s="1999"/>
      <c r="C56" s="1999"/>
      <c r="D56" s="1999"/>
      <c r="E56" s="1999"/>
      <c r="F56" s="1999"/>
      <c r="G56" s="1999"/>
      <c r="H56" s="1"/>
      <c r="I56" s="1"/>
      <c r="J56" s="1"/>
      <c r="K56" s="1"/>
      <c r="L56" s="1"/>
      <c r="M56" s="1"/>
      <c r="N56" s="1"/>
      <c r="O56" s="1"/>
      <c r="P56" s="1"/>
      <c r="Q56" s="1"/>
      <c r="R56" s="1"/>
      <c r="S56" s="1"/>
      <c r="T56" s="1"/>
      <c r="U56" s="1"/>
      <c r="V56" s="33"/>
      <c r="W56" s="1"/>
      <c r="X56" s="1"/>
      <c r="Y56" s="1"/>
      <c r="Z56" s="1"/>
      <c r="AA56" s="1"/>
      <c r="AB56" s="1"/>
      <c r="AC56" s="1"/>
      <c r="AF56" s="204"/>
      <c r="AG56" s="204"/>
      <c r="AH56" s="2000" t="str">
        <f>+'Data Input'!D2</f>
        <v>wmw×iMÄ kvLv, bvivqYMÄ</v>
      </c>
      <c r="AI56" s="2000"/>
      <c r="AJ56" s="2000"/>
      <c r="AK56" s="2000"/>
      <c r="AL56" s="2000"/>
      <c r="AM56" s="2000"/>
      <c r="AN56" s="2000"/>
    </row>
    <row r="57" spans="1:40" ht="18" customHeight="1">
      <c r="A57" s="1998"/>
      <c r="B57" s="1998"/>
      <c r="C57" s="1998"/>
      <c r="D57" s="1998"/>
      <c r="E57" s="1998"/>
      <c r="G57" s="1"/>
      <c r="H57" s="1"/>
      <c r="I57" s="1"/>
      <c r="J57" s="1"/>
      <c r="K57" s="1"/>
      <c r="L57" s="1"/>
      <c r="M57" s="1"/>
      <c r="N57" s="1"/>
      <c r="O57" s="1"/>
      <c r="P57" s="1"/>
      <c r="Q57" s="1"/>
      <c r="R57" s="1"/>
      <c r="S57" s="1"/>
      <c r="T57" s="1"/>
      <c r="U57" s="1"/>
      <c r="V57" s="33"/>
      <c r="W57" s="1"/>
      <c r="X57" s="1"/>
      <c r="Y57" s="1"/>
      <c r="Z57" s="1"/>
      <c r="AA57" s="1"/>
      <c r="AB57" s="1"/>
      <c r="AC57" s="1"/>
    </row>
    <row r="58" spans="1:40" ht="18" customHeight="1">
      <c r="A58" s="48"/>
      <c r="B58" s="48"/>
      <c r="C58" s="48"/>
      <c r="D58" s="48"/>
      <c r="E58" s="48"/>
      <c r="G58" s="1"/>
      <c r="H58" s="1"/>
      <c r="I58" s="1"/>
      <c r="J58" s="1"/>
      <c r="K58" s="1"/>
      <c r="L58" s="1"/>
      <c r="M58" s="1"/>
      <c r="N58" s="1"/>
      <c r="O58" s="1"/>
      <c r="P58" s="1"/>
      <c r="Q58" s="1"/>
      <c r="R58" s="1"/>
      <c r="S58" s="1"/>
      <c r="T58" s="1"/>
      <c r="U58" s="1"/>
      <c r="V58" s="33"/>
      <c r="W58" s="1"/>
      <c r="X58" s="1"/>
      <c r="Y58" s="1"/>
      <c r="Z58" s="1"/>
      <c r="AA58" s="1"/>
      <c r="AB58" s="1"/>
      <c r="AC58" s="1"/>
    </row>
    <row r="59" spans="1:40" ht="18" customHeight="1">
      <c r="A59" s="48"/>
      <c r="B59" s="48"/>
      <c r="C59" s="48"/>
      <c r="D59" s="48"/>
      <c r="E59" s="48"/>
      <c r="G59" s="1"/>
      <c r="H59" s="1"/>
      <c r="I59" s="1"/>
      <c r="J59" s="1"/>
      <c r="K59" s="1"/>
      <c r="L59" s="1"/>
      <c r="M59" s="1"/>
      <c r="N59" s="1"/>
      <c r="O59" s="1"/>
      <c r="P59" s="1"/>
      <c r="Q59" s="1"/>
      <c r="R59" s="1"/>
      <c r="S59" s="1"/>
      <c r="T59" s="1"/>
      <c r="U59" s="1"/>
      <c r="V59" s="33"/>
      <c r="W59" s="1"/>
      <c r="X59" s="1"/>
      <c r="Y59" s="1"/>
      <c r="Z59" s="1"/>
      <c r="AA59" s="1"/>
      <c r="AB59" s="1"/>
      <c r="AC59" s="1"/>
    </row>
    <row r="60" spans="1:40" ht="18" customHeight="1">
      <c r="A60" s="48"/>
      <c r="B60" s="48"/>
      <c r="C60" s="48"/>
      <c r="D60" s="48"/>
      <c r="E60" s="48"/>
      <c r="F60" s="48"/>
      <c r="G60" s="1"/>
      <c r="H60" s="1"/>
      <c r="I60" s="1"/>
      <c r="J60" s="1"/>
      <c r="K60" s="1"/>
      <c r="L60" s="1"/>
      <c r="M60" s="1"/>
      <c r="N60" s="1"/>
      <c r="O60" s="1"/>
      <c r="P60" s="1"/>
      <c r="Q60" s="1"/>
      <c r="R60" s="1"/>
      <c r="S60" s="1"/>
      <c r="T60" s="1"/>
      <c r="U60" s="1"/>
      <c r="V60" s="33"/>
      <c r="W60" s="1"/>
      <c r="X60" s="1"/>
      <c r="Y60" s="1"/>
      <c r="Z60" s="1"/>
      <c r="AA60" s="1"/>
      <c r="AB60" s="1"/>
      <c r="AC60" s="1"/>
    </row>
    <row r="61" spans="1:40" ht="18" customHeight="1">
      <c r="A61" s="30"/>
      <c r="B61" s="1"/>
      <c r="C61" s="1"/>
      <c r="D61" s="1"/>
      <c r="E61" s="1"/>
      <c r="F61" s="1"/>
      <c r="G61" s="1"/>
      <c r="H61" s="1"/>
      <c r="I61" s="1"/>
      <c r="J61" s="1"/>
      <c r="K61" s="1"/>
      <c r="L61" s="1"/>
      <c r="M61" s="1"/>
      <c r="N61" s="1"/>
      <c r="O61" s="1"/>
      <c r="P61" s="1"/>
      <c r="Q61" s="1"/>
      <c r="R61" s="1"/>
      <c r="S61" s="1"/>
      <c r="T61" s="1"/>
      <c r="U61" s="1"/>
      <c r="V61" s="33"/>
      <c r="W61" s="1"/>
      <c r="X61" s="1"/>
      <c r="Y61" s="1"/>
      <c r="Z61" s="1"/>
      <c r="AA61" s="1"/>
      <c r="AB61" s="1"/>
      <c r="AC61" s="1"/>
    </row>
  </sheetData>
  <sheetProtection formatRows="0"/>
  <protectedRanges>
    <protectedRange sqref="AJ5:AM5 AS5:AT5" name="Range2"/>
    <protectedRange sqref="AR20:AS20" name="Range1" securityDescriptor="O:WDG:WDD:(A;;CC;;;WD)"/>
  </protectedRanges>
  <mergeCells count="114">
    <mergeCell ref="A57:E57"/>
    <mergeCell ref="A48:AN49"/>
    <mergeCell ref="A50:AN51"/>
    <mergeCell ref="A53:R53"/>
    <mergeCell ref="A56:G56"/>
    <mergeCell ref="AH54:AN54"/>
    <mergeCell ref="AH55:AN55"/>
    <mergeCell ref="AH56:AN56"/>
    <mergeCell ref="A40:B40"/>
    <mergeCell ref="C40:U40"/>
    <mergeCell ref="W40:AN40"/>
    <mergeCell ref="A45:B45"/>
    <mergeCell ref="C45:U45"/>
    <mergeCell ref="W45:AN45"/>
    <mergeCell ref="A46:B46"/>
    <mergeCell ref="C46:U46"/>
    <mergeCell ref="W46:AN46"/>
    <mergeCell ref="A41:B41"/>
    <mergeCell ref="C41:U41"/>
    <mergeCell ref="W41:AN41"/>
    <mergeCell ref="A37:B37"/>
    <mergeCell ref="C37:U37"/>
    <mergeCell ref="W37:AN37"/>
    <mergeCell ref="A39:B39"/>
    <mergeCell ref="C39:U39"/>
    <mergeCell ref="W39:AN39"/>
    <mergeCell ref="A38:B38"/>
    <mergeCell ref="C38:U38"/>
    <mergeCell ref="W38:AN38"/>
    <mergeCell ref="A35:B35"/>
    <mergeCell ref="C35:U35"/>
    <mergeCell ref="W35:AN35"/>
    <mergeCell ref="A36:B36"/>
    <mergeCell ref="C36:U36"/>
    <mergeCell ref="W36:AN36"/>
    <mergeCell ref="A34:B34"/>
    <mergeCell ref="C34:U34"/>
    <mergeCell ref="W34:AN34"/>
    <mergeCell ref="A26:B26"/>
    <mergeCell ref="C26:U26"/>
    <mergeCell ref="W26:AN26"/>
    <mergeCell ref="AK32:AN32"/>
    <mergeCell ref="C32:AJ32"/>
    <mergeCell ref="A27:B32"/>
    <mergeCell ref="AP20:AQ20"/>
    <mergeCell ref="AR20:AS20"/>
    <mergeCell ref="A22:B22"/>
    <mergeCell ref="C22:U22"/>
    <mergeCell ref="W22:AN22"/>
    <mergeCell ref="A25:B25"/>
    <mergeCell ref="C25:U25"/>
    <mergeCell ref="W25:Y25"/>
    <mergeCell ref="AA25:AD25"/>
    <mergeCell ref="W23:AN23"/>
    <mergeCell ref="A23:B23"/>
    <mergeCell ref="W24:Z24"/>
    <mergeCell ref="AA24:AG24"/>
    <mergeCell ref="A24:B24"/>
    <mergeCell ref="AB30:AD30"/>
    <mergeCell ref="AE30:AG30"/>
    <mergeCell ref="AH30:AJ30"/>
    <mergeCell ref="AK30:AN30"/>
    <mergeCell ref="S1:AE2"/>
    <mergeCell ref="AF1:AN1"/>
    <mergeCell ref="AF2:AN2"/>
    <mergeCell ref="S3:AE3"/>
    <mergeCell ref="AF3:AN3"/>
    <mergeCell ref="A21:B21"/>
    <mergeCell ref="C21:U21"/>
    <mergeCell ref="W21:AN21"/>
    <mergeCell ref="A16:AN16"/>
    <mergeCell ref="A17:AN18"/>
    <mergeCell ref="W15:X15"/>
    <mergeCell ref="Y15:AF15"/>
    <mergeCell ref="A20:B20"/>
    <mergeCell ref="C20:U20"/>
    <mergeCell ref="W20:AN20"/>
    <mergeCell ref="W14:X14"/>
    <mergeCell ref="Y14:AF14"/>
    <mergeCell ref="Y7:AF7"/>
    <mergeCell ref="U7:X7"/>
    <mergeCell ref="AX17:CK18"/>
    <mergeCell ref="A4:AN4"/>
    <mergeCell ref="A5:AE5"/>
    <mergeCell ref="AH5:AI5"/>
    <mergeCell ref="AJ5:AM5"/>
    <mergeCell ref="AS5:AT5"/>
    <mergeCell ref="A8:AN8"/>
    <mergeCell ref="A12:G12"/>
    <mergeCell ref="I12:AN12"/>
    <mergeCell ref="A10:AN11"/>
    <mergeCell ref="C27:U27"/>
    <mergeCell ref="AK28:AN29"/>
    <mergeCell ref="AE29:AG29"/>
    <mergeCell ref="AH29:AJ29"/>
    <mergeCell ref="AE28:AJ28"/>
    <mergeCell ref="AB29:AD29"/>
    <mergeCell ref="Y29:AA29"/>
    <mergeCell ref="V29:X29"/>
    <mergeCell ref="V28:AD28"/>
    <mergeCell ref="L28:U29"/>
    <mergeCell ref="C28:K29"/>
    <mergeCell ref="C31:K31"/>
    <mergeCell ref="L31:U31"/>
    <mergeCell ref="V31:X31"/>
    <mergeCell ref="Y31:AA31"/>
    <mergeCell ref="AB31:AD31"/>
    <mergeCell ref="AE31:AG31"/>
    <mergeCell ref="AH31:AJ31"/>
    <mergeCell ref="AK31:AN31"/>
    <mergeCell ref="C30:K30"/>
    <mergeCell ref="L30:U30"/>
    <mergeCell ref="V30:X30"/>
    <mergeCell ref="Y30:AA30"/>
  </mergeCells>
  <pageMargins left="0.51181102362204722" right="0.15748031496062992" top="0.39370078740157483" bottom="0.31496062992125984" header="0.27559055118110237" footer="0.27559055118110237"/>
  <pageSetup paperSize="9" scale="95" orientation="portrait" blackAndWhite="1" r:id="rId1"/>
  <headerFooter>
    <oddFooter>&amp;L&amp;Z&amp;F&amp;R&amp;"SutonnyMJ,Regular"evsjv‡`k K…wl e¨vsK, c„ôv &amp;P &amp;"-,Regular"of&amp;"SutonnyMJ,Regular" &amp;N</oddFooter>
  </headerFooter>
  <rowBreaks count="1" manualBreakCount="1">
    <brk id="42" max="39" man="1"/>
  </rowBreaks>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Button4_Click">
                <anchor moveWithCells="1" sizeWithCells="1">
                  <from>
                    <xdr:col>40</xdr:col>
                    <xdr:colOff>219075</xdr:colOff>
                    <xdr:row>0</xdr:row>
                    <xdr:rowOff>9525</xdr:rowOff>
                  </from>
                  <to>
                    <xdr:col>43</xdr:col>
                    <xdr:colOff>66675</xdr:colOff>
                    <xdr:row>3</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8">
    <tabColor rgb="FFFF0000"/>
    <pageSetUpPr fitToPage="1"/>
  </sheetPr>
  <dimension ref="A1:AZ58"/>
  <sheetViews>
    <sheetView showGridLines="0" view="pageBreakPreview" zoomScaleSheetLayoutView="100" zoomScalePageLayoutView="90" workbookViewId="0">
      <selection activeCell="A7" sqref="A7:I7"/>
    </sheetView>
  </sheetViews>
  <sheetFormatPr defaultRowHeight="15"/>
  <cols>
    <col min="1" max="9" width="12.140625" style="1" customWidth="1"/>
    <col min="10" max="10" width="15.7109375" customWidth="1"/>
    <col min="11" max="11" width="4" customWidth="1"/>
    <col min="12" max="16384" width="9.140625" style="1"/>
  </cols>
  <sheetData>
    <row r="1" spans="1:52" customFormat="1" ht="33.75" customHeight="1">
      <c r="A1" s="1"/>
      <c r="B1" s="809" t="s">
        <v>0</v>
      </c>
      <c r="C1" s="809"/>
      <c r="D1" s="809"/>
      <c r="E1" s="809"/>
      <c r="F1" s="809"/>
      <c r="G1" s="809"/>
      <c r="H1" s="809"/>
      <c r="I1" s="157"/>
    </row>
    <row r="2" spans="1:52" customFormat="1" ht="19.5" customHeight="1">
      <c r="A2" s="1"/>
      <c r="B2" s="2003" t="str">
        <f>+'Data Input'!D2</f>
        <v>wmw×iMÄ kvLv, bvivqYMÄ</v>
      </c>
      <c r="C2" s="2003"/>
      <c r="D2" s="2003"/>
      <c r="E2" s="2003"/>
      <c r="F2" s="2003"/>
      <c r="G2" s="2003"/>
      <c r="H2" s="2003"/>
      <c r="I2" s="163"/>
    </row>
    <row r="3" spans="1:52" customFormat="1" ht="13.5" customHeight="1">
      <c r="A3" s="1"/>
      <c r="B3" s="811" t="str">
        <f>+'Data Input'!D3</f>
        <v>Mobile: 01730-708739</v>
      </c>
      <c r="C3" s="811"/>
      <c r="D3" s="811"/>
      <c r="E3" s="811"/>
      <c r="F3" s="811"/>
      <c r="G3" s="811"/>
      <c r="H3" s="811"/>
      <c r="I3" s="159"/>
    </row>
    <row r="4" spans="1:52" customFormat="1" ht="15.75" customHeight="1">
      <c r="A4" s="1"/>
      <c r="B4" s="1356" t="str">
        <f>+'Data Input'!D4</f>
        <v>mgrsiddhirgonj@krishibank.org.bd</v>
      </c>
      <c r="C4" s="1356"/>
      <c r="D4" s="1356"/>
      <c r="E4" s="1356"/>
      <c r="F4" s="1356"/>
      <c r="G4" s="1356"/>
      <c r="H4" s="1356"/>
    </row>
    <row r="5" spans="1:52" customFormat="1" ht="19.5" customHeight="1">
      <c r="A5" s="163"/>
      <c r="B5" s="163"/>
      <c r="C5" s="163"/>
      <c r="D5" s="163"/>
      <c r="E5" s="163"/>
      <c r="F5" s="163"/>
      <c r="G5" s="163"/>
      <c r="H5" s="163"/>
      <c r="I5" s="163"/>
      <c r="L5" s="163"/>
      <c r="M5" s="163"/>
      <c r="N5" s="163"/>
      <c r="O5" s="163"/>
      <c r="P5" s="163"/>
      <c r="Q5" s="163"/>
      <c r="R5" s="163"/>
      <c r="S5" s="163"/>
      <c r="T5" s="163"/>
      <c r="U5" s="163"/>
      <c r="V5" s="163"/>
      <c r="W5" s="163"/>
      <c r="X5" s="163"/>
      <c r="Y5" s="163"/>
      <c r="Z5" s="163"/>
      <c r="AA5" s="163"/>
      <c r="AB5" s="163"/>
      <c r="AC5" s="163"/>
      <c r="AD5" s="163"/>
      <c r="AE5" s="163"/>
      <c r="AF5" s="163"/>
      <c r="AG5" s="163"/>
      <c r="AH5" s="163"/>
      <c r="AI5" s="163"/>
      <c r="AJ5" s="163"/>
      <c r="AK5" s="163"/>
      <c r="AL5" s="163"/>
      <c r="AM5" s="163"/>
      <c r="AN5" s="163"/>
      <c r="AO5" s="163"/>
      <c r="AP5" s="163"/>
      <c r="AQ5" s="163"/>
      <c r="AR5" s="163"/>
      <c r="AS5" s="163"/>
      <c r="AT5" s="163"/>
      <c r="AU5" s="163"/>
      <c r="AZ5" s="158"/>
    </row>
    <row r="6" spans="1:52" ht="45" customHeight="1">
      <c r="A6" s="1238" t="str">
        <f>'Data Input'!D8</f>
        <v>‡gmvm© mvbd¬vIqvi †UBjvm© GÛ †dweªK&amp;ª</v>
      </c>
      <c r="B6" s="1238"/>
      <c r="C6" s="1238"/>
      <c r="D6" s="1238"/>
      <c r="E6" s="1238"/>
      <c r="F6" s="1238"/>
      <c r="G6" s="1238"/>
      <c r="H6" s="1238"/>
      <c r="I6" s="1238"/>
    </row>
    <row r="7" spans="1:52" ht="25.5" customHeight="1">
      <c r="A7" s="2006" t="str">
        <f>"‡cÖvcvBUit "&amp;+'Data Input'!D12</f>
        <v>‡cÖvcvBUit ‡gvt Rwb</v>
      </c>
      <c r="B7" s="2006"/>
      <c r="C7" s="2006"/>
      <c r="D7" s="2006"/>
      <c r="E7" s="2006"/>
      <c r="F7" s="2006"/>
      <c r="G7" s="2006"/>
      <c r="H7" s="2006"/>
      <c r="I7" s="2006"/>
    </row>
    <row r="8" spans="1:52" s="205" customFormat="1" ht="30.75" customHeight="1">
      <c r="A8" s="2004" t="str">
        <f>"wcZv/¯^vgxt "&amp;+'Data Input'!D13</f>
        <v>wcZv/¯^vgxt g„Z †gvt Bw`ªm Avjx</v>
      </c>
      <c r="B8" s="2004"/>
      <c r="C8" s="2004"/>
      <c r="D8" s="2004"/>
      <c r="E8" s="2004"/>
      <c r="F8" s="2004"/>
      <c r="G8" s="2004"/>
      <c r="H8" s="2004"/>
      <c r="I8" s="2004"/>
      <c r="J8"/>
      <c r="K8"/>
    </row>
    <row r="9" spans="1:52" s="205" customFormat="1" ht="12" customHeight="1">
      <c r="A9" s="2004"/>
      <c r="B9" s="2004"/>
      <c r="C9" s="2004"/>
      <c r="D9" s="2004"/>
      <c r="E9" s="2004"/>
      <c r="F9" s="2004"/>
      <c r="G9" s="2004"/>
      <c r="H9" s="2004"/>
      <c r="I9" s="2004"/>
      <c r="J9"/>
      <c r="K9"/>
    </row>
    <row r="10" spans="1:52" ht="30.75" customHeight="1">
      <c r="A10" s="2005" t="str">
        <f>+'Data Input'!D9</f>
        <v>`vcv B`ªvKcyi, dZzjøv, bvivqYMÄ</v>
      </c>
      <c r="B10" s="2005"/>
      <c r="C10" s="2005"/>
      <c r="D10" s="2005"/>
      <c r="E10" s="2005"/>
      <c r="F10" s="2005"/>
      <c r="G10" s="2005"/>
      <c r="H10" s="2005"/>
      <c r="I10" s="2005"/>
    </row>
    <row r="11" spans="1:52" ht="30.75" customHeight="1">
      <c r="A11" s="2006" t="str">
        <f>"‡gvevBj bst +88 "&amp;'Data Input'!D16</f>
        <v>‡gvevBj bst +88 01923-401539</v>
      </c>
      <c r="B11" s="2006"/>
      <c r="C11" s="2006"/>
      <c r="D11" s="2006"/>
      <c r="E11" s="2006"/>
      <c r="F11" s="2006"/>
      <c r="G11" s="2006"/>
      <c r="H11" s="2006"/>
      <c r="I11" s="2006"/>
    </row>
    <row r="12" spans="1:52" ht="24" customHeight="1">
      <c r="A12" s="206"/>
      <c r="B12" s="206"/>
      <c r="C12" s="206"/>
      <c r="D12" s="206"/>
      <c r="E12" s="206"/>
      <c r="F12" s="206"/>
      <c r="G12" s="206"/>
      <c r="H12" s="206"/>
      <c r="I12" s="206"/>
    </row>
    <row r="13" spans="1:52" customFormat="1" ht="21.75" customHeight="1">
      <c r="A13" s="2001" t="str">
        <f>'Data Input'!B5&amp;" "&amp;'Data Input'!D5</f>
        <v xml:space="preserve">FY †KBm bs 64(wmGgGmGgB)/2024-25 </v>
      </c>
      <c r="B13" s="2001"/>
      <c r="C13" s="2001"/>
      <c r="D13" s="2001"/>
      <c r="E13" s="2001"/>
      <c r="F13" s="2001"/>
      <c r="G13" s="2001"/>
      <c r="H13" s="2001"/>
      <c r="I13" s="2001"/>
    </row>
    <row r="14" spans="1:52" ht="27.75" customHeight="1">
      <c r="A14" s="1244" t="str">
        <f>+"A_© eQit "&amp;"2024-2025"</f>
        <v>A_© eQit 2024-2025</v>
      </c>
      <c r="B14" s="1244"/>
      <c r="C14" s="1244"/>
      <c r="D14" s="1244"/>
      <c r="E14" s="1244"/>
      <c r="F14" s="1244"/>
      <c r="G14" s="1244"/>
      <c r="H14" s="1244"/>
      <c r="I14" s="1244"/>
      <c r="L14" s="10"/>
    </row>
    <row r="15" spans="1:52" customFormat="1" ht="21.75" customHeight="1"/>
    <row r="16" spans="1:52" customFormat="1" ht="33.75" customHeight="1">
      <c r="A16" s="1"/>
      <c r="B16" s="809" t="str">
        <f>+B1</f>
        <v>evsjv‡`k K…wl e¨vsK</v>
      </c>
      <c r="C16" s="809"/>
      <c r="D16" s="809"/>
      <c r="E16" s="809"/>
      <c r="F16" s="809"/>
      <c r="G16" s="809"/>
      <c r="H16" s="809"/>
      <c r="I16" s="157"/>
    </row>
    <row r="17" spans="1:52" customFormat="1" ht="19.5" customHeight="1">
      <c r="A17" s="1"/>
      <c r="B17" s="2003" t="str">
        <f>+B2</f>
        <v>wmw×iMÄ kvLv, bvivqYMÄ</v>
      </c>
      <c r="C17" s="2003"/>
      <c r="D17" s="2003"/>
      <c r="E17" s="2003"/>
      <c r="F17" s="2003"/>
      <c r="G17" s="2003"/>
      <c r="H17" s="2003"/>
      <c r="I17" s="163"/>
    </row>
    <row r="18" spans="1:52" customFormat="1" ht="13.5" customHeight="1">
      <c r="A18" s="1"/>
      <c r="B18" s="811" t="str">
        <f>+B3</f>
        <v>Mobile: 01730-708739</v>
      </c>
      <c r="C18" s="811"/>
      <c r="D18" s="811"/>
      <c r="E18" s="811"/>
      <c r="F18" s="811"/>
      <c r="G18" s="811"/>
      <c r="H18" s="811"/>
      <c r="I18" s="159"/>
    </row>
    <row r="19" spans="1:52" customFormat="1" ht="15.75" customHeight="1">
      <c r="A19" s="1"/>
      <c r="B19" s="1356" t="str">
        <f>+B4</f>
        <v>mgrsiddhirgonj@krishibank.org.bd</v>
      </c>
      <c r="C19" s="1356"/>
      <c r="D19" s="1356"/>
      <c r="E19" s="1356"/>
      <c r="F19" s="1356"/>
      <c r="G19" s="1356"/>
      <c r="H19" s="1356"/>
    </row>
    <row r="20" spans="1:52" customFormat="1" ht="19.5" customHeight="1">
      <c r="A20" s="163"/>
      <c r="B20" s="163"/>
      <c r="C20" s="163"/>
      <c r="D20" s="163"/>
      <c r="E20" s="163"/>
      <c r="F20" s="163"/>
      <c r="G20" s="163"/>
      <c r="H20" s="163"/>
      <c r="I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Z20" s="158"/>
    </row>
    <row r="21" spans="1:52" ht="45" customHeight="1">
      <c r="A21" s="1238" t="str">
        <f t="shared" ref="A21:A26" si="0">+A6</f>
        <v>‡gmvm© mvbd¬vIqvi †UBjvm© GÛ †dweªK&amp;ª</v>
      </c>
      <c r="B21" s="1238"/>
      <c r="C21" s="1238"/>
      <c r="D21" s="1238"/>
      <c r="E21" s="1238"/>
      <c r="F21" s="1238"/>
      <c r="G21" s="1238"/>
      <c r="H21" s="1238"/>
      <c r="I21" s="1238"/>
    </row>
    <row r="22" spans="1:52" ht="25.5" customHeight="1">
      <c r="A22" s="2006" t="str">
        <f t="shared" si="0"/>
        <v>‡cÖvcvBUit ‡gvt Rwb</v>
      </c>
      <c r="B22" s="2006"/>
      <c r="C22" s="2006"/>
      <c r="D22" s="2006"/>
      <c r="E22" s="2006"/>
      <c r="F22" s="2006"/>
      <c r="G22" s="2006"/>
      <c r="H22" s="2006"/>
      <c r="I22" s="2006"/>
    </row>
    <row r="23" spans="1:52" s="205" customFormat="1" ht="30.75" customHeight="1">
      <c r="A23" s="2004" t="str">
        <f t="shared" si="0"/>
        <v>wcZv/¯^vgxt g„Z †gvt Bw`ªm Avjx</v>
      </c>
      <c r="B23" s="2004"/>
      <c r="C23" s="2004"/>
      <c r="D23" s="2004"/>
      <c r="E23" s="2004"/>
      <c r="F23" s="2004"/>
      <c r="G23" s="2004"/>
      <c r="H23" s="2004"/>
      <c r="I23" s="2004"/>
      <c r="J23"/>
      <c r="K23"/>
    </row>
    <row r="24" spans="1:52" s="205" customFormat="1" ht="19.5" customHeight="1">
      <c r="A24" s="2004"/>
      <c r="B24" s="2004"/>
      <c r="C24" s="2004"/>
      <c r="D24" s="2004"/>
      <c r="E24" s="2004"/>
      <c r="F24" s="2004"/>
      <c r="G24" s="2004"/>
      <c r="H24" s="2004"/>
      <c r="I24" s="2004"/>
      <c r="J24"/>
      <c r="K24"/>
    </row>
    <row r="25" spans="1:52" ht="30.75" customHeight="1">
      <c r="A25" s="2005" t="str">
        <f t="shared" si="0"/>
        <v>`vcv B`ªvKcyi, dZzjøv, bvivqYMÄ</v>
      </c>
      <c r="B25" s="2005"/>
      <c r="C25" s="2005"/>
      <c r="D25" s="2005"/>
      <c r="E25" s="2005"/>
      <c r="F25" s="2005"/>
      <c r="G25" s="2005"/>
      <c r="H25" s="2005"/>
      <c r="I25" s="2005"/>
    </row>
    <row r="26" spans="1:52" ht="30.75" customHeight="1">
      <c r="A26" s="2006" t="str">
        <f t="shared" si="0"/>
        <v>‡gvevBj bst +88 01923-401539</v>
      </c>
      <c r="B26" s="2006"/>
      <c r="C26" s="2006"/>
      <c r="D26" s="2006"/>
      <c r="E26" s="2006"/>
      <c r="F26" s="2006"/>
      <c r="G26" s="2006"/>
      <c r="H26" s="2006"/>
      <c r="I26" s="2006"/>
    </row>
    <row r="27" spans="1:52" customFormat="1" ht="21.75" customHeight="1">
      <c r="A27" s="2002"/>
      <c r="B27" s="2002"/>
      <c r="C27" s="2002"/>
      <c r="D27" s="2002"/>
      <c r="E27" s="2002"/>
      <c r="F27" s="2002"/>
      <c r="G27" s="2002"/>
      <c r="H27" s="2002"/>
      <c r="I27" s="2002"/>
    </row>
    <row r="28" spans="1:52" customFormat="1" ht="21.75" customHeight="1">
      <c r="A28" s="2001" t="str">
        <f>+A13</f>
        <v xml:space="preserve">FY †KBm bs 64(wmGgGmGgB)/2024-25 </v>
      </c>
      <c r="B28" s="2001"/>
      <c r="C28" s="2001"/>
      <c r="D28" s="2001"/>
      <c r="E28" s="2001"/>
      <c r="F28" s="2001"/>
      <c r="G28" s="2001"/>
      <c r="H28" s="2001"/>
      <c r="I28" s="2001"/>
    </row>
    <row r="29" spans="1:52" ht="27.75" customHeight="1">
      <c r="A29" s="1244" t="str">
        <f>+A14</f>
        <v>A_© eQit 2024-2025</v>
      </c>
      <c r="B29" s="1244"/>
      <c r="C29" s="1244"/>
      <c r="D29" s="1244"/>
      <c r="E29" s="1244"/>
      <c r="F29" s="1244"/>
      <c r="G29" s="1244"/>
      <c r="H29" s="1244"/>
      <c r="I29" s="1244"/>
      <c r="L29" s="10"/>
    </row>
    <row r="30" spans="1:52" customFormat="1" ht="19.5" customHeight="1"/>
    <row r="31" spans="1:52" customFormat="1" ht="19.5" customHeight="1"/>
    <row r="32" spans="1:52" customFormat="1" ht="19.5" customHeight="1"/>
    <row r="33" customFormat="1" ht="19.5" customHeight="1"/>
    <row r="34" customFormat="1" ht="19.5" customHeight="1"/>
    <row r="35" customFormat="1" ht="19.5" customHeight="1"/>
    <row r="36" customFormat="1" ht="19.5" customHeight="1"/>
    <row r="37" customFormat="1" ht="19.5" customHeight="1"/>
    <row r="38" customFormat="1" ht="19.5" customHeight="1"/>
    <row r="39" customFormat="1" ht="19.5" customHeight="1"/>
    <row r="40" customFormat="1" ht="19.5" customHeight="1"/>
    <row r="41" customFormat="1" ht="19.5" customHeight="1"/>
    <row r="42" customFormat="1" ht="19.5" customHeight="1"/>
    <row r="43" customFormat="1" ht="19.5" customHeight="1"/>
    <row r="44" customFormat="1" ht="19.5" customHeight="1"/>
    <row r="45" customFormat="1" ht="19.5" customHeight="1"/>
    <row r="46" customFormat="1" ht="19.5" customHeight="1"/>
    <row r="47" customFormat="1" ht="19.5" customHeight="1"/>
    <row r="48" customFormat="1" ht="19.5" customHeight="1"/>
    <row r="49" customFormat="1" ht="19.5" customHeight="1"/>
    <row r="50" customFormat="1" ht="19.5" customHeight="1"/>
    <row r="51" customFormat="1" ht="19.5" customHeight="1"/>
    <row r="52" customFormat="1" ht="19.5" customHeight="1"/>
    <row r="53" ht="19.5" customHeight="1"/>
    <row r="54" ht="19.5" customHeight="1"/>
    <row r="55" ht="19.5" customHeight="1"/>
    <row r="56" ht="19.5" customHeight="1"/>
    <row r="57" ht="19.5" customHeight="1"/>
    <row r="58" ht="19.5" customHeight="1"/>
  </sheetData>
  <sheetProtection sheet="1" objects="1" scenarios="1" formatColumns="0" formatRows="0"/>
  <protectedRanges>
    <protectedRange sqref="A14:I14" name="Range1" securityDescriptor="O:WDG:WDD:(A;;CC;;;WD)"/>
  </protectedRanges>
  <mergeCells count="25">
    <mergeCell ref="B18:H18"/>
    <mergeCell ref="B19:H19"/>
    <mergeCell ref="A14:I14"/>
    <mergeCell ref="A28:I28"/>
    <mergeCell ref="A25:I25"/>
    <mergeCell ref="A26:I26"/>
    <mergeCell ref="A21:I21"/>
    <mergeCell ref="A22:I22"/>
    <mergeCell ref="A23:I23"/>
    <mergeCell ref="A29:I29"/>
    <mergeCell ref="A13:I13"/>
    <mergeCell ref="A27:I27"/>
    <mergeCell ref="B1:H1"/>
    <mergeCell ref="B2:H2"/>
    <mergeCell ref="B3:H3"/>
    <mergeCell ref="B4:H4"/>
    <mergeCell ref="B16:H16"/>
    <mergeCell ref="B17:H17"/>
    <mergeCell ref="A6:I6"/>
    <mergeCell ref="A8:I8"/>
    <mergeCell ref="A9:I9"/>
    <mergeCell ref="A10:I10"/>
    <mergeCell ref="A11:I11"/>
    <mergeCell ref="A7:I7"/>
    <mergeCell ref="A24:I24"/>
  </mergeCells>
  <pageMargins left="0" right="0.43307086614173229" top="0.39370078740157483" bottom="0.74803149606299213" header="0.51181102362204722" footer="0.51181102362204722"/>
  <pageSetup paperSize="9" scale="91" orientation="portrait" r:id="rId1"/>
  <headerFooter differentFirst="1">
    <oddFooter>&amp;LPrepared By Tariqul Islam, &amp;Z&amp;R&amp;"SutonnyMJ,Regular"evsjv‡`k K…wl e¨vsK, c„ôv &amp;P &amp;"-,Regular"of&amp;"SutonnyMJ,Regular"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4" r:id="rId4" name="Button 2">
              <controlPr defaultSize="0" print="0" autoFill="0" autoPict="0" macro="[0]!Button4_Click">
                <anchor moveWithCells="1" sizeWithCells="1">
                  <from>
                    <xdr:col>12</xdr:col>
                    <xdr:colOff>171450</xdr:colOff>
                    <xdr:row>0</xdr:row>
                    <xdr:rowOff>400050</xdr:rowOff>
                  </from>
                  <to>
                    <xdr:col>13</xdr:col>
                    <xdr:colOff>571500</xdr:colOff>
                    <xdr:row>4</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FF0000"/>
    <pageSetUpPr fitToPage="1"/>
  </sheetPr>
  <dimension ref="B1:AY27"/>
  <sheetViews>
    <sheetView showGridLines="0" view="pageBreakPreview" zoomScaleSheetLayoutView="100" workbookViewId="0">
      <selection activeCell="C16" sqref="C16:Y17"/>
    </sheetView>
  </sheetViews>
  <sheetFormatPr defaultRowHeight="18" customHeight="1"/>
  <cols>
    <col min="2" max="2" width="1" customWidth="1"/>
    <col min="3" max="3" width="14.5703125" customWidth="1"/>
    <col min="4" max="4" width="2.5703125" customWidth="1"/>
    <col min="5" max="5" width="5.140625" customWidth="1"/>
    <col min="6" max="7" width="2.5703125" customWidth="1"/>
    <col min="8" max="8" width="4" customWidth="1"/>
    <col min="9" max="9" width="4.28515625" customWidth="1"/>
    <col min="10" max="10" width="2.5703125" customWidth="1"/>
    <col min="11" max="11" width="3.85546875" customWidth="1"/>
    <col min="12" max="12" width="2.5703125" customWidth="1"/>
    <col min="13" max="13" width="4.7109375" customWidth="1"/>
    <col min="14" max="16" width="2.5703125" customWidth="1"/>
    <col min="17" max="17" width="6" customWidth="1"/>
    <col min="18" max="20" width="2.5703125" customWidth="1"/>
    <col min="21" max="21" width="3.85546875" customWidth="1"/>
    <col min="22" max="22" width="3.140625" customWidth="1"/>
    <col min="23" max="23" width="5.140625" customWidth="1"/>
    <col min="24" max="24" width="9.5703125" customWidth="1"/>
    <col min="25" max="25" width="5.140625" customWidth="1"/>
    <col min="27" max="27" width="13.85546875" customWidth="1"/>
    <col min="28" max="28" width="2" bestFit="1" customWidth="1"/>
    <col min="29" max="29" width="5.85546875" customWidth="1"/>
    <col min="30" max="30" width="9.42578125" customWidth="1"/>
  </cols>
  <sheetData>
    <row r="1" spans="2:51" ht="15" customHeight="1">
      <c r="C1" s="224"/>
      <c r="D1" s="224"/>
      <c r="E1" s="224"/>
      <c r="G1" s="224"/>
      <c r="H1" s="2007" t="s">
        <v>0</v>
      </c>
      <c r="I1" s="2007"/>
      <c r="J1" s="2007"/>
      <c r="K1" s="2007"/>
      <c r="L1" s="2007"/>
      <c r="M1" s="2007"/>
      <c r="N1" s="2007"/>
      <c r="O1" s="2007"/>
      <c r="P1" s="2007"/>
      <c r="Q1" s="2007"/>
      <c r="R1" s="2007"/>
      <c r="S1" s="2007"/>
      <c r="T1" s="260"/>
      <c r="V1" s="798" t="s">
        <v>667</v>
      </c>
      <c r="W1" s="798"/>
      <c r="X1" s="798"/>
      <c r="Y1" s="798"/>
      <c r="AR1" s="162"/>
      <c r="AS1" s="162"/>
      <c r="AT1" s="162"/>
      <c r="AY1" s="157"/>
    </row>
    <row r="2" spans="2:51" ht="15" customHeight="1">
      <c r="C2" s="225"/>
      <c r="D2" s="225"/>
      <c r="E2" s="225"/>
      <c r="G2" s="225"/>
      <c r="H2" s="2007"/>
      <c r="I2" s="2007"/>
      <c r="J2" s="2007"/>
      <c r="K2" s="2007"/>
      <c r="L2" s="2007"/>
      <c r="M2" s="2007"/>
      <c r="N2" s="2007"/>
      <c r="O2" s="2007"/>
      <c r="P2" s="2007"/>
      <c r="Q2" s="2007"/>
      <c r="R2" s="2007"/>
      <c r="S2" s="2007"/>
      <c r="T2" s="261"/>
      <c r="V2" s="800" t="s">
        <v>575</v>
      </c>
      <c r="W2" s="800"/>
      <c r="X2" s="800"/>
      <c r="Y2" s="800"/>
      <c r="AR2" s="163"/>
      <c r="AS2" s="163"/>
      <c r="AT2" s="163"/>
      <c r="AY2" s="158"/>
    </row>
    <row r="3" spans="2:51" ht="21.75">
      <c r="D3" s="226"/>
      <c r="E3" s="226"/>
      <c r="F3" s="226"/>
      <c r="G3" s="226"/>
      <c r="H3" s="796" t="str">
        <f>+'Data Input'!D2</f>
        <v>wmw×iMÄ kvLv, bvivqYMÄ</v>
      </c>
      <c r="I3" s="796"/>
      <c r="J3" s="796"/>
      <c r="K3" s="796"/>
      <c r="L3" s="796"/>
      <c r="M3" s="796"/>
      <c r="N3" s="796"/>
      <c r="O3" s="796"/>
      <c r="P3" s="796"/>
      <c r="Q3" s="796"/>
      <c r="R3" s="796"/>
      <c r="S3" s="796"/>
      <c r="T3" s="262"/>
      <c r="V3" s="799" t="str">
        <f>+'Data Input'!D3</f>
        <v>Mobile: 01730-708739</v>
      </c>
      <c r="W3" s="799"/>
      <c r="X3" s="799"/>
      <c r="Y3" s="799"/>
      <c r="AR3" s="159"/>
      <c r="AS3" s="159"/>
      <c r="AT3" s="159"/>
      <c r="AY3" s="159"/>
    </row>
    <row r="4" spans="2:51" ht="13.5" customHeight="1">
      <c r="C4" s="797" t="str">
        <f>"Mail: "&amp;+'Data Input'!D4&amp;",  Web: www.krishibank.org.bd"</f>
        <v>Mail: mgrsiddhirgonj@krishibank.org.bd,  Web: www.krishibank.org.bd</v>
      </c>
      <c r="D4" s="797"/>
      <c r="E4" s="797"/>
      <c r="F4" s="797"/>
      <c r="G4" s="797"/>
      <c r="H4" s="797"/>
      <c r="I4" s="797"/>
      <c r="J4" s="797"/>
      <c r="K4" s="797"/>
      <c r="L4" s="797"/>
      <c r="M4" s="797"/>
      <c r="N4" s="797"/>
      <c r="O4" s="797"/>
      <c r="P4" s="797"/>
      <c r="Q4" s="797"/>
      <c r="R4" s="797"/>
      <c r="S4" s="797"/>
      <c r="T4" s="797"/>
      <c r="U4" s="797"/>
      <c r="V4" s="797"/>
      <c r="W4" s="797"/>
      <c r="X4" s="797"/>
      <c r="Y4" s="797"/>
      <c r="AR4" s="160"/>
      <c r="AS4" s="160"/>
      <c r="AT4" s="160"/>
      <c r="AY4" s="160"/>
    </row>
    <row r="5" spans="2:51" ht="18" customHeight="1">
      <c r="B5" s="56"/>
      <c r="C5" s="57" t="str">
        <f>'Data Input'!B5&amp;" "&amp;'Data Input'!D5</f>
        <v xml:space="preserve">FY †KBm bs 64(wmGgGmGgB)/2024-25 </v>
      </c>
      <c r="D5" s="49"/>
      <c r="E5" s="49"/>
      <c r="F5" s="49"/>
      <c r="G5" s="49"/>
      <c r="H5" s="49"/>
      <c r="I5" s="49"/>
      <c r="J5" s="49"/>
      <c r="K5" s="49"/>
      <c r="L5" s="49"/>
      <c r="M5" s="49"/>
      <c r="N5" s="49"/>
      <c r="O5" s="49"/>
      <c r="P5" s="49"/>
      <c r="Q5" s="49"/>
      <c r="R5" s="49"/>
      <c r="S5" s="57"/>
      <c r="T5" s="49"/>
      <c r="U5" s="49"/>
      <c r="V5" s="794"/>
      <c r="W5" s="794"/>
      <c r="X5" s="58"/>
      <c r="Y5" s="45"/>
    </row>
    <row r="6" spans="2:51" ht="3.75" customHeight="1">
      <c r="C6" s="13"/>
      <c r="S6" s="13"/>
    </row>
    <row r="7" spans="2:51" s="271" customFormat="1" ht="17.25" customHeight="1">
      <c r="C7" s="826" t="s">
        <v>728</v>
      </c>
      <c r="D7" s="826"/>
      <c r="E7" s="826"/>
      <c r="F7" s="826"/>
      <c r="G7" s="826"/>
      <c r="H7" s="826"/>
      <c r="I7" s="826"/>
      <c r="J7" s="826"/>
      <c r="K7" s="826"/>
      <c r="L7" s="826"/>
      <c r="M7" s="826"/>
      <c r="N7" s="826"/>
      <c r="O7" s="826"/>
      <c r="P7" s="826"/>
      <c r="Q7" s="826"/>
      <c r="R7" s="826"/>
      <c r="S7" s="826"/>
      <c r="T7" s="826"/>
      <c r="U7" s="826"/>
      <c r="V7" s="826"/>
      <c r="W7" s="826"/>
      <c r="X7" s="826"/>
      <c r="Y7" s="826"/>
      <c r="AA7"/>
      <c r="AB7"/>
      <c r="AC7"/>
      <c r="AD7"/>
      <c r="AE7"/>
      <c r="AF7"/>
      <c r="AG7"/>
      <c r="AH7"/>
      <c r="AI7"/>
      <c r="AJ7"/>
      <c r="AK7"/>
      <c r="AL7"/>
      <c r="AM7"/>
      <c r="AN7"/>
      <c r="AO7"/>
    </row>
    <row r="8" spans="2:51" s="203" customFormat="1" ht="18" customHeight="1">
      <c r="B8" s="27"/>
      <c r="C8" s="27" t="str">
        <f>+'Data Input'!B8</f>
        <v>cÖK‡íi bvg</v>
      </c>
      <c r="D8" s="27" t="s">
        <v>1</v>
      </c>
      <c r="E8" s="1208" t="str">
        <f>+'Data Input'!D8</f>
        <v>‡gmvm© mvbd¬vIqvi †UBjvm© GÛ †dweªK&amp;ª</v>
      </c>
      <c r="F8" s="1208"/>
      <c r="G8" s="1208"/>
      <c r="H8" s="1208"/>
      <c r="I8" s="1208"/>
      <c r="J8" s="1208"/>
      <c r="K8" s="1208"/>
      <c r="L8" s="1208"/>
      <c r="M8" s="1208"/>
      <c r="N8" s="1208"/>
      <c r="O8" s="1208"/>
      <c r="P8" s="1208"/>
      <c r="Q8" s="1208"/>
      <c r="R8" s="1208"/>
      <c r="S8" s="1208"/>
      <c r="T8" s="1208"/>
      <c r="U8" s="1208"/>
      <c r="V8" s="1208"/>
      <c r="W8" s="1208"/>
      <c r="X8" s="1208"/>
      <c r="Y8" s="1208"/>
      <c r="AA8"/>
      <c r="AB8"/>
      <c r="AC8"/>
      <c r="AD8"/>
      <c r="AE8"/>
      <c r="AF8"/>
      <c r="AG8"/>
      <c r="AH8"/>
      <c r="AI8"/>
      <c r="AJ8"/>
      <c r="AK8"/>
      <c r="AL8"/>
      <c r="AM8"/>
      <c r="AN8"/>
      <c r="AO8"/>
    </row>
    <row r="9" spans="2:51" s="203" customFormat="1" ht="18" customHeight="1">
      <c r="C9" s="27" t="str">
        <f>+'Data Input'!B12</f>
        <v>‡cÖvcvBUi</v>
      </c>
      <c r="D9" s="27" t="s">
        <v>1</v>
      </c>
      <c r="E9" s="2008" t="str">
        <f>+'Data Input'!D12</f>
        <v>‡gvt Rwb</v>
      </c>
      <c r="F9" s="1208"/>
      <c r="G9" s="1208"/>
      <c r="H9" s="1208"/>
      <c r="I9" s="1208"/>
      <c r="J9" s="1208"/>
      <c r="K9" s="1208"/>
      <c r="L9" s="1208"/>
      <c r="M9" s="1208"/>
      <c r="N9" s="1208"/>
      <c r="O9" s="1208"/>
      <c r="P9" s="1208"/>
      <c r="Q9" s="1208"/>
      <c r="R9" s="1208"/>
      <c r="S9" s="1208"/>
      <c r="T9" s="1208"/>
      <c r="U9" s="1208"/>
      <c r="V9" s="1208"/>
      <c r="W9" s="1208"/>
      <c r="X9" s="1208"/>
      <c r="Y9" s="1208"/>
      <c r="AA9"/>
      <c r="AB9"/>
      <c r="AC9"/>
      <c r="AD9"/>
      <c r="AE9"/>
      <c r="AF9"/>
      <c r="AG9"/>
      <c r="AH9"/>
      <c r="AI9"/>
      <c r="AJ9"/>
      <c r="AK9"/>
      <c r="AL9"/>
      <c r="AM9"/>
      <c r="AN9"/>
      <c r="AO9"/>
    </row>
    <row r="10" spans="2:51" s="203" customFormat="1" ht="18" customHeight="1">
      <c r="C10" s="27" t="str">
        <f>+'Data Input'!B13</f>
        <v>wcZv/¯^vgxi bvg</v>
      </c>
      <c r="D10" s="27" t="s">
        <v>1</v>
      </c>
      <c r="E10" s="2008" t="str">
        <f>+'Data Input'!D13</f>
        <v>g„Z †gvt Bw`ªm Avjx</v>
      </c>
      <c r="F10" s="1208"/>
      <c r="G10" s="1208"/>
      <c r="H10" s="1208"/>
      <c r="I10" s="1208"/>
      <c r="J10" s="1208"/>
      <c r="K10" s="1208"/>
      <c r="L10" s="1208"/>
      <c r="M10" s="1208"/>
      <c r="N10" s="1208"/>
      <c r="O10" s="1208"/>
      <c r="P10" s="1208"/>
      <c r="Q10" s="1208"/>
      <c r="R10" s="1208"/>
      <c r="S10" s="1208"/>
      <c r="T10" s="1208"/>
      <c r="U10" s="1208"/>
      <c r="V10" s="1208"/>
      <c r="W10" s="1208"/>
      <c r="X10" s="1208"/>
      <c r="Y10" s="1208"/>
      <c r="AA10"/>
      <c r="AB10"/>
      <c r="AC10"/>
      <c r="AD10"/>
      <c r="AE10"/>
      <c r="AF10"/>
      <c r="AG10"/>
      <c r="AH10"/>
      <c r="AI10"/>
      <c r="AJ10"/>
      <c r="AK10"/>
      <c r="AL10"/>
      <c r="AM10"/>
      <c r="AN10"/>
      <c r="AO10"/>
    </row>
    <row r="11" spans="2:51" s="203" customFormat="1" ht="21.75" customHeight="1">
      <c r="C11" s="27" t="s">
        <v>58</v>
      </c>
      <c r="D11" s="27" t="s">
        <v>1</v>
      </c>
      <c r="E11" s="1262" t="str">
        <f>+'Data Input'!D17&amp;", Dc‡Rjvt "&amp;'Data Input'!D22&amp;", ‡Rjvt "&amp;'Data Input'!D23</f>
        <v>`vcv B`ªvKcyi, dZzjøv, bvivqYMÄ, Dc‡Rjvt bvivqYMÄ m`i, ‡Rjvt bvivqYMÄ</v>
      </c>
      <c r="F11" s="1262"/>
      <c r="G11" s="1262"/>
      <c r="H11" s="1262"/>
      <c r="I11" s="1262"/>
      <c r="J11" s="1262"/>
      <c r="K11" s="1262"/>
      <c r="L11" s="1262"/>
      <c r="M11" s="1262"/>
      <c r="N11" s="1262"/>
      <c r="O11" s="1262"/>
      <c r="P11" s="1262"/>
      <c r="Q11" s="1262"/>
      <c r="R11" s="1262"/>
      <c r="S11" s="1262"/>
      <c r="T11" s="1262"/>
      <c r="U11" s="1262"/>
      <c r="V11" s="1262"/>
      <c r="W11" s="1262"/>
      <c r="X11" s="1262"/>
      <c r="Y11" s="1262"/>
      <c r="AA11"/>
      <c r="AB11"/>
      <c r="AC11"/>
      <c r="AD11"/>
      <c r="AE11"/>
      <c r="AF11"/>
      <c r="AG11"/>
      <c r="AH11"/>
      <c r="AI11"/>
      <c r="AJ11"/>
      <c r="AK11"/>
      <c r="AL11"/>
      <c r="AM11"/>
      <c r="AN11"/>
      <c r="AO11"/>
    </row>
    <row r="12" spans="2:51" s="203" customFormat="1">
      <c r="C12" s="27" t="s">
        <v>652</v>
      </c>
      <c r="D12" s="27" t="s">
        <v>1</v>
      </c>
      <c r="E12" s="2010"/>
      <c r="F12" s="2010"/>
      <c r="G12" s="2010"/>
      <c r="H12" s="29" t="s">
        <v>655</v>
      </c>
      <c r="I12" s="29" t="s">
        <v>654</v>
      </c>
      <c r="J12" s="29"/>
      <c r="K12" s="29"/>
      <c r="L12" s="29"/>
      <c r="M12" s="29"/>
      <c r="N12" s="2010"/>
      <c r="O12" s="2010"/>
      <c r="P12" s="2010"/>
      <c r="Q12" s="29"/>
      <c r="R12" s="29"/>
      <c r="S12" s="29"/>
      <c r="T12" s="29"/>
      <c r="U12" s="29"/>
      <c r="V12" s="29"/>
      <c r="W12" s="29"/>
      <c r="X12" s="29"/>
      <c r="Y12" s="29"/>
      <c r="AA12"/>
      <c r="AB12"/>
      <c r="AC12"/>
      <c r="AD12"/>
      <c r="AE12"/>
      <c r="AF12"/>
      <c r="AG12"/>
      <c r="AH12"/>
      <c r="AI12"/>
      <c r="AJ12"/>
      <c r="AK12"/>
      <c r="AL12"/>
      <c r="AM12"/>
      <c r="AN12"/>
      <c r="AO12"/>
    </row>
    <row r="13" spans="2:51" s="203" customFormat="1" ht="18" customHeight="1">
      <c r="B13" s="27"/>
      <c r="C13" s="27" t="s">
        <v>653</v>
      </c>
      <c r="D13" s="27" t="s">
        <v>1</v>
      </c>
      <c r="E13" s="27" t="str">
        <f>+'Data Input'!D16</f>
        <v>01923-401539</v>
      </c>
      <c r="AA13"/>
      <c r="AB13"/>
      <c r="AC13"/>
      <c r="AD13"/>
      <c r="AE13"/>
      <c r="AF13"/>
      <c r="AG13"/>
      <c r="AH13"/>
      <c r="AI13"/>
      <c r="AJ13"/>
      <c r="AK13"/>
      <c r="AL13"/>
      <c r="AM13"/>
      <c r="AN13"/>
      <c r="AO13"/>
    </row>
    <row r="14" spans="2:51" s="33" customFormat="1" ht="9" customHeight="1">
      <c r="B14" s="269"/>
      <c r="C14" s="37"/>
      <c r="D14" s="37"/>
      <c r="E14" s="37"/>
      <c r="AA14"/>
      <c r="AB14"/>
      <c r="AC14"/>
      <c r="AD14"/>
      <c r="AE14"/>
      <c r="AF14"/>
      <c r="AG14"/>
      <c r="AH14"/>
      <c r="AI14"/>
      <c r="AJ14"/>
      <c r="AK14"/>
      <c r="AL14"/>
      <c r="AM14"/>
      <c r="AN14"/>
      <c r="AO14"/>
    </row>
    <row r="15" spans="2:51" s="33" customFormat="1" ht="9" customHeight="1">
      <c r="B15" s="269"/>
      <c r="C15" s="270"/>
      <c r="D15" s="37"/>
      <c r="E15" s="37"/>
      <c r="AA15"/>
      <c r="AB15"/>
      <c r="AC15"/>
      <c r="AD15"/>
      <c r="AE15"/>
      <c r="AF15"/>
      <c r="AG15"/>
      <c r="AH15"/>
      <c r="AI15"/>
      <c r="AJ15"/>
      <c r="AK15"/>
      <c r="AL15"/>
      <c r="AM15"/>
      <c r="AN15"/>
      <c r="AO15"/>
    </row>
    <row r="16" spans="2:51" s="65" customFormat="1" ht="24" customHeight="1">
      <c r="C16" s="1924" t="str">
        <f>+'Data Input'!B49</f>
        <v>‡gmvm© mvbd¬vIqvi †UBjvm© GÛ †dweªK&amp;ª bvgK e¨emv cÖwZôvbwU Av‡e`bKvixi wcZv `xN©w`b a‡i cwiPvjbv KiwQ‡jb| Av‡e`bKvixi wcZvi g„Z¨yi ci GKgvÎ Iqvwik wn‡m‡e wZwb D³ e¨emv cÖwZôvbwU cwiPvjbv Ki‡Qb|  Kvc‡oi e¨emvwU jvfRbK e¨emv| eZ©gvb evRvig~j¨ e„w× cvIqvq wZwb Zvi e¨emvwU cÖmvwiZ I mwVKfv‡e cwiPvjbv Ki‡Z cvi‡Qb bv | ZvB wZwb e¨vs‡K wmGgGmGgB Lv‡Z bM` cyuwR F‡Yi Av‡e`b K‡i‡Qb|  D³ cÖwZôv‡bi AbyKz‡j e¨vsK wewb‡qvM Ki‡j e¨vsK I D‡`¨v³v Df‡qB Avw_©Kfv‡e jvfevb n‡e| D‡`¨v³v Avw_©K w`K w`‡q ¯^”Qj Ges FY cwi‡kv‡a mvg_©¨evb| D‡`¨v³vi Av‡e`b, e¨emvwqK AwfÁZv, cÖwZôv‡bi µgweKvk BZ¨vw` we‡ePbv K‡i ‡gmvm© mvbd¬vIqvi †UBjvm© GÛ †dweªK&amp;ª Gi AbyKz‡j Kvc‡oi e¨emv cwiPvjbvi Rb¨ wmGgGmGgB Lv‡Z  1 (GK) erm‡ii ‡gqv‡` gs  70.00 (mËi) jÿ UvKv gvÎ bM` cyuwR FY gÄyixi  mycvwik Kiv n‡jv|</v>
      </c>
      <c r="D16" s="1924"/>
      <c r="E16" s="1924"/>
      <c r="F16" s="1924"/>
      <c r="G16" s="1924"/>
      <c r="H16" s="1924"/>
      <c r="I16" s="1924"/>
      <c r="J16" s="1924"/>
      <c r="K16" s="1924"/>
      <c r="L16" s="1924"/>
      <c r="M16" s="1924"/>
      <c r="N16" s="1924"/>
      <c r="O16" s="1924"/>
      <c r="P16" s="1924"/>
      <c r="Q16" s="1924"/>
      <c r="R16" s="1924"/>
      <c r="S16" s="1924"/>
      <c r="T16" s="1924"/>
      <c r="U16" s="1924"/>
      <c r="V16" s="1924"/>
      <c r="W16" s="1924"/>
      <c r="X16" s="1924"/>
      <c r="Y16" s="1924"/>
      <c r="AA16"/>
      <c r="AB16"/>
      <c r="AC16"/>
      <c r="AD16"/>
      <c r="AE16"/>
      <c r="AF16"/>
      <c r="AG16"/>
      <c r="AH16"/>
      <c r="AI16"/>
      <c r="AJ16"/>
      <c r="AK16"/>
      <c r="AL16"/>
      <c r="AM16"/>
      <c r="AN16"/>
      <c r="AO16"/>
    </row>
    <row r="17" spans="2:41" s="65" customFormat="1" ht="161.25" customHeight="1">
      <c r="B17" s="183"/>
      <c r="C17" s="1924"/>
      <c r="D17" s="1924"/>
      <c r="E17" s="1924"/>
      <c r="F17" s="1924"/>
      <c r="G17" s="1924"/>
      <c r="H17" s="1924"/>
      <c r="I17" s="1924"/>
      <c r="J17" s="1924"/>
      <c r="K17" s="1924"/>
      <c r="L17" s="1924"/>
      <c r="M17" s="1924"/>
      <c r="N17" s="1924"/>
      <c r="O17" s="1924"/>
      <c r="P17" s="1924"/>
      <c r="Q17" s="1924"/>
      <c r="R17" s="1924"/>
      <c r="S17" s="1924"/>
      <c r="T17" s="1924"/>
      <c r="U17" s="1924"/>
      <c r="V17" s="1924"/>
      <c r="W17" s="1924"/>
      <c r="X17" s="1924"/>
      <c r="Y17" s="1924"/>
      <c r="AA17"/>
      <c r="AB17"/>
      <c r="AC17"/>
      <c r="AD17"/>
      <c r="AE17"/>
      <c r="AF17"/>
      <c r="AG17"/>
      <c r="AH17"/>
      <c r="AI17"/>
      <c r="AJ17"/>
      <c r="AK17"/>
      <c r="AL17"/>
      <c r="AM17"/>
      <c r="AN17"/>
      <c r="AO17"/>
    </row>
    <row r="18" spans="2:41" s="65" customFormat="1" ht="21" customHeight="1">
      <c r="B18" s="183"/>
      <c r="C18" s="41"/>
      <c r="D18" s="41"/>
      <c r="E18" s="41"/>
      <c r="F18" s="41"/>
      <c r="G18" s="41"/>
      <c r="H18" s="41"/>
      <c r="I18" s="41"/>
      <c r="J18" s="41"/>
      <c r="K18" s="41"/>
      <c r="L18" s="41"/>
      <c r="M18" s="41"/>
      <c r="N18" s="41"/>
      <c r="O18" s="41"/>
      <c r="P18" s="41"/>
      <c r="Q18" s="41"/>
      <c r="R18" s="41"/>
      <c r="S18" s="41"/>
      <c r="T18" s="41"/>
      <c r="U18" s="41"/>
      <c r="V18" s="41"/>
      <c r="W18" s="41"/>
      <c r="X18" s="41"/>
      <c r="Y18" s="41"/>
      <c r="AA18"/>
      <c r="AB18"/>
      <c r="AC18"/>
      <c r="AD18"/>
      <c r="AE18"/>
      <c r="AF18"/>
      <c r="AG18"/>
      <c r="AH18"/>
      <c r="AI18"/>
      <c r="AJ18"/>
      <c r="AK18"/>
      <c r="AL18"/>
      <c r="AM18"/>
      <c r="AN18"/>
      <c r="AO18"/>
    </row>
    <row r="19" spans="2:41" ht="18" customHeight="1">
      <c r="B19" s="14"/>
      <c r="C19" s="41"/>
      <c r="D19" s="41"/>
      <c r="E19" s="41"/>
      <c r="F19" s="41"/>
      <c r="G19" s="41"/>
      <c r="H19" s="41"/>
      <c r="I19" s="41"/>
      <c r="J19" s="41"/>
      <c r="K19" s="41"/>
      <c r="L19" s="41"/>
      <c r="M19" s="41"/>
      <c r="N19" s="41"/>
      <c r="O19" s="41"/>
      <c r="P19" s="41"/>
      <c r="Q19" s="41"/>
      <c r="R19" s="41"/>
      <c r="S19" s="41"/>
      <c r="T19" s="41"/>
      <c r="U19" s="41"/>
      <c r="V19" s="41"/>
      <c r="W19" s="41"/>
      <c r="X19" s="41"/>
      <c r="Y19" s="41"/>
    </row>
    <row r="20" spans="2:41" ht="20.25" customHeight="1">
      <c r="B20" s="14"/>
      <c r="W20" s="2009" t="s">
        <v>161</v>
      </c>
      <c r="X20" s="2009"/>
      <c r="Y20" s="2009"/>
    </row>
    <row r="21" spans="2:41" ht="5.25" customHeight="1">
      <c r="B21" s="14"/>
      <c r="C21" s="270"/>
      <c r="W21" s="59"/>
      <c r="X21" s="59"/>
      <c r="Y21" s="59"/>
    </row>
    <row r="22" spans="2:41" ht="18" customHeight="1">
      <c r="C22" s="1924" t="str">
        <f>+'Data Input'!B64</f>
        <v>Av‡e`bKvix†K ‡gmvm© mvbd¬vIqvi †UBjvm© GÛ †dweªK&amp;ª bvgK Kvc‡oi  e¨emv cwiPvjbvi Rb¨ wmGgGmGgB Lv‡Z 1 (GK) erm‡ii ‡gqv‡` gs  70.00 (mËi) jÿ UvKv gvÎ bM` cyuwR FY gÄyixi  mycvwik Kiv n‡jv|</v>
      </c>
      <c r="D22" s="1924"/>
      <c r="E22" s="1924"/>
      <c r="F22" s="1924"/>
      <c r="G22" s="1924"/>
      <c r="H22" s="1924"/>
      <c r="I22" s="1924"/>
      <c r="J22" s="1924"/>
      <c r="K22" s="1924"/>
      <c r="L22" s="1924"/>
      <c r="M22" s="1924"/>
      <c r="N22" s="1924"/>
      <c r="O22" s="1924"/>
      <c r="P22" s="1924"/>
      <c r="Q22" s="1924"/>
      <c r="R22" s="1924"/>
      <c r="S22" s="1924"/>
      <c r="T22" s="1924"/>
      <c r="U22" s="1924"/>
      <c r="V22" s="1924"/>
      <c r="W22" s="1924"/>
      <c r="X22" s="1924"/>
      <c r="Y22" s="1924"/>
    </row>
    <row r="23" spans="2:41" ht="18" customHeight="1">
      <c r="B23" s="15"/>
      <c r="C23" s="1924"/>
      <c r="D23" s="1924"/>
      <c r="E23" s="1924"/>
      <c r="F23" s="1924"/>
      <c r="G23" s="1924"/>
      <c r="H23" s="1924"/>
      <c r="I23" s="1924"/>
      <c r="J23" s="1924"/>
      <c r="K23" s="1924"/>
      <c r="L23" s="1924"/>
      <c r="M23" s="1924"/>
      <c r="N23" s="1924"/>
      <c r="O23" s="1924"/>
      <c r="P23" s="1924"/>
      <c r="Q23" s="1924"/>
      <c r="R23" s="1924"/>
      <c r="S23" s="1924"/>
      <c r="T23" s="1924"/>
      <c r="U23" s="1924"/>
      <c r="V23" s="1924"/>
      <c r="W23" s="1924"/>
      <c r="X23" s="1924"/>
      <c r="Y23" s="1924"/>
    </row>
    <row r="24" spans="2:41" s="65" customFormat="1" ht="106.5" customHeight="1">
      <c r="C24" s="1924"/>
      <c r="D24" s="1924"/>
      <c r="E24" s="1924"/>
      <c r="F24" s="1924"/>
      <c r="G24" s="1924"/>
      <c r="H24" s="1924"/>
      <c r="I24" s="1924"/>
      <c r="J24" s="1924"/>
      <c r="K24" s="1924"/>
      <c r="L24" s="1924"/>
      <c r="M24" s="1924"/>
      <c r="N24" s="1924"/>
      <c r="O24" s="1924"/>
      <c r="P24" s="1924"/>
      <c r="Q24" s="1924"/>
      <c r="R24" s="1924"/>
      <c r="S24" s="1924"/>
      <c r="T24" s="1924"/>
      <c r="U24" s="1924"/>
      <c r="V24" s="1924"/>
      <c r="W24" s="1924"/>
      <c r="X24" s="1924"/>
      <c r="Y24" s="1924"/>
      <c r="AA24"/>
      <c r="AB24"/>
      <c r="AC24"/>
      <c r="AD24"/>
      <c r="AE24"/>
      <c r="AF24"/>
      <c r="AG24"/>
      <c r="AH24"/>
      <c r="AI24"/>
      <c r="AJ24"/>
      <c r="AK24"/>
      <c r="AL24"/>
      <c r="AM24"/>
      <c r="AN24"/>
      <c r="AO24"/>
    </row>
    <row r="25" spans="2:41" ht="44.25" customHeight="1">
      <c r="B25" s="14"/>
    </row>
    <row r="26" spans="2:41" ht="18" customHeight="1">
      <c r="W26" s="2009"/>
      <c r="X26" s="2009"/>
      <c r="Y26" s="2009"/>
    </row>
    <row r="27" spans="2:41" ht="6.75" customHeight="1">
      <c r="B27" s="16"/>
    </row>
  </sheetData>
  <sheetProtection sheet="1" objects="1" scenarios="1" formatCells="0" formatColumns="0" formatRows="0" insertColumns="0" insertRows="0" deleteColumns="0" deleteRows="0"/>
  <protectedRanges>
    <protectedRange sqref="C7:Y7 E12:G12 N12:P12" name="Range1" securityDescriptor="O:WDG:WDD:(A;;CC;;;WD)"/>
  </protectedRanges>
  <mergeCells count="18">
    <mergeCell ref="W26:Y26"/>
    <mergeCell ref="E12:G12"/>
    <mergeCell ref="N12:P12"/>
    <mergeCell ref="C16:Y17"/>
    <mergeCell ref="W20:Y20"/>
    <mergeCell ref="C22:Y24"/>
    <mergeCell ref="H1:S2"/>
    <mergeCell ref="E11:Y11"/>
    <mergeCell ref="V5:W5"/>
    <mergeCell ref="E8:Y8"/>
    <mergeCell ref="E9:Y9"/>
    <mergeCell ref="E10:Y10"/>
    <mergeCell ref="C7:Y7"/>
    <mergeCell ref="V1:Y1"/>
    <mergeCell ref="V2:Y2"/>
    <mergeCell ref="H3:S3"/>
    <mergeCell ref="V3:Y3"/>
    <mergeCell ref="C4:Y4"/>
  </mergeCells>
  <pageMargins left="0.59055118110236227" right="0.39370078740157483" top="0.39370078740157483" bottom="0.39370078740157483" header="0.31496062992125984" footer="0.31496062992125984"/>
  <pageSetup paperSize="9" scale="93" fitToHeight="0" orientation="portrait" blackAndWhite="1" r:id="rId1"/>
  <headerFooter>
    <oddFooter>&amp;L&amp;Z&amp;F&amp;R&amp;"SutonnyMJ,Regular"evsjv‡`k K…wl e¨vsK, c„ôv &amp;P &amp;"-,Regular"of&amp;"SutonnyMJ,Regular" &amp;N</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9">
    <tabColor rgb="FFFF0000"/>
    <pageSetUpPr fitToPage="1"/>
  </sheetPr>
  <dimension ref="A1:D30"/>
  <sheetViews>
    <sheetView view="pageBreakPreview" zoomScaleSheetLayoutView="100" workbookViewId="0">
      <selection activeCell="A6" sqref="A6:D6"/>
    </sheetView>
  </sheetViews>
  <sheetFormatPr defaultRowHeight="15.75"/>
  <cols>
    <col min="1" max="1" width="7" customWidth="1"/>
    <col min="2" max="2" width="50.7109375" style="193" customWidth="1"/>
    <col min="3" max="4" width="11.85546875" customWidth="1"/>
  </cols>
  <sheetData>
    <row r="1" spans="1:4" ht="33.75" customHeight="1">
      <c r="A1" s="809" t="s">
        <v>0</v>
      </c>
      <c r="B1" s="809"/>
      <c r="C1" s="809"/>
      <c r="D1" s="809"/>
    </row>
    <row r="2" spans="1:4" ht="19.5" customHeight="1">
      <c r="A2" s="810" t="str">
        <f>+'Data Input'!D2</f>
        <v>wmw×iMÄ kvLv, bvivqYMÄ</v>
      </c>
      <c r="B2" s="810"/>
      <c r="C2" s="810"/>
      <c r="D2" s="810"/>
    </row>
    <row r="3" spans="1:4" ht="13.5" customHeight="1">
      <c r="A3" s="811" t="str">
        <f>+'Data Input'!D3</f>
        <v>Mobile: 01730-708739</v>
      </c>
      <c r="B3" s="811"/>
      <c r="C3" s="811"/>
      <c r="D3" s="811"/>
    </row>
    <row r="4" spans="1:4" ht="15.75" customHeight="1">
      <c r="A4" s="812" t="str">
        <f>"Email: "&amp;+'Data Input'!D4</f>
        <v>Email: mgrsiddhirgonj@krishibank.org.bd</v>
      </c>
      <c r="B4" s="812"/>
      <c r="C4" s="812"/>
      <c r="D4" s="812"/>
    </row>
    <row r="5" spans="1:4" ht="25.5" customHeight="1">
      <c r="A5" s="2012" t="s">
        <v>671</v>
      </c>
      <c r="B5" s="2012"/>
      <c r="C5" s="2012"/>
      <c r="D5" s="2012"/>
    </row>
    <row r="6" spans="1:4" ht="40.5" customHeight="1">
      <c r="A6" s="2011" t="str">
        <f>'Data Input'!D5&amp;", "&amp;'Data Input'!D8&amp;",  ‡cÖvcvBUit "&amp;'Data Input'!D12</f>
        <v>64(wmGgGmGgB)/2024-25 , ‡gmvm© mvbd¬vIqvi †UBjvm© GÛ †dweªK&amp;ª,  ‡cÖvcvBUit ‡gvt Rwb</v>
      </c>
      <c r="B6" s="2011"/>
      <c r="C6" s="2011"/>
      <c r="D6" s="2011"/>
    </row>
    <row r="7" spans="1:4" ht="17.25" customHeight="1">
      <c r="A7" s="1357" t="s">
        <v>3</v>
      </c>
      <c r="B7" s="1078" t="s">
        <v>535</v>
      </c>
      <c r="C7" s="1357" t="s">
        <v>536</v>
      </c>
      <c r="D7" s="1357"/>
    </row>
    <row r="8" spans="1:4" ht="17.25" customHeight="1">
      <c r="A8" s="1358"/>
      <c r="B8" s="1359"/>
      <c r="C8" s="199" t="s">
        <v>537</v>
      </c>
      <c r="D8" s="199" t="s">
        <v>538</v>
      </c>
    </row>
    <row r="9" spans="1:4" ht="21" customHeight="1">
      <c r="A9" s="306">
        <v>1</v>
      </c>
      <c r="B9" s="307" t="s">
        <v>656</v>
      </c>
      <c r="C9" s="308"/>
      <c r="D9" s="309"/>
    </row>
    <row r="10" spans="1:4" ht="21" customHeight="1">
      <c r="A10" s="310">
        <v>2</v>
      </c>
      <c r="B10" s="311" t="s">
        <v>645</v>
      </c>
      <c r="C10" s="312"/>
      <c r="D10" s="313"/>
    </row>
    <row r="11" spans="1:4" ht="21" customHeight="1">
      <c r="A11" s="310">
        <v>3</v>
      </c>
      <c r="B11" s="311" t="s">
        <v>741</v>
      </c>
      <c r="C11" s="312"/>
      <c r="D11" s="313"/>
    </row>
    <row r="12" spans="1:4" ht="21" customHeight="1">
      <c r="A12" s="310">
        <v>4</v>
      </c>
      <c r="B12" s="314" t="s">
        <v>670</v>
      </c>
      <c r="C12" s="312"/>
      <c r="D12" s="313"/>
    </row>
    <row r="13" spans="1:4" ht="21" customHeight="1">
      <c r="A13" s="310">
        <v>5</v>
      </c>
      <c r="B13" s="314" t="s">
        <v>700</v>
      </c>
      <c r="C13" s="312"/>
      <c r="D13" s="316"/>
    </row>
    <row r="14" spans="1:4" ht="21" customHeight="1">
      <c r="A14" s="310">
        <v>6</v>
      </c>
      <c r="B14" s="314" t="s">
        <v>690</v>
      </c>
      <c r="C14" s="312"/>
      <c r="D14" s="313"/>
    </row>
    <row r="15" spans="1:4" ht="21" customHeight="1">
      <c r="A15" s="310">
        <v>7</v>
      </c>
      <c r="B15" s="314" t="s">
        <v>695</v>
      </c>
      <c r="C15" s="312"/>
      <c r="D15" s="313"/>
    </row>
    <row r="16" spans="1:4" ht="21" customHeight="1">
      <c r="A16" s="310">
        <v>8</v>
      </c>
      <c r="B16" s="314" t="s">
        <v>694</v>
      </c>
      <c r="C16" s="312"/>
      <c r="D16" s="313"/>
    </row>
    <row r="17" spans="1:4" ht="21" customHeight="1">
      <c r="A17" s="310">
        <v>9</v>
      </c>
      <c r="B17" s="311" t="s">
        <v>657</v>
      </c>
      <c r="C17" s="312"/>
      <c r="D17" s="313"/>
    </row>
    <row r="18" spans="1:4" ht="21" customHeight="1">
      <c r="A18" s="310">
        <v>10</v>
      </c>
      <c r="B18" s="314" t="s">
        <v>648</v>
      </c>
      <c r="C18" s="312"/>
      <c r="D18" s="313"/>
    </row>
    <row r="19" spans="1:4" ht="21" customHeight="1">
      <c r="A19" s="310">
        <v>11</v>
      </c>
      <c r="B19" s="314" t="s">
        <v>649</v>
      </c>
      <c r="C19" s="312"/>
      <c r="D19" s="315"/>
    </row>
    <row r="20" spans="1:4" ht="21" customHeight="1">
      <c r="A20" s="310">
        <v>12</v>
      </c>
      <c r="B20" s="314" t="s">
        <v>647</v>
      </c>
      <c r="C20" s="312"/>
      <c r="D20" s="313"/>
    </row>
    <row r="21" spans="1:4" ht="21" customHeight="1">
      <c r="A21" s="310">
        <v>13</v>
      </c>
      <c r="B21" s="314" t="s">
        <v>646</v>
      </c>
      <c r="C21" s="312"/>
      <c r="D21" s="316"/>
    </row>
    <row r="22" spans="1:4" ht="21" customHeight="1">
      <c r="A22" s="310">
        <v>14</v>
      </c>
      <c r="B22" s="314" t="s">
        <v>689</v>
      </c>
      <c r="C22" s="312"/>
      <c r="D22" s="316"/>
    </row>
    <row r="23" spans="1:4" ht="21" customHeight="1">
      <c r="A23" s="310">
        <v>15</v>
      </c>
      <c r="B23" s="314" t="s">
        <v>658</v>
      </c>
      <c r="C23" s="312"/>
      <c r="D23" s="316"/>
    </row>
    <row r="24" spans="1:4" ht="21" customHeight="1">
      <c r="A24" s="310">
        <v>16</v>
      </c>
      <c r="B24" s="314" t="s">
        <v>650</v>
      </c>
      <c r="C24" s="312"/>
      <c r="D24" s="316"/>
    </row>
    <row r="25" spans="1:4" ht="21" customHeight="1">
      <c r="A25" s="310">
        <v>17</v>
      </c>
      <c r="B25" s="314" t="s">
        <v>659</v>
      </c>
      <c r="C25" s="312"/>
      <c r="D25" s="316"/>
    </row>
    <row r="26" spans="1:4" ht="21" customHeight="1">
      <c r="A26" s="310">
        <v>18</v>
      </c>
      <c r="B26" s="314" t="s">
        <v>661</v>
      </c>
      <c r="C26" s="312"/>
      <c r="D26" s="316"/>
    </row>
    <row r="27" spans="1:4" ht="21" customHeight="1">
      <c r="A27" s="310">
        <v>19</v>
      </c>
      <c r="B27" s="314" t="s">
        <v>701</v>
      </c>
      <c r="C27" s="312"/>
      <c r="D27" s="316"/>
    </row>
    <row r="28" spans="1:4" ht="21" customHeight="1">
      <c r="A28" s="317"/>
      <c r="B28" s="318"/>
      <c r="C28" s="319"/>
      <c r="D28" s="320"/>
    </row>
    <row r="29" spans="1:4" ht="60.75" customHeight="1">
      <c r="A29" s="272"/>
      <c r="B29" s="52"/>
    </row>
    <row r="30" spans="1:4" ht="34.5" customHeight="1">
      <c r="A30" s="816" t="s">
        <v>561</v>
      </c>
      <c r="B30" s="816"/>
      <c r="C30" s="817" t="s">
        <v>162</v>
      </c>
      <c r="D30" s="817"/>
    </row>
  </sheetData>
  <protectedRanges>
    <protectedRange sqref="B14 D13:D18 D20:D24" name="Range1"/>
    <protectedRange sqref="D9:D12" name="Range1_1"/>
  </protectedRanges>
  <mergeCells count="11">
    <mergeCell ref="A6:D6"/>
    <mergeCell ref="A1:D1"/>
    <mergeCell ref="A2:D2"/>
    <mergeCell ref="A3:D3"/>
    <mergeCell ref="A4:D4"/>
    <mergeCell ref="A5:D5"/>
    <mergeCell ref="A7:A8"/>
    <mergeCell ref="B7:B8"/>
    <mergeCell ref="C7:D7"/>
    <mergeCell ref="A30:B30"/>
    <mergeCell ref="C30:D30"/>
  </mergeCells>
  <pageMargins left="0.7" right="0.7" top="0.75" bottom="0.75" header="0.3" footer="0.3"/>
  <pageSetup paperSize="9" fitToHeight="0" orientation="portrait" r:id="rId1"/>
  <headerFooter>
    <oddFooter>&amp;L&amp;Z&amp;F&amp;R&amp;N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Button4_Click">
                <anchor moveWithCells="1" sizeWithCells="1">
                  <from>
                    <xdr:col>6</xdr:col>
                    <xdr:colOff>323850</xdr:colOff>
                    <xdr:row>0</xdr:row>
                    <xdr:rowOff>171450</xdr:rowOff>
                  </from>
                  <to>
                    <xdr:col>7</xdr:col>
                    <xdr:colOff>552450</xdr:colOff>
                    <xdr:row>3</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6">
    <tabColor rgb="FFFF0000"/>
    <pageSetUpPr fitToPage="1"/>
  </sheetPr>
  <dimension ref="A1:D33"/>
  <sheetViews>
    <sheetView view="pageBreakPreview" topLeftCell="A22" zoomScaleSheetLayoutView="100" workbookViewId="0">
      <selection activeCell="B13" sqref="B13"/>
    </sheetView>
  </sheetViews>
  <sheetFormatPr defaultRowHeight="15.75"/>
  <cols>
    <col min="1" max="1" width="7" customWidth="1"/>
    <col min="2" max="2" width="50.7109375" style="193" customWidth="1"/>
    <col min="3" max="3" width="10.7109375" customWidth="1"/>
    <col min="4" max="4" width="11.85546875" customWidth="1"/>
  </cols>
  <sheetData>
    <row r="1" spans="1:4" ht="33.75" customHeight="1">
      <c r="A1" s="809" t="s">
        <v>0</v>
      </c>
      <c r="B1" s="809"/>
      <c r="C1" s="809"/>
      <c r="D1" s="809"/>
    </row>
    <row r="2" spans="1:4" ht="19.5" customHeight="1">
      <c r="A2" s="810" t="str">
        <f>+'Data Input'!D2</f>
        <v>wmw×iMÄ kvLv, bvivqYMÄ</v>
      </c>
      <c r="B2" s="810"/>
      <c r="C2" s="810"/>
      <c r="D2" s="810"/>
    </row>
    <row r="3" spans="1:4" ht="13.5" customHeight="1">
      <c r="A3" s="811" t="str">
        <f>+'Data Input'!D3</f>
        <v>Mobile: 01730-708739</v>
      </c>
      <c r="B3" s="811"/>
      <c r="C3" s="811"/>
      <c r="D3" s="811"/>
    </row>
    <row r="4" spans="1:4" ht="15.75" customHeight="1">
      <c r="A4" s="812" t="str">
        <f>"Email: "&amp;+'Data Input'!D4</f>
        <v>Email: mgrsiddhirgonj@krishibank.org.bd</v>
      </c>
      <c r="B4" s="812"/>
      <c r="C4" s="812"/>
      <c r="D4" s="812"/>
    </row>
    <row r="5" spans="1:4" ht="25.5" customHeight="1">
      <c r="A5" s="2012" t="s">
        <v>671</v>
      </c>
      <c r="B5" s="2012"/>
      <c r="C5" s="2012"/>
      <c r="D5" s="2012"/>
    </row>
    <row r="6" spans="1:4" ht="40.5" customHeight="1">
      <c r="A6" s="808" t="str">
        <f>'Data Input'!D5&amp;", "&amp;'Data Input'!D8&amp;",  ‡cÖvcvBUit "&amp;'Data Input'!D12</f>
        <v>64(wmGgGmGgB)/2024-25 , ‡gmvm© mvbd¬vIqvi †UBjvm© GÛ †dweªK&amp;ª,  ‡cÖvcvBUit ‡gvt Rwb</v>
      </c>
      <c r="B6" s="808"/>
      <c r="C6" s="808"/>
      <c r="D6" s="808"/>
    </row>
    <row r="7" spans="1:4" ht="20.25" customHeight="1">
      <c r="A7" s="1357" t="s">
        <v>3</v>
      </c>
      <c r="B7" s="1078" t="s">
        <v>535</v>
      </c>
      <c r="C7" s="1357" t="s">
        <v>536</v>
      </c>
      <c r="D7" s="1357"/>
    </row>
    <row r="8" spans="1:4" ht="23.25" customHeight="1">
      <c r="A8" s="1358"/>
      <c r="B8" s="1359"/>
      <c r="C8" s="199" t="s">
        <v>537</v>
      </c>
      <c r="D8" s="199" t="s">
        <v>538</v>
      </c>
    </row>
    <row r="9" spans="1:4" ht="21" customHeight="1">
      <c r="A9" s="290">
        <v>1</v>
      </c>
      <c r="B9" s="291" t="s">
        <v>656</v>
      </c>
      <c r="C9" s="292"/>
      <c r="D9" s="293"/>
    </row>
    <row r="10" spans="1:4" ht="21" customHeight="1">
      <c r="A10" s="294">
        <v>2</v>
      </c>
      <c r="B10" s="295" t="s">
        <v>645</v>
      </c>
      <c r="C10" s="296"/>
      <c r="D10" s="297"/>
    </row>
    <row r="11" spans="1:4" ht="21" customHeight="1">
      <c r="A11" s="294">
        <v>3</v>
      </c>
      <c r="B11" s="295" t="s">
        <v>693</v>
      </c>
      <c r="C11" s="296"/>
      <c r="D11" s="297"/>
    </row>
    <row r="12" spans="1:4" ht="21" customHeight="1">
      <c r="A12" s="294">
        <v>4</v>
      </c>
      <c r="B12" s="295" t="s">
        <v>691</v>
      </c>
      <c r="C12" s="296"/>
      <c r="D12" s="297"/>
    </row>
    <row r="13" spans="1:4" ht="21" customHeight="1">
      <c r="A13" s="294">
        <v>5</v>
      </c>
      <c r="B13" s="298" t="s">
        <v>699</v>
      </c>
      <c r="C13" s="296"/>
      <c r="D13" s="297"/>
    </row>
    <row r="14" spans="1:4" ht="21" customHeight="1">
      <c r="A14" s="294">
        <v>6</v>
      </c>
      <c r="B14" s="298" t="s">
        <v>690</v>
      </c>
      <c r="C14" s="296"/>
      <c r="D14" s="299"/>
    </row>
    <row r="15" spans="1:4" ht="21" customHeight="1">
      <c r="A15" s="294">
        <v>7</v>
      </c>
      <c r="B15" s="298" t="s">
        <v>695</v>
      </c>
      <c r="C15" s="296"/>
      <c r="D15" s="297"/>
    </row>
    <row r="16" spans="1:4" ht="21" customHeight="1">
      <c r="A16" s="294">
        <v>8</v>
      </c>
      <c r="B16" s="298" t="s">
        <v>694</v>
      </c>
      <c r="C16" s="296"/>
      <c r="D16" s="297"/>
    </row>
    <row r="17" spans="1:4" ht="21" customHeight="1">
      <c r="A17" s="294">
        <v>9</v>
      </c>
      <c r="B17" s="295" t="s">
        <v>657</v>
      </c>
      <c r="C17" s="296"/>
      <c r="D17" s="297"/>
    </row>
    <row r="18" spans="1:4" ht="21" customHeight="1">
      <c r="A18" s="294">
        <v>10</v>
      </c>
      <c r="B18" s="298" t="s">
        <v>692</v>
      </c>
      <c r="C18" s="296"/>
      <c r="D18" s="299"/>
    </row>
    <row r="19" spans="1:4" ht="21" customHeight="1">
      <c r="A19" s="294">
        <v>11</v>
      </c>
      <c r="B19" s="298" t="s">
        <v>696</v>
      </c>
      <c r="C19" s="296"/>
      <c r="D19" s="297"/>
    </row>
    <row r="20" spans="1:4" ht="21" customHeight="1">
      <c r="A20" s="294"/>
      <c r="B20" s="298"/>
      <c r="C20" s="296"/>
      <c r="D20" s="300"/>
    </row>
    <row r="21" spans="1:4" ht="21" customHeight="1">
      <c r="A21" s="294"/>
      <c r="B21" s="298"/>
      <c r="C21" s="296"/>
      <c r="D21" s="299"/>
    </row>
    <row r="22" spans="1:4" ht="21" customHeight="1">
      <c r="A22" s="294"/>
      <c r="B22" s="298"/>
      <c r="C22" s="296"/>
      <c r="D22" s="297"/>
    </row>
    <row r="23" spans="1:4" ht="21" customHeight="1">
      <c r="A23" s="294"/>
      <c r="B23" s="298"/>
      <c r="C23" s="296"/>
      <c r="D23" s="299"/>
    </row>
    <row r="24" spans="1:4" ht="21" customHeight="1">
      <c r="A24" s="294"/>
      <c r="B24" s="298"/>
      <c r="C24" s="296"/>
      <c r="D24" s="300"/>
    </row>
    <row r="25" spans="1:4" ht="21" customHeight="1">
      <c r="A25" s="294"/>
      <c r="B25" s="298"/>
      <c r="C25" s="296"/>
      <c r="D25" s="300"/>
    </row>
    <row r="26" spans="1:4" ht="21" customHeight="1">
      <c r="A26" s="294"/>
      <c r="B26" s="298"/>
      <c r="C26" s="296"/>
      <c r="D26" s="300"/>
    </row>
    <row r="27" spans="1:4" ht="21" customHeight="1">
      <c r="A27" s="294"/>
      <c r="B27" s="298"/>
      <c r="C27" s="296"/>
      <c r="D27" s="300"/>
    </row>
    <row r="28" spans="1:4" ht="21" customHeight="1">
      <c r="A28" s="294"/>
      <c r="B28" s="298"/>
      <c r="C28" s="296"/>
      <c r="D28" s="300"/>
    </row>
    <row r="29" spans="1:4" ht="21" customHeight="1">
      <c r="A29" s="294"/>
      <c r="B29" s="301"/>
      <c r="C29" s="296"/>
      <c r="D29" s="300"/>
    </row>
    <row r="30" spans="1:4" ht="21" customHeight="1">
      <c r="A30" s="302"/>
      <c r="B30" s="303"/>
      <c r="C30" s="304"/>
      <c r="D30" s="305"/>
    </row>
    <row r="31" spans="1:4" ht="60.75" customHeight="1">
      <c r="B31"/>
    </row>
    <row r="32" spans="1:4" ht="34.5" customHeight="1">
      <c r="A32" s="816" t="s">
        <v>561</v>
      </c>
      <c r="B32" s="816"/>
      <c r="D32" s="289"/>
    </row>
    <row r="33" spans="3:3" ht="18.75">
      <c r="C33" s="289" t="s">
        <v>162</v>
      </c>
    </row>
  </sheetData>
  <protectedRanges>
    <protectedRange sqref="B14 D15:D17 D19:D20 D22 D24:D26" name="Range1"/>
    <protectedRange sqref="D10:D13 F9:F28" name="Range1_1"/>
  </protectedRanges>
  <mergeCells count="10">
    <mergeCell ref="A1:D1"/>
    <mergeCell ref="A2:D2"/>
    <mergeCell ref="A3:D3"/>
    <mergeCell ref="A4:D4"/>
    <mergeCell ref="A5:D5"/>
    <mergeCell ref="A7:A8"/>
    <mergeCell ref="B7:B8"/>
    <mergeCell ref="C7:D7"/>
    <mergeCell ref="A32:B32"/>
    <mergeCell ref="A6:D6"/>
  </mergeCells>
  <pageMargins left="0.9055118110236221" right="0.70866141732283472" top="0.74803149606299213" bottom="0.74803149606299213" header="0.31496062992125984" footer="0.31496062992125984"/>
  <pageSetup paperSize="9" fitToHeight="0" orientation="portrait" r:id="rId1"/>
  <headerFooter>
    <oddFooter>&amp;L&amp;Z&amp;F&amp;R&amp;N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Button4_Click">
                <anchor moveWithCells="1" sizeWithCells="1">
                  <from>
                    <xdr:col>6</xdr:col>
                    <xdr:colOff>323850</xdr:colOff>
                    <xdr:row>0</xdr:row>
                    <xdr:rowOff>171450</xdr:rowOff>
                  </from>
                  <to>
                    <xdr:col>7</xdr:col>
                    <xdr:colOff>552450</xdr:colOff>
                    <xdr:row>3</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0">
    <tabColor rgb="FF006600"/>
    <pageSetUpPr fitToPage="1"/>
  </sheetPr>
  <dimension ref="A1:BH35"/>
  <sheetViews>
    <sheetView showGridLines="0" view="pageBreakPreview" zoomScaleSheetLayoutView="100" workbookViewId="0">
      <selection activeCell="E12" sqref="E12:AN20"/>
    </sheetView>
  </sheetViews>
  <sheetFormatPr defaultRowHeight="18.75" customHeight="1"/>
  <cols>
    <col min="1" max="1" width="3.7109375" customWidth="1"/>
    <col min="2" max="2" width="2.7109375" style="53" customWidth="1"/>
    <col min="3" max="8" width="2.28515625" customWidth="1"/>
    <col min="9" max="9" width="1.28515625" customWidth="1"/>
    <col min="10" max="11" width="2.7109375" customWidth="1"/>
    <col min="12" max="16" width="2.28515625" customWidth="1"/>
    <col min="17" max="17" width="4.42578125" customWidth="1"/>
    <col min="18"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0" width="2.28515625" customWidth="1"/>
    <col min="41" max="46" width="2" customWidth="1"/>
    <col min="48" max="48" width="11.42578125" customWidth="1"/>
    <col min="49" max="49" width="11.7109375" customWidth="1"/>
  </cols>
  <sheetData>
    <row r="1" spans="1:51" ht="30.75" customHeight="1">
      <c r="A1" s="1871" t="s">
        <v>0</v>
      </c>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t="str">
        <f>+'Data Input'!D2</f>
        <v>wmw×iMÄ kvLv, bvivqYMÄ</v>
      </c>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t="str">
        <f>+'Data Input'!D3</f>
        <v>Mobile: 01730-708739</v>
      </c>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356" t="str">
        <f>+'Data Input'!D4</f>
        <v>mgrsiddhirgonj@krishibank.org.bd</v>
      </c>
      <c r="B4" s="1356"/>
      <c r="C4" s="1356"/>
      <c r="D4" s="1356"/>
      <c r="E4" s="1356"/>
      <c r="F4" s="1356"/>
      <c r="G4" s="1356"/>
      <c r="H4" s="1356"/>
      <c r="I4" s="1356"/>
      <c r="J4" s="1356"/>
      <c r="K4" s="1356"/>
      <c r="L4" s="1356"/>
      <c r="M4" s="1356"/>
      <c r="N4" s="1356"/>
      <c r="O4" s="1356"/>
      <c r="P4" s="1356"/>
      <c r="Q4" s="1356"/>
      <c r="R4" s="1356"/>
      <c r="S4" s="1356"/>
      <c r="T4" s="1356"/>
      <c r="U4" s="1356"/>
      <c r="V4" s="1356"/>
      <c r="W4" s="1356"/>
      <c r="X4" s="1356"/>
      <c r="Y4" s="1356"/>
      <c r="Z4" s="1356"/>
      <c r="AA4" s="1356"/>
      <c r="AB4" s="1356"/>
      <c r="AC4" s="1356"/>
      <c r="AD4" s="1356"/>
      <c r="AE4" s="1356"/>
      <c r="AF4" s="1356"/>
      <c r="AG4" s="1356"/>
      <c r="AH4" s="1356"/>
      <c r="AI4" s="1356"/>
      <c r="AJ4" s="1356"/>
      <c r="AK4" s="1356"/>
      <c r="AL4" s="1356"/>
      <c r="AM4" s="1356"/>
      <c r="AN4" s="1356"/>
      <c r="AO4" s="1356"/>
      <c r="AP4" s="1356"/>
      <c r="AQ4" s="1356"/>
      <c r="AR4" s="1356"/>
      <c r="AS4" s="1356"/>
      <c r="AT4" s="1356"/>
      <c r="AY4" s="160"/>
    </row>
    <row r="5" spans="1:51" s="68" customFormat="1" ht="16.5" customHeight="1">
      <c r="A5" s="1872" t="str">
        <f>"   "&amp;'Data Input'!B5&amp;""&amp;'Data Input'!D5</f>
        <v xml:space="preserve">   FY †KBm bs64(wmGgGmGgB)/2024-25 </v>
      </c>
      <c r="B5" s="1873"/>
      <c r="C5" s="1873"/>
      <c r="D5" s="1873"/>
      <c r="E5" s="1873"/>
      <c r="F5" s="1873"/>
      <c r="G5" s="1873"/>
      <c r="H5" s="1873"/>
      <c r="I5" s="1873"/>
      <c r="J5" s="1873"/>
      <c r="K5" s="1873"/>
      <c r="L5" s="1873"/>
      <c r="M5" s="1873"/>
      <c r="N5" s="1873"/>
      <c r="O5" s="1873"/>
      <c r="P5" s="1873"/>
      <c r="Q5" s="1873"/>
      <c r="R5" s="1873"/>
      <c r="S5" s="1873"/>
      <c r="T5" s="1873"/>
      <c r="U5" s="1873"/>
      <c r="V5" s="1873"/>
      <c r="W5" s="1873"/>
      <c r="X5" s="1873"/>
      <c r="Y5" s="1873"/>
      <c r="Z5" s="1873"/>
      <c r="AA5" s="1873"/>
      <c r="AB5" s="1873"/>
      <c r="AC5" s="1873"/>
      <c r="AD5" s="1873"/>
      <c r="AE5" s="1873"/>
      <c r="AF5" s="135"/>
      <c r="AG5" s="133"/>
      <c r="AH5" s="133"/>
      <c r="AI5" s="135"/>
      <c r="AJ5" s="135"/>
      <c r="AK5" s="135"/>
      <c r="AL5" s="910"/>
      <c r="AM5" s="910"/>
      <c r="AN5" s="910"/>
      <c r="AO5" s="1874"/>
      <c r="AP5" s="1874"/>
      <c r="AQ5" s="1874"/>
      <c r="AR5" s="1874"/>
      <c r="AS5" s="1874"/>
      <c r="AT5" s="136"/>
    </row>
    <row r="6" spans="1:51" s="23" customFormat="1" ht="9" customHeight="1">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6.5" customHeight="1">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G8" s="52"/>
      <c r="AH8" s="52"/>
      <c r="AL8" s="43"/>
      <c r="AM8" s="43"/>
      <c r="AN8" s="43"/>
      <c r="AO8" s="55"/>
      <c r="AP8" s="55"/>
      <c r="AQ8" s="55"/>
      <c r="AR8" s="55"/>
      <c r="AS8" s="55"/>
      <c r="AT8" s="44"/>
    </row>
    <row r="9" spans="1:51" s="23" customFormat="1" ht="27.75" customHeight="1">
      <c r="A9" s="1868" t="s">
        <v>490</v>
      </c>
      <c r="B9" s="1868"/>
      <c r="C9" s="1868"/>
      <c r="D9" s="1868"/>
      <c r="E9" s="1868"/>
      <c r="F9" s="1868"/>
      <c r="G9" s="1868"/>
      <c r="H9" s="1868"/>
      <c r="I9" s="1868"/>
      <c r="J9" s="1868"/>
      <c r="K9" s="1868"/>
      <c r="L9" s="1868"/>
      <c r="M9" s="1868"/>
      <c r="N9" s="1868"/>
      <c r="O9" s="1868"/>
      <c r="P9" s="1868"/>
      <c r="Q9" s="1868"/>
      <c r="R9" s="1868"/>
      <c r="S9" s="1868"/>
      <c r="T9" s="1868"/>
      <c r="U9" s="1868"/>
      <c r="V9" s="1868"/>
      <c r="W9" s="1868"/>
      <c r="X9" s="1868"/>
      <c r="Y9" s="1868"/>
      <c r="Z9" s="1868"/>
      <c r="AA9" s="1868"/>
      <c r="AB9" s="1868"/>
      <c r="AC9" s="1868"/>
      <c r="AD9" s="1868"/>
      <c r="AE9" s="1868"/>
      <c r="AF9" s="1868"/>
      <c r="AG9" s="1868"/>
      <c r="AH9" s="1868"/>
      <c r="AI9" s="1868"/>
      <c r="AJ9" s="1868"/>
      <c r="AK9" s="1868"/>
      <c r="AL9" s="1868"/>
      <c r="AM9" s="1868"/>
      <c r="AN9" s="1868"/>
      <c r="AO9" s="1868"/>
      <c r="AP9" s="1868"/>
      <c r="AQ9" s="1868"/>
      <c r="AR9" s="1868"/>
      <c r="AS9" s="1868"/>
      <c r="AT9" s="1868"/>
    </row>
    <row r="10" spans="1:51" s="23" customFormat="1" ht="16.5" customHeight="1">
      <c r="A10" s="12"/>
      <c r="B10" s="12"/>
      <c r="C10" s="12"/>
      <c r="D10" s="12"/>
      <c r="E10" s="12"/>
      <c r="F10" s="12"/>
      <c r="G10" s="12"/>
      <c r="H10" s="12"/>
      <c r="I10" s="12"/>
      <c r="J10" s="12"/>
      <c r="K10" s="12"/>
      <c r="L10" s="12"/>
      <c r="M10" s="12"/>
      <c r="N10" s="12"/>
      <c r="O10" s="12" t="s">
        <v>491</v>
      </c>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G11" s="52"/>
      <c r="AH11" s="52"/>
      <c r="AL11" s="43"/>
      <c r="AM11" s="43"/>
      <c r="AN11" s="43"/>
      <c r="AO11" s="55"/>
      <c r="AP11" s="55"/>
      <c r="AQ11" s="55"/>
      <c r="AR11" s="55"/>
      <c r="AS11" s="55"/>
      <c r="AT11" s="44"/>
    </row>
    <row r="12" spans="1:51" s="23" customFormat="1" ht="16.5" customHeight="1">
      <c r="A12" s="12"/>
      <c r="B12" s="12"/>
      <c r="C12" s="12"/>
      <c r="D12" s="12"/>
      <c r="E12" s="2013" t="str">
        <f>"GB g‡g© cÖZ¨qb Kiv hv‡”Q †h, "&amp;'Data Input'!D5&amp;",  Ò"&amp;'Data Input'!D8&amp;"Ó Gi Av‡e`b`bKvix "&amp;'Data Input'!D12&amp;", wcZv/¯^vgxi bvgt "&amp;'Data Input'!D13&amp;", gvZvi bvgt "&amp;'Data Input'!D14&amp;", wVKvbvt "&amp;+'Data Input'!D17&amp;", Dc‡Rjvt "&amp;'Data Input'!D22&amp;", ‡Rjvt "&amp;'Data Input'!D23&amp;" KZ©„K F‡Yi wecix‡Z cÖ`vbK…Z cÖ¯ÍvweZ RvgvbwZ cÖ¯ÍvweZ eÜKx m¤úwË, evsjv‡`k  K…wl e¨vsK cÖavb Kvh©vjq XvKv, †µwWU wefvM-1 Gi 19/12/2018  Bs Zvwi‡Li cwiKíbv I cwiPvjb cwicÎ bs -28/2018 Gi Aby‡”Q` bs- 6(L) †gvZv‡eK m¤¢ve¨ SzuwKgy³|"</f>
        <v>GB g‡g© cÖZ¨qb Kiv hv‡”Q †h, 64(wmGgGmGgB)/2024-25 ,  Ò‡gmvm© mvbd¬vIqvi †UBjvm© GÛ †dweªK&amp;ªÓ Gi Av‡e`b`bKvix ‡gvt Rwb, wcZv/¯^vgxi bvgt g„Z †gvt Bw`ªm Avjx, gvZvi bvgt gvmvt Avgexqv LvZzb, wVKvbvt `vcv B`ªvKcyi, dZzjøv, bvivqYMÄ, Dc‡Rjvt bvivqYMÄ m`i, ‡Rjvt bvivqYMÄ KZ©„K F‡Yi wecix‡Z cÖ`vbK…Z cÖ¯ÍvweZ RvgvbwZ cÖ¯ÍvweZ eÜKx m¤úwË, evsjv‡`k  K…wl e¨vsK cÖavb Kvh©vjq XvKv, †µwWU wefvM-1 Gi 19/12/2018  Bs Zvwi‡Li cwiKíbv I cwiPvjb cwicÎ bs -28/2018 Gi Aby‡”Q` bs- 6(L) †gvZv‡eK m¤¢ve¨ SzuwKgy³|</v>
      </c>
      <c r="F12" s="2013"/>
      <c r="G12" s="2013"/>
      <c r="H12" s="2013"/>
      <c r="I12" s="2013"/>
      <c r="J12" s="2013"/>
      <c r="K12" s="2013"/>
      <c r="L12" s="2013"/>
      <c r="M12" s="2013"/>
      <c r="N12" s="2013"/>
      <c r="O12" s="2013"/>
      <c r="P12" s="2013"/>
      <c r="Q12" s="2013"/>
      <c r="R12" s="2013"/>
      <c r="S12" s="2013"/>
      <c r="T12" s="2013"/>
      <c r="U12" s="2013"/>
      <c r="V12" s="2013"/>
      <c r="W12" s="2013"/>
      <c r="X12" s="2013"/>
      <c r="Y12" s="2013"/>
      <c r="Z12" s="2013"/>
      <c r="AA12" s="2013"/>
      <c r="AB12" s="2013"/>
      <c r="AC12" s="2013"/>
      <c r="AD12" s="2013"/>
      <c r="AE12" s="2013"/>
      <c r="AF12" s="2013"/>
      <c r="AG12" s="2013"/>
      <c r="AH12" s="2013"/>
      <c r="AI12" s="2013"/>
      <c r="AJ12" s="2013"/>
      <c r="AK12" s="2013"/>
      <c r="AL12" s="2013"/>
      <c r="AM12" s="2013"/>
      <c r="AN12" s="2013"/>
      <c r="AO12" s="55"/>
      <c r="AP12" s="55"/>
      <c r="AQ12" s="55"/>
      <c r="AR12" s="55"/>
      <c r="AS12" s="55"/>
      <c r="AT12" s="44"/>
    </row>
    <row r="13" spans="1:51" s="145" customFormat="1" ht="16.5" customHeight="1">
      <c r="A13" s="93"/>
      <c r="B13" s="93"/>
      <c r="C13" s="93"/>
      <c r="D13" s="93"/>
      <c r="E13" s="2013"/>
      <c r="F13" s="2013"/>
      <c r="G13" s="2013"/>
      <c r="H13" s="2013"/>
      <c r="I13" s="2013"/>
      <c r="J13" s="2013"/>
      <c r="K13" s="2013"/>
      <c r="L13" s="2013"/>
      <c r="M13" s="2013"/>
      <c r="N13" s="2013"/>
      <c r="O13" s="2013"/>
      <c r="P13" s="2013"/>
      <c r="Q13" s="2013"/>
      <c r="R13" s="2013"/>
      <c r="S13" s="2013"/>
      <c r="T13" s="2013"/>
      <c r="U13" s="2013"/>
      <c r="V13" s="2013"/>
      <c r="W13" s="2013"/>
      <c r="X13" s="2013"/>
      <c r="Y13" s="2013"/>
      <c r="Z13" s="2013"/>
      <c r="AA13" s="2013"/>
      <c r="AB13" s="2013"/>
      <c r="AC13" s="2013"/>
      <c r="AD13" s="2013"/>
      <c r="AE13" s="2013"/>
      <c r="AF13" s="2013"/>
      <c r="AG13" s="2013"/>
      <c r="AH13" s="2013"/>
      <c r="AI13" s="2013"/>
      <c r="AJ13" s="2013"/>
      <c r="AK13" s="2013"/>
      <c r="AL13" s="2013"/>
      <c r="AM13" s="2013"/>
      <c r="AN13" s="2013"/>
      <c r="AO13" s="143"/>
      <c r="AP13" s="143"/>
      <c r="AQ13" s="143"/>
      <c r="AR13" s="143"/>
      <c r="AS13" s="143"/>
      <c r="AT13" s="144"/>
    </row>
    <row r="14" spans="1:51" s="145" customFormat="1" ht="16.5" customHeight="1">
      <c r="B14" s="146"/>
      <c r="C14" s="146"/>
      <c r="D14" s="146"/>
      <c r="E14" s="2013"/>
      <c r="F14" s="2013"/>
      <c r="G14" s="2013"/>
      <c r="H14" s="2013"/>
      <c r="I14" s="2013"/>
      <c r="J14" s="2013"/>
      <c r="K14" s="2013"/>
      <c r="L14" s="2013"/>
      <c r="M14" s="2013"/>
      <c r="N14" s="2013"/>
      <c r="O14" s="2013"/>
      <c r="P14" s="2013"/>
      <c r="Q14" s="2013"/>
      <c r="R14" s="2013"/>
      <c r="S14" s="2013"/>
      <c r="T14" s="2013"/>
      <c r="U14" s="2013"/>
      <c r="V14" s="2013"/>
      <c r="W14" s="2013"/>
      <c r="X14" s="2013"/>
      <c r="Y14" s="2013"/>
      <c r="Z14" s="2013"/>
      <c r="AA14" s="2013"/>
      <c r="AB14" s="2013"/>
      <c r="AC14" s="2013"/>
      <c r="AD14" s="2013"/>
      <c r="AE14" s="2013"/>
      <c r="AF14" s="2013"/>
      <c r="AG14" s="2013"/>
      <c r="AH14" s="2013"/>
      <c r="AI14" s="2013"/>
      <c r="AJ14" s="2013"/>
      <c r="AK14" s="2013"/>
      <c r="AL14" s="2013"/>
      <c r="AM14" s="2013"/>
      <c r="AN14" s="2013"/>
      <c r="AO14" s="146"/>
      <c r="AP14" s="146"/>
      <c r="AQ14" s="146"/>
      <c r="AR14" s="146"/>
      <c r="AS14" s="146"/>
      <c r="AT14" s="146"/>
    </row>
    <row r="15" spans="1:51" s="145" customFormat="1" ht="16.5" customHeight="1">
      <c r="A15" s="146"/>
      <c r="B15" s="146"/>
      <c r="C15" s="146"/>
      <c r="D15" s="146"/>
      <c r="E15" s="2013"/>
      <c r="F15" s="2013"/>
      <c r="G15" s="2013"/>
      <c r="H15" s="2013"/>
      <c r="I15" s="2013"/>
      <c r="J15" s="2013"/>
      <c r="K15" s="2013"/>
      <c r="L15" s="2013"/>
      <c r="M15" s="2013"/>
      <c r="N15" s="2013"/>
      <c r="O15" s="2013"/>
      <c r="P15" s="2013"/>
      <c r="Q15" s="2013"/>
      <c r="R15" s="2013"/>
      <c r="S15" s="2013"/>
      <c r="T15" s="2013"/>
      <c r="U15" s="2013"/>
      <c r="V15" s="2013"/>
      <c r="W15" s="2013"/>
      <c r="X15" s="2013"/>
      <c r="Y15" s="2013"/>
      <c r="Z15" s="2013"/>
      <c r="AA15" s="2013"/>
      <c r="AB15" s="2013"/>
      <c r="AC15" s="2013"/>
      <c r="AD15" s="2013"/>
      <c r="AE15" s="2013"/>
      <c r="AF15" s="2013"/>
      <c r="AG15" s="2013"/>
      <c r="AH15" s="2013"/>
      <c r="AI15" s="2013"/>
      <c r="AJ15" s="2013"/>
      <c r="AK15" s="2013"/>
      <c r="AL15" s="2013"/>
      <c r="AM15" s="2013"/>
      <c r="AN15" s="2013"/>
      <c r="AO15" s="146"/>
      <c r="AP15" s="146"/>
      <c r="AQ15" s="146"/>
      <c r="AR15" s="146"/>
      <c r="AS15" s="146"/>
      <c r="AT15" s="146"/>
    </row>
    <row r="16" spans="1:51" s="23" customFormat="1" ht="16.5" customHeight="1">
      <c r="A16" s="24"/>
      <c r="B16" s="24"/>
      <c r="C16" s="24"/>
      <c r="D16" s="24"/>
      <c r="E16" s="2013"/>
      <c r="F16" s="2013"/>
      <c r="G16" s="2013"/>
      <c r="H16" s="2013"/>
      <c r="I16" s="2013"/>
      <c r="J16" s="2013"/>
      <c r="K16" s="2013"/>
      <c r="L16" s="2013"/>
      <c r="M16" s="2013"/>
      <c r="N16" s="2013"/>
      <c r="O16" s="2013"/>
      <c r="P16" s="2013"/>
      <c r="Q16" s="2013"/>
      <c r="R16" s="2013"/>
      <c r="S16" s="2013"/>
      <c r="T16" s="2013"/>
      <c r="U16" s="2013"/>
      <c r="V16" s="2013"/>
      <c r="W16" s="2013"/>
      <c r="X16" s="2013"/>
      <c r="Y16" s="2013"/>
      <c r="Z16" s="2013"/>
      <c r="AA16" s="2013"/>
      <c r="AB16" s="2013"/>
      <c r="AC16" s="2013"/>
      <c r="AD16" s="2013"/>
      <c r="AE16" s="2013"/>
      <c r="AF16" s="2013"/>
      <c r="AG16" s="2013"/>
      <c r="AH16" s="2013"/>
      <c r="AI16" s="2013"/>
      <c r="AJ16" s="2013"/>
      <c r="AK16" s="2013"/>
      <c r="AL16" s="2013"/>
      <c r="AM16" s="2013"/>
      <c r="AN16" s="2013"/>
      <c r="AO16" s="24"/>
      <c r="AP16" s="24"/>
      <c r="AQ16" s="24"/>
      <c r="AR16" s="24"/>
      <c r="AS16" s="24"/>
      <c r="AT16" s="24"/>
    </row>
    <row r="17" spans="1:60" s="23" customFormat="1" ht="16.5" customHeight="1">
      <c r="A17" s="12"/>
      <c r="B17" s="12"/>
      <c r="C17" s="12"/>
      <c r="D17" s="12"/>
      <c r="E17" s="2013"/>
      <c r="F17" s="2013"/>
      <c r="G17" s="2013"/>
      <c r="H17" s="2013"/>
      <c r="I17" s="2013"/>
      <c r="J17" s="2013"/>
      <c r="K17" s="2013"/>
      <c r="L17" s="2013"/>
      <c r="M17" s="2013"/>
      <c r="N17" s="2013"/>
      <c r="O17" s="2013"/>
      <c r="P17" s="2013"/>
      <c r="Q17" s="2013"/>
      <c r="R17" s="2013"/>
      <c r="S17" s="2013"/>
      <c r="T17" s="2013"/>
      <c r="U17" s="2013"/>
      <c r="V17" s="2013"/>
      <c r="W17" s="2013"/>
      <c r="X17" s="2013"/>
      <c r="Y17" s="2013"/>
      <c r="Z17" s="2013"/>
      <c r="AA17" s="2013"/>
      <c r="AB17" s="2013"/>
      <c r="AC17" s="2013"/>
      <c r="AD17" s="2013"/>
      <c r="AE17" s="2013"/>
      <c r="AF17" s="2013"/>
      <c r="AG17" s="2013"/>
      <c r="AH17" s="2013"/>
      <c r="AI17" s="2013"/>
      <c r="AJ17" s="2013"/>
      <c r="AK17" s="2013"/>
      <c r="AL17" s="2013"/>
      <c r="AM17" s="2013"/>
      <c r="AN17" s="2013"/>
      <c r="AO17" s="55"/>
      <c r="AP17" s="55"/>
      <c r="AQ17" s="55"/>
      <c r="AR17" s="55"/>
      <c r="AS17" s="55"/>
      <c r="AT17" s="44"/>
    </row>
    <row r="18" spans="1:60" s="23" customFormat="1" ht="16.5" customHeight="1">
      <c r="A18" s="12"/>
      <c r="B18" s="12"/>
      <c r="C18" s="12"/>
      <c r="D18" s="12"/>
      <c r="E18" s="2013"/>
      <c r="F18" s="2013"/>
      <c r="G18" s="2013"/>
      <c r="H18" s="2013"/>
      <c r="I18" s="2013"/>
      <c r="J18" s="2013"/>
      <c r="K18" s="2013"/>
      <c r="L18" s="2013"/>
      <c r="M18" s="2013"/>
      <c r="N18" s="2013"/>
      <c r="O18" s="2013"/>
      <c r="P18" s="2013"/>
      <c r="Q18" s="2013"/>
      <c r="R18" s="2013"/>
      <c r="S18" s="2013"/>
      <c r="T18" s="2013"/>
      <c r="U18" s="2013"/>
      <c r="V18" s="2013"/>
      <c r="W18" s="2013"/>
      <c r="X18" s="2013"/>
      <c r="Y18" s="2013"/>
      <c r="Z18" s="2013"/>
      <c r="AA18" s="2013"/>
      <c r="AB18" s="2013"/>
      <c r="AC18" s="2013"/>
      <c r="AD18" s="2013"/>
      <c r="AE18" s="2013"/>
      <c r="AF18" s="2013"/>
      <c r="AG18" s="2013"/>
      <c r="AH18" s="2013"/>
      <c r="AI18" s="2013"/>
      <c r="AJ18" s="2013"/>
      <c r="AK18" s="2013"/>
      <c r="AL18" s="2013"/>
      <c r="AM18" s="2013"/>
      <c r="AN18" s="2013"/>
      <c r="AO18" s="55"/>
      <c r="AP18" s="55"/>
      <c r="AQ18" s="55"/>
      <c r="AR18" s="55"/>
      <c r="AS18" s="55"/>
      <c r="AT18" s="44"/>
    </row>
    <row r="19" spans="1:60" s="23" customFormat="1" ht="16.5" customHeight="1">
      <c r="A19" s="12"/>
      <c r="B19" s="12"/>
      <c r="C19" s="12"/>
      <c r="D19" s="12"/>
      <c r="E19" s="2013"/>
      <c r="F19" s="2013"/>
      <c r="G19" s="2013"/>
      <c r="H19" s="2013"/>
      <c r="I19" s="2013"/>
      <c r="J19" s="2013"/>
      <c r="K19" s="2013"/>
      <c r="L19" s="2013"/>
      <c r="M19" s="2013"/>
      <c r="N19" s="2013"/>
      <c r="O19" s="2013"/>
      <c r="P19" s="2013"/>
      <c r="Q19" s="2013"/>
      <c r="R19" s="2013"/>
      <c r="S19" s="2013"/>
      <c r="T19" s="2013"/>
      <c r="U19" s="2013"/>
      <c r="V19" s="2013"/>
      <c r="W19" s="2013"/>
      <c r="X19" s="2013"/>
      <c r="Y19" s="2013"/>
      <c r="Z19" s="2013"/>
      <c r="AA19" s="2013"/>
      <c r="AB19" s="2013"/>
      <c r="AC19" s="2013"/>
      <c r="AD19" s="2013"/>
      <c r="AE19" s="2013"/>
      <c r="AF19" s="2013"/>
      <c r="AG19" s="2013"/>
      <c r="AH19" s="2013"/>
      <c r="AI19" s="2013"/>
      <c r="AJ19" s="2013"/>
      <c r="AK19" s="2013"/>
      <c r="AL19" s="2013"/>
      <c r="AM19" s="2013"/>
      <c r="AN19" s="2013"/>
      <c r="AO19" s="55"/>
      <c r="AP19" s="55"/>
      <c r="AQ19" s="55"/>
      <c r="AR19" s="55"/>
      <c r="AS19" s="55"/>
      <c r="AT19" s="44"/>
    </row>
    <row r="20" spans="1:60" s="23" customFormat="1" ht="78" customHeight="1">
      <c r="A20" s="12"/>
      <c r="B20" s="12"/>
      <c r="C20" s="12"/>
      <c r="D20" s="12"/>
      <c r="E20" s="2013"/>
      <c r="F20" s="2013"/>
      <c r="G20" s="2013"/>
      <c r="H20" s="2013"/>
      <c r="I20" s="2013"/>
      <c r="J20" s="2013"/>
      <c r="K20" s="2013"/>
      <c r="L20" s="2013"/>
      <c r="M20" s="2013"/>
      <c r="N20" s="2013"/>
      <c r="O20" s="2013"/>
      <c r="P20" s="2013"/>
      <c r="Q20" s="2013"/>
      <c r="R20" s="2013"/>
      <c r="S20" s="2013"/>
      <c r="T20" s="2013"/>
      <c r="U20" s="2013"/>
      <c r="V20" s="2013"/>
      <c r="W20" s="2013"/>
      <c r="X20" s="2013"/>
      <c r="Y20" s="2013"/>
      <c r="Z20" s="2013"/>
      <c r="AA20" s="2013"/>
      <c r="AB20" s="2013"/>
      <c r="AC20" s="2013"/>
      <c r="AD20" s="2013"/>
      <c r="AE20" s="2013"/>
      <c r="AF20" s="2013"/>
      <c r="AG20" s="2013"/>
      <c r="AH20" s="2013"/>
      <c r="AI20" s="2013"/>
      <c r="AJ20" s="2013"/>
      <c r="AK20" s="2013"/>
      <c r="AL20" s="2013"/>
      <c r="AM20" s="2013"/>
      <c r="AN20" s="2013"/>
      <c r="AO20" s="55"/>
      <c r="AP20" s="55"/>
      <c r="AQ20" s="55"/>
      <c r="AR20" s="55"/>
      <c r="AS20" s="55"/>
      <c r="AT20" s="44"/>
    </row>
    <row r="21" spans="1:60" s="68" customFormat="1" ht="43.5" customHeight="1">
      <c r="A21" s="66"/>
      <c r="B21" s="66"/>
      <c r="C21" s="66"/>
      <c r="D21" s="66"/>
      <c r="E21" s="66"/>
      <c r="F21" s="66"/>
      <c r="G21" s="66"/>
      <c r="H21" s="66"/>
      <c r="I21" s="66"/>
      <c r="J21" s="66"/>
      <c r="K21" s="66"/>
      <c r="L21" s="66"/>
      <c r="M21" s="66"/>
      <c r="N21" s="66"/>
      <c r="O21" s="66"/>
      <c r="P21" s="66"/>
      <c r="Q21" s="66"/>
      <c r="R21" s="66"/>
      <c r="S21" s="66"/>
      <c r="T21" s="66"/>
      <c r="U21" s="66"/>
      <c r="V21" s="66"/>
      <c r="W21" s="66"/>
      <c r="X21" s="66"/>
      <c r="Y21" s="66"/>
      <c r="Z21" s="66"/>
      <c r="AA21" s="66"/>
      <c r="AB21" s="66"/>
      <c r="AC21" s="66"/>
      <c r="AD21" s="66"/>
      <c r="AE21" s="66"/>
      <c r="AG21" s="24"/>
      <c r="AH21" s="24"/>
      <c r="AL21" s="2"/>
      <c r="AM21" s="2"/>
      <c r="AN21" s="2"/>
      <c r="AO21" s="138"/>
      <c r="AP21" s="138"/>
      <c r="AQ21" s="138"/>
      <c r="AR21" s="138"/>
      <c r="AS21" s="138"/>
      <c r="AT21" s="139"/>
    </row>
    <row r="22" spans="1:60" s="68" customFormat="1" ht="43.5" customHeight="1">
      <c r="A22" s="1870" t="s">
        <v>168</v>
      </c>
      <c r="B22" s="1870"/>
      <c r="C22" s="1870"/>
      <c r="D22" s="1870"/>
      <c r="E22" s="1870"/>
      <c r="F22" s="1870"/>
      <c r="G22" s="1870"/>
      <c r="H22" s="1870"/>
      <c r="I22" s="1870"/>
      <c r="J22" s="1870"/>
      <c r="K22" s="1870"/>
      <c r="L22" s="1870"/>
      <c r="M22" s="1870"/>
      <c r="N22" s="1870"/>
      <c r="O22" s="1870"/>
      <c r="P22" s="1870"/>
      <c r="Q22" s="1870"/>
      <c r="R22" s="1870"/>
      <c r="S22" s="1870"/>
      <c r="T22" s="1870"/>
      <c r="U22" s="1870"/>
      <c r="V22" s="1870"/>
      <c r="W22" s="1870"/>
      <c r="X22" s="1870"/>
      <c r="Y22" s="1870"/>
      <c r="Z22" s="1870"/>
      <c r="AA22" s="1870"/>
      <c r="AB22" s="1870"/>
      <c r="AC22" s="1870"/>
      <c r="AD22" s="1870"/>
      <c r="AE22" s="1870"/>
      <c r="AF22" s="1870"/>
      <c r="AG22" s="1870"/>
      <c r="AH22" s="1870"/>
      <c r="AI22" s="1870"/>
      <c r="AJ22" s="1870"/>
      <c r="AK22" s="1870"/>
      <c r="AL22" s="1870"/>
      <c r="AM22" s="1870"/>
      <c r="AN22" s="1870"/>
      <c r="AO22" s="1870"/>
      <c r="AP22" s="1870"/>
      <c r="AQ22" s="1870"/>
      <c r="AR22" s="1870"/>
      <c r="AS22" s="1870"/>
      <c r="AT22" s="1870"/>
    </row>
    <row r="23" spans="1:60" s="68" customFormat="1" ht="102.75" customHeight="1">
      <c r="A23" s="66"/>
      <c r="B23" s="66"/>
      <c r="C23" s="66"/>
      <c r="D23" s="66"/>
      <c r="E23" s="66"/>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c r="AE23" s="1870"/>
      <c r="AF23" s="1870"/>
      <c r="AG23" s="1870"/>
      <c r="AH23" s="1870"/>
      <c r="AI23" s="1870"/>
      <c r="AJ23" s="1870"/>
      <c r="AK23" s="1870"/>
      <c r="AL23" s="1870"/>
      <c r="AM23" s="1870"/>
      <c r="AN23" s="1870"/>
      <c r="AO23" s="1870"/>
      <c r="AP23" s="138"/>
      <c r="AQ23" s="138"/>
      <c r="AR23" s="138"/>
      <c r="AS23" s="138"/>
      <c r="AT23" s="139"/>
    </row>
    <row r="24" spans="1:60" s="71" customFormat="1" ht="17.25" customHeight="1">
      <c r="A24" s="2014" t="s">
        <v>534</v>
      </c>
      <c r="B24" s="2014"/>
      <c r="C24" s="2014"/>
      <c r="D24" s="2014"/>
      <c r="E24" s="2014"/>
      <c r="F24" s="2014"/>
      <c r="G24" s="2014"/>
      <c r="H24" s="2014"/>
      <c r="I24" s="2014"/>
      <c r="J24" s="2014"/>
      <c r="K24" s="2014"/>
      <c r="Q24" s="273"/>
      <c r="R24" s="273"/>
      <c r="S24" s="2014" t="s">
        <v>697</v>
      </c>
      <c r="T24" s="2014"/>
      <c r="U24" s="2014"/>
      <c r="V24" s="2014"/>
      <c r="W24" s="2014"/>
      <c r="X24" s="2014"/>
      <c r="Y24" s="2014"/>
      <c r="Z24" s="2014"/>
      <c r="AA24" s="2014"/>
      <c r="AB24" s="2014"/>
      <c r="AC24" s="2014"/>
      <c r="AD24" s="273"/>
      <c r="AE24" s="273"/>
      <c r="AF24" s="273"/>
      <c r="AG24" s="273"/>
      <c r="AH24" s="273"/>
      <c r="AJ24" s="2014" t="s">
        <v>162</v>
      </c>
      <c r="AK24" s="2014"/>
      <c r="AL24" s="2014"/>
      <c r="AM24" s="2014"/>
      <c r="AN24" s="2014"/>
      <c r="AO24" s="2014"/>
      <c r="AP24" s="2014"/>
      <c r="AQ24" s="2014"/>
      <c r="AR24" s="2014"/>
      <c r="AS24" s="2014"/>
      <c r="AT24" s="2014"/>
      <c r="AW24" s="65"/>
      <c r="AX24" s="65"/>
      <c r="AY24" s="65"/>
      <c r="AZ24" s="65"/>
      <c r="BA24" s="65"/>
      <c r="BB24" s="65"/>
      <c r="BC24" s="65"/>
      <c r="BD24" s="65"/>
      <c r="BE24" s="65"/>
      <c r="BF24" s="65"/>
      <c r="BG24" s="65"/>
      <c r="BH24" s="65"/>
    </row>
    <row r="25" spans="1:60" s="71" customFormat="1" ht="17.25" customHeight="1">
      <c r="A25" s="1867" t="s">
        <v>165</v>
      </c>
      <c r="B25" s="1867"/>
      <c r="C25" s="1867"/>
      <c r="D25" s="1867"/>
      <c r="E25" s="1867"/>
      <c r="F25" s="1867"/>
      <c r="G25" s="1867"/>
      <c r="H25" s="1867"/>
      <c r="I25" s="1867"/>
      <c r="J25" s="1867"/>
      <c r="K25" s="1867"/>
      <c r="L25" s="141"/>
      <c r="M25" s="141"/>
      <c r="P25" s="1867" t="s">
        <v>165</v>
      </c>
      <c r="Q25" s="1867"/>
      <c r="R25" s="1867"/>
      <c r="S25" s="1867"/>
      <c r="T25" s="1867"/>
      <c r="U25" s="1867"/>
      <c r="V25" s="1867"/>
      <c r="W25" s="1867"/>
      <c r="X25" s="1867"/>
      <c r="Y25" s="1867"/>
      <c r="Z25" s="1867"/>
      <c r="AA25" s="1867"/>
      <c r="AB25" s="1867"/>
      <c r="AC25" s="1867"/>
      <c r="AD25" s="1867"/>
      <c r="AE25" s="1867"/>
      <c r="AF25" s="1867"/>
      <c r="AG25" s="273"/>
      <c r="AH25" s="273"/>
      <c r="AJ25" s="1867" t="s">
        <v>165</v>
      </c>
      <c r="AK25" s="1867"/>
      <c r="AL25" s="1867"/>
      <c r="AM25" s="1867"/>
      <c r="AN25" s="1867"/>
      <c r="AO25" s="1867"/>
      <c r="AP25" s="1867"/>
      <c r="AQ25" s="1867"/>
      <c r="AR25" s="1867"/>
      <c r="AS25" s="1867"/>
      <c r="AT25" s="1867"/>
      <c r="AW25" s="65"/>
      <c r="AX25" s="65"/>
      <c r="AY25" s="65"/>
      <c r="AZ25" s="65"/>
      <c r="BA25" s="65"/>
      <c r="BB25" s="65"/>
      <c r="BC25" s="65"/>
      <c r="BD25" s="65"/>
      <c r="BE25" s="65"/>
      <c r="BF25" s="65"/>
      <c r="BG25" s="65"/>
      <c r="BH25" s="65"/>
    </row>
    <row r="26" spans="1:60" s="71" customFormat="1" ht="17.25" customHeight="1">
      <c r="A26" s="1867" t="str">
        <f>+'Data Input'!D2</f>
        <v>wmw×iMÄ kvLv, bvivqYMÄ</v>
      </c>
      <c r="B26" s="1867"/>
      <c r="C26" s="1867"/>
      <c r="D26" s="1867"/>
      <c r="E26" s="1867"/>
      <c r="F26" s="1867"/>
      <c r="G26" s="1867"/>
      <c r="H26" s="1867"/>
      <c r="I26" s="1867"/>
      <c r="J26" s="1867"/>
      <c r="K26" s="1867"/>
      <c r="L26" s="141"/>
      <c r="M26" s="141"/>
      <c r="P26" s="1867" t="str">
        <f>+A26</f>
        <v>wmw×iMÄ kvLv, bvivqYMÄ</v>
      </c>
      <c r="Q26" s="1867"/>
      <c r="R26" s="1867"/>
      <c r="S26" s="1867"/>
      <c r="T26" s="1867"/>
      <c r="U26" s="1867"/>
      <c r="V26" s="1867"/>
      <c r="W26" s="1867"/>
      <c r="X26" s="1867"/>
      <c r="Y26" s="1867"/>
      <c r="Z26" s="1867"/>
      <c r="AA26" s="1867"/>
      <c r="AB26" s="1867"/>
      <c r="AC26" s="1867"/>
      <c r="AD26" s="1867"/>
      <c r="AE26" s="1867"/>
      <c r="AF26" s="1867"/>
      <c r="AG26" s="273"/>
      <c r="AH26" s="273"/>
      <c r="AJ26" s="1867" t="str">
        <f>+A2</f>
        <v>wmw×iMÄ kvLv, bvivqYMÄ</v>
      </c>
      <c r="AK26" s="1867"/>
      <c r="AL26" s="1867"/>
      <c r="AM26" s="1867"/>
      <c r="AN26" s="1867"/>
      <c r="AO26" s="1867"/>
      <c r="AP26" s="1867"/>
      <c r="AQ26" s="1867"/>
      <c r="AR26" s="1867"/>
      <c r="AS26" s="1867"/>
      <c r="AT26" s="1867"/>
      <c r="AW26" s="65"/>
      <c r="AX26" s="65"/>
      <c r="AY26" s="65"/>
      <c r="AZ26" s="65"/>
      <c r="BA26" s="65"/>
      <c r="BB26" s="65"/>
      <c r="BC26" s="65"/>
      <c r="BD26" s="65"/>
      <c r="BE26" s="65"/>
      <c r="BF26" s="65"/>
      <c r="BG26" s="65"/>
      <c r="BH26" s="65"/>
    </row>
    <row r="27" spans="1:60" s="1" customFormat="1" ht="17.25" customHeight="1">
      <c r="A27" s="1865" t="s">
        <v>169</v>
      </c>
      <c r="B27" s="1865"/>
      <c r="C27" s="1865"/>
      <c r="D27" s="1865"/>
      <c r="E27" s="1865"/>
      <c r="F27" s="1865"/>
      <c r="G27" s="1865"/>
      <c r="H27" s="1865"/>
      <c r="I27" s="1865"/>
      <c r="J27" s="1865"/>
      <c r="K27" s="1865"/>
      <c r="L27" s="51"/>
      <c r="M27" s="51"/>
      <c r="P27" s="1865" t="s">
        <v>169</v>
      </c>
      <c r="Q27" s="1865"/>
      <c r="R27" s="1865"/>
      <c r="S27" s="1865"/>
      <c r="T27" s="1865"/>
      <c r="U27" s="1865"/>
      <c r="V27" s="1865"/>
      <c r="W27" s="1865"/>
      <c r="X27" s="1865"/>
      <c r="Y27" s="1865"/>
      <c r="Z27" s="1865"/>
      <c r="AA27" s="1865"/>
      <c r="AB27" s="1865"/>
      <c r="AC27" s="1865"/>
      <c r="AD27" s="1865"/>
      <c r="AE27" s="1865"/>
      <c r="AF27" s="1865"/>
      <c r="AG27" s="274"/>
      <c r="AH27" s="274"/>
      <c r="AJ27" s="1865" t="s">
        <v>169</v>
      </c>
      <c r="AK27" s="1865"/>
      <c r="AL27" s="1865"/>
      <c r="AM27" s="1865"/>
      <c r="AN27" s="1865"/>
      <c r="AO27" s="1865"/>
      <c r="AP27" s="1865"/>
      <c r="AQ27" s="1865"/>
      <c r="AR27" s="1865"/>
      <c r="AS27" s="1865"/>
      <c r="AT27" s="1865"/>
      <c r="AW27"/>
      <c r="AX27"/>
      <c r="AY27"/>
      <c r="AZ27"/>
      <c r="BA27" s="60"/>
      <c r="BB27" s="60"/>
      <c r="BC27" s="60"/>
      <c r="BD27" s="60"/>
    </row>
    <row r="28" spans="1:60" s="1" customFormat="1" ht="18.75" customHeight="1">
      <c r="B28" s="54"/>
      <c r="C28" s="39"/>
      <c r="D28" s="39"/>
      <c r="E28" s="39"/>
      <c r="F28" s="51"/>
      <c r="G28" s="51"/>
      <c r="H28" s="51"/>
      <c r="I28" s="51"/>
      <c r="J28" s="51"/>
      <c r="K28" s="51"/>
      <c r="L28" s="51"/>
      <c r="M28" s="51"/>
      <c r="AW28"/>
      <c r="AX28"/>
      <c r="AY28"/>
      <c r="AZ28"/>
      <c r="BA28" s="60"/>
      <c r="BB28" s="60"/>
      <c r="BC28" s="60"/>
      <c r="BD28" s="60"/>
    </row>
    <row r="29" spans="1:60" s="1" customFormat="1" ht="18.75" customHeight="1">
      <c r="B29" s="54"/>
      <c r="C29" s="1866"/>
      <c r="D29" s="1866"/>
      <c r="E29" s="1866"/>
      <c r="F29" s="51"/>
      <c r="G29" s="51"/>
      <c r="H29" s="51"/>
      <c r="I29" s="51"/>
      <c r="J29" s="51"/>
      <c r="K29" s="51"/>
      <c r="L29" s="51"/>
      <c r="M29" s="51"/>
      <c r="AW29"/>
      <c r="AX29"/>
      <c r="AY29"/>
      <c r="AZ29"/>
      <c r="BA29" s="60"/>
      <c r="BB29" s="60"/>
      <c r="BC29" s="60"/>
      <c r="BD29" s="60"/>
    </row>
    <row r="30" spans="1:60" s="1" customFormat="1" ht="18.75" customHeight="1">
      <c r="B30" s="54"/>
      <c r="C30" s="1866"/>
      <c r="D30" s="1866"/>
      <c r="E30" s="1866"/>
      <c r="F30" s="51"/>
      <c r="G30" s="51"/>
      <c r="H30" s="51"/>
      <c r="I30" s="51"/>
      <c r="J30" s="51"/>
      <c r="K30" s="51"/>
      <c r="L30" s="51"/>
      <c r="M30" s="51"/>
      <c r="AW30"/>
      <c r="AX30"/>
      <c r="AY30"/>
      <c r="AZ30"/>
      <c r="BA30" s="60"/>
      <c r="BB30" s="60"/>
      <c r="BC30" s="60"/>
      <c r="BD30" s="60"/>
    </row>
    <row r="31" spans="1:60" s="1" customFormat="1" ht="11.25" customHeight="1">
      <c r="B31" s="54"/>
      <c r="F31" s="51"/>
      <c r="G31" s="51"/>
      <c r="H31" s="51"/>
      <c r="I31" s="51"/>
      <c r="J31" s="51"/>
      <c r="K31" s="51"/>
      <c r="L31" s="51"/>
      <c r="M31" s="51"/>
    </row>
    <row r="32" spans="1:60" s="1" customFormat="1" ht="18.75" customHeight="1">
      <c r="B32" s="54"/>
      <c r="F32" s="51"/>
      <c r="G32" s="51"/>
      <c r="H32" s="51"/>
      <c r="I32" s="51"/>
      <c r="J32" s="51"/>
      <c r="K32" s="51"/>
      <c r="L32" s="51"/>
      <c r="M32" s="51"/>
    </row>
    <row r="33" spans="1:13" s="1" customFormat="1" ht="18.75" customHeight="1">
      <c r="A33" s="30"/>
      <c r="B33" s="53"/>
      <c r="C33" s="51"/>
      <c r="D33" s="51"/>
      <c r="E33" s="51"/>
      <c r="F33" s="51"/>
      <c r="G33" s="51"/>
      <c r="H33" s="51"/>
      <c r="I33" s="51"/>
      <c r="J33" s="51"/>
      <c r="K33" s="51"/>
      <c r="L33" s="51"/>
      <c r="M33" s="51"/>
    </row>
    <row r="34" spans="1:13" s="1" customFormat="1" ht="18.75" customHeight="1">
      <c r="A34" s="30"/>
      <c r="B34" s="53"/>
      <c r="C34" s="51"/>
      <c r="D34" s="51"/>
      <c r="E34" s="51"/>
      <c r="F34" s="51"/>
      <c r="G34" s="51"/>
      <c r="H34" s="51"/>
      <c r="I34" s="51"/>
      <c r="J34" s="51"/>
      <c r="K34" s="51"/>
      <c r="L34" s="51"/>
      <c r="M34" s="51"/>
    </row>
    <row r="35" spans="1:13" s="1" customFormat="1" ht="18.75" customHeight="1">
      <c r="A35" s="30"/>
      <c r="B35" s="53"/>
    </row>
  </sheetData>
  <sheetProtection sheet="1" objects="1" scenarios="1"/>
  <mergeCells count="25">
    <mergeCell ref="A27:K27"/>
    <mergeCell ref="P27:AF27"/>
    <mergeCell ref="AJ27:AT27"/>
    <mergeCell ref="C29:E29"/>
    <mergeCell ref="C30:E30"/>
    <mergeCell ref="A25:K25"/>
    <mergeCell ref="P25:AF25"/>
    <mergeCell ref="AJ25:AT25"/>
    <mergeCell ref="A26:K26"/>
    <mergeCell ref="P26:AF26"/>
    <mergeCell ref="AJ26:AT26"/>
    <mergeCell ref="A9:AT9"/>
    <mergeCell ref="E12:AN20"/>
    <mergeCell ref="A22:AT22"/>
    <mergeCell ref="AE23:AO23"/>
    <mergeCell ref="A24:K24"/>
    <mergeCell ref="S24:AC24"/>
    <mergeCell ref="AJ24:AT24"/>
    <mergeCell ref="A1:AT1"/>
    <mergeCell ref="A2:AT2"/>
    <mergeCell ref="A3:AT3"/>
    <mergeCell ref="A4:AT4"/>
    <mergeCell ref="A5:AE5"/>
    <mergeCell ref="AL5:AN5"/>
    <mergeCell ref="AO5:AS5"/>
  </mergeCells>
  <pageMargins left="0.43307086614173229" right="0.43307086614173229" top="0.94488188976377963" bottom="0.94488188976377963" header="0.31496062992125984" footer="0.31496062992125984"/>
  <pageSetup paperSize="9" scale="91" fitToHeight="0" orientation="portrait" r:id="rId1"/>
  <headerFooter>
    <oddFooter>&amp;LPrepared By Tariqul Islam; &amp;Z&amp;F&amp;R&amp;"SutonnyMJ,Regular"evsjv‡`k K…wl e¨vsK, c„ôv &amp;P &amp;"-,Regular"of&amp;"SutonnyMJ,Regular" &amp;N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6">
    <tabColor rgb="FF006600"/>
  </sheetPr>
  <dimension ref="A1:BH35"/>
  <sheetViews>
    <sheetView showGridLines="0" view="pageBreakPreview" topLeftCell="A20" zoomScaleSheetLayoutView="100" workbookViewId="0">
      <selection activeCell="E12" sqref="E12:AN20"/>
    </sheetView>
  </sheetViews>
  <sheetFormatPr defaultRowHeight="18.75" customHeight="1"/>
  <cols>
    <col min="1" max="1" width="3.7109375" customWidth="1"/>
    <col min="2" max="2" width="4.42578125" style="53" customWidth="1"/>
    <col min="3" max="8" width="2.28515625" customWidth="1"/>
    <col min="9" max="9" width="1.28515625" customWidth="1"/>
    <col min="10" max="11" width="2.7109375" customWidth="1"/>
    <col min="12"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1" width="2.28515625" customWidth="1"/>
    <col min="42" max="42" width="3.140625" customWidth="1"/>
    <col min="43" max="43" width="2.28515625" customWidth="1"/>
    <col min="44" max="44" width="2.140625" customWidth="1"/>
    <col min="45" max="45" width="2.28515625" customWidth="1"/>
    <col min="46" max="46" width="3.140625" customWidth="1"/>
    <col min="48" max="48" width="11.42578125" customWidth="1"/>
    <col min="49" max="49" width="11.7109375" customWidth="1"/>
  </cols>
  <sheetData>
    <row r="1" spans="1:51" ht="30.75" customHeight="1">
      <c r="A1" s="1871" t="s">
        <v>0</v>
      </c>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t="str">
        <f>+'Data Input'!D2</f>
        <v>wmw×iMÄ kvLv, bvivqYMÄ</v>
      </c>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t="str">
        <f>+'Data Input'!D3</f>
        <v>Mobile: 01730-708739</v>
      </c>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356" t="str">
        <f>+'Data Input'!D4</f>
        <v>mgrsiddhirgonj@krishibank.org.bd</v>
      </c>
      <c r="B4" s="1356"/>
      <c r="C4" s="1356"/>
      <c r="D4" s="1356"/>
      <c r="E4" s="1356"/>
      <c r="F4" s="1356"/>
      <c r="G4" s="1356"/>
      <c r="H4" s="1356"/>
      <c r="I4" s="1356"/>
      <c r="J4" s="1356"/>
      <c r="K4" s="1356"/>
      <c r="L4" s="1356"/>
      <c r="M4" s="1356"/>
      <c r="N4" s="1356"/>
      <c r="O4" s="1356"/>
      <c r="P4" s="1356"/>
      <c r="Q4" s="1356"/>
      <c r="R4" s="1356"/>
      <c r="S4" s="1356"/>
      <c r="T4" s="1356"/>
      <c r="U4" s="1356"/>
      <c r="V4" s="1356"/>
      <c r="W4" s="1356"/>
      <c r="X4" s="1356"/>
      <c r="Y4" s="1356"/>
      <c r="Z4" s="1356"/>
      <c r="AA4" s="1356"/>
      <c r="AB4" s="1356"/>
      <c r="AC4" s="1356"/>
      <c r="AD4" s="1356"/>
      <c r="AE4" s="1356"/>
      <c r="AF4" s="1356"/>
      <c r="AG4" s="1356"/>
      <c r="AH4" s="1356"/>
      <c r="AI4" s="1356"/>
      <c r="AJ4" s="1356"/>
      <c r="AK4" s="1356"/>
      <c r="AL4" s="1356"/>
      <c r="AM4" s="1356"/>
      <c r="AN4" s="1356"/>
      <c r="AO4" s="1356"/>
      <c r="AP4" s="1356"/>
      <c r="AQ4" s="1356"/>
      <c r="AR4" s="1356"/>
      <c r="AS4" s="1356"/>
      <c r="AT4" s="1356"/>
      <c r="AY4" s="160"/>
    </row>
    <row r="5" spans="1:51" s="68" customFormat="1" ht="16.5" customHeight="1">
      <c r="A5" s="1872" t="str">
        <f>"   "&amp;'Data Input'!B5&amp;""&amp;'Data Input'!D5</f>
        <v xml:space="preserve">   FY †KBm bs64(wmGgGmGgB)/2024-25 </v>
      </c>
      <c r="B5" s="1873"/>
      <c r="C5" s="1873"/>
      <c r="D5" s="1873"/>
      <c r="E5" s="1873"/>
      <c r="F5" s="1873"/>
      <c r="G5" s="1873"/>
      <c r="H5" s="1873"/>
      <c r="I5" s="1873"/>
      <c r="J5" s="1873"/>
      <c r="K5" s="1873"/>
      <c r="L5" s="1873"/>
      <c r="M5" s="1873"/>
      <c r="N5" s="1873"/>
      <c r="O5" s="1873"/>
      <c r="P5" s="1873"/>
      <c r="Q5" s="1873"/>
      <c r="R5" s="1873"/>
      <c r="S5" s="1873"/>
      <c r="T5" s="1873"/>
      <c r="U5" s="1873"/>
      <c r="V5" s="1873"/>
      <c r="W5" s="1873"/>
      <c r="X5" s="1873"/>
      <c r="Y5" s="1873"/>
      <c r="Z5" s="1873"/>
      <c r="AA5" s="1873"/>
      <c r="AB5" s="1873"/>
      <c r="AC5" s="1873"/>
      <c r="AD5" s="1873"/>
      <c r="AE5" s="1873"/>
      <c r="AF5" s="135"/>
      <c r="AG5" s="133"/>
      <c r="AH5" s="133"/>
      <c r="AI5" s="135"/>
      <c r="AJ5" s="135"/>
      <c r="AK5" s="135"/>
      <c r="AL5" s="910"/>
      <c r="AM5" s="910"/>
      <c r="AN5" s="910"/>
      <c r="AO5" s="1874"/>
      <c r="AP5" s="1874"/>
      <c r="AQ5" s="1874"/>
      <c r="AR5" s="1874"/>
      <c r="AS5" s="1874"/>
      <c r="AT5" s="136"/>
    </row>
    <row r="6" spans="1:51" s="23" customFormat="1" ht="9" customHeight="1">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6.5" customHeight="1">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G8" s="52"/>
      <c r="AH8" s="52"/>
      <c r="AL8" s="43"/>
      <c r="AM8" s="43"/>
      <c r="AN8" s="43"/>
      <c r="AO8" s="55"/>
      <c r="AP8" s="55"/>
      <c r="AQ8" s="55"/>
      <c r="AR8" s="55"/>
      <c r="AS8" s="55"/>
      <c r="AT8" s="44"/>
    </row>
    <row r="9" spans="1:51" s="23" customFormat="1" ht="27.75" customHeight="1">
      <c r="A9" s="1868" t="s">
        <v>490</v>
      </c>
      <c r="B9" s="1868"/>
      <c r="C9" s="1868"/>
      <c r="D9" s="1868"/>
      <c r="E9" s="1868"/>
      <c r="F9" s="1868"/>
      <c r="G9" s="1868"/>
      <c r="H9" s="1868"/>
      <c r="I9" s="1868"/>
      <c r="J9" s="1868"/>
      <c r="K9" s="1868"/>
      <c r="L9" s="1868"/>
      <c r="M9" s="1868"/>
      <c r="N9" s="1868"/>
      <c r="O9" s="1868"/>
      <c r="P9" s="1868"/>
      <c r="Q9" s="1868"/>
      <c r="R9" s="1868"/>
      <c r="S9" s="1868"/>
      <c r="T9" s="1868"/>
      <c r="U9" s="1868"/>
      <c r="V9" s="1868"/>
      <c r="W9" s="1868"/>
      <c r="X9" s="1868"/>
      <c r="Y9" s="1868"/>
      <c r="Z9" s="1868"/>
      <c r="AA9" s="1868"/>
      <c r="AB9" s="1868"/>
      <c r="AC9" s="1868"/>
      <c r="AD9" s="1868"/>
      <c r="AE9" s="1868"/>
      <c r="AF9" s="1868"/>
      <c r="AG9" s="1868"/>
      <c r="AH9" s="1868"/>
      <c r="AI9" s="1868"/>
      <c r="AJ9" s="1868"/>
      <c r="AK9" s="1868"/>
      <c r="AL9" s="1868"/>
      <c r="AM9" s="1868"/>
      <c r="AN9" s="1868"/>
      <c r="AO9" s="1868"/>
      <c r="AP9" s="1868"/>
      <c r="AQ9" s="1868"/>
      <c r="AR9" s="1868"/>
      <c r="AS9" s="1868"/>
      <c r="AT9" s="1868"/>
    </row>
    <row r="10" spans="1:51" s="23" customFormat="1" ht="16.5" customHeight="1">
      <c r="A10" s="12"/>
      <c r="B10" s="12"/>
      <c r="C10" s="12"/>
      <c r="D10" s="12"/>
      <c r="E10" s="12"/>
      <c r="F10" s="12"/>
      <c r="G10" s="12"/>
      <c r="H10" s="12"/>
      <c r="I10" s="12"/>
      <c r="J10" s="12"/>
      <c r="K10" s="12"/>
      <c r="L10" s="12"/>
      <c r="M10" s="12"/>
      <c r="N10" s="12"/>
      <c r="O10" s="12" t="s">
        <v>491</v>
      </c>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G11" s="52"/>
      <c r="AH11" s="52"/>
      <c r="AL11" s="43"/>
      <c r="AM11" s="43"/>
      <c r="AN11" s="43"/>
      <c r="AO11" s="55"/>
      <c r="AP11" s="55"/>
      <c r="AQ11" s="55"/>
      <c r="AR11" s="55"/>
      <c r="AS11" s="55"/>
      <c r="AT11" s="44"/>
    </row>
    <row r="12" spans="1:51" s="23" customFormat="1" ht="16.5" customHeight="1">
      <c r="A12" s="12"/>
      <c r="B12" s="12"/>
      <c r="C12" s="12"/>
      <c r="D12" s="12"/>
      <c r="E12" s="2013" t="str">
        <f>"GB g‡g© cÖZ¨qb Kiv hv‡”Q †h, "&amp;'Data Input'!D5&amp;",  Ò"&amp;'Data Input'!D8&amp;"Ó bvgxq  FY  †Km Gi Av‡e`b`bKvix "&amp;'Data Input'!D12&amp;", wcZv/¯^vgxi bvgt "&amp;'Data Input'!D13&amp;", gvZvi bvgt "&amp;'Data Input'!D14&amp;", wVKvbvt "&amp;+'Data Input'!D17&amp;", Dc‡Rjvt "&amp;'Data Input'!D22&amp;", ‡Rjvt "&amp;'Data Input'!D23&amp;" KZ©„K F‡Yi wecix‡Z cÖ`vbK…Z m¤úwË mg~‡n evsjv‡`k e¨vsK cwi`k©b, Af¨šÍixY wbixÿv I evwYwR¨K wbixÿvq ‡Kvb AvcwË bvB|"</f>
        <v>GB g‡g© cÖZ¨qb Kiv hv‡”Q †h, 64(wmGgGmGgB)/2024-25 ,  Ò‡gmvm© mvbd¬vIqvi †UBjvm© GÛ †dweªK&amp;ªÓ bvgxq  FY  †Km Gi Av‡e`b`bKvix ‡gvt Rwb, wcZv/¯^vgxi bvgt g„Z †gvt Bw`ªm Avjx, gvZvi bvgt gvmvt Avgexqv LvZzb, wVKvbvt `vcv B`ªvKcyi, dZzjøv, bvivqYMÄ, Dc‡Rjvt bvivqYMÄ m`i, ‡Rjvt bvivqYMÄ KZ©„K F‡Yi wecix‡Z cÖ`vbK…Z m¤úwË mg~‡n evsjv‡`k e¨vsK cwi`k©b, Af¨šÍixY wbixÿv I evwYwR¨K wbixÿvq ‡Kvb AvcwË bvB|</v>
      </c>
      <c r="F12" s="2013"/>
      <c r="G12" s="2013"/>
      <c r="H12" s="2013"/>
      <c r="I12" s="2013"/>
      <c r="J12" s="2013"/>
      <c r="K12" s="2013"/>
      <c r="L12" s="2013"/>
      <c r="M12" s="2013"/>
      <c r="N12" s="2013"/>
      <c r="O12" s="2013"/>
      <c r="P12" s="2013"/>
      <c r="Q12" s="2013"/>
      <c r="R12" s="2013"/>
      <c r="S12" s="2013"/>
      <c r="T12" s="2013"/>
      <c r="U12" s="2013"/>
      <c r="V12" s="2013"/>
      <c r="W12" s="2013"/>
      <c r="X12" s="2013"/>
      <c r="Y12" s="2013"/>
      <c r="Z12" s="2013"/>
      <c r="AA12" s="2013"/>
      <c r="AB12" s="2013"/>
      <c r="AC12" s="2013"/>
      <c r="AD12" s="2013"/>
      <c r="AE12" s="2013"/>
      <c r="AF12" s="2013"/>
      <c r="AG12" s="2013"/>
      <c r="AH12" s="2013"/>
      <c r="AI12" s="2013"/>
      <c r="AJ12" s="2013"/>
      <c r="AK12" s="2013"/>
      <c r="AL12" s="2013"/>
      <c r="AM12" s="2013"/>
      <c r="AN12" s="2013"/>
      <c r="AO12" s="55"/>
      <c r="AP12" s="55"/>
      <c r="AQ12" s="55"/>
      <c r="AR12" s="55"/>
      <c r="AS12" s="55"/>
      <c r="AT12" s="44"/>
    </row>
    <row r="13" spans="1:51" s="145" customFormat="1" ht="16.5" customHeight="1">
      <c r="A13" s="93"/>
      <c r="B13" s="93"/>
      <c r="C13" s="93"/>
      <c r="D13" s="93"/>
      <c r="E13" s="2013"/>
      <c r="F13" s="2013"/>
      <c r="G13" s="2013"/>
      <c r="H13" s="2013"/>
      <c r="I13" s="2013"/>
      <c r="J13" s="2013"/>
      <c r="K13" s="2013"/>
      <c r="L13" s="2013"/>
      <c r="M13" s="2013"/>
      <c r="N13" s="2013"/>
      <c r="O13" s="2013"/>
      <c r="P13" s="2013"/>
      <c r="Q13" s="2013"/>
      <c r="R13" s="2013"/>
      <c r="S13" s="2013"/>
      <c r="T13" s="2013"/>
      <c r="U13" s="2013"/>
      <c r="V13" s="2013"/>
      <c r="W13" s="2013"/>
      <c r="X13" s="2013"/>
      <c r="Y13" s="2013"/>
      <c r="Z13" s="2013"/>
      <c r="AA13" s="2013"/>
      <c r="AB13" s="2013"/>
      <c r="AC13" s="2013"/>
      <c r="AD13" s="2013"/>
      <c r="AE13" s="2013"/>
      <c r="AF13" s="2013"/>
      <c r="AG13" s="2013"/>
      <c r="AH13" s="2013"/>
      <c r="AI13" s="2013"/>
      <c r="AJ13" s="2013"/>
      <c r="AK13" s="2013"/>
      <c r="AL13" s="2013"/>
      <c r="AM13" s="2013"/>
      <c r="AN13" s="2013"/>
      <c r="AO13" s="143"/>
      <c r="AP13" s="143"/>
      <c r="AQ13" s="143"/>
      <c r="AR13" s="143"/>
      <c r="AS13" s="143"/>
      <c r="AT13" s="144"/>
    </row>
    <row r="14" spans="1:51" s="145" customFormat="1" ht="16.5" customHeight="1">
      <c r="B14" s="146"/>
      <c r="C14" s="146"/>
      <c r="D14" s="146"/>
      <c r="E14" s="2013"/>
      <c r="F14" s="2013"/>
      <c r="G14" s="2013"/>
      <c r="H14" s="2013"/>
      <c r="I14" s="2013"/>
      <c r="J14" s="2013"/>
      <c r="K14" s="2013"/>
      <c r="L14" s="2013"/>
      <c r="M14" s="2013"/>
      <c r="N14" s="2013"/>
      <c r="O14" s="2013"/>
      <c r="P14" s="2013"/>
      <c r="Q14" s="2013"/>
      <c r="R14" s="2013"/>
      <c r="S14" s="2013"/>
      <c r="T14" s="2013"/>
      <c r="U14" s="2013"/>
      <c r="V14" s="2013"/>
      <c r="W14" s="2013"/>
      <c r="X14" s="2013"/>
      <c r="Y14" s="2013"/>
      <c r="Z14" s="2013"/>
      <c r="AA14" s="2013"/>
      <c r="AB14" s="2013"/>
      <c r="AC14" s="2013"/>
      <c r="AD14" s="2013"/>
      <c r="AE14" s="2013"/>
      <c r="AF14" s="2013"/>
      <c r="AG14" s="2013"/>
      <c r="AH14" s="2013"/>
      <c r="AI14" s="2013"/>
      <c r="AJ14" s="2013"/>
      <c r="AK14" s="2013"/>
      <c r="AL14" s="2013"/>
      <c r="AM14" s="2013"/>
      <c r="AN14" s="2013"/>
      <c r="AO14" s="146"/>
      <c r="AP14" s="146"/>
      <c r="AQ14" s="146"/>
      <c r="AR14" s="146"/>
      <c r="AS14" s="146"/>
      <c r="AT14" s="146"/>
    </row>
    <row r="15" spans="1:51" s="145" customFormat="1" ht="27" customHeight="1">
      <c r="A15" s="146"/>
      <c r="B15" s="146"/>
      <c r="C15" s="146"/>
      <c r="D15" s="146"/>
      <c r="E15" s="2013"/>
      <c r="F15" s="2013"/>
      <c r="G15" s="2013"/>
      <c r="H15" s="2013"/>
      <c r="I15" s="2013"/>
      <c r="J15" s="2013"/>
      <c r="K15" s="2013"/>
      <c r="L15" s="2013"/>
      <c r="M15" s="2013"/>
      <c r="N15" s="2013"/>
      <c r="O15" s="2013"/>
      <c r="P15" s="2013"/>
      <c r="Q15" s="2013"/>
      <c r="R15" s="2013"/>
      <c r="S15" s="2013"/>
      <c r="T15" s="2013"/>
      <c r="U15" s="2013"/>
      <c r="V15" s="2013"/>
      <c r="W15" s="2013"/>
      <c r="X15" s="2013"/>
      <c r="Y15" s="2013"/>
      <c r="Z15" s="2013"/>
      <c r="AA15" s="2013"/>
      <c r="AB15" s="2013"/>
      <c r="AC15" s="2013"/>
      <c r="AD15" s="2013"/>
      <c r="AE15" s="2013"/>
      <c r="AF15" s="2013"/>
      <c r="AG15" s="2013"/>
      <c r="AH15" s="2013"/>
      <c r="AI15" s="2013"/>
      <c r="AJ15" s="2013"/>
      <c r="AK15" s="2013"/>
      <c r="AL15" s="2013"/>
      <c r="AM15" s="2013"/>
      <c r="AN15" s="2013"/>
      <c r="AO15" s="146"/>
      <c r="AP15" s="146"/>
      <c r="AQ15" s="146"/>
      <c r="AR15" s="146"/>
      <c r="AS15" s="146"/>
      <c r="AT15" s="146"/>
    </row>
    <row r="16" spans="1:51" s="23" customFormat="1" ht="16.5" customHeight="1">
      <c r="A16" s="24"/>
      <c r="B16" s="24"/>
      <c r="C16" s="24"/>
      <c r="D16" s="24"/>
      <c r="E16" s="2013"/>
      <c r="F16" s="2013"/>
      <c r="G16" s="2013"/>
      <c r="H16" s="2013"/>
      <c r="I16" s="2013"/>
      <c r="J16" s="2013"/>
      <c r="K16" s="2013"/>
      <c r="L16" s="2013"/>
      <c r="M16" s="2013"/>
      <c r="N16" s="2013"/>
      <c r="O16" s="2013"/>
      <c r="P16" s="2013"/>
      <c r="Q16" s="2013"/>
      <c r="R16" s="2013"/>
      <c r="S16" s="2013"/>
      <c r="T16" s="2013"/>
      <c r="U16" s="2013"/>
      <c r="V16" s="2013"/>
      <c r="W16" s="2013"/>
      <c r="X16" s="2013"/>
      <c r="Y16" s="2013"/>
      <c r="Z16" s="2013"/>
      <c r="AA16" s="2013"/>
      <c r="AB16" s="2013"/>
      <c r="AC16" s="2013"/>
      <c r="AD16" s="2013"/>
      <c r="AE16" s="2013"/>
      <c r="AF16" s="2013"/>
      <c r="AG16" s="2013"/>
      <c r="AH16" s="2013"/>
      <c r="AI16" s="2013"/>
      <c r="AJ16" s="2013"/>
      <c r="AK16" s="2013"/>
      <c r="AL16" s="2013"/>
      <c r="AM16" s="2013"/>
      <c r="AN16" s="2013"/>
      <c r="AO16" s="24"/>
      <c r="AP16" s="24"/>
      <c r="AQ16" s="24"/>
      <c r="AR16" s="24"/>
      <c r="AS16" s="24"/>
      <c r="AT16" s="24"/>
    </row>
    <row r="17" spans="1:60" s="23" customFormat="1" ht="16.5" customHeight="1">
      <c r="A17" s="12"/>
      <c r="B17" s="12"/>
      <c r="C17" s="12"/>
      <c r="D17" s="12"/>
      <c r="E17" s="2013"/>
      <c r="F17" s="2013"/>
      <c r="G17" s="2013"/>
      <c r="H17" s="2013"/>
      <c r="I17" s="2013"/>
      <c r="J17" s="2013"/>
      <c r="K17" s="2013"/>
      <c r="L17" s="2013"/>
      <c r="M17" s="2013"/>
      <c r="N17" s="2013"/>
      <c r="O17" s="2013"/>
      <c r="P17" s="2013"/>
      <c r="Q17" s="2013"/>
      <c r="R17" s="2013"/>
      <c r="S17" s="2013"/>
      <c r="T17" s="2013"/>
      <c r="U17" s="2013"/>
      <c r="V17" s="2013"/>
      <c r="W17" s="2013"/>
      <c r="X17" s="2013"/>
      <c r="Y17" s="2013"/>
      <c r="Z17" s="2013"/>
      <c r="AA17" s="2013"/>
      <c r="AB17" s="2013"/>
      <c r="AC17" s="2013"/>
      <c r="AD17" s="2013"/>
      <c r="AE17" s="2013"/>
      <c r="AF17" s="2013"/>
      <c r="AG17" s="2013"/>
      <c r="AH17" s="2013"/>
      <c r="AI17" s="2013"/>
      <c r="AJ17" s="2013"/>
      <c r="AK17" s="2013"/>
      <c r="AL17" s="2013"/>
      <c r="AM17" s="2013"/>
      <c r="AN17" s="2013"/>
      <c r="AO17" s="55"/>
      <c r="AP17" s="55"/>
      <c r="AQ17" s="55"/>
      <c r="AR17" s="55"/>
      <c r="AS17" s="55"/>
      <c r="AT17" s="44"/>
    </row>
    <row r="18" spans="1:60" s="23" customFormat="1" ht="39" customHeight="1">
      <c r="A18" s="12"/>
      <c r="B18" s="12"/>
      <c r="C18" s="12"/>
      <c r="D18" s="12"/>
      <c r="E18" s="2013"/>
      <c r="F18" s="2013"/>
      <c r="G18" s="2013"/>
      <c r="H18" s="2013"/>
      <c r="I18" s="2013"/>
      <c r="J18" s="2013"/>
      <c r="K18" s="2013"/>
      <c r="L18" s="2013"/>
      <c r="M18" s="2013"/>
      <c r="N18" s="2013"/>
      <c r="O18" s="2013"/>
      <c r="P18" s="2013"/>
      <c r="Q18" s="2013"/>
      <c r="R18" s="2013"/>
      <c r="S18" s="2013"/>
      <c r="T18" s="2013"/>
      <c r="U18" s="2013"/>
      <c r="V18" s="2013"/>
      <c r="W18" s="2013"/>
      <c r="X18" s="2013"/>
      <c r="Y18" s="2013"/>
      <c r="Z18" s="2013"/>
      <c r="AA18" s="2013"/>
      <c r="AB18" s="2013"/>
      <c r="AC18" s="2013"/>
      <c r="AD18" s="2013"/>
      <c r="AE18" s="2013"/>
      <c r="AF18" s="2013"/>
      <c r="AG18" s="2013"/>
      <c r="AH18" s="2013"/>
      <c r="AI18" s="2013"/>
      <c r="AJ18" s="2013"/>
      <c r="AK18" s="2013"/>
      <c r="AL18" s="2013"/>
      <c r="AM18" s="2013"/>
      <c r="AN18" s="2013"/>
      <c r="AO18" s="55"/>
      <c r="AP18" s="55"/>
      <c r="AQ18" s="55"/>
      <c r="AR18" s="55"/>
      <c r="AS18" s="55"/>
      <c r="AT18" s="44"/>
    </row>
    <row r="19" spans="1:60" s="23" customFormat="1" ht="16.5" customHeight="1">
      <c r="A19" s="12"/>
      <c r="B19" s="12"/>
      <c r="C19" s="12"/>
      <c r="D19" s="12"/>
      <c r="E19" s="2013"/>
      <c r="F19" s="2013"/>
      <c r="G19" s="2013"/>
      <c r="H19" s="2013"/>
      <c r="I19" s="2013"/>
      <c r="J19" s="2013"/>
      <c r="K19" s="2013"/>
      <c r="L19" s="2013"/>
      <c r="M19" s="2013"/>
      <c r="N19" s="2013"/>
      <c r="O19" s="2013"/>
      <c r="P19" s="2013"/>
      <c r="Q19" s="2013"/>
      <c r="R19" s="2013"/>
      <c r="S19" s="2013"/>
      <c r="T19" s="2013"/>
      <c r="U19" s="2013"/>
      <c r="V19" s="2013"/>
      <c r="W19" s="2013"/>
      <c r="X19" s="2013"/>
      <c r="Y19" s="2013"/>
      <c r="Z19" s="2013"/>
      <c r="AA19" s="2013"/>
      <c r="AB19" s="2013"/>
      <c r="AC19" s="2013"/>
      <c r="AD19" s="2013"/>
      <c r="AE19" s="2013"/>
      <c r="AF19" s="2013"/>
      <c r="AG19" s="2013"/>
      <c r="AH19" s="2013"/>
      <c r="AI19" s="2013"/>
      <c r="AJ19" s="2013"/>
      <c r="AK19" s="2013"/>
      <c r="AL19" s="2013"/>
      <c r="AM19" s="2013"/>
      <c r="AN19" s="2013"/>
      <c r="AO19" s="55"/>
      <c r="AP19" s="55"/>
      <c r="AQ19" s="55"/>
      <c r="AR19" s="55"/>
      <c r="AS19" s="55"/>
      <c r="AT19" s="44"/>
    </row>
    <row r="20" spans="1:60" s="23" customFormat="1" ht="40.5" customHeight="1">
      <c r="A20" s="12"/>
      <c r="B20" s="12"/>
      <c r="C20" s="12"/>
      <c r="D20" s="12"/>
      <c r="E20" s="2013"/>
      <c r="F20" s="2013"/>
      <c r="G20" s="2013"/>
      <c r="H20" s="2013"/>
      <c r="I20" s="2013"/>
      <c r="J20" s="2013"/>
      <c r="K20" s="2013"/>
      <c r="L20" s="2013"/>
      <c r="M20" s="2013"/>
      <c r="N20" s="2013"/>
      <c r="O20" s="2013"/>
      <c r="P20" s="2013"/>
      <c r="Q20" s="2013"/>
      <c r="R20" s="2013"/>
      <c r="S20" s="2013"/>
      <c r="T20" s="2013"/>
      <c r="U20" s="2013"/>
      <c r="V20" s="2013"/>
      <c r="W20" s="2013"/>
      <c r="X20" s="2013"/>
      <c r="Y20" s="2013"/>
      <c r="Z20" s="2013"/>
      <c r="AA20" s="2013"/>
      <c r="AB20" s="2013"/>
      <c r="AC20" s="2013"/>
      <c r="AD20" s="2013"/>
      <c r="AE20" s="2013"/>
      <c r="AF20" s="2013"/>
      <c r="AG20" s="2013"/>
      <c r="AH20" s="2013"/>
      <c r="AI20" s="2013"/>
      <c r="AJ20" s="2013"/>
      <c r="AK20" s="2013"/>
      <c r="AL20" s="2013"/>
      <c r="AM20" s="2013"/>
      <c r="AN20" s="2013"/>
      <c r="AO20" s="55"/>
      <c r="AP20" s="55"/>
      <c r="AQ20" s="55"/>
      <c r="AR20" s="55"/>
      <c r="AS20" s="55"/>
      <c r="AT20" s="44"/>
    </row>
    <row r="21" spans="1:60" s="68" customFormat="1" ht="43.5" customHeight="1">
      <c r="A21" s="66"/>
      <c r="B21" s="66"/>
      <c r="C21" s="66"/>
      <c r="D21" s="66"/>
      <c r="E21" s="66"/>
      <c r="F21" s="66"/>
      <c r="G21" s="66"/>
      <c r="H21" s="66"/>
      <c r="I21" s="66"/>
      <c r="J21" s="66"/>
      <c r="K21" s="66"/>
      <c r="L21" s="66"/>
      <c r="M21" s="66"/>
      <c r="N21" s="66"/>
      <c r="O21" s="66"/>
      <c r="P21" s="66"/>
      <c r="Q21" s="66"/>
      <c r="R21" s="66"/>
      <c r="S21" s="66"/>
      <c r="T21" s="66"/>
      <c r="U21" s="66"/>
      <c r="V21" s="66"/>
      <c r="W21" s="66"/>
      <c r="X21" s="66"/>
      <c r="Y21" s="66"/>
      <c r="Z21" s="66"/>
      <c r="AA21" s="66"/>
      <c r="AB21" s="66"/>
      <c r="AC21" s="66"/>
      <c r="AD21" s="66"/>
      <c r="AE21" s="66"/>
      <c r="AG21" s="24"/>
      <c r="AH21" s="24"/>
      <c r="AL21" s="2"/>
      <c r="AM21" s="2"/>
      <c r="AN21" s="2"/>
      <c r="AO21" s="138"/>
      <c r="AP21" s="138"/>
      <c r="AQ21" s="138"/>
      <c r="AR21" s="138"/>
      <c r="AS21" s="138"/>
      <c r="AT21" s="139"/>
    </row>
    <row r="22" spans="1:60" s="68" customFormat="1" ht="43.5" customHeight="1">
      <c r="A22" s="1870" t="s">
        <v>168</v>
      </c>
      <c r="B22" s="1870"/>
      <c r="C22" s="1870"/>
      <c r="D22" s="1870"/>
      <c r="E22" s="1870"/>
      <c r="F22" s="1870"/>
      <c r="G22" s="1870"/>
      <c r="H22" s="1870"/>
      <c r="I22" s="1870"/>
      <c r="J22" s="1870"/>
      <c r="K22" s="1870"/>
      <c r="L22" s="1870"/>
      <c r="M22" s="1870"/>
      <c r="N22" s="1870"/>
      <c r="O22" s="1870"/>
      <c r="P22" s="1870"/>
      <c r="Q22" s="1870"/>
      <c r="R22" s="1870"/>
      <c r="S22" s="1870"/>
      <c r="T22" s="1870"/>
      <c r="U22" s="1870"/>
      <c r="V22" s="1870"/>
      <c r="W22" s="1870"/>
      <c r="X22" s="1870"/>
      <c r="Y22" s="1870"/>
      <c r="Z22" s="1870"/>
      <c r="AA22" s="1870"/>
      <c r="AB22" s="1870"/>
      <c r="AC22" s="1870"/>
      <c r="AD22" s="1870"/>
      <c r="AE22" s="1870"/>
      <c r="AF22" s="1870"/>
      <c r="AG22" s="1870"/>
      <c r="AH22" s="1870"/>
      <c r="AI22" s="1870"/>
      <c r="AJ22" s="1870"/>
      <c r="AK22" s="1870"/>
      <c r="AL22" s="1870"/>
      <c r="AM22" s="1870"/>
      <c r="AN22" s="1870"/>
      <c r="AO22" s="1870"/>
      <c r="AP22" s="1870"/>
      <c r="AQ22" s="1870"/>
      <c r="AR22" s="1870"/>
      <c r="AS22" s="1870"/>
      <c r="AT22" s="1870"/>
    </row>
    <row r="23" spans="1:60" s="68" customFormat="1" ht="102.75" customHeight="1">
      <c r="A23" s="66"/>
      <c r="B23" s="66"/>
      <c r="C23" s="66"/>
      <c r="D23" s="66"/>
      <c r="E23" s="66"/>
      <c r="F23" s="66"/>
      <c r="G23" s="66"/>
      <c r="H23" s="66"/>
      <c r="I23" s="66"/>
      <c r="J23" s="66"/>
      <c r="K23" s="66"/>
      <c r="L23" s="66"/>
      <c r="M23" s="66"/>
      <c r="N23" s="66"/>
      <c r="O23" s="66"/>
      <c r="P23" s="66"/>
      <c r="Q23" s="66"/>
      <c r="R23" s="66"/>
      <c r="S23" s="66"/>
      <c r="T23" s="66"/>
      <c r="U23" s="66"/>
      <c r="V23" s="66"/>
      <c r="W23" s="66"/>
      <c r="X23" s="66"/>
      <c r="Y23" s="66"/>
      <c r="Z23" s="66"/>
      <c r="AA23" s="66"/>
      <c r="AB23" s="66"/>
      <c r="AC23" s="66"/>
      <c r="AD23" s="66"/>
      <c r="AE23" s="1870"/>
      <c r="AF23" s="1870"/>
      <c r="AG23" s="1870"/>
      <c r="AH23" s="1870"/>
      <c r="AI23" s="1870"/>
      <c r="AJ23" s="1870"/>
      <c r="AK23" s="1870"/>
      <c r="AL23" s="1870"/>
      <c r="AM23" s="1870"/>
      <c r="AN23" s="1870"/>
      <c r="AO23" s="1870"/>
      <c r="AP23" s="138"/>
      <c r="AQ23" s="138"/>
      <c r="AR23" s="138"/>
      <c r="AS23" s="138"/>
      <c r="AT23" s="139"/>
    </row>
    <row r="24" spans="1:60" s="71" customFormat="1" ht="17.25" customHeight="1">
      <c r="A24" s="2014" t="s">
        <v>534</v>
      </c>
      <c r="B24" s="2014"/>
      <c r="C24" s="2014"/>
      <c r="D24" s="2014"/>
      <c r="E24" s="2014"/>
      <c r="F24" s="2014"/>
      <c r="G24" s="2014"/>
      <c r="H24" s="2014"/>
      <c r="I24" s="2014"/>
      <c r="J24" s="2014"/>
      <c r="K24" s="2014"/>
      <c r="Q24" s="273"/>
      <c r="R24" s="273"/>
      <c r="S24" s="2014" t="s">
        <v>697</v>
      </c>
      <c r="T24" s="2014"/>
      <c r="U24" s="2014"/>
      <c r="V24" s="2014"/>
      <c r="W24" s="2014"/>
      <c r="X24" s="2014"/>
      <c r="Y24" s="2014"/>
      <c r="Z24" s="2014"/>
      <c r="AA24" s="2014"/>
      <c r="AB24" s="2014"/>
      <c r="AC24" s="2014"/>
      <c r="AD24" s="273"/>
      <c r="AE24" s="273"/>
      <c r="AF24" s="273"/>
      <c r="AG24" s="273"/>
      <c r="AH24" s="273"/>
      <c r="AJ24" s="2014" t="s">
        <v>162</v>
      </c>
      <c r="AK24" s="2014"/>
      <c r="AL24" s="2014"/>
      <c r="AM24" s="2014"/>
      <c r="AN24" s="2014"/>
      <c r="AO24" s="2014"/>
      <c r="AP24" s="2014"/>
      <c r="AQ24" s="2014"/>
      <c r="AR24" s="2014"/>
      <c r="AS24" s="2014"/>
      <c r="AT24" s="2014"/>
      <c r="AW24" s="65"/>
      <c r="AX24" s="65"/>
      <c r="AY24" s="65"/>
      <c r="AZ24" s="65"/>
      <c r="BA24" s="65"/>
      <c r="BB24" s="65"/>
      <c r="BC24" s="65"/>
      <c r="BD24" s="65"/>
      <c r="BE24" s="65"/>
      <c r="BF24" s="65"/>
      <c r="BG24" s="65"/>
      <c r="BH24" s="65"/>
    </row>
    <row r="25" spans="1:60" s="71" customFormat="1" ht="17.25" customHeight="1">
      <c r="A25" s="1867" t="s">
        <v>165</v>
      </c>
      <c r="B25" s="1867"/>
      <c r="C25" s="1867"/>
      <c r="D25" s="1867"/>
      <c r="E25" s="1867"/>
      <c r="F25" s="1867"/>
      <c r="G25" s="1867"/>
      <c r="H25" s="1867"/>
      <c r="I25" s="1867"/>
      <c r="J25" s="1867"/>
      <c r="K25" s="1867"/>
      <c r="L25" s="141"/>
      <c r="M25" s="141"/>
      <c r="P25" s="1867" t="s">
        <v>165</v>
      </c>
      <c r="Q25" s="1867"/>
      <c r="R25" s="1867"/>
      <c r="S25" s="1867"/>
      <c r="T25" s="1867"/>
      <c r="U25" s="1867"/>
      <c r="V25" s="1867"/>
      <c r="W25" s="1867"/>
      <c r="X25" s="1867"/>
      <c r="Y25" s="1867"/>
      <c r="Z25" s="1867"/>
      <c r="AA25" s="1867"/>
      <c r="AB25" s="1867"/>
      <c r="AC25" s="1867"/>
      <c r="AD25" s="1867"/>
      <c r="AE25" s="1867"/>
      <c r="AF25" s="1867"/>
      <c r="AG25" s="273"/>
      <c r="AH25" s="273"/>
      <c r="AJ25" s="1867" t="s">
        <v>165</v>
      </c>
      <c r="AK25" s="1867"/>
      <c r="AL25" s="1867"/>
      <c r="AM25" s="1867"/>
      <c r="AN25" s="1867"/>
      <c r="AO25" s="1867"/>
      <c r="AP25" s="1867"/>
      <c r="AQ25" s="1867"/>
      <c r="AR25" s="1867"/>
      <c r="AS25" s="1867"/>
      <c r="AT25" s="1867"/>
      <c r="AW25" s="65"/>
      <c r="AX25" s="65"/>
      <c r="AY25" s="65"/>
      <c r="AZ25" s="65"/>
      <c r="BA25" s="65"/>
      <c r="BB25" s="65"/>
      <c r="BC25" s="65"/>
      <c r="BD25" s="65"/>
      <c r="BE25" s="65"/>
      <c r="BF25" s="65"/>
      <c r="BG25" s="65"/>
      <c r="BH25" s="65"/>
    </row>
    <row r="26" spans="1:60" s="71" customFormat="1" ht="17.25" customHeight="1">
      <c r="A26" s="1867" t="str">
        <f>+'Data Input'!D2</f>
        <v>wmw×iMÄ kvLv, bvivqYMÄ</v>
      </c>
      <c r="B26" s="1867"/>
      <c r="C26" s="1867"/>
      <c r="D26" s="1867"/>
      <c r="E26" s="1867"/>
      <c r="F26" s="1867"/>
      <c r="G26" s="1867"/>
      <c r="H26" s="1867"/>
      <c r="I26" s="1867"/>
      <c r="J26" s="1867"/>
      <c r="K26" s="1867"/>
      <c r="L26" s="141"/>
      <c r="M26" s="141"/>
      <c r="P26" s="1867" t="str">
        <f>+A26</f>
        <v>wmw×iMÄ kvLv, bvivqYMÄ</v>
      </c>
      <c r="Q26" s="1867"/>
      <c r="R26" s="1867"/>
      <c r="S26" s="1867"/>
      <c r="T26" s="1867"/>
      <c r="U26" s="1867"/>
      <c r="V26" s="1867"/>
      <c r="W26" s="1867"/>
      <c r="X26" s="1867"/>
      <c r="Y26" s="1867"/>
      <c r="Z26" s="1867"/>
      <c r="AA26" s="1867"/>
      <c r="AB26" s="1867"/>
      <c r="AC26" s="1867"/>
      <c r="AD26" s="1867"/>
      <c r="AE26" s="1867"/>
      <c r="AF26" s="1867"/>
      <c r="AG26" s="273"/>
      <c r="AH26" s="273"/>
      <c r="AJ26" s="1867" t="str">
        <f>+A2</f>
        <v>wmw×iMÄ kvLv, bvivqYMÄ</v>
      </c>
      <c r="AK26" s="1867"/>
      <c r="AL26" s="1867"/>
      <c r="AM26" s="1867"/>
      <c r="AN26" s="1867"/>
      <c r="AO26" s="1867"/>
      <c r="AP26" s="1867"/>
      <c r="AQ26" s="1867"/>
      <c r="AR26" s="1867"/>
      <c r="AS26" s="1867"/>
      <c r="AT26" s="1867"/>
      <c r="AW26" s="65"/>
      <c r="AX26" s="65"/>
      <c r="AY26" s="65"/>
      <c r="AZ26" s="65"/>
      <c r="BA26" s="65"/>
      <c r="BB26" s="65"/>
      <c r="BC26" s="65"/>
      <c r="BD26" s="65"/>
      <c r="BE26" s="65"/>
      <c r="BF26" s="65"/>
      <c r="BG26" s="65"/>
      <c r="BH26" s="65"/>
    </row>
    <row r="27" spans="1:60" s="1" customFormat="1" ht="17.25" customHeight="1">
      <c r="A27" s="1865" t="s">
        <v>169</v>
      </c>
      <c r="B27" s="1865"/>
      <c r="C27" s="1865"/>
      <c r="D27" s="1865"/>
      <c r="E27" s="1865"/>
      <c r="F27" s="1865"/>
      <c r="G27" s="1865"/>
      <c r="H27" s="1865"/>
      <c r="I27" s="1865"/>
      <c r="J27" s="1865"/>
      <c r="K27" s="1865"/>
      <c r="L27" s="51"/>
      <c r="M27" s="51"/>
      <c r="P27" s="1865" t="s">
        <v>169</v>
      </c>
      <c r="Q27" s="1865"/>
      <c r="R27" s="1865"/>
      <c r="S27" s="1865"/>
      <c r="T27" s="1865"/>
      <c r="U27" s="1865"/>
      <c r="V27" s="1865"/>
      <c r="W27" s="1865"/>
      <c r="X27" s="1865"/>
      <c r="Y27" s="1865"/>
      <c r="Z27" s="1865"/>
      <c r="AA27" s="1865"/>
      <c r="AB27" s="1865"/>
      <c r="AC27" s="1865"/>
      <c r="AD27" s="1865"/>
      <c r="AE27" s="1865"/>
      <c r="AF27" s="1865"/>
      <c r="AG27" s="274"/>
      <c r="AH27" s="274"/>
      <c r="AJ27" s="1865" t="s">
        <v>169</v>
      </c>
      <c r="AK27" s="1865"/>
      <c r="AL27" s="1865"/>
      <c r="AM27" s="1865"/>
      <c r="AN27" s="1865"/>
      <c r="AO27" s="1865"/>
      <c r="AP27" s="1865"/>
      <c r="AQ27" s="1865"/>
      <c r="AR27" s="1865"/>
      <c r="AS27" s="1865"/>
      <c r="AT27" s="1865"/>
      <c r="AW27"/>
      <c r="AX27"/>
      <c r="AY27"/>
      <c r="AZ27"/>
      <c r="BA27" s="60"/>
      <c r="BB27" s="60"/>
      <c r="BC27" s="60"/>
      <c r="BD27" s="60"/>
    </row>
    <row r="28" spans="1:60" s="1" customFormat="1" ht="18.75" customHeight="1">
      <c r="B28" s="54"/>
      <c r="C28" s="39"/>
      <c r="D28" s="39"/>
      <c r="E28" s="39"/>
      <c r="F28" s="51"/>
      <c r="G28" s="51"/>
      <c r="H28" s="51"/>
      <c r="I28" s="51"/>
      <c r="J28" s="51"/>
      <c r="K28" s="51"/>
      <c r="L28" s="51"/>
      <c r="M28" s="51"/>
      <c r="AW28"/>
      <c r="AX28"/>
      <c r="AY28"/>
      <c r="AZ28"/>
      <c r="BA28" s="60"/>
      <c r="BB28" s="60"/>
      <c r="BC28" s="60"/>
      <c r="BD28" s="60"/>
    </row>
    <row r="29" spans="1:60" s="1" customFormat="1" ht="18.75" customHeight="1">
      <c r="B29" s="54"/>
      <c r="C29" s="1866"/>
      <c r="D29" s="1866"/>
      <c r="E29" s="1866"/>
      <c r="F29" s="51"/>
      <c r="G29" s="51"/>
      <c r="H29" s="51"/>
      <c r="I29" s="51"/>
      <c r="J29" s="51"/>
      <c r="K29" s="51"/>
      <c r="L29" s="51"/>
      <c r="M29" s="51"/>
      <c r="AW29"/>
      <c r="AX29"/>
      <c r="AY29"/>
      <c r="AZ29"/>
      <c r="BA29" s="60"/>
      <c r="BB29" s="60"/>
      <c r="BC29" s="60"/>
      <c r="BD29" s="60"/>
    </row>
    <row r="30" spans="1:60" s="1" customFormat="1" ht="18.75" customHeight="1">
      <c r="B30" s="54"/>
      <c r="C30" s="1866"/>
      <c r="D30" s="1866"/>
      <c r="E30" s="1866"/>
      <c r="F30" s="51"/>
      <c r="G30" s="51"/>
      <c r="H30" s="51"/>
      <c r="I30" s="51"/>
      <c r="J30" s="51"/>
      <c r="K30" s="51"/>
      <c r="L30" s="51"/>
      <c r="M30" s="51"/>
      <c r="AW30"/>
      <c r="AX30"/>
      <c r="AY30"/>
      <c r="AZ30"/>
      <c r="BA30" s="60"/>
      <c r="BB30" s="60"/>
      <c r="BC30" s="60"/>
      <c r="BD30" s="60"/>
    </row>
    <row r="31" spans="1:60" s="1" customFormat="1" ht="11.25" customHeight="1">
      <c r="B31" s="54"/>
      <c r="F31" s="51"/>
      <c r="G31" s="51"/>
      <c r="H31" s="51"/>
      <c r="I31" s="51"/>
      <c r="J31" s="51"/>
      <c r="K31" s="51"/>
      <c r="L31" s="51"/>
      <c r="M31" s="51"/>
    </row>
    <row r="32" spans="1:60" s="1" customFormat="1" ht="18.75" customHeight="1">
      <c r="B32" s="54"/>
      <c r="F32" s="51"/>
      <c r="G32" s="51"/>
      <c r="H32" s="51"/>
      <c r="I32" s="51"/>
      <c r="J32" s="51"/>
      <c r="K32" s="51"/>
      <c r="L32" s="51"/>
      <c r="M32" s="51"/>
    </row>
    <row r="33" spans="1:13" s="1" customFormat="1" ht="18.75" customHeight="1">
      <c r="A33" s="30"/>
      <c r="B33" s="53"/>
      <c r="C33" s="51"/>
      <c r="D33" s="51"/>
      <c r="E33" s="51"/>
      <c r="F33" s="51"/>
      <c r="G33" s="51"/>
      <c r="H33" s="51"/>
      <c r="I33" s="51"/>
      <c r="J33" s="51"/>
      <c r="K33" s="51"/>
      <c r="L33" s="51"/>
      <c r="M33" s="51"/>
    </row>
    <row r="34" spans="1:13" s="1" customFormat="1" ht="18.75" customHeight="1">
      <c r="A34" s="30"/>
      <c r="B34" s="53"/>
      <c r="C34" s="51"/>
      <c r="D34" s="51"/>
      <c r="E34" s="51"/>
      <c r="F34" s="51"/>
      <c r="G34" s="51"/>
      <c r="H34" s="51"/>
      <c r="I34" s="51"/>
      <c r="J34" s="51"/>
      <c r="K34" s="51"/>
      <c r="L34" s="51"/>
      <c r="M34" s="51"/>
    </row>
    <row r="35" spans="1:13" s="1" customFormat="1" ht="18.75" customHeight="1">
      <c r="A35" s="30"/>
      <c r="B35" s="53"/>
    </row>
  </sheetData>
  <sheetProtection sheet="1" objects="1" scenarios="1"/>
  <mergeCells count="25">
    <mergeCell ref="A27:K27"/>
    <mergeCell ref="P27:AF27"/>
    <mergeCell ref="AJ27:AT27"/>
    <mergeCell ref="C29:E29"/>
    <mergeCell ref="C30:E30"/>
    <mergeCell ref="A25:K25"/>
    <mergeCell ref="P25:AF25"/>
    <mergeCell ref="AJ25:AT25"/>
    <mergeCell ref="A26:K26"/>
    <mergeCell ref="P26:AF26"/>
    <mergeCell ref="AJ26:AT26"/>
    <mergeCell ref="A9:AT9"/>
    <mergeCell ref="E12:AN20"/>
    <mergeCell ref="A22:AT22"/>
    <mergeCell ref="AE23:AO23"/>
    <mergeCell ref="A24:K24"/>
    <mergeCell ref="S24:AC24"/>
    <mergeCell ref="AJ24:AT24"/>
    <mergeCell ref="A1:AT1"/>
    <mergeCell ref="A2:AT2"/>
    <mergeCell ref="A3:AT3"/>
    <mergeCell ref="A4:AT4"/>
    <mergeCell ref="A5:AE5"/>
    <mergeCell ref="AL5:AN5"/>
    <mergeCell ref="AO5:AS5"/>
  </mergeCells>
  <pageMargins left="0.43307086614173229" right="0.43307086614173229" top="0.94488188976377963" bottom="0.94488188976377963" header="0.31496062992125984" footer="0.31496062992125984"/>
  <pageSetup paperSize="9" scale="85" orientation="portrait" r:id="rId1"/>
  <headerFooter>
    <oddFooter>&amp;LPrepared By Tariqul Islam; &amp;Z&amp;F&amp;R&amp;"SutonnyMJ,Regular"evsjv‡`k K…wl e¨vsK, c„ôv &amp;P &amp;"-,Regular"of&amp;"SutonnyMJ,Regular" &amp;N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rgb="FF006600"/>
    <pageSetUpPr fitToPage="1"/>
  </sheetPr>
  <dimension ref="A1:BH32"/>
  <sheetViews>
    <sheetView showGridLines="0" view="pageBreakPreview" topLeftCell="A4" zoomScaleSheetLayoutView="100" workbookViewId="0">
      <selection activeCell="E12" sqref="E12:AN15"/>
    </sheetView>
  </sheetViews>
  <sheetFormatPr defaultRowHeight="18.75" customHeight="1"/>
  <cols>
    <col min="1" max="1" width="3.7109375" customWidth="1"/>
    <col min="2" max="2" width="4.42578125" style="53" customWidth="1"/>
    <col min="3" max="8" width="2.28515625" customWidth="1"/>
    <col min="9" max="9" width="1.28515625" customWidth="1"/>
    <col min="10" max="11" width="2.7109375" customWidth="1"/>
    <col min="12"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1" width="2.28515625" customWidth="1"/>
    <col min="42" max="42" width="3.140625" customWidth="1"/>
    <col min="43" max="43" width="2.28515625" customWidth="1"/>
    <col min="44" max="44" width="2.140625" customWidth="1"/>
    <col min="45" max="45" width="1.7109375" customWidth="1"/>
    <col min="46" max="46" width="3.140625" customWidth="1"/>
    <col min="48" max="48" width="11.42578125" customWidth="1"/>
    <col min="49" max="49" width="11.7109375" customWidth="1"/>
    <col min="50" max="51" width="26.85546875" customWidth="1"/>
  </cols>
  <sheetData>
    <row r="1" spans="1:51" ht="30.75" customHeight="1">
      <c r="A1" s="1871" t="s">
        <v>0</v>
      </c>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t="str">
        <f>+'Data Input'!D2</f>
        <v>wmw×iMÄ kvLv, bvivqYMÄ</v>
      </c>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t="str">
        <f>+'Data Input'!D3</f>
        <v>Mobile: 01730-708739</v>
      </c>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356" t="str">
        <f>+'Data Input'!D4</f>
        <v>mgrsiddhirgonj@krishibank.org.bd</v>
      </c>
      <c r="B4" s="1356"/>
      <c r="C4" s="1356"/>
      <c r="D4" s="1356"/>
      <c r="E4" s="1356"/>
      <c r="F4" s="1356"/>
      <c r="G4" s="1356"/>
      <c r="H4" s="1356"/>
      <c r="I4" s="1356"/>
      <c r="J4" s="1356"/>
      <c r="K4" s="1356"/>
      <c r="L4" s="1356"/>
      <c r="M4" s="1356"/>
      <c r="N4" s="1356"/>
      <c r="O4" s="1356"/>
      <c r="P4" s="1356"/>
      <c r="Q4" s="1356"/>
      <c r="R4" s="1356"/>
      <c r="S4" s="1356"/>
      <c r="T4" s="1356"/>
      <c r="U4" s="1356"/>
      <c r="V4" s="1356"/>
      <c r="W4" s="1356"/>
      <c r="X4" s="1356"/>
      <c r="Y4" s="1356"/>
      <c r="Z4" s="1356"/>
      <c r="AA4" s="1356"/>
      <c r="AB4" s="1356"/>
      <c r="AC4" s="1356"/>
      <c r="AD4" s="1356"/>
      <c r="AE4" s="1356"/>
      <c r="AF4" s="1356"/>
      <c r="AG4" s="1356"/>
      <c r="AH4" s="1356"/>
      <c r="AI4" s="1356"/>
      <c r="AJ4" s="1356"/>
      <c r="AK4" s="1356"/>
      <c r="AL4" s="1356"/>
      <c r="AM4" s="1356"/>
      <c r="AN4" s="1356"/>
      <c r="AO4" s="1356"/>
      <c r="AP4" s="1356"/>
      <c r="AQ4" s="1356"/>
      <c r="AR4" s="1356"/>
      <c r="AS4" s="1356"/>
      <c r="AT4" s="1356"/>
      <c r="AY4" s="160"/>
    </row>
    <row r="5" spans="1:51" s="68" customFormat="1" ht="16.5" customHeight="1">
      <c r="A5" s="1872" t="str">
        <f>"   "&amp;'Data Input'!B5&amp;""&amp;'Data Input'!D5</f>
        <v xml:space="preserve">   FY †KBm bs64(wmGgGmGgB)/2024-25 </v>
      </c>
      <c r="B5" s="1873"/>
      <c r="C5" s="1873"/>
      <c r="D5" s="1873"/>
      <c r="E5" s="1873"/>
      <c r="F5" s="1873"/>
      <c r="G5" s="1873"/>
      <c r="H5" s="1873"/>
      <c r="I5" s="1873"/>
      <c r="J5" s="1873"/>
      <c r="K5" s="1873"/>
      <c r="L5" s="1873"/>
      <c r="M5" s="1873"/>
      <c r="N5" s="1873"/>
      <c r="O5" s="1873"/>
      <c r="P5" s="1873"/>
      <c r="Q5" s="1873"/>
      <c r="R5" s="1873"/>
      <c r="S5" s="1873"/>
      <c r="T5" s="1873"/>
      <c r="U5" s="1873"/>
      <c r="V5" s="1873"/>
      <c r="W5" s="1873"/>
      <c r="X5" s="1873"/>
      <c r="Y5" s="1873"/>
      <c r="Z5" s="1873"/>
      <c r="AA5" s="1873"/>
      <c r="AB5" s="1873"/>
      <c r="AC5" s="1873"/>
      <c r="AD5" s="1873"/>
      <c r="AE5" s="1873"/>
      <c r="AF5" s="135"/>
      <c r="AG5" s="133"/>
      <c r="AH5" s="133"/>
      <c r="AI5" s="135"/>
      <c r="AJ5" s="135"/>
      <c r="AK5" s="135"/>
      <c r="AL5" s="910"/>
      <c r="AM5" s="910"/>
      <c r="AN5" s="910"/>
      <c r="AO5" s="1874"/>
      <c r="AP5" s="1874"/>
      <c r="AQ5" s="1874"/>
      <c r="AR5" s="1874"/>
      <c r="AS5" s="1874"/>
      <c r="AT5" s="136"/>
    </row>
    <row r="6" spans="1:51" s="23" customFormat="1" ht="9" customHeight="1">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6.5" customHeight="1">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G8" s="52"/>
      <c r="AH8" s="52"/>
      <c r="AL8" s="43"/>
      <c r="AM8" s="43"/>
      <c r="AN8" s="43"/>
      <c r="AO8" s="55"/>
      <c r="AP8" s="55"/>
      <c r="AQ8" s="55"/>
      <c r="AR8" s="55"/>
      <c r="AS8" s="55"/>
      <c r="AT8" s="44"/>
    </row>
    <row r="9" spans="1:51" s="137" customFormat="1" ht="27.75" customHeight="1">
      <c r="A9" s="1894" t="s">
        <v>490</v>
      </c>
      <c r="B9" s="1894"/>
      <c r="C9" s="1894"/>
      <c r="D9" s="1894"/>
      <c r="E9" s="1894"/>
      <c r="F9" s="1894"/>
      <c r="G9" s="1894"/>
      <c r="H9" s="1894"/>
      <c r="I9" s="1894"/>
      <c r="J9" s="1894"/>
      <c r="K9" s="1894"/>
      <c r="L9" s="1894"/>
      <c r="M9" s="1894"/>
      <c r="N9" s="1894"/>
      <c r="O9" s="1894"/>
      <c r="P9" s="1894"/>
      <c r="Q9" s="1894"/>
      <c r="R9" s="1894"/>
      <c r="S9" s="1894"/>
      <c r="T9" s="1894"/>
      <c r="U9" s="1894"/>
      <c r="V9" s="1894"/>
      <c r="W9" s="1894"/>
      <c r="X9" s="1894"/>
      <c r="Y9" s="1894"/>
      <c r="Z9" s="1894"/>
      <c r="AA9" s="1894"/>
      <c r="AB9" s="1894"/>
      <c r="AC9" s="1894"/>
      <c r="AD9" s="1894"/>
      <c r="AE9" s="1894"/>
      <c r="AF9" s="1894"/>
      <c r="AG9" s="1894"/>
      <c r="AH9" s="1894"/>
      <c r="AI9" s="1894"/>
      <c r="AJ9" s="1894"/>
      <c r="AK9" s="1894"/>
      <c r="AL9" s="1894"/>
      <c r="AM9" s="1894"/>
      <c r="AN9" s="1894"/>
      <c r="AO9" s="1894"/>
      <c r="AP9" s="1894"/>
      <c r="AQ9" s="1894"/>
      <c r="AR9" s="1894"/>
      <c r="AS9" s="1894"/>
      <c r="AT9" s="1894"/>
    </row>
    <row r="10" spans="1:51" s="23" customFormat="1" ht="16.5" customHeight="1">
      <c r="A10" s="12"/>
      <c r="B10" s="12"/>
      <c r="C10" s="12"/>
      <c r="D10" s="12"/>
      <c r="E10" s="12"/>
      <c r="F10" s="12"/>
      <c r="G10" s="12"/>
      <c r="H10" s="12"/>
      <c r="I10" s="12"/>
      <c r="J10" s="12"/>
      <c r="K10" s="12"/>
      <c r="L10" s="12"/>
      <c r="M10" s="12"/>
      <c r="N10" s="12"/>
      <c r="O10" s="12" t="s">
        <v>491</v>
      </c>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G11" s="52"/>
      <c r="AH11" s="52"/>
      <c r="AL11" s="43"/>
      <c r="AM11" s="43"/>
      <c r="AN11" s="43"/>
      <c r="AO11" s="55"/>
      <c r="AP11" s="55"/>
      <c r="AQ11" s="55"/>
      <c r="AR11" s="55"/>
      <c r="AS11" s="55"/>
      <c r="AT11" s="44"/>
    </row>
    <row r="12" spans="1:51" s="23" customFormat="1" ht="16.5" customHeight="1">
      <c r="A12" s="12"/>
      <c r="B12" s="12"/>
      <c r="C12" s="12"/>
      <c r="D12" s="12"/>
      <c r="E12" s="2013" t="str">
        <f>"GB g‡g© cÖZ¨qb Kiv hv‡”Q †h, "&amp;'Data Input'!D5&amp;",  Ò"&amp;'Data Input'!D8&amp;"Ó bvgxq  FY  †Km Gi Av‡e`b`bKvix "&amp;'Data Input'!D12&amp;", wcZv/¯^vgxi bvgt "&amp;'Data Input'!D13&amp;", gvZvi bvgt "&amp;'Data Input'!D14&amp;", wVKvbvt "&amp;+'Data Input'!D17&amp;", Dc‡Rjvt "&amp;'Data Input'!D22&amp;", ‡Rjvt "&amp;'Data Input'!D23&amp;" KZ©„K F‡Yi wecix‡Z cÖ`vbK…Z cÖ¯ÍvweZ RvgvbwZ m¤úwËi gvwjKvbv ¯^Z¡ m¤úK©xZ g~j KvMR cÎ kvLvq FY bw_‡Z bw_f~³ Av‡Q"</f>
        <v>GB g‡g© cÖZ¨qb Kiv hv‡”Q †h, 64(wmGgGmGgB)/2024-25 ,  Ò‡gmvm© mvbd¬vIqvi †UBjvm© GÛ †dweªK&amp;ªÓ bvgxq  FY  †Km Gi Av‡e`b`bKvix ‡gvt Rwb, wcZv/¯^vgxi bvgt g„Z †gvt Bw`ªm Avjx, gvZvi bvgt gvmvt Avgexqv LvZzb, wVKvbvt `vcv B`ªvKcyi, dZzjøv, bvivqYMÄ, Dc‡Rjvt bvivqYMÄ m`i, ‡Rjvt bvivqYMÄ KZ©„K F‡Yi wecix‡Z cÖ`vbK…Z cÖ¯ÍvweZ RvgvbwZ m¤úwËi gvwjKvbv ¯^Z¡ m¤úK©xZ g~j KvMR cÎ kvLvq FY bw_‡Z bw_f~³ Av‡Q</v>
      </c>
      <c r="F12" s="2013"/>
      <c r="G12" s="2013"/>
      <c r="H12" s="2013"/>
      <c r="I12" s="2013"/>
      <c r="J12" s="2013"/>
      <c r="K12" s="2013"/>
      <c r="L12" s="2013"/>
      <c r="M12" s="2013"/>
      <c r="N12" s="2013"/>
      <c r="O12" s="2013"/>
      <c r="P12" s="2013"/>
      <c r="Q12" s="2013"/>
      <c r="R12" s="2013"/>
      <c r="S12" s="2013"/>
      <c r="T12" s="2013"/>
      <c r="U12" s="2013"/>
      <c r="V12" s="2013"/>
      <c r="W12" s="2013"/>
      <c r="X12" s="2013"/>
      <c r="Y12" s="2013"/>
      <c r="Z12" s="2013"/>
      <c r="AA12" s="2013"/>
      <c r="AB12" s="2013"/>
      <c r="AC12" s="2013"/>
      <c r="AD12" s="2013"/>
      <c r="AE12" s="2013"/>
      <c r="AF12" s="2013"/>
      <c r="AG12" s="2013"/>
      <c r="AH12" s="2013"/>
      <c r="AI12" s="2013"/>
      <c r="AJ12" s="2013"/>
      <c r="AK12" s="2013"/>
      <c r="AL12" s="2013"/>
      <c r="AM12" s="2013"/>
      <c r="AN12" s="2013"/>
      <c r="AO12" s="55"/>
      <c r="AP12" s="55"/>
      <c r="AQ12" s="55"/>
      <c r="AR12" s="55"/>
      <c r="AS12" s="55"/>
      <c r="AT12" s="44"/>
    </row>
    <row r="13" spans="1:51" s="23" customFormat="1" ht="60" customHeight="1">
      <c r="A13" s="12"/>
      <c r="B13" s="12"/>
      <c r="C13" s="12"/>
      <c r="D13" s="12"/>
      <c r="E13" s="2013"/>
      <c r="F13" s="2013"/>
      <c r="G13" s="2013"/>
      <c r="H13" s="2013"/>
      <c r="I13" s="2013"/>
      <c r="J13" s="2013"/>
      <c r="K13" s="2013"/>
      <c r="L13" s="2013"/>
      <c r="M13" s="2013"/>
      <c r="N13" s="2013"/>
      <c r="O13" s="2013"/>
      <c r="P13" s="2013"/>
      <c r="Q13" s="2013"/>
      <c r="R13" s="2013"/>
      <c r="S13" s="2013"/>
      <c r="T13" s="2013"/>
      <c r="U13" s="2013"/>
      <c r="V13" s="2013"/>
      <c r="W13" s="2013"/>
      <c r="X13" s="2013"/>
      <c r="Y13" s="2013"/>
      <c r="Z13" s="2013"/>
      <c r="AA13" s="2013"/>
      <c r="AB13" s="2013"/>
      <c r="AC13" s="2013"/>
      <c r="AD13" s="2013"/>
      <c r="AE13" s="2013"/>
      <c r="AF13" s="2013"/>
      <c r="AG13" s="2013"/>
      <c r="AH13" s="2013"/>
      <c r="AI13" s="2013"/>
      <c r="AJ13" s="2013"/>
      <c r="AK13" s="2013"/>
      <c r="AL13" s="2013"/>
      <c r="AM13" s="2013"/>
      <c r="AN13" s="2013"/>
      <c r="AO13" s="55"/>
      <c r="AP13" s="55"/>
      <c r="AQ13" s="55"/>
      <c r="AR13" s="55"/>
      <c r="AS13" s="55"/>
      <c r="AT13" s="44"/>
    </row>
    <row r="14" spans="1:51" s="23" customFormat="1" ht="57.75" customHeight="1">
      <c r="B14" s="24"/>
      <c r="C14" s="24"/>
      <c r="D14" s="24"/>
      <c r="E14" s="2013"/>
      <c r="F14" s="2013"/>
      <c r="G14" s="2013"/>
      <c r="H14" s="2013"/>
      <c r="I14" s="2013"/>
      <c r="J14" s="2013"/>
      <c r="K14" s="2013"/>
      <c r="L14" s="2013"/>
      <c r="M14" s="2013"/>
      <c r="N14" s="2013"/>
      <c r="O14" s="2013"/>
      <c r="P14" s="2013"/>
      <c r="Q14" s="2013"/>
      <c r="R14" s="2013"/>
      <c r="S14" s="2013"/>
      <c r="T14" s="2013"/>
      <c r="U14" s="2013"/>
      <c r="V14" s="2013"/>
      <c r="W14" s="2013"/>
      <c r="X14" s="2013"/>
      <c r="Y14" s="2013"/>
      <c r="Z14" s="2013"/>
      <c r="AA14" s="2013"/>
      <c r="AB14" s="2013"/>
      <c r="AC14" s="2013"/>
      <c r="AD14" s="2013"/>
      <c r="AE14" s="2013"/>
      <c r="AF14" s="2013"/>
      <c r="AG14" s="2013"/>
      <c r="AH14" s="2013"/>
      <c r="AI14" s="2013"/>
      <c r="AJ14" s="2013"/>
      <c r="AK14" s="2013"/>
      <c r="AL14" s="2013"/>
      <c r="AM14" s="2013"/>
      <c r="AN14" s="2013"/>
      <c r="AO14" s="24"/>
      <c r="AP14" s="24"/>
      <c r="AQ14" s="24"/>
      <c r="AR14" s="24"/>
      <c r="AS14" s="24"/>
      <c r="AT14" s="24"/>
    </row>
    <row r="15" spans="1:51" s="23" customFormat="1" ht="57.75" customHeight="1">
      <c r="A15" s="24"/>
      <c r="B15" s="24"/>
      <c r="C15" s="24"/>
      <c r="D15" s="24"/>
      <c r="E15" s="2013"/>
      <c r="F15" s="2013"/>
      <c r="G15" s="2013"/>
      <c r="H15" s="2013"/>
      <c r="I15" s="2013"/>
      <c r="J15" s="2013"/>
      <c r="K15" s="2013"/>
      <c r="L15" s="2013"/>
      <c r="M15" s="2013"/>
      <c r="N15" s="2013"/>
      <c r="O15" s="2013"/>
      <c r="P15" s="2013"/>
      <c r="Q15" s="2013"/>
      <c r="R15" s="2013"/>
      <c r="S15" s="2013"/>
      <c r="T15" s="2013"/>
      <c r="U15" s="2013"/>
      <c r="V15" s="2013"/>
      <c r="W15" s="2013"/>
      <c r="X15" s="2013"/>
      <c r="Y15" s="2013"/>
      <c r="Z15" s="2013"/>
      <c r="AA15" s="2013"/>
      <c r="AB15" s="2013"/>
      <c r="AC15" s="2013"/>
      <c r="AD15" s="2013"/>
      <c r="AE15" s="2013"/>
      <c r="AF15" s="2013"/>
      <c r="AG15" s="2013"/>
      <c r="AH15" s="2013"/>
      <c r="AI15" s="2013"/>
      <c r="AJ15" s="2013"/>
      <c r="AK15" s="2013"/>
      <c r="AL15" s="2013"/>
      <c r="AM15" s="2013"/>
      <c r="AN15" s="2013"/>
      <c r="AO15" s="24"/>
      <c r="AP15" s="24"/>
      <c r="AQ15" s="24"/>
      <c r="AR15" s="24"/>
      <c r="AS15" s="24"/>
      <c r="AT15" s="24"/>
    </row>
    <row r="16" spans="1:51" s="23" customFormat="1" ht="21" customHeight="1">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row>
    <row r="17" spans="1:60" s="23" customFormat="1" ht="16.5" customHeight="1">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G17" s="52"/>
      <c r="AH17" s="52"/>
      <c r="AL17" s="43"/>
      <c r="AM17" s="43"/>
      <c r="AN17" s="43"/>
      <c r="AO17" s="55"/>
      <c r="AP17" s="55"/>
      <c r="AQ17" s="55"/>
      <c r="AR17" s="55"/>
      <c r="AS17" s="55"/>
      <c r="AT17" s="44"/>
      <c r="AX17" s="42"/>
      <c r="AY17" s="161"/>
    </row>
    <row r="18" spans="1:60" s="68" customFormat="1" ht="18.75" customHeight="1">
      <c r="A18" s="66"/>
      <c r="B18" s="66"/>
      <c r="C18" s="66"/>
      <c r="D18" s="66"/>
      <c r="E18" s="66"/>
      <c r="F18" s="66"/>
      <c r="G18" s="66"/>
      <c r="H18" s="66"/>
      <c r="I18" s="66"/>
      <c r="J18" s="66"/>
      <c r="K18" s="66"/>
      <c r="L18" s="66"/>
      <c r="M18" s="66"/>
      <c r="N18" s="66"/>
      <c r="O18" s="66"/>
      <c r="P18" s="66"/>
      <c r="Q18" s="66"/>
      <c r="R18" s="66"/>
      <c r="S18" s="66"/>
      <c r="T18" s="66"/>
      <c r="U18" s="66"/>
      <c r="V18" s="66"/>
      <c r="W18" s="66"/>
      <c r="X18" s="66"/>
      <c r="Y18" s="66"/>
      <c r="Z18" s="66"/>
      <c r="AA18" s="66"/>
      <c r="AB18" s="66"/>
      <c r="AC18" s="66"/>
      <c r="AD18" s="66"/>
      <c r="AE18" s="66"/>
      <c r="AG18" s="24"/>
      <c r="AH18" s="24"/>
      <c r="AL18" s="2"/>
      <c r="AM18" s="2"/>
      <c r="AN18" s="2"/>
      <c r="AO18" s="138"/>
      <c r="AP18" s="138"/>
      <c r="AQ18" s="138"/>
      <c r="AR18" s="138"/>
      <c r="AS18" s="138"/>
      <c r="AT18" s="139"/>
    </row>
    <row r="19" spans="1:60" s="68" customFormat="1" ht="22.5" customHeight="1">
      <c r="A19" s="66"/>
      <c r="B19" s="66"/>
      <c r="C19" s="66"/>
      <c r="D19" s="66"/>
      <c r="E19" s="66"/>
      <c r="F19" s="66"/>
      <c r="G19" s="66"/>
      <c r="H19" s="66"/>
      <c r="I19" s="66"/>
      <c r="J19" s="66"/>
      <c r="K19" s="66"/>
      <c r="L19" s="66"/>
      <c r="M19" s="66"/>
      <c r="N19" s="66"/>
      <c r="O19" s="66"/>
      <c r="P19" s="66"/>
      <c r="Q19" s="66"/>
      <c r="R19" s="66"/>
      <c r="S19" s="66"/>
      <c r="T19" s="66"/>
      <c r="U19" s="66"/>
      <c r="V19" s="66"/>
      <c r="W19" s="66"/>
      <c r="X19" s="66"/>
      <c r="Y19" s="66"/>
      <c r="Z19" s="66"/>
      <c r="AA19" s="66"/>
      <c r="AB19" s="66"/>
      <c r="AC19" s="1870" t="s">
        <v>168</v>
      </c>
      <c r="AD19" s="1870"/>
      <c r="AE19" s="1870"/>
      <c r="AF19" s="1870"/>
      <c r="AG19" s="1870"/>
      <c r="AH19" s="1870"/>
      <c r="AI19" s="1870"/>
      <c r="AJ19" s="1870"/>
      <c r="AK19" s="1870"/>
      <c r="AL19" s="1870"/>
      <c r="AM19" s="1870"/>
      <c r="AN19" s="1870"/>
      <c r="AO19" s="1870"/>
      <c r="AP19" s="1870"/>
      <c r="AQ19" s="138"/>
      <c r="AR19" s="138"/>
      <c r="AS19" s="138"/>
      <c r="AT19" s="139"/>
    </row>
    <row r="20" spans="1:60" s="68" customFormat="1" ht="82.5" customHeight="1">
      <c r="A20" s="66"/>
      <c r="B20" s="66"/>
      <c r="C20" s="66"/>
      <c r="D20" s="66"/>
      <c r="E20" s="66"/>
      <c r="F20" s="66"/>
      <c r="G20" s="66"/>
      <c r="H20" s="66"/>
      <c r="I20" s="66"/>
      <c r="J20" s="66"/>
      <c r="K20" s="66"/>
      <c r="L20" s="66"/>
      <c r="M20" s="66"/>
      <c r="N20" s="66"/>
      <c r="O20" s="66"/>
      <c r="P20" s="66"/>
      <c r="Q20" s="66"/>
      <c r="R20" s="66"/>
      <c r="S20" s="66"/>
      <c r="T20" s="66"/>
      <c r="U20" s="66"/>
      <c r="V20" s="66"/>
      <c r="W20" s="66"/>
      <c r="X20" s="66"/>
      <c r="Y20" s="66"/>
      <c r="Z20" s="66"/>
      <c r="AA20" s="66"/>
      <c r="AB20" s="66"/>
      <c r="AC20" s="66"/>
      <c r="AD20" s="66"/>
      <c r="AE20" s="1870"/>
      <c r="AF20" s="1870"/>
      <c r="AG20" s="1870"/>
      <c r="AH20" s="1870"/>
      <c r="AI20" s="1870"/>
      <c r="AJ20" s="1870"/>
      <c r="AK20" s="1870"/>
      <c r="AL20" s="1870"/>
      <c r="AM20" s="1870"/>
      <c r="AN20" s="1870"/>
      <c r="AO20" s="1870"/>
      <c r="AP20" s="138"/>
      <c r="AQ20" s="138"/>
      <c r="AR20" s="138"/>
      <c r="AS20" s="138"/>
      <c r="AT20" s="139"/>
    </row>
    <row r="21" spans="1:60" s="71" customFormat="1" ht="17.25" customHeight="1">
      <c r="B21" s="140"/>
      <c r="C21" s="2"/>
      <c r="D21" s="2"/>
      <c r="E21" s="2"/>
      <c r="AC21" s="1867" t="s">
        <v>162</v>
      </c>
      <c r="AD21" s="1867"/>
      <c r="AE21" s="1867"/>
      <c r="AF21" s="1867"/>
      <c r="AG21" s="1867"/>
      <c r="AH21" s="1867"/>
      <c r="AI21" s="1867"/>
      <c r="AJ21" s="1867"/>
      <c r="AK21" s="1867"/>
      <c r="AL21" s="1867"/>
      <c r="AM21" s="1867"/>
      <c r="AN21" s="1867"/>
      <c r="AO21" s="1867"/>
      <c r="AP21" s="1867"/>
      <c r="AQ21" s="1867"/>
      <c r="AW21" s="65"/>
      <c r="AX21" s="65"/>
      <c r="AY21" s="65"/>
      <c r="AZ21" s="65"/>
      <c r="BA21" s="65"/>
      <c r="BB21" s="65"/>
      <c r="BC21" s="65"/>
      <c r="BD21" s="65"/>
      <c r="BE21" s="65"/>
      <c r="BF21" s="65"/>
      <c r="BG21" s="65"/>
      <c r="BH21" s="65"/>
    </row>
    <row r="22" spans="1:60" s="71" customFormat="1" ht="17.25" customHeight="1">
      <c r="B22" s="140"/>
      <c r="F22" s="141"/>
      <c r="G22" s="141"/>
      <c r="H22" s="141"/>
      <c r="I22" s="141"/>
      <c r="J22" s="141"/>
      <c r="K22" s="141"/>
      <c r="L22" s="141"/>
      <c r="M22" s="141"/>
      <c r="AC22" s="1867" t="s">
        <v>165</v>
      </c>
      <c r="AD22" s="1867"/>
      <c r="AE22" s="1867"/>
      <c r="AF22" s="1867"/>
      <c r="AG22" s="1867"/>
      <c r="AH22" s="1867"/>
      <c r="AI22" s="1867"/>
      <c r="AJ22" s="1867"/>
      <c r="AK22" s="1867"/>
      <c r="AL22" s="1867"/>
      <c r="AM22" s="1867"/>
      <c r="AN22" s="1867"/>
      <c r="AO22" s="1867"/>
      <c r="AP22" s="1867"/>
      <c r="AQ22" s="1867"/>
      <c r="AW22" s="65"/>
      <c r="AX22" s="65"/>
      <c r="AY22" s="65"/>
      <c r="AZ22" s="65"/>
      <c r="BA22" s="65"/>
      <c r="BB22" s="65"/>
      <c r="BC22" s="65"/>
      <c r="BD22" s="65"/>
      <c r="BE22" s="65"/>
      <c r="BF22" s="65"/>
      <c r="BG22" s="65"/>
      <c r="BH22" s="65"/>
    </row>
    <row r="23" spans="1:60" s="71" customFormat="1" ht="17.25" customHeight="1">
      <c r="B23" s="140"/>
      <c r="C23" s="1055"/>
      <c r="D23" s="1055"/>
      <c r="E23" s="1055"/>
      <c r="F23" s="141"/>
      <c r="G23" s="141"/>
      <c r="H23" s="141"/>
      <c r="I23" s="141"/>
      <c r="J23" s="141"/>
      <c r="K23" s="141"/>
      <c r="L23" s="141"/>
      <c r="M23" s="141"/>
      <c r="AC23" s="1867" t="str">
        <f>+A2</f>
        <v>wmw×iMÄ kvLv, bvivqYMÄ</v>
      </c>
      <c r="AD23" s="1867"/>
      <c r="AE23" s="1867"/>
      <c r="AF23" s="1867"/>
      <c r="AG23" s="1867"/>
      <c r="AH23" s="1867"/>
      <c r="AI23" s="1867"/>
      <c r="AJ23" s="1867"/>
      <c r="AK23" s="1867"/>
      <c r="AL23" s="1867"/>
      <c r="AM23" s="1867"/>
      <c r="AN23" s="1867"/>
      <c r="AO23" s="1867"/>
      <c r="AP23" s="1867"/>
      <c r="AQ23" s="1867"/>
      <c r="AW23" s="65"/>
      <c r="AX23" s="65"/>
      <c r="AY23" s="65"/>
      <c r="AZ23" s="65"/>
      <c r="BA23" s="65"/>
      <c r="BB23" s="65"/>
      <c r="BC23" s="65"/>
      <c r="BD23" s="65"/>
      <c r="BE23" s="65"/>
      <c r="BF23" s="65"/>
      <c r="BG23" s="65"/>
      <c r="BH23" s="65"/>
    </row>
    <row r="24" spans="1:60" s="71" customFormat="1" ht="17.25" customHeight="1">
      <c r="B24" s="140"/>
      <c r="C24" s="64"/>
      <c r="D24" s="64"/>
      <c r="E24" s="64"/>
      <c r="F24" s="141"/>
      <c r="G24" s="141"/>
      <c r="H24" s="141"/>
      <c r="I24" s="141"/>
      <c r="J24" s="141"/>
      <c r="K24" s="141"/>
      <c r="L24" s="141"/>
      <c r="M24" s="141"/>
      <c r="AC24" s="1890" t="s">
        <v>169</v>
      </c>
      <c r="AD24" s="1890"/>
      <c r="AE24" s="1890"/>
      <c r="AF24" s="1890"/>
      <c r="AG24" s="1890"/>
      <c r="AH24" s="1890"/>
      <c r="AI24" s="1890"/>
      <c r="AJ24" s="1890"/>
      <c r="AK24" s="1890"/>
      <c r="AL24" s="1890"/>
      <c r="AM24" s="1890"/>
      <c r="AN24" s="1890"/>
      <c r="AO24" s="1890"/>
      <c r="AP24" s="1890"/>
      <c r="AQ24" s="1890"/>
      <c r="AW24" s="65"/>
      <c r="AX24" s="65"/>
      <c r="AY24" s="65"/>
      <c r="AZ24" s="65"/>
      <c r="BA24" s="142"/>
      <c r="BB24" s="142"/>
      <c r="BC24" s="142"/>
      <c r="BD24" s="142"/>
    </row>
    <row r="25" spans="1:60" s="71" customFormat="1" ht="18.75" customHeight="1">
      <c r="B25" s="140"/>
      <c r="C25" s="64"/>
      <c r="D25" s="64"/>
      <c r="E25" s="64"/>
      <c r="F25" s="141"/>
      <c r="G25" s="141"/>
      <c r="H25" s="141"/>
      <c r="I25" s="141"/>
      <c r="J25" s="141"/>
      <c r="K25" s="141"/>
      <c r="L25" s="141"/>
      <c r="M25" s="141"/>
      <c r="AW25" s="65"/>
      <c r="AX25" s="65"/>
      <c r="AY25" s="65"/>
      <c r="AZ25" s="65"/>
      <c r="BA25" s="142"/>
      <c r="BB25" s="142"/>
      <c r="BC25" s="142"/>
      <c r="BD25" s="142"/>
    </row>
    <row r="26" spans="1:60" s="1" customFormat="1" ht="18.75" customHeight="1">
      <c r="B26" s="54"/>
      <c r="C26" s="1866"/>
      <c r="D26" s="1866"/>
      <c r="E26" s="1866"/>
      <c r="F26" s="51"/>
      <c r="G26" s="51"/>
      <c r="H26" s="51"/>
      <c r="I26" s="51"/>
      <c r="J26" s="51"/>
      <c r="K26" s="51"/>
      <c r="L26" s="51"/>
      <c r="M26" s="51"/>
      <c r="AW26"/>
      <c r="AX26"/>
      <c r="AY26"/>
      <c r="AZ26"/>
      <c r="BA26" s="60"/>
      <c r="BB26" s="60"/>
      <c r="BC26" s="60"/>
      <c r="BD26" s="60"/>
    </row>
    <row r="27" spans="1:60" s="1" customFormat="1" ht="18.75" customHeight="1">
      <c r="B27" s="54"/>
      <c r="C27" s="1866"/>
      <c r="D27" s="1866"/>
      <c r="E27" s="1866"/>
      <c r="F27" s="51"/>
      <c r="G27" s="51"/>
      <c r="H27" s="51"/>
      <c r="I27" s="51"/>
      <c r="J27" s="51"/>
      <c r="K27" s="51"/>
      <c r="L27" s="51"/>
      <c r="M27" s="51"/>
      <c r="AW27"/>
      <c r="AX27"/>
      <c r="AY27"/>
      <c r="AZ27"/>
      <c r="BA27" s="60"/>
      <c r="BB27" s="60"/>
      <c r="BC27" s="60"/>
      <c r="BD27" s="60"/>
    </row>
    <row r="28" spans="1:60" s="1" customFormat="1" ht="11.25" customHeight="1">
      <c r="B28" s="54"/>
      <c r="F28" s="51"/>
      <c r="G28" s="51"/>
      <c r="H28" s="51"/>
      <c r="I28" s="51"/>
      <c r="J28" s="51"/>
      <c r="K28" s="51"/>
      <c r="L28" s="51"/>
      <c r="M28" s="51"/>
    </row>
    <row r="29" spans="1:60" s="1" customFormat="1" ht="18.75" customHeight="1">
      <c r="B29" s="54"/>
      <c r="F29" s="51"/>
      <c r="G29" s="51"/>
      <c r="H29" s="51"/>
      <c r="I29" s="51"/>
      <c r="J29" s="51"/>
      <c r="K29" s="51"/>
      <c r="L29" s="51"/>
      <c r="M29" s="51"/>
    </row>
    <row r="30" spans="1:60" s="1" customFormat="1" ht="18.75" customHeight="1">
      <c r="A30" s="30"/>
      <c r="B30" s="53"/>
      <c r="C30" s="51"/>
      <c r="D30" s="51"/>
      <c r="E30" s="51"/>
      <c r="F30" s="51"/>
      <c r="G30" s="51"/>
      <c r="H30" s="51"/>
      <c r="I30" s="51"/>
      <c r="J30" s="51"/>
      <c r="K30" s="51"/>
      <c r="L30" s="51"/>
      <c r="M30" s="51"/>
    </row>
    <row r="31" spans="1:60" s="1" customFormat="1" ht="18.75" customHeight="1">
      <c r="A31" s="30"/>
      <c r="B31" s="53"/>
      <c r="C31" s="51"/>
      <c r="D31" s="51"/>
      <c r="E31" s="51"/>
      <c r="F31" s="51"/>
      <c r="G31" s="51"/>
      <c r="H31" s="51"/>
      <c r="I31" s="51"/>
      <c r="J31" s="51"/>
      <c r="K31" s="51"/>
      <c r="L31" s="51"/>
      <c r="M31" s="51"/>
    </row>
    <row r="32" spans="1:60" s="1" customFormat="1" ht="18.75" customHeight="1">
      <c r="A32" s="30"/>
      <c r="B32" s="53"/>
    </row>
  </sheetData>
  <sheetProtection sheet="1" objects="1" scenarios="1"/>
  <mergeCells count="18">
    <mergeCell ref="A1:AT1"/>
    <mergeCell ref="A2:AT2"/>
    <mergeCell ref="C26:E26"/>
    <mergeCell ref="A3:AT3"/>
    <mergeCell ref="A4:AT4"/>
    <mergeCell ref="C27:E27"/>
    <mergeCell ref="AE20:AO20"/>
    <mergeCell ref="C23:E23"/>
    <mergeCell ref="A5:AE5"/>
    <mergeCell ref="AL5:AN5"/>
    <mergeCell ref="AO5:AS5"/>
    <mergeCell ref="A9:AT9"/>
    <mergeCell ref="E12:AN15"/>
    <mergeCell ref="AC24:AQ24"/>
    <mergeCell ref="AC19:AP19"/>
    <mergeCell ref="AC21:AQ21"/>
    <mergeCell ref="AC22:AQ22"/>
    <mergeCell ref="AC23:AQ23"/>
  </mergeCells>
  <pageMargins left="0.43307086614173229" right="0.43307086614173229" top="0.94488188976377963" bottom="0.94488188976377963" header="0.31496062992125984" footer="0.31496062992125984"/>
  <pageSetup paperSize="9" scale="89" fitToHeight="0" orientation="portrait" r:id="rId1"/>
  <headerFooter>
    <oddFooter>&amp;LPrepared By Tariqul Islam; &amp;Z&amp;F&amp;R&amp;"SutonnyMJ,Regular"evsjv‡`k K…wl e¨vsK, c„ôv &amp;P &amp;"-,Regular"of&amp;"SutonnyMJ,Regular" &amp;N</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AFFFAF"/>
    <pageSetUpPr fitToPage="1"/>
  </sheetPr>
  <dimension ref="A1:AY72"/>
  <sheetViews>
    <sheetView showGridLines="0" view="pageBreakPreview" topLeftCell="A8" zoomScaleSheetLayoutView="100" zoomScalePageLayoutView="90" workbookViewId="0">
      <selection activeCell="H20" sqref="H20"/>
    </sheetView>
  </sheetViews>
  <sheetFormatPr defaultRowHeight="15"/>
  <cols>
    <col min="1" max="1" width="7" style="1" customWidth="1"/>
    <col min="2" max="2" width="6.85546875" style="1" customWidth="1"/>
    <col min="3" max="3" width="20" style="1" customWidth="1"/>
    <col min="4" max="4" width="3.7109375" style="1" customWidth="1"/>
    <col min="5" max="6" width="13.5703125" style="1" customWidth="1"/>
    <col min="7" max="7" width="11.140625" style="1" customWidth="1"/>
    <col min="8" max="9" width="13.5703125" style="1" customWidth="1"/>
    <col min="10" max="10" width="2.85546875" style="1" customWidth="1"/>
    <col min="11" max="16384" width="9.140625" style="1"/>
  </cols>
  <sheetData>
    <row r="1" spans="1:51" customFormat="1" ht="30.75" customHeight="1">
      <c r="A1" s="1871"/>
      <c r="B1" s="1871"/>
      <c r="C1" s="1871"/>
      <c r="D1" s="1871"/>
      <c r="E1" s="1871"/>
      <c r="F1" s="1871"/>
      <c r="G1" s="1871"/>
      <c r="H1" s="1871"/>
      <c r="I1" s="1871"/>
      <c r="J1" s="1871"/>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Y1" s="157"/>
    </row>
    <row r="2" spans="1:51" customFormat="1" ht="19.5" customHeight="1">
      <c r="A2" s="810"/>
      <c r="B2" s="810"/>
      <c r="C2" s="810"/>
      <c r="D2" s="810"/>
      <c r="E2" s="810"/>
      <c r="F2" s="810"/>
      <c r="G2" s="810"/>
      <c r="H2" s="810"/>
      <c r="I2" s="810"/>
      <c r="J2" s="810"/>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Y2" s="158"/>
    </row>
    <row r="3" spans="1:51" customFormat="1" ht="13.5" customHeight="1">
      <c r="A3" s="811"/>
      <c r="B3" s="811"/>
      <c r="C3" s="811"/>
      <c r="D3" s="811"/>
      <c r="E3" s="811"/>
      <c r="F3" s="811"/>
      <c r="G3" s="811"/>
      <c r="H3" s="811"/>
      <c r="I3" s="811"/>
      <c r="J3" s="811"/>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Y3" s="159"/>
    </row>
    <row r="4" spans="1:51" customFormat="1" ht="13.5" customHeight="1">
      <c r="A4" s="1891"/>
      <c r="B4" s="1891"/>
      <c r="C4" s="1891"/>
      <c r="D4" s="1891"/>
      <c r="E4" s="1891"/>
      <c r="F4" s="1891"/>
      <c r="G4" s="1891"/>
      <c r="H4" s="1891"/>
      <c r="I4" s="1891"/>
      <c r="J4" s="1891"/>
      <c r="K4" s="160"/>
      <c r="L4" s="160"/>
      <c r="M4" s="160"/>
      <c r="N4" s="160"/>
      <c r="O4" s="160"/>
      <c r="P4" s="160"/>
      <c r="Q4" s="160"/>
      <c r="R4" s="160"/>
      <c r="S4" s="160"/>
      <c r="T4" s="160"/>
      <c r="U4" s="160"/>
      <c r="V4" s="160"/>
      <c r="W4" s="160"/>
      <c r="X4" s="160"/>
      <c r="Y4" s="160"/>
      <c r="Z4" s="160"/>
      <c r="AA4" s="160"/>
      <c r="AB4" s="160"/>
      <c r="AC4" s="160"/>
      <c r="AD4" s="160"/>
      <c r="AE4" s="160"/>
      <c r="AF4" s="160"/>
      <c r="AG4" s="160"/>
      <c r="AH4" s="160"/>
      <c r="AI4" s="160"/>
      <c r="AJ4" s="160"/>
      <c r="AK4" s="160"/>
      <c r="AL4" s="160"/>
      <c r="AM4" s="160"/>
      <c r="AN4" s="160"/>
      <c r="AO4" s="160"/>
      <c r="AP4" s="160"/>
      <c r="AQ4" s="160"/>
      <c r="AR4" s="160"/>
      <c r="AS4" s="160"/>
      <c r="AT4" s="160"/>
      <c r="AY4" s="160"/>
    </row>
    <row r="5" spans="1:51" customFormat="1" ht="18" customHeight="1">
      <c r="A5" s="13"/>
      <c r="H5" s="168"/>
      <c r="J5" s="44"/>
    </row>
    <row r="6" spans="1:51" s="147" customFormat="1" ht="33">
      <c r="A6" s="2016" t="str">
        <f>'Data Input'!D8</f>
        <v>‡gmvm© mvbd¬vIqvi †UBjvm© GÛ †dweªK&amp;ª</v>
      </c>
      <c r="B6" s="2016"/>
      <c r="C6" s="2016"/>
      <c r="D6" s="2016"/>
      <c r="E6" s="2016"/>
      <c r="F6" s="2016"/>
      <c r="G6" s="2016"/>
      <c r="H6" s="2016"/>
      <c r="I6" s="2016"/>
      <c r="J6" s="2016"/>
      <c r="L6" s="1001" t="s">
        <v>583</v>
      </c>
      <c r="M6" s="1001"/>
    </row>
    <row r="7" spans="1:51" s="78" customFormat="1" ht="23.25" customHeight="1">
      <c r="A7" s="2017" t="str">
        <f>'Data Input'!D12</f>
        <v>‡gvt Rwb</v>
      </c>
      <c r="B7" s="2015"/>
      <c r="C7" s="2015"/>
      <c r="D7" s="2015"/>
      <c r="E7" s="2015"/>
      <c r="F7" s="2015"/>
      <c r="G7" s="2015"/>
      <c r="H7" s="2015"/>
      <c r="I7" s="2015"/>
      <c r="J7" s="2015"/>
    </row>
    <row r="8" spans="1:51" s="78" customFormat="1" ht="23.25" customHeight="1">
      <c r="A8" s="2015" t="str">
        <f>'Data Input'!B13&amp;'Data Input'!C13&amp;" "&amp;'Data Input'!D13</f>
        <v>wcZv/¯^vgxi bvgt g„Z †gvt Bw`ªm Avjx</v>
      </c>
      <c r="B8" s="2015"/>
      <c r="C8" s="2015"/>
      <c r="D8" s="2015"/>
      <c r="E8" s="2015"/>
      <c r="F8" s="2015"/>
      <c r="G8" s="2015"/>
      <c r="H8" s="2015"/>
      <c r="I8" s="2015"/>
      <c r="J8" s="2015"/>
    </row>
    <row r="9" spans="1:51" s="78" customFormat="1" ht="9" customHeight="1">
      <c r="A9" s="2015"/>
      <c r="B9" s="2015"/>
      <c r="C9" s="2015"/>
      <c r="D9" s="2015"/>
      <c r="E9" s="2015"/>
      <c r="F9" s="2015"/>
      <c r="G9" s="2015"/>
      <c r="H9" s="2015"/>
      <c r="I9" s="2015"/>
      <c r="J9" s="2015"/>
    </row>
    <row r="10" spans="1:51" s="78" customFormat="1" ht="9" customHeight="1">
      <c r="A10" s="2015"/>
      <c r="B10" s="2015"/>
      <c r="C10" s="2015"/>
      <c r="D10" s="2015"/>
      <c r="E10" s="2015"/>
      <c r="F10" s="2015"/>
      <c r="G10" s="2015"/>
      <c r="H10" s="2015"/>
      <c r="I10" s="2015"/>
      <c r="J10" s="2015"/>
    </row>
    <row r="11" spans="1:51" s="78" customFormat="1" ht="23.25" customHeight="1">
      <c r="A11" s="2015" t="str">
        <f>+'Data Input'!D9</f>
        <v>`vcv B`ªvKcyi, dZzjøv, bvivqYMÄ</v>
      </c>
      <c r="B11" s="2015"/>
      <c r="C11" s="2015"/>
      <c r="D11" s="2015"/>
      <c r="E11" s="2015"/>
      <c r="F11" s="2015"/>
      <c r="G11" s="2015"/>
      <c r="H11" s="2015"/>
      <c r="I11" s="2015"/>
      <c r="J11" s="2015"/>
    </row>
    <row r="12" spans="1:51" s="78" customFormat="1" ht="23.25" customHeight="1">
      <c r="A12" s="2015" t="str">
        <f>"‡gvevBj bst +88 "&amp;'Data Input'!D16</f>
        <v>‡gvevBj bst +88 01923-401539</v>
      </c>
      <c r="B12" s="2015"/>
      <c r="C12" s="2015"/>
      <c r="D12" s="2015"/>
      <c r="E12" s="2015"/>
      <c r="F12" s="2015"/>
      <c r="G12" s="2015"/>
      <c r="H12" s="2015"/>
      <c r="I12" s="2015"/>
      <c r="J12" s="2015"/>
    </row>
    <row r="13" spans="1:51" ht="6.75" customHeight="1">
      <c r="A13" s="1214"/>
      <c r="B13" s="1214"/>
      <c r="C13" s="1214"/>
      <c r="D13" s="1214"/>
      <c r="E13" s="1214"/>
      <c r="F13" s="1214"/>
      <c r="G13" s="1214"/>
      <c r="H13" s="1214"/>
      <c r="I13" s="1214"/>
      <c r="J13" s="1214"/>
    </row>
    <row r="14" spans="1:51" ht="31.5">
      <c r="A14" s="2018" t="s">
        <v>493</v>
      </c>
      <c r="B14" s="2018"/>
      <c r="C14" s="2018"/>
      <c r="D14" s="2018"/>
      <c r="E14" s="2018"/>
      <c r="F14" s="2018"/>
      <c r="G14" s="2018"/>
      <c r="H14" s="2018"/>
      <c r="I14" s="2018"/>
      <c r="J14" s="2018"/>
    </row>
    <row r="15" spans="1:51" ht="17.25">
      <c r="B15" s="148" t="s">
        <v>494</v>
      </c>
      <c r="D15" s="148"/>
      <c r="E15" s="148"/>
      <c r="F15" s="148"/>
      <c r="G15" s="148"/>
      <c r="H15" s="148"/>
      <c r="I15" s="148"/>
      <c r="J15" s="148"/>
    </row>
    <row r="16" spans="1:51" ht="3.75" customHeight="1">
      <c r="B16" s="149"/>
      <c r="C16" s="149"/>
      <c r="D16" s="149"/>
      <c r="E16" s="149"/>
      <c r="F16" s="149"/>
      <c r="G16" s="149"/>
      <c r="H16" s="149"/>
      <c r="I16" s="149"/>
      <c r="J16" s="149"/>
    </row>
    <row r="17" spans="2:12" s="28" customFormat="1" ht="18">
      <c r="B17" s="13" t="s">
        <v>495</v>
      </c>
      <c r="C17" s="150"/>
      <c r="D17" s="150"/>
      <c r="E17" s="150"/>
      <c r="F17" s="150"/>
      <c r="G17" s="150"/>
      <c r="H17" s="150"/>
      <c r="I17" s="1001" t="s">
        <v>212</v>
      </c>
      <c r="J17" s="1001"/>
    </row>
    <row r="18" spans="2:12" s="28" customFormat="1" ht="54">
      <c r="B18" s="38" t="s">
        <v>3</v>
      </c>
      <c r="C18" s="1235" t="s">
        <v>496</v>
      </c>
      <c r="D18" s="1235"/>
      <c r="E18" s="1235" t="s">
        <v>497</v>
      </c>
      <c r="F18" s="1235"/>
      <c r="G18" s="38" t="s">
        <v>498</v>
      </c>
      <c r="H18" s="38" t="s">
        <v>499</v>
      </c>
      <c r="I18" s="1235" t="s">
        <v>109</v>
      </c>
      <c r="J18" s="1235"/>
    </row>
    <row r="19" spans="2:12" s="28" customFormat="1" ht="18">
      <c r="B19" s="151">
        <v>1</v>
      </c>
      <c r="C19" s="2019" t="s">
        <v>500</v>
      </c>
      <c r="D19" s="2019"/>
      <c r="E19" s="2019" t="s">
        <v>501</v>
      </c>
      <c r="F19" s="2019"/>
      <c r="G19" s="165">
        <f>+'Data Input'!N48</f>
        <v>0</v>
      </c>
      <c r="H19" s="152">
        <f>(+'LF-5'!Y65+'LF-5'!Y70+'LF-5'!AB75)/100000</f>
        <v>0</v>
      </c>
      <c r="I19" s="2020"/>
      <c r="J19" s="2020"/>
    </row>
    <row r="20" spans="2:12" s="28" customFormat="1" ht="18">
      <c r="B20" s="151">
        <v>2</v>
      </c>
      <c r="C20" s="2021" t="s">
        <v>332</v>
      </c>
      <c r="D20" s="2021"/>
      <c r="E20" s="2021" t="s">
        <v>580</v>
      </c>
      <c r="F20" s="2021"/>
      <c r="G20" s="254"/>
      <c r="H20" s="252">
        <v>8.5</v>
      </c>
      <c r="I20" s="2020"/>
      <c r="J20" s="2020"/>
    </row>
    <row r="21" spans="2:12" s="28" customFormat="1" ht="18">
      <c r="B21" s="151">
        <v>3</v>
      </c>
      <c r="C21" s="2021" t="s">
        <v>502</v>
      </c>
      <c r="D21" s="2021"/>
      <c r="E21" s="2021" t="s">
        <v>503</v>
      </c>
      <c r="F21" s="2021"/>
      <c r="G21" s="254"/>
      <c r="H21" s="252">
        <v>5.79</v>
      </c>
      <c r="I21" s="2020"/>
      <c r="J21" s="2020"/>
    </row>
    <row r="22" spans="2:12" s="28" customFormat="1" ht="18">
      <c r="B22" s="151">
        <v>4</v>
      </c>
      <c r="C22" s="2021" t="s">
        <v>114</v>
      </c>
      <c r="D22" s="2021"/>
      <c r="E22" s="2021" t="s">
        <v>516</v>
      </c>
      <c r="F22" s="2021"/>
      <c r="G22" s="254"/>
      <c r="H22" s="252">
        <v>11.6</v>
      </c>
      <c r="I22" s="2020"/>
      <c r="J22" s="2020"/>
    </row>
    <row r="23" spans="2:12" s="28" customFormat="1" ht="18">
      <c r="B23" s="2028" t="s">
        <v>115</v>
      </c>
      <c r="C23" s="2029"/>
      <c r="D23" s="2030"/>
      <c r="E23" s="2024"/>
      <c r="F23" s="2025"/>
      <c r="G23" s="132"/>
      <c r="H23" s="152">
        <f>SUM(H19:H22)</f>
        <v>25.89</v>
      </c>
      <c r="I23" s="2026"/>
      <c r="J23" s="2027"/>
    </row>
    <row r="24" spans="2:12" s="28" customFormat="1" ht="27.75" customHeight="1">
      <c r="B24" s="153"/>
      <c r="C24" s="153"/>
      <c r="D24" s="153"/>
      <c r="E24" s="153"/>
      <c r="F24" s="153"/>
      <c r="G24" s="153"/>
      <c r="H24" s="153"/>
      <c r="I24" s="153"/>
    </row>
    <row r="25" spans="2:12" s="28" customFormat="1" ht="18">
      <c r="B25" s="13" t="s">
        <v>504</v>
      </c>
      <c r="C25" s="26"/>
      <c r="D25" s="26"/>
      <c r="E25" s="26"/>
      <c r="F25" s="154"/>
      <c r="G25" s="154"/>
      <c r="H25" s="154"/>
      <c r="I25" s="1001" t="s">
        <v>212</v>
      </c>
      <c r="J25" s="1001"/>
    </row>
    <row r="26" spans="2:12" s="28" customFormat="1" ht="16.5" customHeight="1">
      <c r="B26" s="38" t="s">
        <v>3</v>
      </c>
      <c r="C26" s="1235" t="s">
        <v>118</v>
      </c>
      <c r="D26" s="1235"/>
      <c r="E26" s="1235"/>
      <c r="F26" s="1235" t="s">
        <v>505</v>
      </c>
      <c r="G26" s="1235"/>
      <c r="H26" s="38" t="s">
        <v>506</v>
      </c>
      <c r="I26" s="2023"/>
      <c r="J26" s="2023"/>
    </row>
    <row r="27" spans="2:12" s="28" customFormat="1" ht="16.5" customHeight="1">
      <c r="B27" s="132">
        <v>1</v>
      </c>
      <c r="C27" s="2022" t="s">
        <v>507</v>
      </c>
      <c r="D27" s="2022"/>
      <c r="E27" s="2022"/>
      <c r="F27" s="2022" t="s">
        <v>517</v>
      </c>
      <c r="G27" s="2022"/>
      <c r="H27" s="253">
        <f>+'Nobayon Form-LF-58'!AG30</f>
        <v>0</v>
      </c>
      <c r="I27" s="2023"/>
      <c r="J27" s="2023"/>
      <c r="L27" s="28" t="s">
        <v>526</v>
      </c>
    </row>
    <row r="28" spans="2:12" s="28" customFormat="1" ht="18">
      <c r="B28" s="132">
        <v>2</v>
      </c>
      <c r="C28" s="2022" t="s">
        <v>508</v>
      </c>
      <c r="D28" s="2022"/>
      <c r="E28" s="2022"/>
      <c r="F28" s="2022" t="s">
        <v>509</v>
      </c>
      <c r="G28" s="2022"/>
      <c r="H28" s="253">
        <v>18.32</v>
      </c>
      <c r="I28" s="2023"/>
      <c r="J28" s="2023"/>
    </row>
    <row r="29" spans="2:12" s="28" customFormat="1" ht="18">
      <c r="B29" s="132"/>
      <c r="C29" s="2022"/>
      <c r="D29" s="2022"/>
      <c r="E29" s="2022"/>
      <c r="F29" s="2022"/>
      <c r="G29" s="2022"/>
      <c r="H29" s="253"/>
      <c r="I29" s="2023"/>
      <c r="J29" s="2023"/>
    </row>
    <row r="30" spans="2:12" s="28" customFormat="1" ht="18">
      <c r="B30" s="2028" t="s">
        <v>115</v>
      </c>
      <c r="C30" s="2029"/>
      <c r="D30" s="2029"/>
      <c r="E30" s="2030"/>
      <c r="F30" s="2023"/>
      <c r="G30" s="2023"/>
      <c r="H30" s="129">
        <f>SUM(H27:H29)</f>
        <v>18.32</v>
      </c>
      <c r="I30" s="2023"/>
      <c r="J30" s="2023"/>
    </row>
    <row r="31" spans="2:12" s="155" customFormat="1" ht="24" customHeight="1">
      <c r="C31" s="52"/>
      <c r="G31" s="72"/>
      <c r="H31" s="72"/>
      <c r="I31" s="131"/>
      <c r="J31" s="131"/>
    </row>
    <row r="32" spans="2:12" s="28" customFormat="1" ht="18">
      <c r="B32" s="13" t="s">
        <v>620</v>
      </c>
      <c r="D32" s="26"/>
      <c r="E32" s="156" t="str">
        <f>TEXT(H23-H30,"00.00")&amp;"  jÿ UvKv gvÎ|"</f>
        <v>07.57  jÿ UvKv gvÎ|</v>
      </c>
      <c r="F32" s="26"/>
      <c r="G32" s="26"/>
      <c r="H32" s="26"/>
      <c r="I32" s="26"/>
    </row>
    <row r="33" spans="1:11" s="155" customFormat="1" ht="24" customHeight="1">
      <c r="B33" s="12"/>
      <c r="E33" s="72"/>
      <c r="F33" s="72"/>
      <c r="G33" s="72"/>
      <c r="H33" s="72"/>
      <c r="I33" s="72"/>
    </row>
    <row r="34" spans="1:11" s="155" customFormat="1" ht="15.75" customHeight="1">
      <c r="B34" s="12" t="s">
        <v>510</v>
      </c>
      <c r="E34" s="72"/>
      <c r="F34" s="72"/>
      <c r="G34" s="72"/>
      <c r="H34" s="72"/>
      <c r="I34" s="72"/>
    </row>
    <row r="35" spans="1:11" s="155" customFormat="1" ht="15.75" customHeight="1">
      <c r="E35" s="72"/>
      <c r="F35" s="72"/>
      <c r="G35" s="72"/>
      <c r="H35" s="72"/>
      <c r="I35" s="72"/>
    </row>
    <row r="36" spans="1:11" ht="36.75" customHeight="1">
      <c r="E36"/>
      <c r="F36"/>
      <c r="G36"/>
      <c r="H36"/>
      <c r="I36"/>
    </row>
    <row r="37" spans="1:11" ht="26.25" customHeight="1">
      <c r="E37"/>
      <c r="F37"/>
      <c r="G37"/>
      <c r="H37"/>
      <c r="I37"/>
    </row>
    <row r="38" spans="1:11" ht="15.75" customHeight="1">
      <c r="B38" s="921"/>
      <c r="C38" s="921"/>
      <c r="D38"/>
      <c r="E38" s="921"/>
      <c r="F38" s="921"/>
      <c r="G38" s="921"/>
      <c r="H38" s="921"/>
      <c r="I38" s="921"/>
      <c r="J38" s="921"/>
    </row>
    <row r="39" spans="1:11" s="4" customFormat="1" ht="15.75" customHeight="1">
      <c r="A39" s="804" t="s">
        <v>492</v>
      </c>
      <c r="B39" s="804"/>
      <c r="C39" s="804"/>
      <c r="D39" s="123"/>
      <c r="E39" s="804" t="s">
        <v>534</v>
      </c>
      <c r="F39" s="804"/>
      <c r="G39" s="66"/>
      <c r="H39" s="804" t="s">
        <v>162</v>
      </c>
      <c r="I39" s="804"/>
      <c r="J39" s="804"/>
      <c r="K39" s="66"/>
    </row>
    <row r="40" spans="1:11" s="4" customFormat="1" ht="15.75" customHeight="1">
      <c r="A40" s="804" t="str">
        <f>+'Data Input'!D8</f>
        <v>‡gmvm© mvbd¬vIqvi †UBjvm© GÛ †dweªK&amp;ª</v>
      </c>
      <c r="B40" s="804"/>
      <c r="C40" s="804"/>
      <c r="D40" s="123"/>
      <c r="E40" s="804" t="s">
        <v>0</v>
      </c>
      <c r="F40" s="804"/>
      <c r="G40" s="66"/>
      <c r="H40" s="804" t="s">
        <v>0</v>
      </c>
      <c r="I40" s="804"/>
      <c r="J40" s="804"/>
      <c r="K40" s="66"/>
    </row>
    <row r="41" spans="1:11" s="4" customFormat="1" ht="15.75" customHeight="1">
      <c r="A41" s="1234"/>
      <c r="B41" s="1234"/>
      <c r="C41" s="1234"/>
      <c r="D41" s="123"/>
      <c r="E41" s="804" t="str">
        <f>+'Data Input'!$D$2</f>
        <v>wmw×iMÄ kvLv, bvivqYMÄ</v>
      </c>
      <c r="F41" s="804"/>
      <c r="G41" s="66"/>
      <c r="H41" s="804" t="str">
        <f>+'Data Input'!$D$2</f>
        <v>wmw×iMÄ kvLv, bvivqYMÄ</v>
      </c>
      <c r="I41" s="804"/>
      <c r="J41" s="804"/>
      <c r="K41" s="66"/>
    </row>
    <row r="42" spans="1:11" ht="19.5" customHeight="1">
      <c r="A42" s="1234"/>
      <c r="B42" s="1234"/>
      <c r="C42" s="1234"/>
    </row>
    <row r="43" spans="1:11" ht="19.5" customHeight="1"/>
    <row r="44" spans="1:11" ht="19.5" customHeight="1"/>
    <row r="45" spans="1:11" ht="19.5" customHeight="1"/>
    <row r="46" spans="1:11" ht="19.5" customHeight="1"/>
    <row r="47" spans="1:11" ht="19.5" customHeight="1"/>
    <row r="48" spans="1:11"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sheetData>
  <protectedRanges>
    <protectedRange sqref="H20:H22 H27:H29" name="Range4"/>
    <protectedRange sqref="E20:G22" name="Range2"/>
    <protectedRange sqref="L6:M6" name="Range1"/>
    <protectedRange sqref="C27:G29" name="Range3"/>
  </protectedRanges>
  <mergeCells count="62">
    <mergeCell ref="L6:M6"/>
    <mergeCell ref="A1:J1"/>
    <mergeCell ref="A2:J2"/>
    <mergeCell ref="A3:J3"/>
    <mergeCell ref="A4:J4"/>
    <mergeCell ref="I30:J30"/>
    <mergeCell ref="E23:F23"/>
    <mergeCell ref="I23:J23"/>
    <mergeCell ref="I25:J25"/>
    <mergeCell ref="C26:E26"/>
    <mergeCell ref="F26:G26"/>
    <mergeCell ref="I26:J26"/>
    <mergeCell ref="C29:E29"/>
    <mergeCell ref="F29:G29"/>
    <mergeCell ref="I29:J29"/>
    <mergeCell ref="B23:D23"/>
    <mergeCell ref="B30:E30"/>
    <mergeCell ref="C21:D21"/>
    <mergeCell ref="E21:F21"/>
    <mergeCell ref="B38:C38"/>
    <mergeCell ref="E38:G38"/>
    <mergeCell ref="H38:J38"/>
    <mergeCell ref="C27:E27"/>
    <mergeCell ref="F27:G27"/>
    <mergeCell ref="I27:J27"/>
    <mergeCell ref="C28:E28"/>
    <mergeCell ref="F28:G28"/>
    <mergeCell ref="I28:J28"/>
    <mergeCell ref="I21:J21"/>
    <mergeCell ref="C22:D22"/>
    <mergeCell ref="E22:F22"/>
    <mergeCell ref="I22:J22"/>
    <mergeCell ref="F30:G30"/>
    <mergeCell ref="C19:D19"/>
    <mergeCell ref="E19:F19"/>
    <mergeCell ref="I19:J19"/>
    <mergeCell ref="C20:D20"/>
    <mergeCell ref="E20:F20"/>
    <mergeCell ref="I20:J20"/>
    <mergeCell ref="A12:J12"/>
    <mergeCell ref="A13:J13"/>
    <mergeCell ref="A14:J14"/>
    <mergeCell ref="I17:J17"/>
    <mergeCell ref="C18:D18"/>
    <mergeCell ref="E18:F18"/>
    <mergeCell ref="I18:J18"/>
    <mergeCell ref="A11:J11"/>
    <mergeCell ref="A6:J6"/>
    <mergeCell ref="A7:J7"/>
    <mergeCell ref="A8:J8"/>
    <mergeCell ref="A9:J9"/>
    <mergeCell ref="A10:J10"/>
    <mergeCell ref="A42:C42"/>
    <mergeCell ref="H39:J39"/>
    <mergeCell ref="H40:J40"/>
    <mergeCell ref="H41:J41"/>
    <mergeCell ref="A41:C41"/>
    <mergeCell ref="E39:F39"/>
    <mergeCell ref="E40:F40"/>
    <mergeCell ref="E41:F41"/>
    <mergeCell ref="A39:C39"/>
    <mergeCell ref="A40:C40"/>
  </mergeCells>
  <dataValidations count="1">
    <dataValidation type="list" allowBlank="1" showInputMessage="1" showErrorMessage="1" promptTitle="সিলেক্ট করুন" prompt="." sqref="L6:M6" xr:uid="{00000000-0002-0000-1700-000000000000}">
      <formula1>"১ম আবেদনকারী, ২য় আবেদনকারী"</formula1>
    </dataValidation>
  </dataValidations>
  <pageMargins left="0.43307086614173229" right="0.62992125984251968" top="1.1417322834645669" bottom="0.74803149606299213" header="0.51181102362204722" footer="0.51181102362204722"/>
  <pageSetup paperSize="9" scale="86" orientation="portrait" blackAndWhite="1" r:id="rId1"/>
  <headerFooter differentFirst="1">
    <oddFooter>&amp;LPrepared By Tariqul Islam, &amp;Z&amp;R&amp;"SutonnyMJ,Regular"evsjv‡`k K…wl e¨vsK, c„ôv &amp;P &amp;"-,Regular"of&amp;"SutonnyMJ,Regular"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tabColor rgb="FFAFFFAF"/>
  </sheetPr>
  <dimension ref="A1:BH33"/>
  <sheetViews>
    <sheetView showGridLines="0" view="pageBreakPreview" zoomScaleSheetLayoutView="100" workbookViewId="0">
      <selection activeCell="A11" sqref="A11:AT11"/>
    </sheetView>
  </sheetViews>
  <sheetFormatPr defaultRowHeight="18.75" customHeight="1"/>
  <cols>
    <col min="1" max="1" width="3.7109375" customWidth="1"/>
    <col min="2" max="2" width="4.42578125" style="53" customWidth="1"/>
    <col min="3" max="8" width="2.28515625" customWidth="1"/>
    <col min="9" max="9" width="1.28515625" customWidth="1"/>
    <col min="10" max="11" width="2.7109375" customWidth="1"/>
    <col min="12"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1" width="2.28515625" customWidth="1"/>
    <col min="42" max="42" width="3.140625" customWidth="1"/>
    <col min="43" max="43" width="2.28515625" customWidth="1"/>
    <col min="44" max="44" width="2.140625" customWidth="1"/>
    <col min="45" max="45" width="1.7109375" customWidth="1"/>
    <col min="46" max="46" width="3.140625" customWidth="1"/>
    <col min="48" max="48" width="12.85546875" customWidth="1"/>
    <col min="49" max="50" width="11.7109375" customWidth="1"/>
    <col min="53" max="53" width="13.140625" bestFit="1" customWidth="1"/>
  </cols>
  <sheetData>
    <row r="1" spans="1:55" ht="9.75" customHeight="1">
      <c r="A1" s="811"/>
      <c r="B1" s="811"/>
      <c r="C1" s="811"/>
      <c r="D1" s="811"/>
      <c r="E1" s="811"/>
      <c r="F1" s="811"/>
      <c r="G1" s="811"/>
      <c r="H1" s="811"/>
      <c r="I1" s="811"/>
      <c r="J1" s="811"/>
      <c r="K1" s="811"/>
      <c r="L1" s="811"/>
      <c r="M1" s="811"/>
      <c r="N1" s="811"/>
      <c r="O1" s="811"/>
      <c r="P1" s="811"/>
      <c r="Q1" s="811"/>
      <c r="R1" s="811"/>
      <c r="S1" s="811"/>
      <c r="T1" s="811"/>
      <c r="U1" s="811"/>
      <c r="V1" s="811"/>
      <c r="W1" s="811"/>
      <c r="X1" s="811"/>
      <c r="Y1" s="811"/>
      <c r="Z1" s="811"/>
      <c r="AA1" s="811"/>
      <c r="AB1" s="811"/>
      <c r="AC1" s="811"/>
      <c r="AD1" s="811"/>
      <c r="AE1" s="811"/>
      <c r="AF1" s="811"/>
      <c r="AG1" s="811"/>
      <c r="AH1" s="811"/>
      <c r="AI1" s="811"/>
      <c r="AJ1" s="811"/>
      <c r="AK1" s="811"/>
      <c r="AL1" s="811"/>
      <c r="AM1" s="811"/>
      <c r="AN1" s="811"/>
      <c r="AO1" s="811"/>
      <c r="AP1" s="811"/>
      <c r="AQ1" s="811"/>
      <c r="AR1" s="811"/>
      <c r="AS1" s="811"/>
      <c r="AT1" s="811"/>
      <c r="AY1" s="159"/>
    </row>
    <row r="2" spans="1:55" ht="13.5" customHeight="1">
      <c r="A2" s="1891"/>
      <c r="B2" s="1891"/>
      <c r="C2" s="1891"/>
      <c r="D2" s="1891"/>
      <c r="E2" s="1891"/>
      <c r="F2" s="1891"/>
      <c r="G2" s="1891"/>
      <c r="H2" s="1891"/>
      <c r="I2" s="1891"/>
      <c r="J2" s="1891"/>
      <c r="K2" s="1891"/>
      <c r="L2" s="1891"/>
      <c r="M2" s="1891"/>
      <c r="N2" s="1891"/>
      <c r="O2" s="1891"/>
      <c r="P2" s="1891"/>
      <c r="Q2" s="1891"/>
      <c r="R2" s="1891"/>
      <c r="S2" s="1891"/>
      <c r="T2" s="1891"/>
      <c r="U2" s="1891"/>
      <c r="V2" s="1891"/>
      <c r="W2" s="1891"/>
      <c r="X2" s="1891"/>
      <c r="Y2" s="1891"/>
      <c r="Z2" s="1891"/>
      <c r="AA2" s="1891"/>
      <c r="AB2" s="1891"/>
      <c r="AC2" s="1891"/>
      <c r="AD2" s="1891"/>
      <c r="AE2" s="1891"/>
      <c r="AF2" s="1891"/>
      <c r="AG2" s="1891"/>
      <c r="AH2" s="1891"/>
      <c r="AI2" s="1891"/>
      <c r="AJ2" s="1891"/>
      <c r="AK2" s="1891"/>
      <c r="AL2" s="1891"/>
      <c r="AM2" s="1891"/>
      <c r="AN2" s="1891"/>
      <c r="AO2" s="1891"/>
      <c r="AP2" s="1891"/>
      <c r="AQ2" s="1891"/>
      <c r="AR2" s="1891"/>
      <c r="AS2" s="1891"/>
      <c r="AT2" s="1891"/>
      <c r="AY2" s="160"/>
    </row>
    <row r="3" spans="1:55" s="23" customFormat="1" ht="6.75" customHeight="1">
      <c r="A3" s="1982"/>
      <c r="B3" s="1982"/>
      <c r="C3" s="1982"/>
      <c r="D3" s="1982"/>
      <c r="E3" s="1982"/>
      <c r="F3" s="1982"/>
      <c r="G3" s="1982"/>
      <c r="H3" s="1982"/>
      <c r="I3" s="1982"/>
      <c r="J3" s="1982"/>
      <c r="K3" s="1982"/>
      <c r="L3" s="1982"/>
      <c r="M3" s="1982"/>
      <c r="N3" s="1982"/>
      <c r="O3" s="1982"/>
      <c r="P3" s="1982"/>
      <c r="Q3" s="1982"/>
      <c r="R3" s="1982"/>
      <c r="S3" s="1982"/>
      <c r="T3" s="1982"/>
      <c r="U3" s="1982"/>
      <c r="V3" s="1982"/>
      <c r="W3" s="1982"/>
      <c r="X3" s="1982"/>
      <c r="Y3" s="1982"/>
      <c r="Z3" s="1982"/>
      <c r="AA3" s="1982"/>
      <c r="AB3" s="1982"/>
      <c r="AC3" s="1982"/>
      <c r="AD3" s="1982"/>
      <c r="AE3" s="1982"/>
      <c r="AG3" s="52"/>
      <c r="AH3" s="52"/>
      <c r="AL3" s="1221"/>
      <c r="AM3" s="1221"/>
      <c r="AN3" s="1221"/>
      <c r="AO3" s="2036"/>
      <c r="AP3" s="2036"/>
      <c r="AQ3" s="2036"/>
      <c r="AR3" s="2036"/>
      <c r="AS3" s="2036"/>
      <c r="AT3" s="44"/>
    </row>
    <row r="4" spans="1:55" s="147" customFormat="1" ht="33">
      <c r="A4" s="2016" t="str">
        <f>'Data Input'!D8</f>
        <v>‡gmvm© mvbd¬vIqvi †UBjvm© GÛ †dweªK&amp;ª</v>
      </c>
      <c r="B4" s="2016"/>
      <c r="C4" s="2016"/>
      <c r="D4" s="2016"/>
      <c r="E4" s="2016"/>
      <c r="F4" s="2016"/>
      <c r="G4" s="2016"/>
      <c r="H4" s="2016"/>
      <c r="I4" s="2016"/>
      <c r="J4" s="2016"/>
      <c r="K4" s="2016"/>
      <c r="L4" s="2016"/>
      <c r="M4" s="2016"/>
      <c r="N4" s="2016"/>
      <c r="O4" s="2016"/>
      <c r="P4" s="2016"/>
      <c r="Q4" s="2016"/>
      <c r="R4" s="2016"/>
      <c r="S4" s="2016"/>
      <c r="T4" s="2016"/>
      <c r="U4" s="2016"/>
      <c r="V4" s="2016"/>
      <c r="W4" s="2016"/>
      <c r="X4" s="2016"/>
      <c r="Y4" s="2016"/>
      <c r="Z4" s="2016"/>
      <c r="AA4" s="2016"/>
      <c r="AB4" s="2016"/>
      <c r="AC4" s="2016"/>
      <c r="AD4" s="2016"/>
      <c r="AE4" s="2016"/>
      <c r="AF4" s="2016"/>
      <c r="AG4" s="2016"/>
      <c r="AH4" s="2016"/>
      <c r="AI4" s="2016"/>
      <c r="AJ4" s="2016"/>
      <c r="AK4" s="2016"/>
      <c r="AL4" s="2016"/>
      <c r="AM4" s="2016"/>
      <c r="AN4" s="2016"/>
      <c r="AO4" s="2016"/>
      <c r="AP4" s="2016"/>
      <c r="AQ4" s="2016"/>
      <c r="AR4" s="2016"/>
      <c r="AS4" s="2016"/>
      <c r="AT4" s="2016"/>
    </row>
    <row r="5" spans="1:55" s="78" customFormat="1" ht="23.25" customHeight="1">
      <c r="A5" s="2035" t="str">
        <f>"‡cÖvcvBUit "&amp;'Data Input'!D12</f>
        <v>‡cÖvcvBUit ‡gvt Rwb</v>
      </c>
      <c r="B5" s="2035"/>
      <c r="C5" s="2035"/>
      <c r="D5" s="2035"/>
      <c r="E5" s="2035"/>
      <c r="F5" s="2035"/>
      <c r="G5" s="2035"/>
      <c r="H5" s="2035"/>
      <c r="I5" s="2035"/>
      <c r="J5" s="2035"/>
      <c r="K5" s="2035"/>
      <c r="L5" s="2035"/>
      <c r="M5" s="2035"/>
      <c r="N5" s="2035"/>
      <c r="O5" s="2035"/>
      <c r="P5" s="2035"/>
      <c r="Q5" s="2035"/>
      <c r="R5" s="2035"/>
      <c r="S5" s="2035"/>
      <c r="T5" s="2035"/>
      <c r="U5" s="2035"/>
      <c r="V5" s="2035"/>
      <c r="W5" s="2035"/>
      <c r="X5" s="2035"/>
      <c r="Y5" s="2035"/>
      <c r="Z5" s="2035"/>
      <c r="AA5" s="2035"/>
      <c r="AB5" s="2035"/>
      <c r="AC5" s="2035"/>
      <c r="AD5" s="2035"/>
      <c r="AE5" s="2035"/>
      <c r="AF5" s="2035"/>
      <c r="AG5" s="2035"/>
      <c r="AH5" s="2035"/>
      <c r="AI5" s="2035"/>
      <c r="AJ5" s="2035"/>
      <c r="AK5" s="2035"/>
      <c r="AL5" s="2035"/>
      <c r="AM5" s="2035"/>
      <c r="AN5" s="2035"/>
      <c r="AO5" s="2035"/>
      <c r="AP5" s="2035"/>
      <c r="AQ5" s="2035"/>
      <c r="AR5" s="2035"/>
      <c r="AS5" s="2035"/>
      <c r="AT5" s="2035"/>
    </row>
    <row r="6" spans="1:55" s="78" customFormat="1" ht="23.25" customHeight="1">
      <c r="A6" s="2035" t="str">
        <f>'Data Input'!B13&amp;'Data Input'!C13&amp;" "&amp;'Data Input'!D13</f>
        <v>wcZv/¯^vgxi bvgt g„Z †gvt Bw`ªm Avjx</v>
      </c>
      <c r="B6" s="2035"/>
      <c r="C6" s="2035"/>
      <c r="D6" s="2035"/>
      <c r="E6" s="2035"/>
      <c r="F6" s="2035"/>
      <c r="G6" s="2035"/>
      <c r="H6" s="2035"/>
      <c r="I6" s="2035"/>
      <c r="J6" s="2035"/>
      <c r="K6" s="2035"/>
      <c r="L6" s="2035"/>
      <c r="M6" s="2035"/>
      <c r="N6" s="2035"/>
      <c r="O6" s="2035"/>
      <c r="P6" s="2035"/>
      <c r="Q6" s="2035"/>
      <c r="R6" s="2035"/>
      <c r="S6" s="2035"/>
      <c r="T6" s="2035"/>
      <c r="U6" s="2035"/>
      <c r="V6" s="2035"/>
      <c r="W6" s="2035"/>
      <c r="X6" s="2035"/>
      <c r="Y6" s="2035"/>
      <c r="Z6" s="2035"/>
      <c r="AA6" s="2035"/>
      <c r="AB6" s="2035"/>
      <c r="AC6" s="2035"/>
      <c r="AD6" s="2035"/>
      <c r="AE6" s="2035"/>
      <c r="AF6" s="2035"/>
      <c r="AG6" s="2035"/>
      <c r="AH6" s="2035"/>
      <c r="AI6" s="2035"/>
      <c r="AJ6" s="2035"/>
      <c r="AK6" s="2035"/>
      <c r="AL6" s="2035"/>
      <c r="AM6" s="2035"/>
      <c r="AN6" s="2035"/>
      <c r="AO6" s="2035"/>
      <c r="AP6" s="2035"/>
      <c r="AQ6" s="2035"/>
      <c r="AR6" s="2035"/>
      <c r="AS6" s="2035"/>
      <c r="AT6" s="2035"/>
    </row>
    <row r="7" spans="1:55" s="78" customFormat="1" ht="15.75" customHeight="1">
      <c r="A7" s="2015" t="str">
        <f>'Data Input'!D9</f>
        <v>`vcv B`ªvKcyi, dZzjøv, bvivqYMÄ</v>
      </c>
      <c r="B7" s="2015"/>
      <c r="C7" s="2015"/>
      <c r="D7" s="2015"/>
      <c r="E7" s="2015"/>
      <c r="F7" s="2015"/>
      <c r="G7" s="2015"/>
      <c r="H7" s="2015"/>
      <c r="I7" s="2015"/>
      <c r="J7" s="2015"/>
      <c r="K7" s="2015"/>
      <c r="L7" s="2015"/>
      <c r="M7" s="2015"/>
      <c r="N7" s="2015"/>
      <c r="O7" s="2015"/>
      <c r="P7" s="2015"/>
      <c r="Q7" s="2015"/>
      <c r="R7" s="2015"/>
      <c r="S7" s="2015"/>
      <c r="T7" s="2015"/>
      <c r="U7" s="2015"/>
      <c r="V7" s="2015"/>
      <c r="W7" s="2015"/>
      <c r="X7" s="2015"/>
      <c r="Y7" s="2015"/>
      <c r="Z7" s="2015"/>
      <c r="AA7" s="2015"/>
      <c r="AB7" s="2015"/>
      <c r="AC7" s="2015"/>
      <c r="AD7" s="2015"/>
      <c r="AE7" s="2015"/>
      <c r="AF7" s="2015"/>
      <c r="AG7" s="2015"/>
      <c r="AH7" s="2015"/>
      <c r="AI7" s="2015"/>
      <c r="AJ7" s="2015"/>
      <c r="AK7" s="2015"/>
      <c r="AL7" s="2015"/>
      <c r="AM7" s="2015"/>
      <c r="AN7" s="2015"/>
      <c r="AO7" s="2015"/>
      <c r="AP7" s="2015"/>
      <c r="AQ7" s="2015"/>
      <c r="AR7" s="2015"/>
      <c r="AS7" s="2015"/>
      <c r="AT7" s="2015"/>
    </row>
    <row r="8" spans="1:55" s="78" customFormat="1" ht="7.5" customHeight="1">
      <c r="A8" s="2015"/>
      <c r="B8" s="2015"/>
      <c r="C8" s="2015"/>
      <c r="D8" s="2015"/>
      <c r="E8" s="2015"/>
      <c r="F8" s="2015"/>
      <c r="G8" s="2015"/>
      <c r="H8" s="2015"/>
      <c r="I8" s="2015"/>
      <c r="J8" s="2015"/>
      <c r="K8" s="2015"/>
      <c r="L8" s="2015"/>
      <c r="M8" s="2015"/>
      <c r="N8" s="2015"/>
      <c r="O8" s="2015"/>
      <c r="P8" s="2015"/>
      <c r="Q8" s="2015"/>
      <c r="R8" s="2015"/>
      <c r="S8" s="2015"/>
      <c r="T8" s="2015"/>
      <c r="U8" s="2015"/>
      <c r="V8" s="2015"/>
      <c r="W8" s="2015"/>
      <c r="X8" s="2015"/>
      <c r="Y8" s="2015"/>
      <c r="Z8" s="2015"/>
      <c r="AA8" s="2015"/>
      <c r="AB8" s="2015"/>
      <c r="AC8" s="2015"/>
      <c r="AD8" s="2015"/>
      <c r="AE8" s="2015"/>
      <c r="AF8" s="2015"/>
      <c r="AG8" s="2015"/>
      <c r="AH8" s="2015"/>
      <c r="AI8" s="2015"/>
      <c r="AJ8" s="2015"/>
      <c r="AK8" s="2015"/>
      <c r="AL8" s="2015"/>
      <c r="AM8" s="2015"/>
      <c r="AN8" s="2015"/>
      <c r="AO8" s="2015"/>
      <c r="AP8" s="2015"/>
      <c r="AQ8" s="2015"/>
      <c r="AR8" s="2015"/>
      <c r="AS8" s="2015"/>
      <c r="AT8" s="2015"/>
    </row>
    <row r="9" spans="1:55" s="78" customFormat="1" ht="23.25" customHeight="1">
      <c r="A9" s="2035" t="str">
        <f>"‡gvevBj bst +88 "&amp;'Data Input'!D16</f>
        <v>‡gvevBj bst +88 01923-401539</v>
      </c>
      <c r="B9" s="2035"/>
      <c r="C9" s="2035"/>
      <c r="D9" s="2035"/>
      <c r="E9" s="2035"/>
      <c r="F9" s="2035"/>
      <c r="G9" s="2035"/>
      <c r="H9" s="2035"/>
      <c r="I9" s="2035"/>
      <c r="J9" s="2035"/>
      <c r="K9" s="2035"/>
      <c r="L9" s="2035"/>
      <c r="M9" s="2035"/>
      <c r="N9" s="2035"/>
      <c r="O9" s="2035"/>
      <c r="P9" s="2035"/>
      <c r="Q9" s="2035"/>
      <c r="R9" s="2035"/>
      <c r="S9" s="2035"/>
      <c r="T9" s="2035"/>
      <c r="U9" s="2035"/>
      <c r="V9" s="2035"/>
      <c r="W9" s="2035"/>
      <c r="X9" s="2035"/>
      <c r="Y9" s="2035"/>
      <c r="Z9" s="2035"/>
      <c r="AA9" s="2035"/>
      <c r="AB9" s="2035"/>
      <c r="AC9" s="2035"/>
      <c r="AD9" s="2035"/>
      <c r="AE9" s="2035"/>
      <c r="AF9" s="2035"/>
      <c r="AG9" s="2035"/>
      <c r="AH9" s="2035"/>
      <c r="AI9" s="2035"/>
      <c r="AJ9" s="2035"/>
      <c r="AK9" s="2035"/>
      <c r="AL9" s="2035"/>
      <c r="AM9" s="2035"/>
      <c r="AN9" s="2035"/>
      <c r="AO9" s="2035"/>
      <c r="AP9" s="2035"/>
      <c r="AQ9" s="2035"/>
      <c r="AR9" s="2035"/>
      <c r="AS9" s="2035"/>
      <c r="AT9" s="2035"/>
    </row>
    <row r="10" spans="1:55" s="23" customFormat="1" ht="9" customHeight="1">
      <c r="A10" s="1982"/>
      <c r="B10" s="1982"/>
      <c r="C10" s="1982"/>
      <c r="D10" s="1982"/>
      <c r="E10" s="1982"/>
      <c r="F10" s="1982"/>
      <c r="G10" s="1982"/>
      <c r="H10" s="1982"/>
      <c r="I10" s="1982"/>
      <c r="J10" s="1982"/>
      <c r="K10" s="1982"/>
      <c r="L10" s="1982"/>
      <c r="M10" s="1982"/>
      <c r="N10" s="1982"/>
      <c r="O10" s="1982"/>
      <c r="P10" s="1982"/>
      <c r="Q10" s="1982"/>
      <c r="R10" s="1982"/>
      <c r="S10" s="1982"/>
      <c r="T10" s="1982"/>
      <c r="U10" s="1982"/>
      <c r="V10" s="1982"/>
      <c r="W10" s="1982"/>
      <c r="X10" s="1982"/>
      <c r="Y10" s="1982"/>
      <c r="Z10" s="1982"/>
      <c r="AA10" s="1982"/>
      <c r="AB10" s="1982"/>
      <c r="AC10" s="1982"/>
      <c r="AD10" s="1982"/>
      <c r="AE10" s="1982"/>
      <c r="AF10" s="1982"/>
      <c r="AG10" s="1982"/>
      <c r="AH10" s="1982"/>
      <c r="AI10" s="1982"/>
      <c r="AJ10" s="1982"/>
      <c r="AK10" s="1982"/>
      <c r="AL10" s="1982"/>
      <c r="AM10" s="1982"/>
      <c r="AN10" s="1982"/>
      <c r="AO10" s="1982"/>
      <c r="AP10" s="1982"/>
      <c r="AQ10" s="1982"/>
      <c r="AR10" s="1982"/>
      <c r="AS10" s="1982"/>
      <c r="AT10" s="1982"/>
    </row>
    <row r="11" spans="1:55" s="23" customFormat="1" ht="41.25" customHeight="1">
      <c r="A11" s="2041" t="s">
        <v>515</v>
      </c>
      <c r="B11" s="2041"/>
      <c r="C11" s="2041"/>
      <c r="D11" s="2041"/>
      <c r="E11" s="2041"/>
      <c r="F11" s="2041"/>
      <c r="G11" s="2041"/>
      <c r="H11" s="2041"/>
      <c r="I11" s="2041"/>
      <c r="J11" s="2041"/>
      <c r="K11" s="2041"/>
      <c r="L11" s="2041"/>
      <c r="M11" s="2041"/>
      <c r="N11" s="2041"/>
      <c r="O11" s="2041"/>
      <c r="P11" s="2041"/>
      <c r="Q11" s="2041"/>
      <c r="R11" s="2041"/>
      <c r="S11" s="2041"/>
      <c r="T11" s="2041"/>
      <c r="U11" s="2041"/>
      <c r="V11" s="2041"/>
      <c r="W11" s="2041"/>
      <c r="X11" s="2041"/>
      <c r="Y11" s="2041"/>
      <c r="Z11" s="2041"/>
      <c r="AA11" s="2041"/>
      <c r="AB11" s="2041"/>
      <c r="AC11" s="2041"/>
      <c r="AD11" s="2041"/>
      <c r="AE11" s="2041"/>
      <c r="AF11" s="2041"/>
      <c r="AG11" s="2041"/>
      <c r="AH11" s="2041"/>
      <c r="AI11" s="2041"/>
      <c r="AJ11" s="2041"/>
      <c r="AK11" s="2041"/>
      <c r="AL11" s="2041"/>
      <c r="AM11" s="2041"/>
      <c r="AN11" s="2041"/>
      <c r="AO11" s="2041"/>
      <c r="AP11" s="2041"/>
      <c r="AQ11" s="2041"/>
      <c r="AR11" s="2041"/>
      <c r="AS11" s="2041"/>
      <c r="AT11" s="2041"/>
    </row>
    <row r="12" spans="1:55" s="23" customFormat="1" ht="16.5" customHeight="1">
      <c r="A12" s="12"/>
      <c r="B12" s="12"/>
      <c r="C12" s="12"/>
      <c r="D12" s="12"/>
      <c r="E12" s="12"/>
      <c r="F12" s="12"/>
      <c r="G12" s="12"/>
      <c r="H12" s="12"/>
      <c r="I12" s="12"/>
      <c r="J12" s="12"/>
      <c r="K12" s="12"/>
      <c r="L12" s="12"/>
      <c r="M12" s="12"/>
      <c r="N12" s="12"/>
      <c r="O12" s="12" t="s">
        <v>491</v>
      </c>
      <c r="P12" s="12"/>
      <c r="Q12" s="12"/>
      <c r="R12" s="12"/>
      <c r="S12" s="12"/>
      <c r="T12" s="12"/>
      <c r="U12" s="12"/>
      <c r="V12" s="12"/>
      <c r="W12" s="12"/>
      <c r="X12" s="12"/>
      <c r="Y12" s="12"/>
      <c r="Z12" s="12"/>
      <c r="AA12" s="12"/>
      <c r="AB12" s="12"/>
      <c r="AC12" s="12"/>
      <c r="AD12" s="12"/>
      <c r="AE12" s="12"/>
      <c r="AG12" s="52"/>
      <c r="AH12" s="52"/>
      <c r="AL12" s="43"/>
      <c r="AM12" s="43"/>
      <c r="AN12" s="43"/>
      <c r="AO12" s="55"/>
      <c r="AP12" s="55"/>
      <c r="AQ12" s="55"/>
      <c r="AR12" s="55"/>
      <c r="AS12" s="55"/>
      <c r="AT12" s="44"/>
    </row>
    <row r="13" spans="1:55" s="23" customFormat="1" ht="192.75" customHeight="1" thickBot="1">
      <c r="A13" s="2042" t="e">
        <f ca="1">" Avwg/Avgiv "&amp;'Data Input'!D5&amp;",  Ò"&amp;'Data Input'!D8&amp;"Ó bvgxq  FY  †Km Gi Av‡e`b`bKvix "&amp;'Data Input'!D12&amp;", wcZvi bvgt "&amp;'Data Input'!D13&amp;", gvZvi bvgt "&amp;'Data Input'!D14&amp;", wVKvbvt "&amp;+'Data Input'!D17&amp;", Dc‡Rjvt "&amp;'Data Input'!D22&amp;", ‡Rjvt "&amp;'Data Input'!D23&amp;"| Avwg/Avgiv evsjv‡`k K…wl e¨vsK, "&amp;'Data Input'!D2&amp;", "&amp;'Data Input'!D2&amp;" n‡Z "&amp;'Data Input'!D10&amp;" cwiPvjbvi Rb¨ "&amp;'Data Input'!D11&amp;"/- ("&amp;ConvertCurrencyToBangla('Data Input'!D11)&amp;" )"&amp;" gvÎ PjwZ g~jab F‡Yi Av‡e`b K‡iwQ|"&amp;" eZ©gv‡b e¨emv cÖwZôvb m¤úmvi‡Yi D‡Ï‡k¨ "&amp;'Data Input'!D10&amp;" cwiPvjbvi Rb¨ cwiPvjb e¨q wnmv‡e "&amp;'Data Input'!D11+'Data Input'!G16&amp;" ( "&amp;ConvertCurrencyToBangla('Data Input'!D11+'Data Input'!G16) &amp;") gvÎ cÖ‡qvRb|"&amp;" hvi g‡a¨ "&amp;'Data Input'!G16&amp;" UvKv ( "&amp;ConvertCurrencyToBangla('Data Input'!G16)&amp;" ) gvÎ Avgvi/Avgv‡`i c‡ÿ wewb‡qvM Kiv  m¤¢e| D³ wewb‡qv‡Mi Drm wb¤œiƒct"</f>
        <v>#NAME?</v>
      </c>
      <c r="B13" s="2042"/>
      <c r="C13" s="2042"/>
      <c r="D13" s="2042"/>
      <c r="E13" s="2042"/>
      <c r="F13" s="2042"/>
      <c r="G13" s="2042"/>
      <c r="H13" s="2042"/>
      <c r="I13" s="2042"/>
      <c r="J13" s="2042"/>
      <c r="K13" s="2042"/>
      <c r="L13" s="2042"/>
      <c r="M13" s="2042"/>
      <c r="N13" s="2042"/>
      <c r="O13" s="2042"/>
      <c r="P13" s="2042"/>
      <c r="Q13" s="2042"/>
      <c r="R13" s="2042"/>
      <c r="S13" s="2042"/>
      <c r="T13" s="2042"/>
      <c r="U13" s="2042"/>
      <c r="V13" s="2042"/>
      <c r="W13" s="2042"/>
      <c r="X13" s="2042"/>
      <c r="Y13" s="2042"/>
      <c r="Z13" s="2042"/>
      <c r="AA13" s="2042"/>
      <c r="AB13" s="2042"/>
      <c r="AC13" s="2042"/>
      <c r="AD13" s="2042"/>
      <c r="AE13" s="2042"/>
      <c r="AF13" s="2042"/>
      <c r="AG13" s="2042"/>
      <c r="AH13" s="2042"/>
      <c r="AI13" s="2042"/>
      <c r="AJ13" s="2042"/>
      <c r="AK13" s="2042"/>
      <c r="AL13" s="2042"/>
      <c r="AM13" s="2042"/>
      <c r="AN13" s="2042"/>
      <c r="AO13" s="2042"/>
      <c r="AP13" s="2042"/>
      <c r="AQ13" s="2042"/>
      <c r="AR13" s="2042"/>
      <c r="AS13" s="2042"/>
      <c r="AT13" s="2042"/>
      <c r="AV13" s="63"/>
      <c r="AW13" s="63"/>
      <c r="AX13" s="63"/>
      <c r="AY13" s="63"/>
      <c r="AZ13" s="63"/>
      <c r="BA13" s="63"/>
      <c r="BB13" s="63"/>
      <c r="BC13" s="63"/>
    </row>
    <row r="14" spans="1:55" s="23" customFormat="1" ht="60" customHeight="1" thickBot="1">
      <c r="B14" s="830" t="e">
        <f ca="1">"1) cÖwZôv‡bi MZ eQ‡ii "&amp;'Data Input'!D10&amp;" cwiPvjb e¨q cÖwZ P‡µ "&amp;(#REF!)&amp;" ( "&amp;ConvertCurrencyToBangla((#REF!))&amp;" ) UvKv gvÎ Gi "&amp;AW14*100&amp;"% A_©vr "&amp;((#REF!*AW14)&amp;" UvKv ( "&amp;ConvertCurrencyToBangla((#REF!*AW14))&amp;" ) gvÎ|")</f>
        <v>#REF!</v>
      </c>
      <c r="C14" s="830"/>
      <c r="D14" s="830"/>
      <c r="E14" s="830"/>
      <c r="F14" s="830"/>
      <c r="G14" s="830"/>
      <c r="H14" s="830"/>
      <c r="I14" s="830"/>
      <c r="J14" s="830"/>
      <c r="K14" s="830"/>
      <c r="L14" s="830"/>
      <c r="M14" s="830"/>
      <c r="N14" s="830"/>
      <c r="O14" s="830"/>
      <c r="P14" s="830"/>
      <c r="Q14" s="830"/>
      <c r="R14" s="830"/>
      <c r="S14" s="830"/>
      <c r="T14" s="830"/>
      <c r="U14" s="830"/>
      <c r="V14" s="830"/>
      <c r="W14" s="830"/>
      <c r="X14" s="830"/>
      <c r="Y14" s="830"/>
      <c r="Z14" s="830"/>
      <c r="AA14" s="830"/>
      <c r="AB14" s="830"/>
      <c r="AC14" s="830"/>
      <c r="AD14" s="830"/>
      <c r="AE14" s="830"/>
      <c r="AF14" s="830"/>
      <c r="AG14" s="830"/>
      <c r="AH14" s="830"/>
      <c r="AI14" s="830"/>
      <c r="AJ14" s="830"/>
      <c r="AK14" s="830"/>
      <c r="AL14" s="830"/>
      <c r="AM14" s="830"/>
      <c r="AN14" s="830"/>
      <c r="AO14" s="830"/>
      <c r="AP14" s="830"/>
      <c r="AQ14" s="830"/>
      <c r="AR14" s="830"/>
      <c r="AS14" s="830"/>
      <c r="AT14" s="830"/>
      <c r="AV14" s="177" t="s">
        <v>524</v>
      </c>
      <c r="AW14" s="179">
        <v>0.3</v>
      </c>
      <c r="AX14" s="182"/>
      <c r="AY14" s="178"/>
      <c r="AZ14" s="2037" t="e">
        <f>(#REF!*AW14)</f>
        <v>#REF!</v>
      </c>
      <c r="BA14" s="2038"/>
      <c r="BB14" s="63"/>
      <c r="BC14" s="63"/>
    </row>
    <row r="15" spans="1:55" s="23" customFormat="1" ht="44.25" customHeight="1" thickBot="1">
      <c r="B15" s="805" t="e">
        <f t="array" aca="1" ref="B15" ca="1">"2)   MZ eQ‡i cÖwZôv‡b "&amp;'Data Input'!D10&amp;" cwiPvjbv Kivi ci eQ‡ii jf¨vs†ki "&amp;TEXT((+'Data Input'!D11+'Data Input'!G16)*AW15,0)&amp;" UvKv ( "&amp;ConvertCurrencyToBangla(TEXT((+'Data Input'!D11+'Data Input'!G16)*AW15,0))&amp;" ) gvÎ|"</f>
        <v>#NAME?</v>
      </c>
      <c r="C15" s="805"/>
      <c r="D15" s="805"/>
      <c r="E15" s="805"/>
      <c r="F15" s="805"/>
      <c r="G15" s="805"/>
      <c r="H15" s="805"/>
      <c r="I15" s="805"/>
      <c r="J15" s="805"/>
      <c r="K15" s="805"/>
      <c r="L15" s="805"/>
      <c r="M15" s="805"/>
      <c r="N15" s="805"/>
      <c r="O15" s="805"/>
      <c r="P15" s="805"/>
      <c r="Q15" s="805"/>
      <c r="R15" s="805"/>
      <c r="S15" s="805"/>
      <c r="T15" s="805"/>
      <c r="U15" s="805"/>
      <c r="V15" s="805"/>
      <c r="W15" s="805"/>
      <c r="X15" s="805"/>
      <c r="Y15" s="805"/>
      <c r="Z15" s="805"/>
      <c r="AA15" s="805"/>
      <c r="AB15" s="805"/>
      <c r="AC15" s="805"/>
      <c r="AD15" s="805"/>
      <c r="AE15" s="805"/>
      <c r="AF15" s="805"/>
      <c r="AG15" s="805"/>
      <c r="AH15" s="805"/>
      <c r="AI15" s="805"/>
      <c r="AJ15" s="805"/>
      <c r="AK15" s="805"/>
      <c r="AL15" s="805"/>
      <c r="AM15" s="805"/>
      <c r="AN15" s="805"/>
      <c r="AO15" s="805"/>
      <c r="AP15" s="805"/>
      <c r="AQ15" s="805"/>
      <c r="AR15" s="805"/>
      <c r="AS15" s="805"/>
      <c r="AT15" s="805"/>
      <c r="AV15" s="177" t="s">
        <v>525</v>
      </c>
      <c r="AW15" s="179">
        <v>0.12</v>
      </c>
      <c r="AX15" s="182"/>
      <c r="AY15" s="178"/>
      <c r="AZ15" s="2039" t="str">
        <f>TEXT((+'Data Input'!D11+'Data Input'!G16)*AW15,0)</f>
        <v>0</v>
      </c>
      <c r="BA15" s="2040"/>
      <c r="BB15" s="63"/>
      <c r="BC15" s="63"/>
    </row>
    <row r="16" spans="1:55" s="23" customFormat="1" ht="18" customHeight="1">
      <c r="B16" s="805" t="e">
        <f ca="1">"3)   K…wl Rwg‡Z Drcbœ "&amp;AW16&amp;" "&amp;AX16&amp;" "&amp;AV16&amp;", cÖwZ "&amp;AX16&amp;" "&amp;AY16&amp;" UvKv `‡i "&amp;AW16*AY16&amp;" UvKv ( "&amp;ConvertCurrencyToBangla(AW16*AY16)&amp;" ) Ges "&amp;AY17&amp;" UvKv `‡i "&amp;AW17&amp;" "&amp;AX17&amp;" "&amp;AV17&amp;" weµq eve` cÖvß "&amp;AW17*AY17&amp;" ("&amp;ConvertCurrencyToBangla(AW17*AY17)&amp;" ), me©†gvU "&amp;AW16*AY16+AW17*AY17&amp;" UvKv  ( "&amp;ConvertCurrencyToBangla(AW16*AY16+AW17*AY17)&amp;" ) gvÎ Avq nq|"</f>
        <v>#NAME?</v>
      </c>
      <c r="C16" s="805"/>
      <c r="D16" s="805"/>
      <c r="E16" s="805"/>
      <c r="F16" s="805"/>
      <c r="G16" s="805"/>
      <c r="H16" s="805"/>
      <c r="I16" s="805"/>
      <c r="J16" s="805"/>
      <c r="K16" s="805"/>
      <c r="L16" s="805"/>
      <c r="M16" s="805"/>
      <c r="N16" s="805"/>
      <c r="O16" s="805"/>
      <c r="P16" s="805"/>
      <c r="Q16" s="805"/>
      <c r="R16" s="805"/>
      <c r="S16" s="805"/>
      <c r="T16" s="805"/>
      <c r="U16" s="805"/>
      <c r="V16" s="805"/>
      <c r="W16" s="805"/>
      <c r="X16" s="805"/>
      <c r="Y16" s="805"/>
      <c r="Z16" s="805"/>
      <c r="AA16" s="805"/>
      <c r="AB16" s="805"/>
      <c r="AC16" s="805"/>
      <c r="AD16" s="805"/>
      <c r="AE16" s="805"/>
      <c r="AF16" s="805"/>
      <c r="AG16" s="805"/>
      <c r="AH16" s="805"/>
      <c r="AI16" s="805"/>
      <c r="AJ16" s="805"/>
      <c r="AK16" s="805"/>
      <c r="AL16" s="805"/>
      <c r="AM16" s="805"/>
      <c r="AN16" s="805"/>
      <c r="AO16" s="805"/>
      <c r="AP16" s="805"/>
      <c r="AQ16" s="805"/>
      <c r="AR16" s="805"/>
      <c r="AS16" s="805"/>
      <c r="AT16" s="805"/>
      <c r="AV16" s="169" t="s">
        <v>698</v>
      </c>
      <c r="AW16" s="180">
        <v>120</v>
      </c>
      <c r="AX16" s="171" t="s">
        <v>519</v>
      </c>
      <c r="AY16" s="170">
        <v>1400</v>
      </c>
      <c r="AZ16" s="172">
        <f>+AW16*AY16</f>
        <v>168000</v>
      </c>
      <c r="BA16" s="2031">
        <f>SUM(AZ16:AZ19)</f>
        <v>468000</v>
      </c>
      <c r="BB16" s="63"/>
      <c r="BC16" s="63"/>
    </row>
    <row r="17" spans="1:60" s="23" customFormat="1" ht="18" customHeight="1" thickBot="1">
      <c r="B17" s="805"/>
      <c r="C17" s="805"/>
      <c r="D17" s="805"/>
      <c r="E17" s="805"/>
      <c r="F17" s="805"/>
      <c r="G17" s="805"/>
      <c r="H17" s="805"/>
      <c r="I17" s="805"/>
      <c r="J17" s="805"/>
      <c r="K17" s="805"/>
      <c r="L17" s="805"/>
      <c r="M17" s="805"/>
      <c r="N17" s="805"/>
      <c r="O17" s="805"/>
      <c r="P17" s="805"/>
      <c r="Q17" s="805"/>
      <c r="R17" s="805"/>
      <c r="S17" s="805"/>
      <c r="T17" s="805"/>
      <c r="U17" s="805"/>
      <c r="V17" s="805"/>
      <c r="W17" s="805"/>
      <c r="X17" s="805"/>
      <c r="Y17" s="805"/>
      <c r="Z17" s="805"/>
      <c r="AA17" s="805"/>
      <c r="AB17" s="805"/>
      <c r="AC17" s="805"/>
      <c r="AD17" s="805"/>
      <c r="AE17" s="805"/>
      <c r="AF17" s="805"/>
      <c r="AG17" s="805"/>
      <c r="AH17" s="805"/>
      <c r="AI17" s="805"/>
      <c r="AJ17" s="805"/>
      <c r="AK17" s="805"/>
      <c r="AL17" s="805"/>
      <c r="AM17" s="805"/>
      <c r="AN17" s="805"/>
      <c r="AO17" s="805"/>
      <c r="AP17" s="805"/>
      <c r="AQ17" s="805"/>
      <c r="AR17" s="805"/>
      <c r="AS17" s="805"/>
      <c r="AT17" s="805"/>
      <c r="AV17" s="173" t="s">
        <v>384</v>
      </c>
      <c r="AW17" s="181">
        <v>100</v>
      </c>
      <c r="AX17" s="175" t="s">
        <v>519</v>
      </c>
      <c r="AY17" s="174">
        <v>3000</v>
      </c>
      <c r="AZ17" s="176">
        <f>+AW17*AY17</f>
        <v>300000</v>
      </c>
      <c r="BA17" s="2032"/>
      <c r="BB17" s="63"/>
      <c r="BC17" s="63"/>
    </row>
    <row r="18" spans="1:60" s="23" customFormat="1" ht="18" customHeight="1">
      <c r="B18" s="805"/>
      <c r="C18" s="805"/>
      <c r="D18" s="805"/>
      <c r="E18" s="805"/>
      <c r="F18" s="805"/>
      <c r="G18" s="805"/>
      <c r="H18" s="805"/>
      <c r="I18" s="805"/>
      <c r="J18" s="805"/>
      <c r="K18" s="805"/>
      <c r="L18" s="805"/>
      <c r="M18" s="805"/>
      <c r="N18" s="805"/>
      <c r="O18" s="805"/>
      <c r="P18" s="805"/>
      <c r="Q18" s="805"/>
      <c r="R18" s="805"/>
      <c r="S18" s="805"/>
      <c r="T18" s="805"/>
      <c r="U18" s="805"/>
      <c r="V18" s="805"/>
      <c r="W18" s="805"/>
      <c r="X18" s="805"/>
      <c r="Y18" s="805"/>
      <c r="Z18" s="805"/>
      <c r="AA18" s="805"/>
      <c r="AB18" s="805"/>
      <c r="AC18" s="805"/>
      <c r="AD18" s="805"/>
      <c r="AE18" s="805"/>
      <c r="AF18" s="805"/>
      <c r="AG18" s="805"/>
      <c r="AH18" s="805"/>
      <c r="AI18" s="805"/>
      <c r="AJ18" s="805"/>
      <c r="AK18" s="805"/>
      <c r="AL18" s="805"/>
      <c r="AM18" s="805"/>
      <c r="AN18" s="805"/>
      <c r="AO18" s="805"/>
      <c r="AP18" s="805"/>
      <c r="AQ18" s="805"/>
      <c r="AR18" s="805"/>
      <c r="AS18" s="805"/>
      <c r="AT18" s="805"/>
      <c r="AV18" s="63"/>
      <c r="AW18" s="63"/>
      <c r="AX18" s="63"/>
      <c r="AY18" s="63"/>
      <c r="AZ18" s="63"/>
      <c r="BA18" s="243" t="e">
        <f>+AZ14+AZ15+BA16</f>
        <v>#REF!</v>
      </c>
      <c r="BB18" s="63"/>
      <c r="BC18" s="63"/>
    </row>
    <row r="19" spans="1:60" s="23" customFormat="1" ht="3.75" customHeight="1">
      <c r="B19" s="805"/>
      <c r="C19" s="805"/>
      <c r="D19" s="805"/>
      <c r="E19" s="805"/>
      <c r="F19" s="805"/>
      <c r="G19" s="805"/>
      <c r="H19" s="805"/>
      <c r="I19" s="805"/>
      <c r="J19" s="805"/>
      <c r="K19" s="805"/>
      <c r="L19" s="805"/>
      <c r="M19" s="805"/>
      <c r="N19" s="805"/>
      <c r="O19" s="805"/>
      <c r="P19" s="805"/>
      <c r="Q19" s="805"/>
      <c r="R19" s="805"/>
      <c r="S19" s="805"/>
      <c r="T19" s="805"/>
      <c r="U19" s="805"/>
      <c r="V19" s="805"/>
      <c r="W19" s="805"/>
      <c r="X19" s="805"/>
      <c r="Y19" s="805"/>
      <c r="Z19" s="805"/>
      <c r="AA19" s="805"/>
      <c r="AB19" s="805"/>
      <c r="AC19" s="805"/>
      <c r="AD19" s="805"/>
      <c r="AE19" s="805"/>
      <c r="AF19" s="805"/>
      <c r="AG19" s="805"/>
      <c r="AH19" s="805"/>
      <c r="AI19" s="805"/>
      <c r="AJ19" s="805"/>
      <c r="AK19" s="805"/>
      <c r="AL19" s="805"/>
      <c r="AM19" s="805"/>
      <c r="AN19" s="805"/>
      <c r="AO19" s="805"/>
      <c r="AP19" s="805"/>
      <c r="AQ19" s="805"/>
      <c r="AR19" s="805"/>
      <c r="AS19" s="805"/>
      <c r="AT19" s="805"/>
      <c r="BA19" s="23" t="e">
        <f>SUM(BA14:BA18)</f>
        <v>#REF!</v>
      </c>
    </row>
    <row r="20" spans="1:60" s="23" customFormat="1" ht="68.25" customHeight="1">
      <c r="A20" s="830" t="e">
        <f t="array" aca="1" ref="A20" ca="1">"Dc‡iv³ (1+2+3) n‡Z cÖvß "&amp;BA18&amp;" UvKv ( "&amp;ConvertCurrencyToBangla(BA18)&amp;" ) gvÎ Gi g‡a¨ "&amp;'Data Input'!G16&amp;"  UvKv ( "&amp;ConvertCurrencyToBangla('Data Input'!G16)&amp;" ) gvÎ hv PjwZ eQ‡i "&amp;'Data Input'!D10&amp;" cwiPvjbvi Rb¨ cÖwZôv‡bi m¤úªmvi‡Yi D‡Ï‡k¨ Avwg wewb‡qvM K‡iwQ| "</f>
        <v>#REF!</v>
      </c>
      <c r="B20" s="830"/>
      <c r="C20" s="830"/>
      <c r="D20" s="830"/>
      <c r="E20" s="830"/>
      <c r="F20" s="830"/>
      <c r="G20" s="830"/>
      <c r="H20" s="830"/>
      <c r="I20" s="830"/>
      <c r="J20" s="830"/>
      <c r="K20" s="830"/>
      <c r="L20" s="830"/>
      <c r="M20" s="830"/>
      <c r="N20" s="830"/>
      <c r="O20" s="830"/>
      <c r="P20" s="830"/>
      <c r="Q20" s="830"/>
      <c r="R20" s="830"/>
      <c r="S20" s="830"/>
      <c r="T20" s="830"/>
      <c r="U20" s="830"/>
      <c r="V20" s="830"/>
      <c r="W20" s="830"/>
      <c r="X20" s="830"/>
      <c r="Y20" s="830"/>
      <c r="Z20" s="830"/>
      <c r="AA20" s="830"/>
      <c r="AB20" s="830"/>
      <c r="AC20" s="830"/>
      <c r="AD20" s="830"/>
      <c r="AE20" s="830"/>
      <c r="AF20" s="830"/>
      <c r="AG20" s="830"/>
      <c r="AH20" s="830"/>
      <c r="AI20" s="830"/>
      <c r="AJ20" s="830"/>
      <c r="AK20" s="830"/>
      <c r="AL20" s="830"/>
      <c r="AM20" s="830"/>
      <c r="AN20" s="830"/>
      <c r="AO20" s="830"/>
      <c r="AP20" s="830"/>
      <c r="AQ20" s="830"/>
      <c r="AR20" s="830"/>
      <c r="AS20" s="830"/>
      <c r="AT20" s="830"/>
      <c r="BA20" s="164"/>
    </row>
    <row r="21" spans="1:60" s="23" customFormat="1" ht="48" customHeight="1">
      <c r="P21" s="12"/>
      <c r="Q21" s="12"/>
      <c r="R21" s="12"/>
      <c r="S21" s="12"/>
      <c r="T21" s="12"/>
      <c r="U21" s="12"/>
      <c r="V21" s="12"/>
      <c r="W21" s="12"/>
      <c r="X21" s="12"/>
      <c r="Y21" s="12"/>
      <c r="Z21" s="12"/>
      <c r="AA21" s="12"/>
      <c r="AB21" s="12"/>
      <c r="AC21" s="12"/>
      <c r="AD21" s="12"/>
      <c r="AE21" s="12"/>
      <c r="AF21" s="2034"/>
      <c r="AG21" s="2034"/>
      <c r="AH21" s="2034"/>
      <c r="AI21" s="2034"/>
      <c r="AJ21" s="2034"/>
      <c r="AK21" s="2034"/>
      <c r="AL21" s="2034"/>
      <c r="AM21" s="2034"/>
      <c r="AN21" s="2034"/>
      <c r="AO21" s="2034"/>
      <c r="AP21" s="2034"/>
      <c r="AQ21" s="2034"/>
      <c r="AR21" s="2034"/>
      <c r="AS21" s="2034"/>
      <c r="AT21" s="2034"/>
    </row>
    <row r="22" spans="1:60" s="23" customFormat="1" ht="18.75" customHeight="1">
      <c r="P22" s="804" t="s">
        <v>492</v>
      </c>
      <c r="Q22" s="804"/>
      <c r="R22" s="804"/>
      <c r="S22" s="804"/>
      <c r="T22" s="804"/>
      <c r="U22" s="804"/>
      <c r="V22" s="804"/>
      <c r="W22" s="804"/>
      <c r="X22" s="804"/>
      <c r="Y22" s="804"/>
      <c r="Z22" s="804"/>
      <c r="AA22" s="804"/>
      <c r="AB22" s="804"/>
      <c r="AC22" s="804"/>
      <c r="AD22" s="804"/>
      <c r="AE22" s="804"/>
      <c r="AF22" s="804"/>
      <c r="AG22" s="804"/>
      <c r="AH22" s="804"/>
      <c r="AI22" s="66"/>
      <c r="AJ22" s="66"/>
      <c r="AK22" s="66"/>
      <c r="AL22" s="66"/>
      <c r="AM22" s="66"/>
      <c r="AN22" s="66"/>
      <c r="AO22" s="66"/>
      <c r="AP22" s="66"/>
      <c r="AQ22" s="66"/>
      <c r="AR22" s="66"/>
      <c r="AS22" s="66"/>
      <c r="AT22" s="66"/>
    </row>
    <row r="23" spans="1:60" s="23" customFormat="1" ht="18.75" customHeight="1">
      <c r="P23" s="804" t="str">
        <f>+'Data Input'!D8</f>
        <v>‡gmvm© mvbd¬vIqvi †UBjvm© GÛ †dweªK&amp;ª</v>
      </c>
      <c r="Q23" s="804"/>
      <c r="R23" s="804"/>
      <c r="S23" s="804"/>
      <c r="T23" s="804"/>
      <c r="U23" s="804"/>
      <c r="V23" s="804"/>
      <c r="W23" s="804"/>
      <c r="X23" s="804"/>
      <c r="Y23" s="804"/>
      <c r="Z23" s="804"/>
      <c r="AA23" s="804"/>
      <c r="AB23" s="804"/>
      <c r="AC23" s="804"/>
      <c r="AD23" s="804"/>
      <c r="AE23" s="804"/>
      <c r="AF23" s="804"/>
      <c r="AG23" s="804"/>
      <c r="AH23" s="804"/>
      <c r="AI23" s="66"/>
      <c r="AJ23" s="66"/>
      <c r="AK23" s="66"/>
      <c r="AL23" s="66"/>
      <c r="AM23" s="66"/>
      <c r="AN23" s="66"/>
      <c r="AO23" s="66"/>
      <c r="AP23" s="66"/>
      <c r="AQ23" s="66"/>
      <c r="AR23" s="66"/>
      <c r="AS23" s="66"/>
      <c r="AT23" s="66"/>
    </row>
    <row r="24" spans="1:60" s="23" customFormat="1" ht="18.75" customHeight="1">
      <c r="P24" s="887" t="str">
        <f>+'Data Input'!D12</f>
        <v>‡gvt Rwb</v>
      </c>
      <c r="Q24" s="887"/>
      <c r="R24" s="887"/>
      <c r="S24" s="887"/>
      <c r="T24" s="887"/>
      <c r="U24" s="887"/>
      <c r="V24" s="887"/>
      <c r="W24" s="887"/>
      <c r="X24" s="887"/>
      <c r="Y24" s="887"/>
      <c r="Z24" s="887"/>
      <c r="AA24" s="887"/>
      <c r="AB24" s="887"/>
      <c r="AC24" s="887"/>
      <c r="AD24" s="887"/>
      <c r="AE24" s="887"/>
      <c r="AF24" s="887"/>
      <c r="AG24" s="887"/>
      <c r="AH24" s="887"/>
      <c r="AI24" s="105"/>
      <c r="AJ24" s="105"/>
      <c r="AK24" s="105"/>
      <c r="AL24" s="105"/>
      <c r="AM24" s="105"/>
      <c r="AN24" s="105"/>
      <c r="AO24" s="105"/>
      <c r="AP24" s="105"/>
      <c r="AQ24" s="105"/>
      <c r="AR24" s="105"/>
      <c r="AS24" s="105"/>
      <c r="AT24" s="105"/>
    </row>
    <row r="25" spans="1:60" s="23" customFormat="1" ht="18" customHeight="1">
      <c r="P25" s="887"/>
      <c r="Q25" s="887"/>
      <c r="R25" s="887"/>
      <c r="S25" s="887"/>
      <c r="T25" s="887"/>
      <c r="U25" s="887"/>
      <c r="V25" s="887"/>
      <c r="W25" s="887"/>
      <c r="X25" s="887"/>
      <c r="Y25" s="887"/>
      <c r="Z25" s="887"/>
      <c r="AA25" s="887"/>
      <c r="AB25" s="887"/>
      <c r="AC25" s="887"/>
      <c r="AD25" s="887"/>
      <c r="AE25" s="887"/>
      <c r="AF25" s="887"/>
      <c r="AG25" s="887"/>
      <c r="AH25" s="887"/>
      <c r="AI25" s="105"/>
      <c r="AJ25" s="105"/>
      <c r="AK25" s="105"/>
      <c r="AL25" s="105"/>
      <c r="AM25" s="105"/>
      <c r="AN25" s="105"/>
      <c r="AO25" s="105"/>
      <c r="AP25" s="105"/>
      <c r="AQ25" s="105"/>
      <c r="AR25" s="105"/>
      <c r="AS25" s="105"/>
      <c r="AT25" s="105"/>
    </row>
    <row r="26" spans="1:60" s="23" customFormat="1" ht="42.75" customHeight="1">
      <c r="W26" s="12"/>
      <c r="X26" s="12"/>
      <c r="Y26" s="12"/>
      <c r="Z26" s="12"/>
      <c r="AA26" s="93"/>
      <c r="AB26" s="93"/>
      <c r="AC26" s="93"/>
      <c r="AD26" s="93"/>
      <c r="AE26" s="93"/>
      <c r="AF26" s="93"/>
      <c r="AG26" s="93"/>
      <c r="AH26" s="93"/>
      <c r="AI26" s="93"/>
      <c r="AJ26" s="93"/>
      <c r="AK26" s="93"/>
      <c r="AL26" s="93"/>
      <c r="AM26" s="93"/>
      <c r="AN26" s="93"/>
      <c r="AO26" s="93"/>
      <c r="AP26" s="93"/>
      <c r="AQ26" s="93"/>
      <c r="AR26" s="93"/>
      <c r="AS26" s="93"/>
      <c r="AT26" s="93"/>
    </row>
    <row r="27" spans="1:60" s="123" customFormat="1" ht="16.5" customHeight="1">
      <c r="B27" s="2033" t="s">
        <v>534</v>
      </c>
      <c r="C27" s="2033"/>
      <c r="D27" s="2033"/>
      <c r="E27" s="2033"/>
      <c r="F27" s="2033"/>
      <c r="G27" s="2033"/>
      <c r="H27" s="2033"/>
      <c r="I27" s="2033"/>
      <c r="J27" s="2033"/>
      <c r="K27" s="2033"/>
      <c r="L27" s="2033"/>
      <c r="M27" s="5"/>
      <c r="N27" s="5"/>
      <c r="O27" s="66"/>
      <c r="P27" s="66"/>
      <c r="R27" s="64"/>
      <c r="S27" s="64"/>
      <c r="T27" s="64"/>
      <c r="U27" s="64"/>
      <c r="V27" s="64"/>
      <c r="W27" s="64"/>
      <c r="X27" s="66"/>
      <c r="Y27" s="66"/>
      <c r="Z27" s="66"/>
      <c r="AA27" s="66"/>
      <c r="AB27" s="66"/>
      <c r="AC27" s="66"/>
      <c r="AK27" s="2033" t="s">
        <v>162</v>
      </c>
      <c r="AL27" s="2033"/>
      <c r="AM27" s="2033"/>
      <c r="AN27" s="2033"/>
      <c r="AO27" s="2033"/>
      <c r="AP27" s="2033"/>
      <c r="AQ27" s="2033"/>
      <c r="AR27" s="2033"/>
      <c r="AS27" s="2033"/>
      <c r="AT27" s="138"/>
    </row>
    <row r="28" spans="1:60" s="123" customFormat="1" ht="18.75" customHeight="1">
      <c r="B28" s="804" t="s">
        <v>0</v>
      </c>
      <c r="C28" s="804"/>
      <c r="D28" s="804"/>
      <c r="E28" s="804"/>
      <c r="F28" s="804"/>
      <c r="G28" s="804"/>
      <c r="H28" s="804"/>
      <c r="I28" s="804"/>
      <c r="J28" s="804"/>
      <c r="K28" s="804"/>
      <c r="L28" s="804"/>
      <c r="M28" s="5"/>
      <c r="N28" s="5"/>
      <c r="P28" s="66"/>
      <c r="Q28" s="64"/>
      <c r="R28" s="64"/>
      <c r="S28" s="64"/>
      <c r="T28" s="64"/>
      <c r="U28" s="64"/>
      <c r="V28" s="64"/>
      <c r="W28" s="64"/>
      <c r="X28" s="66"/>
      <c r="Y28" s="66"/>
      <c r="Z28" s="66"/>
      <c r="AA28" s="66"/>
      <c r="AB28" s="66"/>
      <c r="AC28" s="66"/>
      <c r="AD28" s="66"/>
      <c r="AK28" s="804" t="s">
        <v>0</v>
      </c>
      <c r="AL28" s="804"/>
      <c r="AM28" s="804"/>
      <c r="AN28" s="804"/>
      <c r="AO28" s="804"/>
      <c r="AP28" s="804"/>
      <c r="AQ28" s="804"/>
      <c r="AR28" s="804"/>
      <c r="AS28" s="804"/>
      <c r="AT28" s="138"/>
      <c r="AX28" s="3"/>
      <c r="AY28" s="3"/>
      <c r="AZ28" s="3"/>
      <c r="BA28" s="3"/>
      <c r="BB28" s="3"/>
    </row>
    <row r="29" spans="1:60" s="189" customFormat="1" ht="17.25" customHeight="1">
      <c r="B29" s="804" t="str">
        <f>+'Data Input'!D2</f>
        <v>wmw×iMÄ kvLv, bvivqYMÄ</v>
      </c>
      <c r="C29" s="804"/>
      <c r="D29" s="804"/>
      <c r="E29" s="804"/>
      <c r="F29" s="804"/>
      <c r="G29" s="804"/>
      <c r="H29" s="804"/>
      <c r="I29" s="804"/>
      <c r="J29" s="804"/>
      <c r="K29" s="804"/>
      <c r="L29" s="804"/>
      <c r="M29" s="5"/>
      <c r="N29" s="190"/>
      <c r="P29" s="66"/>
      <c r="Q29" s="64"/>
      <c r="R29" s="64"/>
      <c r="S29" s="64"/>
      <c r="T29" s="64"/>
      <c r="U29" s="64"/>
      <c r="V29" s="64"/>
      <c r="W29" s="64"/>
      <c r="X29" s="66"/>
      <c r="Y29" s="66"/>
      <c r="Z29" s="66"/>
      <c r="AA29" s="66"/>
      <c r="AB29" s="66"/>
      <c r="AC29" s="66"/>
      <c r="AD29" s="66"/>
      <c r="AE29" s="123"/>
      <c r="AF29" s="123"/>
      <c r="AG29" s="123"/>
      <c r="AI29" s="804" t="str">
        <f>+'Data Input'!D2</f>
        <v>wmw×iMÄ kvLv, bvivqYMÄ</v>
      </c>
      <c r="AJ29" s="804"/>
      <c r="AK29" s="804"/>
      <c r="AL29" s="804"/>
      <c r="AM29" s="804"/>
      <c r="AN29" s="804"/>
      <c r="AO29" s="804"/>
      <c r="AP29" s="804"/>
      <c r="AQ29" s="804"/>
      <c r="AR29" s="804"/>
      <c r="AS29" s="804"/>
      <c r="AT29" s="804"/>
      <c r="AX29" s="3"/>
      <c r="AY29" s="3"/>
      <c r="AZ29" s="3"/>
      <c r="BA29" s="3"/>
      <c r="BB29" s="3"/>
    </row>
    <row r="30" spans="1:60" s="1" customFormat="1" ht="22.5" customHeight="1">
      <c r="AA30" s="191"/>
      <c r="AB30" s="191"/>
      <c r="AC30" s="191"/>
      <c r="AD30" s="191"/>
      <c r="AE30" s="191"/>
      <c r="AF30" s="191"/>
      <c r="AG30" s="191"/>
      <c r="AH30" s="191"/>
      <c r="AI30" s="191"/>
      <c r="AJ30" s="191"/>
      <c r="AK30" s="191"/>
      <c r="AL30" s="191"/>
      <c r="AM30" s="191"/>
      <c r="AN30" s="191"/>
      <c r="AO30" s="191"/>
      <c r="AP30" s="191"/>
      <c r="AQ30" s="191"/>
      <c r="AW30"/>
      <c r="AX30"/>
      <c r="AY30"/>
      <c r="AZ30"/>
      <c r="BA30"/>
      <c r="BB30"/>
      <c r="BC30"/>
      <c r="BD30"/>
      <c r="BE30"/>
      <c r="BF30"/>
      <c r="BG30"/>
      <c r="BH30"/>
    </row>
    <row r="31" spans="1:60" s="1" customFormat="1" ht="22.5" customHeight="1">
      <c r="A31" s="30"/>
      <c r="B31" s="53"/>
      <c r="C31" s="51"/>
      <c r="D31" s="51"/>
      <c r="E31" s="51"/>
      <c r="F31" s="51"/>
      <c r="G31" s="51"/>
      <c r="H31" s="51"/>
      <c r="I31" s="51"/>
      <c r="J31" s="51"/>
      <c r="K31" s="51"/>
      <c r="L31" s="51"/>
      <c r="M31" s="51"/>
    </row>
    <row r="32" spans="1:60" s="1" customFormat="1" ht="22.5" customHeight="1">
      <c r="A32" s="30"/>
      <c r="B32" s="53"/>
      <c r="C32" s="51"/>
      <c r="D32" s="51"/>
      <c r="E32" s="51"/>
      <c r="F32" s="51"/>
      <c r="G32" s="51"/>
      <c r="H32" s="51"/>
      <c r="I32" s="51"/>
      <c r="J32" s="51"/>
      <c r="K32" s="51"/>
      <c r="L32" s="51"/>
      <c r="M32" s="51"/>
    </row>
    <row r="33" spans="1:2" s="1" customFormat="1" ht="22.5" customHeight="1">
      <c r="A33" s="30"/>
      <c r="B33" s="53"/>
    </row>
  </sheetData>
  <protectedRanges>
    <protectedRange sqref="AW14:AW17 AY16:AY17" name="Range1"/>
  </protectedRanges>
  <mergeCells count="32">
    <mergeCell ref="AZ14:BA14"/>
    <mergeCell ref="AZ15:BA15"/>
    <mergeCell ref="B15:AT15"/>
    <mergeCell ref="A9:AT9"/>
    <mergeCell ref="A10:AT10"/>
    <mergeCell ref="A11:AT11"/>
    <mergeCell ref="A13:AT13"/>
    <mergeCell ref="B14:AT14"/>
    <mergeCell ref="A1:AT1"/>
    <mergeCell ref="A2:AT2"/>
    <mergeCell ref="A3:AE3"/>
    <mergeCell ref="AL3:AN3"/>
    <mergeCell ref="AO3:AS3"/>
    <mergeCell ref="A4:AT4"/>
    <mergeCell ref="A5:AT5"/>
    <mergeCell ref="A6:AT6"/>
    <mergeCell ref="A7:AT7"/>
    <mergeCell ref="A8:AT8"/>
    <mergeCell ref="B29:L29"/>
    <mergeCell ref="AI29:AT29"/>
    <mergeCell ref="BA16:BA17"/>
    <mergeCell ref="A20:AT20"/>
    <mergeCell ref="B27:L27"/>
    <mergeCell ref="AK27:AS27"/>
    <mergeCell ref="B28:L28"/>
    <mergeCell ref="AK28:AS28"/>
    <mergeCell ref="B16:AT19"/>
    <mergeCell ref="AF21:AT21"/>
    <mergeCell ref="P22:AH22"/>
    <mergeCell ref="P23:AH23"/>
    <mergeCell ref="P24:AH24"/>
    <mergeCell ref="P25:AH25"/>
  </mergeCells>
  <pageMargins left="0.43307086614173229" right="0.43307086614173229" top="0.94488188976377963" bottom="0.94488188976377963" header="0.31496062992125984" footer="0.31496062992125984"/>
  <pageSetup paperSize="9" scale="84" orientation="portrait" r:id="rId1"/>
  <headerFooter>
    <oddFooter>&amp;LPrepared By Tariqul Islam; &amp;Z&amp;F&amp;R&amp;"SutonnyMJ,Regular"evsjv‡`k K…wl e¨vsK, c„ôv &amp;P &amp;"-,Regular"of&amp;"SutonnyMJ,Regular" &amp;N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rgb="FFAFFFAF"/>
  </sheetPr>
  <dimension ref="A1:BH35"/>
  <sheetViews>
    <sheetView showGridLines="0" view="pageBreakPreview" zoomScaleSheetLayoutView="100" workbookViewId="0">
      <selection activeCell="AI33" sqref="AI33"/>
    </sheetView>
  </sheetViews>
  <sheetFormatPr defaultRowHeight="18.75" customHeight="1"/>
  <cols>
    <col min="1" max="1" width="3.7109375" customWidth="1"/>
    <col min="2" max="2" width="4.42578125" style="53" customWidth="1"/>
    <col min="3" max="8" width="2.28515625" customWidth="1"/>
    <col min="9" max="9" width="1.28515625" customWidth="1"/>
    <col min="10" max="11" width="2.7109375" customWidth="1"/>
    <col min="12"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1" width="2.28515625" customWidth="1"/>
    <col min="42" max="42" width="3.140625" customWidth="1"/>
    <col min="43" max="43" width="2.28515625" customWidth="1"/>
    <col min="44" max="44" width="2.140625" customWidth="1"/>
    <col min="45" max="45" width="1.7109375" customWidth="1"/>
    <col min="46" max="46" width="3.140625" customWidth="1"/>
    <col min="48" max="48" width="11.42578125" customWidth="1"/>
    <col min="49" max="49" width="11.7109375" customWidth="1"/>
  </cols>
  <sheetData>
    <row r="1" spans="1:51" ht="30.75" customHeight="1">
      <c r="A1" s="1871" t="s">
        <v>0</v>
      </c>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t="str">
        <f>+'Data Input'!D2</f>
        <v>wmw×iMÄ kvLv, bvivqYMÄ</v>
      </c>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t="str">
        <f>+'Data Input'!D3</f>
        <v>Mobile: 01730-708739</v>
      </c>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356" t="str">
        <f>+'Data Input'!D4</f>
        <v>mgrsiddhirgonj@krishibank.org.bd</v>
      </c>
      <c r="B4" s="1356"/>
      <c r="C4" s="1356"/>
      <c r="D4" s="1356"/>
      <c r="E4" s="1356"/>
      <c r="F4" s="1356"/>
      <c r="G4" s="1356"/>
      <c r="H4" s="1356"/>
      <c r="I4" s="1356"/>
      <c r="J4" s="1356"/>
      <c r="K4" s="1356"/>
      <c r="L4" s="1356"/>
      <c r="M4" s="1356"/>
      <c r="N4" s="1356"/>
      <c r="O4" s="1356"/>
      <c r="P4" s="1356"/>
      <c r="Q4" s="1356"/>
      <c r="R4" s="1356"/>
      <c r="S4" s="1356"/>
      <c r="T4" s="1356"/>
      <c r="U4" s="1356"/>
      <c r="V4" s="1356"/>
      <c r="W4" s="1356"/>
      <c r="X4" s="1356"/>
      <c r="Y4" s="1356"/>
      <c r="Z4" s="1356"/>
      <c r="AA4" s="1356"/>
      <c r="AB4" s="1356"/>
      <c r="AC4" s="1356"/>
      <c r="AD4" s="1356"/>
      <c r="AE4" s="1356"/>
      <c r="AF4" s="1356"/>
      <c r="AG4" s="1356"/>
      <c r="AH4" s="1356"/>
      <c r="AI4" s="1356"/>
      <c r="AJ4" s="1356"/>
      <c r="AK4" s="1356"/>
      <c r="AL4" s="1356"/>
      <c r="AM4" s="1356"/>
      <c r="AN4" s="1356"/>
      <c r="AO4" s="1356"/>
      <c r="AP4" s="1356"/>
      <c r="AQ4" s="1356"/>
      <c r="AR4" s="1356"/>
      <c r="AS4" s="1356"/>
      <c r="AT4" s="1356"/>
      <c r="AY4" s="160"/>
    </row>
    <row r="5" spans="1:51" s="23" customFormat="1" ht="16.5" customHeight="1">
      <c r="A5" s="1918" t="str">
        <f>"   "&amp;'Data Input'!B5&amp;""&amp;'Data Input'!D5</f>
        <v xml:space="preserve">   FY †KBm bs64(wmGgGmGgB)/2024-25 </v>
      </c>
      <c r="B5" s="1919"/>
      <c r="C5" s="1919"/>
      <c r="D5" s="1919"/>
      <c r="E5" s="1919"/>
      <c r="F5" s="1919"/>
      <c r="G5" s="1919"/>
      <c r="H5" s="1919"/>
      <c r="I5" s="1919"/>
      <c r="J5" s="1919"/>
      <c r="K5" s="1919"/>
      <c r="L5" s="1919"/>
      <c r="M5" s="1919"/>
      <c r="N5" s="1919"/>
      <c r="O5" s="1919"/>
      <c r="P5" s="1919"/>
      <c r="Q5" s="1919"/>
      <c r="R5" s="1919"/>
      <c r="S5" s="1919"/>
      <c r="T5" s="1919"/>
      <c r="U5" s="1919"/>
      <c r="V5" s="1919"/>
      <c r="W5" s="1919"/>
      <c r="X5" s="1919"/>
      <c r="Y5" s="1919"/>
      <c r="Z5" s="1919"/>
      <c r="AA5" s="1919"/>
      <c r="AB5" s="1919"/>
      <c r="AC5" s="1919"/>
      <c r="AD5" s="1919"/>
      <c r="AE5" s="1919"/>
      <c r="AF5" s="40"/>
      <c r="AG5" s="35"/>
      <c r="AH5" s="35"/>
      <c r="AI5" s="40"/>
      <c r="AJ5" s="40"/>
      <c r="AK5" s="40"/>
      <c r="AL5" s="2049"/>
      <c r="AM5" s="2049"/>
      <c r="AN5" s="2049"/>
      <c r="AO5" s="2050"/>
      <c r="AP5" s="2050"/>
      <c r="AQ5" s="2050"/>
      <c r="AR5" s="2050"/>
      <c r="AS5" s="2050"/>
      <c r="AT5" s="45"/>
    </row>
    <row r="6" spans="1:51" s="23" customFormat="1" ht="9" customHeight="1">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6.5" customHeight="1">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G8" s="52"/>
      <c r="AH8" s="52"/>
      <c r="AL8" s="43"/>
      <c r="AM8" s="43"/>
      <c r="AN8" s="43"/>
      <c r="AO8" s="55"/>
      <c r="AP8" s="55"/>
      <c r="AQ8" s="55"/>
      <c r="AR8" s="55"/>
      <c r="AS8" s="55"/>
      <c r="AT8" s="44"/>
    </row>
    <row r="9" spans="1:51" s="23" customFormat="1" ht="27.75" customHeight="1">
      <c r="A9" s="2046" t="s">
        <v>490</v>
      </c>
      <c r="B9" s="2046"/>
      <c r="C9" s="2046"/>
      <c r="D9" s="2046"/>
      <c r="E9" s="2046"/>
      <c r="F9" s="2046"/>
      <c r="G9" s="2046"/>
      <c r="H9" s="2046"/>
      <c r="I9" s="2046"/>
      <c r="J9" s="2046"/>
      <c r="K9" s="2046"/>
      <c r="L9" s="2046"/>
      <c r="M9" s="2046"/>
      <c r="N9" s="2046"/>
      <c r="O9" s="2046"/>
      <c r="P9" s="2046"/>
      <c r="Q9" s="2046"/>
      <c r="R9" s="2046"/>
      <c r="S9" s="2046"/>
      <c r="T9" s="2046"/>
      <c r="U9" s="2046"/>
      <c r="V9" s="2046"/>
      <c r="W9" s="2046"/>
      <c r="X9" s="2046"/>
      <c r="Y9" s="2046"/>
      <c r="Z9" s="2046"/>
      <c r="AA9" s="2046"/>
      <c r="AB9" s="2046"/>
      <c r="AC9" s="2046"/>
      <c r="AD9" s="2046"/>
      <c r="AE9" s="2046"/>
      <c r="AF9" s="2046"/>
      <c r="AG9" s="2046"/>
      <c r="AH9" s="2046"/>
      <c r="AI9" s="2046"/>
      <c r="AJ9" s="2046"/>
      <c r="AK9" s="2046"/>
      <c r="AL9" s="2046"/>
      <c r="AM9" s="2046"/>
      <c r="AN9" s="2046"/>
      <c r="AO9" s="2046"/>
      <c r="AP9" s="2046"/>
      <c r="AQ9" s="2046"/>
      <c r="AR9" s="2046"/>
      <c r="AS9" s="2046"/>
      <c r="AT9" s="2046"/>
    </row>
    <row r="10" spans="1:51" s="23" customFormat="1" ht="16.5" customHeight="1">
      <c r="A10" s="12"/>
      <c r="B10" s="12"/>
      <c r="C10" s="12"/>
      <c r="D10" s="12"/>
      <c r="E10" s="12"/>
      <c r="F10" s="12"/>
      <c r="G10" s="12"/>
      <c r="H10" s="12"/>
      <c r="I10" s="12"/>
      <c r="J10" s="12"/>
      <c r="K10" s="12"/>
      <c r="L10" s="12"/>
      <c r="M10" s="12"/>
      <c r="N10" s="12"/>
      <c r="O10" s="12" t="s">
        <v>491</v>
      </c>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G11" s="52"/>
      <c r="AH11" s="52"/>
      <c r="AL11" s="43"/>
      <c r="AM11" s="43"/>
      <c r="AN11" s="43"/>
      <c r="AO11" s="55"/>
      <c r="AP11" s="55"/>
      <c r="AQ11" s="55"/>
      <c r="AR11" s="55"/>
      <c r="AS11" s="55"/>
      <c r="AT11" s="44"/>
    </row>
    <row r="12" spans="1:51" s="23" customFormat="1" ht="16.5" customHeight="1">
      <c r="A12" s="12"/>
      <c r="B12" s="12"/>
      <c r="C12" s="12"/>
      <c r="D12" s="12"/>
      <c r="E12" s="2047" t="str">
        <f>"GB g‡g© cÖZ¨qb Kiv hv‡”Q †h, "&amp;'Data Input'!D5&amp;",  Ò"&amp;'Data Input'!D8&amp;"Ó bvgxq  FY  †Km G `y`K Gi †Kvb ai‡Yi gvgjv  †gvKÏgv Ges Af¨šÍixY wbixÿv I evwYwR¨K wbixÿvq ‡Kvb AvcwË bvB|"</f>
        <v>GB g‡g© cÖZ¨qb Kiv hv‡”Q †h, 64(wmGgGmGgB)/2024-25 ,  Ò‡gmvm© mvbd¬vIqvi †UBjvm© GÛ †dweªK&amp;ªÓ bvgxq  FY  †Km G `y`K Gi †Kvb ai‡Yi gvgjv  †gvKÏgv Ges Af¨šÍixY wbixÿv I evwYwR¨K wbixÿvq ‡Kvb AvcwË bvB|</v>
      </c>
      <c r="F12" s="2047"/>
      <c r="G12" s="2047"/>
      <c r="H12" s="2047"/>
      <c r="I12" s="2047"/>
      <c r="J12" s="2047"/>
      <c r="K12" s="2047"/>
      <c r="L12" s="2047"/>
      <c r="M12" s="2047"/>
      <c r="N12" s="2047"/>
      <c r="O12" s="2047"/>
      <c r="P12" s="2047"/>
      <c r="Q12" s="2047"/>
      <c r="R12" s="2047"/>
      <c r="S12" s="2047"/>
      <c r="T12" s="2047"/>
      <c r="U12" s="2047"/>
      <c r="V12" s="2047"/>
      <c r="W12" s="2047"/>
      <c r="X12" s="2047"/>
      <c r="Y12" s="2047"/>
      <c r="Z12" s="2047"/>
      <c r="AA12" s="2047"/>
      <c r="AB12" s="2047"/>
      <c r="AC12" s="2047"/>
      <c r="AD12" s="2047"/>
      <c r="AE12" s="2047"/>
      <c r="AF12" s="2047"/>
      <c r="AG12" s="2047"/>
      <c r="AH12" s="2047"/>
      <c r="AI12" s="2047"/>
      <c r="AJ12" s="2047"/>
      <c r="AK12" s="2047"/>
      <c r="AL12" s="2047"/>
      <c r="AM12" s="2047"/>
      <c r="AN12" s="2047"/>
      <c r="AO12" s="55"/>
      <c r="AP12" s="55"/>
      <c r="AQ12" s="55"/>
      <c r="AR12" s="55"/>
      <c r="AS12" s="55"/>
      <c r="AT12" s="44"/>
    </row>
    <row r="13" spans="1:51" s="23" customFormat="1" ht="16.5" customHeight="1">
      <c r="A13" s="12"/>
      <c r="B13" s="12"/>
      <c r="C13" s="12"/>
      <c r="D13" s="12"/>
      <c r="E13" s="2047"/>
      <c r="F13" s="2047"/>
      <c r="G13" s="2047"/>
      <c r="H13" s="2047"/>
      <c r="I13" s="2047"/>
      <c r="J13" s="2047"/>
      <c r="K13" s="2047"/>
      <c r="L13" s="2047"/>
      <c r="M13" s="2047"/>
      <c r="N13" s="2047"/>
      <c r="O13" s="2047"/>
      <c r="P13" s="2047"/>
      <c r="Q13" s="2047"/>
      <c r="R13" s="2047"/>
      <c r="S13" s="2047"/>
      <c r="T13" s="2047"/>
      <c r="U13" s="2047"/>
      <c r="V13" s="2047"/>
      <c r="W13" s="2047"/>
      <c r="X13" s="2047"/>
      <c r="Y13" s="2047"/>
      <c r="Z13" s="2047"/>
      <c r="AA13" s="2047"/>
      <c r="AB13" s="2047"/>
      <c r="AC13" s="2047"/>
      <c r="AD13" s="2047"/>
      <c r="AE13" s="2047"/>
      <c r="AF13" s="2047"/>
      <c r="AG13" s="2047"/>
      <c r="AH13" s="2047"/>
      <c r="AI13" s="2047"/>
      <c r="AJ13" s="2047"/>
      <c r="AK13" s="2047"/>
      <c r="AL13" s="2047"/>
      <c r="AM13" s="2047"/>
      <c r="AN13" s="2047"/>
      <c r="AO13" s="55"/>
      <c r="AP13" s="55"/>
      <c r="AQ13" s="55"/>
      <c r="AR13" s="55"/>
      <c r="AS13" s="55"/>
      <c r="AT13" s="44"/>
    </row>
    <row r="14" spans="1:51" s="23" customFormat="1" ht="16.5" customHeight="1">
      <c r="B14" s="24"/>
      <c r="C14" s="24"/>
      <c r="D14" s="24"/>
      <c r="E14" s="2047"/>
      <c r="F14" s="2047"/>
      <c r="G14" s="2047"/>
      <c r="H14" s="2047"/>
      <c r="I14" s="2047"/>
      <c r="J14" s="2047"/>
      <c r="K14" s="2047"/>
      <c r="L14" s="2047"/>
      <c r="M14" s="2047"/>
      <c r="N14" s="2047"/>
      <c r="O14" s="2047"/>
      <c r="P14" s="2047"/>
      <c r="Q14" s="2047"/>
      <c r="R14" s="2047"/>
      <c r="S14" s="2047"/>
      <c r="T14" s="2047"/>
      <c r="U14" s="2047"/>
      <c r="V14" s="2047"/>
      <c r="W14" s="2047"/>
      <c r="X14" s="2047"/>
      <c r="Y14" s="2047"/>
      <c r="Z14" s="2047"/>
      <c r="AA14" s="2047"/>
      <c r="AB14" s="2047"/>
      <c r="AC14" s="2047"/>
      <c r="AD14" s="2047"/>
      <c r="AE14" s="2047"/>
      <c r="AF14" s="2047"/>
      <c r="AG14" s="2047"/>
      <c r="AH14" s="2047"/>
      <c r="AI14" s="2047"/>
      <c r="AJ14" s="2047"/>
      <c r="AK14" s="2047"/>
      <c r="AL14" s="2047"/>
      <c r="AM14" s="2047"/>
      <c r="AN14" s="2047"/>
      <c r="AO14" s="24"/>
      <c r="AP14" s="24"/>
      <c r="AQ14" s="24"/>
      <c r="AR14" s="24"/>
      <c r="AS14" s="24"/>
      <c r="AT14" s="24"/>
    </row>
    <row r="15" spans="1:51" s="23" customFormat="1" ht="16.5" customHeight="1">
      <c r="A15" s="24"/>
      <c r="B15" s="24"/>
      <c r="C15" s="24"/>
      <c r="D15" s="24"/>
      <c r="E15" s="2047"/>
      <c r="F15" s="2047"/>
      <c r="G15" s="2047"/>
      <c r="H15" s="2047"/>
      <c r="I15" s="2047"/>
      <c r="J15" s="2047"/>
      <c r="K15" s="2047"/>
      <c r="L15" s="2047"/>
      <c r="M15" s="2047"/>
      <c r="N15" s="2047"/>
      <c r="O15" s="2047"/>
      <c r="P15" s="2047"/>
      <c r="Q15" s="2047"/>
      <c r="R15" s="2047"/>
      <c r="S15" s="2047"/>
      <c r="T15" s="2047"/>
      <c r="U15" s="2047"/>
      <c r="V15" s="2047"/>
      <c r="W15" s="2047"/>
      <c r="X15" s="2047"/>
      <c r="Y15" s="2047"/>
      <c r="Z15" s="2047"/>
      <c r="AA15" s="2047"/>
      <c r="AB15" s="2047"/>
      <c r="AC15" s="2047"/>
      <c r="AD15" s="2047"/>
      <c r="AE15" s="2047"/>
      <c r="AF15" s="2047"/>
      <c r="AG15" s="2047"/>
      <c r="AH15" s="2047"/>
      <c r="AI15" s="2047"/>
      <c r="AJ15" s="2047"/>
      <c r="AK15" s="2047"/>
      <c r="AL15" s="2047"/>
      <c r="AM15" s="2047"/>
      <c r="AN15" s="2047"/>
      <c r="AO15" s="24"/>
      <c r="AP15" s="24"/>
      <c r="AQ15" s="24"/>
      <c r="AR15" s="24"/>
      <c r="AS15" s="24"/>
      <c r="AT15" s="24"/>
    </row>
    <row r="16" spans="1:51" s="23" customFormat="1" ht="16.5" customHeight="1">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row>
    <row r="17" spans="1:60" s="23" customFormat="1" ht="16.5" customHeight="1">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G17" s="52"/>
      <c r="AH17" s="52"/>
      <c r="AL17" s="43"/>
      <c r="AM17" s="43"/>
      <c r="AN17" s="43"/>
      <c r="AO17" s="55"/>
      <c r="AP17" s="55"/>
      <c r="AQ17" s="55"/>
      <c r="AR17" s="55"/>
      <c r="AS17" s="55"/>
      <c r="AT17" s="44"/>
    </row>
    <row r="18" spans="1:60" s="23" customFormat="1" ht="16.5" customHeight="1">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G18" s="52"/>
      <c r="AH18" s="52"/>
      <c r="AL18" s="43"/>
      <c r="AM18" s="43"/>
      <c r="AN18" s="43"/>
      <c r="AO18" s="55"/>
      <c r="AP18" s="55"/>
      <c r="AQ18" s="55"/>
      <c r="AR18" s="55"/>
      <c r="AS18" s="55"/>
      <c r="AT18" s="44"/>
    </row>
    <row r="19" spans="1:60" s="23" customFormat="1" ht="16.5" customHeight="1">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G19" s="52"/>
      <c r="AH19" s="52"/>
      <c r="AL19" s="43"/>
      <c r="AM19" s="43"/>
      <c r="AN19" s="43"/>
      <c r="AO19" s="55"/>
      <c r="AP19" s="55"/>
      <c r="AQ19" s="55"/>
      <c r="AR19" s="55"/>
      <c r="AS19" s="55"/>
      <c r="AT19" s="44"/>
    </row>
    <row r="20" spans="1:60" s="23" customFormat="1" ht="16.5" customHeight="1">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G20" s="52"/>
      <c r="AH20" s="52"/>
      <c r="AL20" s="43"/>
      <c r="AM20" s="43"/>
      <c r="AN20" s="43"/>
      <c r="AO20" s="55"/>
      <c r="AP20" s="55"/>
      <c r="AQ20" s="55"/>
      <c r="AR20" s="55"/>
      <c r="AS20" s="55"/>
      <c r="AT20" s="44"/>
    </row>
    <row r="21" spans="1:60" s="23" customFormat="1" ht="16.5" customHeight="1">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G21" s="52"/>
      <c r="AH21" s="52"/>
      <c r="AL21" s="43"/>
      <c r="AM21" s="43"/>
      <c r="AN21" s="43"/>
      <c r="AO21" s="55"/>
      <c r="AP21" s="55"/>
      <c r="AQ21" s="55"/>
      <c r="AR21" s="55"/>
      <c r="AS21" s="55"/>
      <c r="AT21" s="44"/>
    </row>
    <row r="22" spans="1:60" s="145" customFormat="1" ht="16.5" customHeight="1">
      <c r="A22" s="93"/>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2048" t="s">
        <v>168</v>
      </c>
      <c r="AF22" s="2048"/>
      <c r="AG22" s="2048"/>
      <c r="AH22" s="2048"/>
      <c r="AI22" s="2048"/>
      <c r="AJ22" s="2048"/>
      <c r="AK22" s="2048"/>
      <c r="AL22" s="2048"/>
      <c r="AM22" s="2048"/>
      <c r="AN22" s="2048"/>
      <c r="AO22" s="2048"/>
      <c r="AP22" s="2048"/>
      <c r="AQ22" s="2048"/>
      <c r="AR22" s="2048"/>
      <c r="AS22" s="143"/>
      <c r="AT22" s="144"/>
    </row>
    <row r="23" spans="1:60" s="145" customFormat="1" ht="42" customHeight="1">
      <c r="A23" s="93"/>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2048"/>
      <c r="AF23" s="2048"/>
      <c r="AG23" s="2048"/>
      <c r="AH23" s="2048"/>
      <c r="AI23" s="2048"/>
      <c r="AJ23" s="2048"/>
      <c r="AK23" s="2048"/>
      <c r="AL23" s="2048"/>
      <c r="AM23" s="2048"/>
      <c r="AN23" s="2048"/>
      <c r="AO23" s="2048"/>
      <c r="AP23" s="2048"/>
      <c r="AQ23" s="2048"/>
      <c r="AR23" s="2048"/>
      <c r="AS23" s="143"/>
      <c r="AT23" s="144"/>
    </row>
    <row r="24" spans="1:60" s="78" customFormat="1" ht="17.25" customHeight="1">
      <c r="B24" s="196"/>
      <c r="C24" s="195"/>
      <c r="D24" s="195"/>
      <c r="E24" s="195"/>
      <c r="AE24" s="2044" t="s">
        <v>162</v>
      </c>
      <c r="AF24" s="2044"/>
      <c r="AG24" s="2044"/>
      <c r="AH24" s="2044"/>
      <c r="AI24" s="2044"/>
      <c r="AJ24" s="2044"/>
      <c r="AK24" s="2044"/>
      <c r="AL24" s="2044"/>
      <c r="AM24" s="2044"/>
      <c r="AN24" s="2044"/>
      <c r="AO24" s="2044"/>
      <c r="AP24" s="2044"/>
      <c r="AQ24" s="2044"/>
      <c r="AR24" s="2044"/>
      <c r="AW24" s="76"/>
      <c r="AX24" s="76"/>
      <c r="AY24" s="76"/>
      <c r="AZ24" s="76"/>
      <c r="BA24" s="76"/>
      <c r="BB24" s="76"/>
      <c r="BC24" s="76"/>
      <c r="BD24" s="76"/>
      <c r="BE24" s="76"/>
      <c r="BF24" s="76"/>
      <c r="BG24" s="76"/>
      <c r="BH24" s="76"/>
    </row>
    <row r="25" spans="1:60" s="78" customFormat="1" ht="17.25" customHeight="1">
      <c r="B25" s="196"/>
      <c r="F25" s="197"/>
      <c r="G25" s="197"/>
      <c r="H25" s="197"/>
      <c r="I25" s="197"/>
      <c r="J25" s="197"/>
      <c r="K25" s="197"/>
      <c r="L25" s="197"/>
      <c r="M25" s="197"/>
      <c r="AE25" s="2044" t="s">
        <v>165</v>
      </c>
      <c r="AF25" s="2044"/>
      <c r="AG25" s="2044"/>
      <c r="AH25" s="2044"/>
      <c r="AI25" s="2044"/>
      <c r="AJ25" s="2044"/>
      <c r="AK25" s="2044"/>
      <c r="AL25" s="2044"/>
      <c r="AM25" s="2044"/>
      <c r="AN25" s="2044"/>
      <c r="AO25" s="2044"/>
      <c r="AP25" s="2044"/>
      <c r="AQ25" s="2044"/>
      <c r="AR25" s="2044"/>
      <c r="AW25" s="76"/>
      <c r="AX25" s="76"/>
      <c r="AY25" s="76"/>
      <c r="AZ25" s="76"/>
      <c r="BA25" s="76"/>
      <c r="BB25" s="76"/>
      <c r="BC25" s="76"/>
      <c r="BD25" s="76"/>
      <c r="BE25" s="76"/>
      <c r="BF25" s="76"/>
      <c r="BG25" s="76"/>
      <c r="BH25" s="76"/>
    </row>
    <row r="26" spans="1:60" s="78" customFormat="1" ht="17.25" customHeight="1">
      <c r="B26" s="196"/>
      <c r="C26" s="2043"/>
      <c r="D26" s="2043"/>
      <c r="E26" s="2043"/>
      <c r="F26" s="197"/>
      <c r="G26" s="197"/>
      <c r="H26" s="197"/>
      <c r="I26" s="197"/>
      <c r="J26" s="197"/>
      <c r="K26" s="197"/>
      <c r="L26" s="197"/>
      <c r="M26" s="197"/>
      <c r="AE26" s="2044" t="str">
        <f>+A2</f>
        <v>wmw×iMÄ kvLv, bvivqYMÄ</v>
      </c>
      <c r="AF26" s="2044"/>
      <c r="AG26" s="2044"/>
      <c r="AH26" s="2044"/>
      <c r="AI26" s="2044"/>
      <c r="AJ26" s="2044"/>
      <c r="AK26" s="2044"/>
      <c r="AL26" s="2044"/>
      <c r="AM26" s="2044"/>
      <c r="AN26" s="2044"/>
      <c r="AO26" s="2044"/>
      <c r="AP26" s="2044"/>
      <c r="AQ26" s="2044"/>
      <c r="AR26" s="2044"/>
      <c r="AW26" s="76"/>
      <c r="AX26" s="76"/>
      <c r="AY26" s="76"/>
      <c r="AZ26" s="76"/>
      <c r="BA26" s="76"/>
      <c r="BB26" s="76"/>
      <c r="BC26" s="76"/>
      <c r="BD26" s="76"/>
      <c r="BE26" s="76"/>
      <c r="BF26" s="76"/>
      <c r="BG26" s="76"/>
      <c r="BH26" s="76"/>
    </row>
    <row r="27" spans="1:60" s="1" customFormat="1" ht="17.25" customHeight="1">
      <c r="B27" s="54"/>
      <c r="C27" s="39"/>
      <c r="D27" s="39"/>
      <c r="E27" s="39"/>
      <c r="F27" s="51"/>
      <c r="G27" s="51"/>
      <c r="H27" s="51"/>
      <c r="I27" s="51"/>
      <c r="J27" s="51"/>
      <c r="K27" s="51"/>
      <c r="L27" s="51"/>
      <c r="M27" s="51"/>
      <c r="AE27" s="2045" t="s">
        <v>169</v>
      </c>
      <c r="AF27" s="2045"/>
      <c r="AG27" s="2045"/>
      <c r="AH27" s="2045"/>
      <c r="AI27" s="2045"/>
      <c r="AJ27" s="2045"/>
      <c r="AK27" s="2045"/>
      <c r="AL27" s="2045"/>
      <c r="AM27" s="2045"/>
      <c r="AN27" s="2045"/>
      <c r="AO27" s="2045"/>
      <c r="AP27" s="2045"/>
      <c r="AQ27" s="2045"/>
      <c r="AR27" s="2045"/>
      <c r="AW27"/>
      <c r="AX27"/>
      <c r="AY27"/>
      <c r="AZ27"/>
      <c r="BA27" s="60"/>
      <c r="BB27" s="60"/>
      <c r="BC27" s="60"/>
      <c r="BD27" s="60"/>
    </row>
    <row r="28" spans="1:60" s="1" customFormat="1" ht="18.75" customHeight="1">
      <c r="B28" s="54"/>
      <c r="C28" s="39"/>
      <c r="D28" s="39"/>
      <c r="E28" s="39"/>
      <c r="F28" s="51"/>
      <c r="G28" s="51"/>
      <c r="H28" s="51"/>
      <c r="I28" s="51"/>
      <c r="J28" s="51"/>
      <c r="K28" s="51"/>
      <c r="L28" s="51"/>
      <c r="M28" s="51"/>
      <c r="AW28"/>
      <c r="AX28"/>
      <c r="AY28"/>
      <c r="AZ28"/>
      <c r="BA28" s="60"/>
      <c r="BB28" s="60"/>
      <c r="BC28" s="60"/>
      <c r="BD28" s="60"/>
    </row>
    <row r="29" spans="1:60" s="1" customFormat="1" ht="18.75" customHeight="1">
      <c r="B29" s="54"/>
      <c r="C29" s="1866"/>
      <c r="D29" s="1866"/>
      <c r="E29" s="1866"/>
      <c r="F29" s="51"/>
      <c r="G29" s="51"/>
      <c r="H29" s="51"/>
      <c r="I29" s="51"/>
      <c r="J29" s="51"/>
      <c r="K29" s="51"/>
      <c r="L29" s="51"/>
      <c r="M29" s="51"/>
      <c r="AW29"/>
      <c r="AX29"/>
      <c r="AY29"/>
      <c r="AZ29"/>
      <c r="BA29" s="60"/>
      <c r="BB29" s="60"/>
      <c r="BC29" s="60"/>
      <c r="BD29" s="60"/>
    </row>
    <row r="30" spans="1:60" s="1" customFormat="1" ht="18.75" customHeight="1">
      <c r="B30" s="54"/>
      <c r="C30" s="1866"/>
      <c r="D30" s="1866"/>
      <c r="E30" s="1866"/>
      <c r="F30" s="51"/>
      <c r="G30" s="51"/>
      <c r="H30" s="51"/>
      <c r="I30" s="51"/>
      <c r="J30" s="51"/>
      <c r="K30" s="51"/>
      <c r="L30" s="51"/>
      <c r="M30" s="51"/>
      <c r="AW30"/>
      <c r="AX30"/>
      <c r="AY30"/>
      <c r="AZ30"/>
      <c r="BA30" s="60"/>
      <c r="BB30" s="60"/>
      <c r="BC30" s="60"/>
      <c r="BD30" s="60"/>
    </row>
    <row r="31" spans="1:60" s="1" customFormat="1" ht="11.25" customHeight="1">
      <c r="B31" s="54"/>
      <c r="F31" s="51"/>
      <c r="G31" s="51"/>
      <c r="H31" s="51"/>
      <c r="I31" s="51"/>
      <c r="J31" s="51"/>
      <c r="K31" s="51"/>
      <c r="L31" s="51"/>
      <c r="M31" s="51"/>
    </row>
    <row r="32" spans="1:60" s="1" customFormat="1" ht="18.75" customHeight="1">
      <c r="B32" s="54"/>
      <c r="F32" s="51"/>
      <c r="G32" s="51"/>
      <c r="H32" s="51"/>
      <c r="I32" s="51"/>
      <c r="J32" s="51"/>
      <c r="K32" s="51"/>
      <c r="L32" s="51"/>
      <c r="M32" s="51"/>
    </row>
    <row r="33" spans="1:13" s="1" customFormat="1" ht="18.75" customHeight="1">
      <c r="A33" s="30"/>
      <c r="B33" s="53"/>
      <c r="C33" s="51"/>
      <c r="D33" s="51"/>
      <c r="E33" s="51"/>
      <c r="F33" s="51"/>
      <c r="G33" s="51"/>
      <c r="H33" s="51"/>
      <c r="I33" s="51"/>
      <c r="J33" s="51"/>
      <c r="K33" s="51"/>
      <c r="L33" s="51"/>
      <c r="M33" s="51"/>
    </row>
    <row r="34" spans="1:13" s="1" customFormat="1" ht="18.75" customHeight="1">
      <c r="A34" s="30"/>
      <c r="B34" s="53"/>
      <c r="C34" s="51"/>
      <c r="D34" s="51"/>
      <c r="E34" s="51"/>
      <c r="F34" s="51"/>
      <c r="G34" s="51"/>
      <c r="H34" s="51"/>
      <c r="I34" s="51"/>
      <c r="J34" s="51"/>
      <c r="K34" s="51"/>
      <c r="L34" s="51"/>
      <c r="M34" s="51"/>
    </row>
    <row r="35" spans="1:13" s="1" customFormat="1" ht="18.75" customHeight="1">
      <c r="A35" s="30"/>
      <c r="B35" s="53"/>
    </row>
  </sheetData>
  <mergeCells count="18">
    <mergeCell ref="A9:AT9"/>
    <mergeCell ref="E12:AN15"/>
    <mergeCell ref="AE22:AR22"/>
    <mergeCell ref="AE23:AR23"/>
    <mergeCell ref="A1:AT1"/>
    <mergeCell ref="A2:AT2"/>
    <mergeCell ref="A3:AT3"/>
    <mergeCell ref="A4:AT4"/>
    <mergeCell ref="A5:AE5"/>
    <mergeCell ref="AL5:AN5"/>
    <mergeCell ref="AO5:AS5"/>
    <mergeCell ref="C29:E29"/>
    <mergeCell ref="C30:E30"/>
    <mergeCell ref="C26:E26"/>
    <mergeCell ref="AE24:AR24"/>
    <mergeCell ref="AE25:AR25"/>
    <mergeCell ref="AE26:AR26"/>
    <mergeCell ref="AE27:AR27"/>
  </mergeCells>
  <pageMargins left="0.43307086614173229" right="0.43307086614173229" top="0.94488188976377963" bottom="0.94488188976377963" header="0.31496062992125984" footer="0.31496062992125984"/>
  <pageSetup paperSize="9" scale="85" orientation="portrait" r:id="rId1"/>
  <headerFooter>
    <oddFooter>&amp;LPrepared By Tariqul Islam; &amp;Z&amp;F&amp;R&amp;"SutonnyMJ,Regular"evsjv‡`k K…wl e¨vsK, c„ôv &amp;P &amp;"-,Regular"of&amp;"SutonnyMJ,Regular" &amp;N</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3"/>
  <dimension ref="A13:T69"/>
  <sheetViews>
    <sheetView showGridLines="0" view="pageBreakPreview" topLeftCell="A36" zoomScale="90" zoomScaleSheetLayoutView="90" workbookViewId="0">
      <selection activeCell="C41" sqref="C41"/>
    </sheetView>
  </sheetViews>
  <sheetFormatPr defaultColWidth="5.28515625" defaultRowHeight="15"/>
  <cols>
    <col min="1" max="2" width="5.28515625" style="33"/>
    <col min="3" max="3" width="8.42578125" style="33" customWidth="1"/>
    <col min="4" max="4" width="2.42578125" style="33" customWidth="1"/>
    <col min="5" max="7" width="5.28515625" style="33"/>
    <col min="8" max="8" width="7.28515625" style="33" customWidth="1"/>
    <col min="9" max="9" width="6.7109375" style="33" customWidth="1"/>
    <col min="10" max="14" width="5.28515625" style="33"/>
    <col min="15" max="15" width="3.28515625" style="33" customWidth="1"/>
    <col min="16" max="16384" width="5.28515625" style="33"/>
  </cols>
  <sheetData>
    <row r="13" spans="17:17" ht="189" customHeight="1"/>
    <row r="15" spans="17:17" ht="16.5">
      <c r="Q15" s="765" t="s">
        <v>1190</v>
      </c>
    </row>
    <row r="18" spans="1:19" ht="21.75">
      <c r="A18" s="429"/>
      <c r="B18"/>
    </row>
    <row r="19" spans="1:19" ht="21.75">
      <c r="A19" s="2055" t="s">
        <v>1194</v>
      </c>
      <c r="B19" s="1011"/>
      <c r="C19" s="1011"/>
      <c r="D19" s="1011"/>
      <c r="E19" s="1011"/>
      <c r="F19" s="1011"/>
      <c r="G19" s="1011"/>
      <c r="H19" s="1011"/>
      <c r="I19" s="1011"/>
      <c r="J19" s="1011"/>
      <c r="K19" s="1011"/>
      <c r="L19" s="1011"/>
      <c r="M19" s="1011"/>
      <c r="N19" s="1011"/>
      <c r="O19" s="1011"/>
      <c r="P19" s="1011"/>
      <c r="Q19" s="1011"/>
      <c r="R19" s="1011"/>
    </row>
    <row r="20" spans="1:19" ht="18" customHeight="1">
      <c r="A20" s="2056"/>
      <c r="P20" s="2057"/>
      <c r="Q20" s="2057"/>
      <c r="R20" s="2057"/>
    </row>
    <row r="21" spans="1:19" ht="18" customHeight="1">
      <c r="A21" s="2056"/>
      <c r="P21" s="2057"/>
      <c r="Q21" s="2057"/>
      <c r="R21" s="2057"/>
    </row>
    <row r="22" spans="1:19" ht="29.25" customHeight="1">
      <c r="A22" s="24"/>
      <c r="P22" s="428"/>
      <c r="Q22" s="428"/>
      <c r="R22" s="428"/>
    </row>
    <row r="23" spans="1:19" ht="22.5" customHeight="1">
      <c r="A23" s="24"/>
      <c r="B23" s="769" t="s">
        <v>1191</v>
      </c>
      <c r="C23" s="769"/>
      <c r="D23" s="769"/>
      <c r="E23" s="769"/>
      <c r="F23" s="769"/>
      <c r="G23" s="33" t="s">
        <v>414</v>
      </c>
      <c r="M23" s="2054"/>
      <c r="N23" s="2054"/>
      <c r="O23" s="2058" t="s">
        <v>1195</v>
      </c>
      <c r="P23" s="2058"/>
      <c r="Q23" s="2058"/>
      <c r="R23" s="2058"/>
    </row>
    <row r="24" spans="1:19" ht="22.5" customHeight="1">
      <c r="A24" s="24"/>
      <c r="B24" s="769" t="s">
        <v>1192</v>
      </c>
      <c r="C24" s="769"/>
      <c r="D24" s="769"/>
      <c r="E24" s="769"/>
      <c r="F24" s="769"/>
      <c r="M24" s="2054"/>
      <c r="N24" s="2054"/>
      <c r="O24" s="2058" t="s">
        <v>1196</v>
      </c>
      <c r="P24" s="2058"/>
      <c r="Q24" s="2058"/>
      <c r="R24" s="2058"/>
      <c r="S24" s="2058"/>
    </row>
    <row r="25" spans="1:19" ht="18" customHeight="1">
      <c r="A25" s="24"/>
      <c r="B25" s="769" t="str">
        <f>+'Data Input'!D74</f>
        <v>Fatullah Branch Narayanganj</v>
      </c>
      <c r="C25" s="769"/>
      <c r="D25" s="769"/>
      <c r="E25" s="769"/>
      <c r="F25" s="769"/>
      <c r="O25" s="768"/>
      <c r="P25" s="768"/>
      <c r="Q25" s="768"/>
      <c r="R25" s="768"/>
    </row>
    <row r="26" spans="1:19" ht="20.25">
      <c r="A26" s="74"/>
      <c r="B26"/>
    </row>
    <row r="27" spans="1:19" ht="33.75" customHeight="1">
      <c r="A27" s="66"/>
      <c r="B27" s="2052" t="str">
        <f>"Dear Sir,                                                                                                                
     Referring to the Demand promissory Note for Tk. "&amp;'Data Input'!D83&amp;"/- only dated ................................ made by "&amp;'Data Input'!D84&amp;" in favour.- "&amp;'Data Input'!D80&amp;", "&amp;'Data Input'!D81&amp;" and endorsed by the latter to your bank, a which is given to"</f>
        <v>Dear Sir,                                                                                                                
     Referring to the Demand promissory Note for Tk. 500000/- only dated ................................ made by Md Jony in favour.- M/S Jony Store, Dapa Idrakpur, Fatullah,  Narayangonj and endorsed by the latter to your bank, a which is given to</v>
      </c>
      <c r="C27" s="2053"/>
      <c r="D27" s="2053"/>
      <c r="E27" s="2053"/>
      <c r="F27" s="2053"/>
      <c r="G27" s="2053"/>
      <c r="H27" s="2053"/>
      <c r="I27" s="2053"/>
      <c r="J27" s="2053"/>
      <c r="K27" s="2053"/>
      <c r="L27" s="2053"/>
      <c r="M27" s="2053"/>
      <c r="N27" s="2053"/>
      <c r="O27" s="2053"/>
      <c r="P27" s="2053"/>
      <c r="Q27" s="2053"/>
      <c r="R27" s="2053"/>
    </row>
    <row r="28" spans="1:19" ht="15" customHeight="1">
      <c r="A28" s="66"/>
      <c r="B28" s="2053"/>
      <c r="C28" s="2053"/>
      <c r="D28" s="2053"/>
      <c r="E28" s="2053"/>
      <c r="F28" s="2053"/>
      <c r="G28" s="2053"/>
      <c r="H28" s="2053"/>
      <c r="I28" s="2053"/>
      <c r="J28" s="2053"/>
      <c r="K28" s="2053"/>
      <c r="L28" s="2053"/>
      <c r="M28" s="2053"/>
      <c r="N28" s="2053"/>
      <c r="O28" s="2053"/>
      <c r="P28" s="2053"/>
      <c r="Q28" s="2053"/>
      <c r="R28" s="2053"/>
    </row>
    <row r="29" spans="1:19" ht="15" customHeight="1">
      <c r="A29" s="24"/>
      <c r="B29" s="2053"/>
      <c r="C29" s="2053"/>
      <c r="D29" s="2053"/>
      <c r="E29" s="2053"/>
      <c r="F29" s="2053"/>
      <c r="G29" s="2053"/>
      <c r="H29" s="2053"/>
      <c r="I29" s="2053"/>
      <c r="J29" s="2053"/>
      <c r="K29" s="2053"/>
      <c r="L29" s="2053"/>
      <c r="M29" s="2053"/>
      <c r="N29" s="2053"/>
      <c r="O29" s="2053"/>
      <c r="P29" s="2053"/>
      <c r="Q29" s="2053"/>
      <c r="R29" s="2053"/>
    </row>
    <row r="30" spans="1:19" ht="20.25">
      <c r="A30" s="74"/>
      <c r="B30" s="2053"/>
      <c r="C30" s="2053"/>
      <c r="D30" s="2053"/>
      <c r="E30" s="2053"/>
      <c r="F30" s="2053"/>
      <c r="G30" s="2053"/>
      <c r="H30" s="2053"/>
      <c r="I30" s="2053"/>
      <c r="J30" s="2053"/>
      <c r="K30" s="2053"/>
      <c r="L30" s="2053"/>
      <c r="M30" s="2053"/>
      <c r="N30" s="2053"/>
      <c r="O30" s="2053"/>
      <c r="P30" s="2053"/>
      <c r="Q30" s="2053"/>
      <c r="R30" s="2053"/>
    </row>
    <row r="31" spans="1:19" ht="19.5">
      <c r="A31" s="66"/>
      <c r="B31" s="2053"/>
      <c r="C31" s="2053"/>
      <c r="D31" s="2053"/>
      <c r="E31" s="2053"/>
      <c r="F31" s="2053"/>
      <c r="G31" s="2053"/>
      <c r="H31" s="2053"/>
      <c r="I31" s="2053"/>
      <c r="J31" s="2053"/>
      <c r="K31" s="2053"/>
      <c r="L31" s="2053"/>
      <c r="M31" s="2053"/>
      <c r="N31" s="2053"/>
      <c r="O31" s="2053"/>
      <c r="P31" s="2053"/>
      <c r="Q31" s="2053"/>
      <c r="R31" s="2053"/>
    </row>
    <row r="32" spans="1:19" ht="49.5" customHeight="1">
      <c r="A32" s="94"/>
      <c r="B32" s="2053"/>
      <c r="C32" s="2053"/>
      <c r="D32" s="2053"/>
      <c r="E32" s="2053"/>
      <c r="F32" s="2053"/>
      <c r="G32" s="2053"/>
      <c r="H32" s="2053"/>
      <c r="I32" s="2053"/>
      <c r="J32" s="2053"/>
      <c r="K32" s="2053"/>
      <c r="L32" s="2053"/>
      <c r="M32" s="2053"/>
      <c r="N32" s="2053"/>
      <c r="O32" s="2053"/>
      <c r="P32" s="2053"/>
      <c r="Q32" s="2053"/>
      <c r="R32" s="2053"/>
    </row>
    <row r="33" spans="1:20" ht="19.5">
      <c r="A33" s="94"/>
      <c r="B33" s="94"/>
      <c r="C33" s="94"/>
      <c r="D33" s="94"/>
      <c r="E33" s="94"/>
      <c r="F33" s="94"/>
      <c r="G33" s="94"/>
      <c r="H33" s="94"/>
      <c r="I33" s="94"/>
      <c r="J33" s="94"/>
      <c r="K33" s="94"/>
      <c r="L33" s="94"/>
      <c r="M33" s="94"/>
      <c r="N33" s="94"/>
      <c r="O33" s="94"/>
      <c r="P33" s="94"/>
      <c r="Q33" s="94"/>
      <c r="R33" s="94"/>
    </row>
    <row r="34" spans="1:20" ht="19.5">
      <c r="A34" s="94"/>
      <c r="B34" s="94"/>
      <c r="C34" s="94"/>
      <c r="D34" s="94"/>
      <c r="E34" s="94"/>
      <c r="F34" s="94"/>
      <c r="G34" s="94"/>
      <c r="H34" s="94"/>
      <c r="I34" s="94"/>
      <c r="J34" s="94"/>
      <c r="K34" s="94"/>
      <c r="L34" s="94"/>
      <c r="M34" s="94"/>
      <c r="N34" s="94"/>
      <c r="O34" s="94"/>
      <c r="P34" s="94"/>
      <c r="Q34" s="94"/>
      <c r="R34" s="94"/>
    </row>
    <row r="35" spans="1:20" ht="19.5">
      <c r="A35" s="94"/>
      <c r="B35" s="94"/>
      <c r="C35" s="94"/>
      <c r="D35" s="94"/>
      <c r="E35" s="94"/>
      <c r="F35" s="94"/>
      <c r="G35" s="94"/>
      <c r="H35" s="94"/>
      <c r="I35" s="94"/>
      <c r="J35" s="94"/>
      <c r="K35" s="94"/>
      <c r="L35" s="94"/>
      <c r="M35" s="94"/>
      <c r="N35" s="94"/>
      <c r="O35" s="94"/>
      <c r="P35" s="94"/>
      <c r="Q35" s="94"/>
      <c r="R35" s="94"/>
    </row>
    <row r="36" spans="1:20" ht="19.5">
      <c r="A36" s="94"/>
      <c r="B36" s="94"/>
      <c r="C36" s="94"/>
      <c r="D36" s="94"/>
      <c r="E36" s="94"/>
      <c r="F36" s="94"/>
      <c r="G36" s="94"/>
      <c r="H36" s="94"/>
      <c r="I36" s="94"/>
      <c r="J36" s="94"/>
      <c r="K36" s="94"/>
      <c r="L36" s="94"/>
      <c r="M36" s="94"/>
      <c r="N36" s="94"/>
      <c r="O36" s="94"/>
      <c r="P36" s="94"/>
      <c r="Q36" s="94"/>
      <c r="R36" s="94"/>
    </row>
    <row r="37" spans="1:20" ht="19.5">
      <c r="A37" s="94"/>
      <c r="B37" s="94"/>
      <c r="C37" s="94"/>
      <c r="D37" s="94"/>
      <c r="E37" s="94"/>
      <c r="F37" s="94"/>
      <c r="G37" s="94"/>
      <c r="H37" s="94"/>
      <c r="I37" s="94"/>
      <c r="J37" s="94"/>
      <c r="K37" s="94"/>
      <c r="L37" s="94"/>
      <c r="M37" s="94"/>
      <c r="N37" s="94"/>
      <c r="O37" s="94"/>
      <c r="P37" s="94"/>
      <c r="Q37" s="94"/>
      <c r="R37" s="94"/>
    </row>
    <row r="38" spans="1:20" ht="19.5">
      <c r="A38" s="94"/>
      <c r="B38" s="94"/>
      <c r="C38" s="94"/>
      <c r="D38" s="94"/>
      <c r="E38" s="94"/>
      <c r="F38" s="94"/>
      <c r="G38" s="94"/>
      <c r="H38" s="94"/>
      <c r="I38" s="94"/>
      <c r="J38" s="94"/>
      <c r="K38" s="94"/>
      <c r="L38" s="94"/>
      <c r="M38" s="94"/>
      <c r="N38" s="94"/>
      <c r="O38" s="94"/>
      <c r="P38" s="94"/>
      <c r="Q38" s="94"/>
      <c r="R38" s="94"/>
    </row>
    <row r="39" spans="1:20" ht="19.5">
      <c r="A39" s="94"/>
      <c r="B39" s="94"/>
      <c r="C39" s="94"/>
      <c r="D39" s="94"/>
      <c r="E39" s="94"/>
      <c r="F39" s="94"/>
      <c r="G39" s="94"/>
      <c r="H39" s="94"/>
      <c r="I39" s="94"/>
      <c r="J39" s="94"/>
      <c r="K39" s="94"/>
      <c r="L39" s="94"/>
      <c r="M39" s="94"/>
      <c r="N39" s="94"/>
      <c r="O39" s="94"/>
      <c r="P39" s="94"/>
      <c r="Q39" s="94"/>
      <c r="R39" s="94"/>
    </row>
    <row r="40" spans="1:20" ht="19.5">
      <c r="A40" s="94"/>
      <c r="B40" s="94"/>
      <c r="C40" s="94"/>
      <c r="D40" s="94"/>
      <c r="E40" s="94"/>
      <c r="F40" s="94"/>
      <c r="G40" s="94"/>
      <c r="H40" s="94"/>
      <c r="I40" s="94"/>
      <c r="J40" s="94"/>
      <c r="K40" s="94"/>
      <c r="L40" s="94"/>
      <c r="M40" s="94"/>
      <c r="N40" s="94"/>
      <c r="O40" s="94"/>
      <c r="P40" s="94"/>
      <c r="Q40" s="94"/>
      <c r="R40" s="94"/>
    </row>
    <row r="41" spans="1:20" ht="19.5">
      <c r="A41" s="94"/>
      <c r="B41" s="94"/>
      <c r="C41" s="94"/>
      <c r="D41" s="94"/>
      <c r="E41" s="94"/>
      <c r="F41" s="94"/>
      <c r="G41" s="94"/>
      <c r="H41" s="94"/>
      <c r="I41" s="94"/>
      <c r="J41" s="94"/>
      <c r="K41" s="94"/>
      <c r="L41" s="94"/>
      <c r="M41" s="94"/>
      <c r="N41" s="94"/>
      <c r="O41" s="94"/>
      <c r="P41" s="94"/>
      <c r="Q41" s="94"/>
      <c r="R41" s="94"/>
    </row>
    <row r="42" spans="1:20" ht="19.5">
      <c r="A42" s="94"/>
      <c r="B42" s="94"/>
      <c r="C42" s="94"/>
      <c r="D42" s="94"/>
      <c r="E42" s="94"/>
      <c r="F42" s="94"/>
      <c r="G42" s="94"/>
      <c r="H42" s="94"/>
      <c r="I42" s="94"/>
      <c r="J42" s="94"/>
      <c r="K42" s="94"/>
      <c r="L42" s="94"/>
      <c r="M42" s="94"/>
      <c r="N42" s="94"/>
      <c r="O42" s="94"/>
      <c r="P42" s="183"/>
      <c r="Q42" s="183"/>
      <c r="R42" s="183"/>
    </row>
    <row r="43" spans="1:20" ht="19.5">
      <c r="A43" s="94"/>
      <c r="B43" s="94"/>
      <c r="C43" s="94"/>
      <c r="D43" s="94"/>
      <c r="E43" s="94"/>
      <c r="F43" s="94"/>
      <c r="G43" s="94"/>
      <c r="H43" s="94"/>
      <c r="I43" s="94"/>
      <c r="J43" s="94"/>
      <c r="K43" s="94"/>
      <c r="L43" s="94"/>
      <c r="M43" s="94"/>
      <c r="N43" s="94"/>
      <c r="O43" s="94"/>
    </row>
    <row r="44" spans="1:20" ht="19.5">
      <c r="A44" s="183"/>
      <c r="B44" s="183"/>
      <c r="C44" s="183"/>
      <c r="D44" s="183"/>
      <c r="E44" s="183"/>
      <c r="F44" s="183"/>
      <c r="G44" s="183"/>
      <c r="H44" s="183"/>
      <c r="I44" s="183"/>
      <c r="J44" s="183"/>
      <c r="K44" s="183"/>
      <c r="L44" s="183"/>
      <c r="M44" s="183"/>
      <c r="N44" s="183"/>
      <c r="O44" s="183"/>
      <c r="P44" s="123"/>
      <c r="Q44" s="123"/>
      <c r="R44" s="123"/>
    </row>
    <row r="45" spans="1:20" ht="20.25" customHeight="1">
      <c r="Q45" s="66"/>
    </row>
    <row r="46" spans="1:20" ht="20.25" customHeight="1">
      <c r="N46" s="123"/>
      <c r="O46" s="123"/>
      <c r="Q46" s="66"/>
    </row>
    <row r="47" spans="1:20" ht="20.25" customHeight="1">
      <c r="A47" s="767"/>
      <c r="B47" s="767"/>
      <c r="C47" s="767"/>
      <c r="D47" s="767"/>
      <c r="E47" s="767"/>
      <c r="F47" s="767"/>
      <c r="G47" s="767"/>
      <c r="H47" s="767"/>
      <c r="I47" s="767"/>
      <c r="J47" s="767"/>
      <c r="K47" s="767"/>
      <c r="L47" s="767"/>
      <c r="M47" s="767"/>
      <c r="N47" s="767"/>
      <c r="O47" s="767"/>
      <c r="P47" s="767"/>
      <c r="Q47" s="767"/>
      <c r="R47" s="767"/>
      <c r="S47" s="767"/>
      <c r="T47" s="767"/>
    </row>
    <row r="48" spans="1:20" ht="20.25" customHeight="1">
      <c r="A48" s="767"/>
      <c r="B48" s="767"/>
      <c r="C48" s="767"/>
      <c r="D48" s="767"/>
      <c r="E48" s="767"/>
      <c r="F48" s="767"/>
      <c r="G48" s="767"/>
      <c r="H48" s="767"/>
      <c r="I48" s="767"/>
      <c r="J48" s="767"/>
      <c r="K48" s="767"/>
      <c r="L48" s="767"/>
      <c r="M48" s="767"/>
      <c r="N48" s="767"/>
      <c r="O48" s="767"/>
      <c r="P48" s="767"/>
      <c r="Q48" s="767"/>
      <c r="R48" s="767"/>
      <c r="S48" s="767"/>
      <c r="T48" s="767"/>
    </row>
    <row r="49" spans="1:20" ht="233.25" customHeight="1">
      <c r="A49" s="767"/>
      <c r="B49" s="767"/>
      <c r="C49" s="767"/>
      <c r="D49" s="767"/>
      <c r="E49" s="767"/>
      <c r="F49" s="767"/>
      <c r="G49" s="767"/>
      <c r="H49" s="767"/>
      <c r="I49" s="767"/>
      <c r="J49" s="767"/>
      <c r="K49" s="767"/>
      <c r="L49" s="767"/>
      <c r="M49" s="767"/>
      <c r="N49" s="767"/>
      <c r="O49" s="767"/>
      <c r="P49" s="767"/>
      <c r="Q49" s="767"/>
      <c r="R49" s="767"/>
      <c r="S49" s="767"/>
      <c r="T49" s="767"/>
    </row>
    <row r="50" spans="1:20" ht="20.25" customHeight="1">
      <c r="A50" s="767"/>
      <c r="B50" s="767"/>
      <c r="C50" s="767"/>
      <c r="D50" s="767"/>
      <c r="E50" s="767"/>
      <c r="F50" s="767"/>
      <c r="G50" s="767"/>
      <c r="H50" s="767"/>
      <c r="I50" s="767"/>
      <c r="J50" s="767"/>
      <c r="K50" s="767"/>
      <c r="L50" s="767"/>
      <c r="M50" s="767"/>
      <c r="N50" s="767"/>
      <c r="O50" s="767"/>
      <c r="P50" s="767"/>
      <c r="Q50" s="767"/>
      <c r="R50" s="767"/>
      <c r="S50" s="767"/>
      <c r="T50" s="767"/>
    </row>
    <row r="51" spans="1:20" ht="20.25" customHeight="1">
      <c r="B51" s="2051" t="s">
        <v>1202</v>
      </c>
      <c r="C51" s="2051"/>
      <c r="D51" s="2051"/>
      <c r="E51" s="2051"/>
      <c r="F51" s="2051"/>
      <c r="G51" s="2051"/>
      <c r="H51" s="2051"/>
      <c r="I51" s="2051"/>
      <c r="J51" s="2051"/>
      <c r="K51" s="2051"/>
      <c r="L51" s="2051"/>
      <c r="M51" s="2051"/>
      <c r="N51" s="2051"/>
      <c r="O51" s="2051"/>
      <c r="P51" s="2051"/>
      <c r="Q51" s="2051"/>
      <c r="R51" s="2051"/>
      <c r="S51" s="2051"/>
    </row>
    <row r="52" spans="1:20" ht="20.25" customHeight="1">
      <c r="B52" s="2051"/>
      <c r="C52" s="2051"/>
      <c r="D52" s="2051"/>
      <c r="E52" s="2051"/>
      <c r="F52" s="2051"/>
      <c r="G52" s="2051"/>
      <c r="H52" s="2051"/>
      <c r="I52" s="2051"/>
      <c r="J52" s="2051"/>
      <c r="K52" s="2051"/>
      <c r="L52" s="2051"/>
      <c r="M52" s="2051"/>
      <c r="N52" s="2051"/>
      <c r="O52" s="2051"/>
      <c r="P52" s="2051"/>
      <c r="Q52" s="2051"/>
      <c r="R52" s="2051"/>
      <c r="S52" s="2051"/>
    </row>
    <row r="53" spans="1:20" ht="20.25" customHeight="1">
      <c r="A53" s="774"/>
      <c r="B53" s="2051"/>
      <c r="C53" s="2051"/>
      <c r="D53" s="2051"/>
      <c r="E53" s="2051"/>
      <c r="F53" s="2051"/>
      <c r="G53" s="2051"/>
      <c r="H53" s="2051"/>
      <c r="I53" s="2051"/>
      <c r="J53" s="2051"/>
      <c r="K53" s="2051"/>
      <c r="L53" s="2051"/>
      <c r="M53" s="2051"/>
      <c r="N53" s="2051"/>
      <c r="O53" s="2051"/>
      <c r="P53" s="2051"/>
      <c r="Q53" s="2051"/>
      <c r="R53" s="2051"/>
      <c r="S53" s="2051"/>
    </row>
    <row r="54" spans="1:20" ht="20.25" customHeight="1">
      <c r="B54" s="2051"/>
      <c r="C54" s="2051"/>
      <c r="D54" s="2051"/>
      <c r="E54" s="2051"/>
      <c r="F54" s="2051"/>
      <c r="G54" s="2051"/>
      <c r="H54" s="2051"/>
      <c r="I54" s="2051"/>
      <c r="J54" s="2051"/>
      <c r="K54" s="2051"/>
      <c r="L54" s="2051"/>
      <c r="M54" s="2051"/>
      <c r="N54" s="2051"/>
      <c r="O54" s="2051"/>
      <c r="P54" s="2051"/>
      <c r="Q54" s="2051"/>
      <c r="R54" s="2051"/>
      <c r="S54" s="2051"/>
    </row>
    <row r="55" spans="1:20" ht="20.25" customHeight="1">
      <c r="B55" s="2051"/>
      <c r="C55" s="2051"/>
      <c r="D55" s="2051"/>
      <c r="E55" s="2051"/>
      <c r="F55" s="2051"/>
      <c r="G55" s="2051"/>
      <c r="H55" s="2051"/>
      <c r="I55" s="2051"/>
      <c r="J55" s="2051"/>
      <c r="K55" s="2051"/>
      <c r="L55" s="2051"/>
      <c r="M55" s="2051"/>
      <c r="N55" s="2051"/>
      <c r="O55" s="2051"/>
      <c r="P55" s="2051"/>
      <c r="Q55" s="2051"/>
      <c r="R55" s="2051"/>
      <c r="S55" s="2051"/>
    </row>
    <row r="56" spans="1:20" ht="20.25" customHeight="1">
      <c r="B56" s="2051"/>
      <c r="C56" s="2051"/>
      <c r="D56" s="2051"/>
      <c r="E56" s="2051"/>
      <c r="F56" s="2051"/>
      <c r="G56" s="2051"/>
      <c r="H56" s="2051"/>
      <c r="I56" s="2051"/>
      <c r="J56" s="2051"/>
      <c r="K56" s="2051"/>
      <c r="L56" s="2051"/>
      <c r="M56" s="2051"/>
      <c r="N56" s="2051"/>
      <c r="O56" s="2051"/>
      <c r="P56" s="2051"/>
      <c r="Q56" s="2051"/>
      <c r="R56" s="2051"/>
      <c r="S56" s="2051"/>
    </row>
    <row r="57" spans="1:20" ht="20.25" customHeight="1">
      <c r="B57" s="2051"/>
      <c r="C57" s="2051"/>
      <c r="D57" s="2051"/>
      <c r="E57" s="2051"/>
      <c r="F57" s="2051"/>
      <c r="G57" s="2051"/>
      <c r="H57" s="2051"/>
      <c r="I57" s="2051"/>
      <c r="J57" s="2051"/>
      <c r="K57" s="2051"/>
      <c r="L57" s="2051"/>
      <c r="M57" s="2051"/>
      <c r="N57" s="2051"/>
      <c r="O57" s="2051"/>
      <c r="P57" s="2051"/>
      <c r="Q57" s="2051"/>
      <c r="R57" s="2051"/>
      <c r="S57" s="2051"/>
    </row>
    <row r="58" spans="1:20" ht="20.25" customHeight="1">
      <c r="B58" s="2051"/>
      <c r="C58" s="2051"/>
      <c r="D58" s="2051"/>
      <c r="E58" s="2051"/>
      <c r="F58" s="2051"/>
      <c r="G58" s="2051"/>
      <c r="H58" s="2051"/>
      <c r="I58" s="2051"/>
      <c r="J58" s="2051"/>
      <c r="K58" s="2051"/>
      <c r="L58" s="2051"/>
      <c r="M58" s="2051"/>
      <c r="N58" s="2051"/>
      <c r="O58" s="2051"/>
      <c r="P58" s="2051"/>
      <c r="Q58" s="2051"/>
      <c r="R58" s="2051"/>
      <c r="S58" s="2051"/>
    </row>
    <row r="59" spans="1:20" ht="20.25" customHeight="1">
      <c r="B59" s="2051"/>
      <c r="C59" s="2051"/>
      <c r="D59" s="2051"/>
      <c r="E59" s="2051"/>
      <c r="F59" s="2051"/>
      <c r="G59" s="2051"/>
      <c r="H59" s="2051"/>
      <c r="I59" s="2051"/>
      <c r="J59" s="2051"/>
      <c r="K59" s="2051"/>
      <c r="L59" s="2051"/>
      <c r="M59" s="2051"/>
      <c r="N59" s="2051"/>
      <c r="O59" s="2051"/>
      <c r="P59" s="2051"/>
      <c r="Q59" s="2051"/>
      <c r="R59" s="2051"/>
      <c r="S59" s="2051"/>
    </row>
    <row r="60" spans="1:20" ht="20.25" customHeight="1">
      <c r="B60" s="2051"/>
      <c r="C60" s="2051"/>
      <c r="D60" s="2051"/>
      <c r="E60" s="2051"/>
      <c r="F60" s="2051"/>
      <c r="G60" s="2051"/>
      <c r="H60" s="2051"/>
      <c r="I60" s="2051"/>
      <c r="J60" s="2051"/>
      <c r="K60" s="2051"/>
      <c r="L60" s="2051"/>
      <c r="M60" s="2051"/>
      <c r="N60" s="2051"/>
      <c r="O60" s="2051"/>
      <c r="P60" s="2051"/>
      <c r="Q60" s="2051"/>
      <c r="R60" s="2051"/>
      <c r="S60" s="2051"/>
    </row>
    <row r="61" spans="1:20" ht="20.25" customHeight="1"/>
    <row r="62" spans="1:20" ht="20.25" customHeight="1"/>
    <row r="63" spans="1:20" ht="20.25" customHeight="1"/>
    <row r="64" spans="1:20" ht="20.25" customHeight="1"/>
    <row r="65" spans="15:16" ht="20.25" customHeight="1"/>
    <row r="66" spans="15:16" ht="20.25" customHeight="1">
      <c r="O66" s="33" t="s">
        <v>1201</v>
      </c>
    </row>
    <row r="67" spans="15:16" ht="20.25" customHeight="1"/>
    <row r="68" spans="15:16" ht="20.25" customHeight="1"/>
    <row r="69" spans="15:16">
      <c r="P69" s="33" t="s">
        <v>1200</v>
      </c>
    </row>
  </sheetData>
  <mergeCells count="10">
    <mergeCell ref="B51:S60"/>
    <mergeCell ref="B27:R32"/>
    <mergeCell ref="M24:N24"/>
    <mergeCell ref="A19:R19"/>
    <mergeCell ref="A20:A21"/>
    <mergeCell ref="P20:R20"/>
    <mergeCell ref="P21:R21"/>
    <mergeCell ref="M23:N23"/>
    <mergeCell ref="O23:R23"/>
    <mergeCell ref="O24:S24"/>
  </mergeCells>
  <pageMargins left="0.39370078740157483" right="0.39370078740157483" top="0.39370078740157483" bottom="0.39370078740157483" header="0.31496062992125984" footer="0.31496062992125984"/>
  <pageSetup paperSize="5" scale="91" orientation="portrait" r:id="rId1"/>
  <rowBreaks count="1" manualBreakCount="1">
    <brk id="34" max="19"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pageSetUpPr fitToPage="1"/>
  </sheetPr>
  <dimension ref="A1:J74"/>
  <sheetViews>
    <sheetView showGridLines="0" view="pageBreakPreview" topLeftCell="A7" zoomScaleSheetLayoutView="100" workbookViewId="0">
      <selection activeCell="A9" sqref="A9:I9"/>
    </sheetView>
  </sheetViews>
  <sheetFormatPr defaultRowHeight="15"/>
  <sheetData>
    <row r="1" spans="1:10" ht="33" customHeight="1">
      <c r="A1" s="2059"/>
      <c r="B1" s="2059"/>
      <c r="C1" s="2059"/>
      <c r="D1" s="2059"/>
      <c r="E1" s="2059"/>
      <c r="F1" s="2059"/>
      <c r="G1" s="2059"/>
      <c r="H1" s="2059"/>
      <c r="I1" s="2059"/>
    </row>
    <row r="2" spans="1:10" ht="33" customHeight="1">
      <c r="A2" s="2059"/>
      <c r="B2" s="2059"/>
      <c r="C2" s="2059"/>
      <c r="D2" s="2059"/>
      <c r="E2" s="2059"/>
      <c r="F2" s="2059"/>
      <c r="G2" s="2059"/>
      <c r="H2" s="2059"/>
      <c r="I2" s="2059"/>
    </row>
    <row r="3" spans="1:10" ht="33" customHeight="1">
      <c r="A3" s="2059"/>
      <c r="B3" s="2059"/>
      <c r="C3" s="2059"/>
      <c r="D3" s="2059"/>
      <c r="E3" s="2059"/>
      <c r="F3" s="2059"/>
      <c r="G3" s="2059"/>
      <c r="H3" s="2059"/>
      <c r="I3" s="2059"/>
    </row>
    <row r="4" spans="1:10" ht="33" customHeight="1">
      <c r="A4" s="2059"/>
      <c r="B4" s="2059"/>
      <c r="C4" s="2059"/>
      <c r="D4" s="2059"/>
      <c r="E4" s="2059"/>
      <c r="F4" s="2059"/>
      <c r="G4" s="2059"/>
      <c r="H4" s="2059"/>
      <c r="I4" s="2059"/>
    </row>
    <row r="5" spans="1:10" ht="33" customHeight="1">
      <c r="A5" s="2059"/>
      <c r="B5" s="2059"/>
      <c r="C5" s="2059"/>
      <c r="D5" s="2059"/>
      <c r="E5" s="2059"/>
      <c r="F5" s="2059"/>
      <c r="G5" s="2059"/>
      <c r="H5" s="2059"/>
      <c r="I5" s="2059"/>
    </row>
    <row r="6" spans="1:10" ht="33" customHeight="1">
      <c r="A6" s="2059"/>
      <c r="B6" s="2059"/>
      <c r="C6" s="2059"/>
      <c r="D6" s="2059"/>
      <c r="E6" s="2059"/>
      <c r="F6" s="2059"/>
      <c r="G6" s="2059"/>
      <c r="H6" s="2059"/>
      <c r="I6" s="2059"/>
    </row>
    <row r="7" spans="1:10" ht="33" customHeight="1">
      <c r="A7" s="2059"/>
      <c r="B7" s="2059"/>
      <c r="C7" s="2059"/>
      <c r="D7" s="2059"/>
      <c r="E7" s="2059"/>
      <c r="F7" s="2059"/>
      <c r="G7" s="2059"/>
      <c r="H7" s="2059"/>
      <c r="I7" s="2059"/>
    </row>
    <row r="8" spans="1:10" ht="33" customHeight="1">
      <c r="A8" s="2059"/>
      <c r="B8" s="2059"/>
      <c r="C8" s="2059"/>
      <c r="D8" s="2059"/>
      <c r="E8" s="2059"/>
      <c r="F8" s="2059"/>
      <c r="G8" s="2059"/>
      <c r="H8" s="2059"/>
      <c r="I8" s="2059"/>
    </row>
    <row r="9" spans="1:10" ht="45.75" customHeight="1">
      <c r="A9" s="2059"/>
      <c r="B9" s="2059"/>
      <c r="C9" s="2059"/>
      <c r="D9" s="2059"/>
      <c r="E9" s="2059"/>
      <c r="F9" s="2059"/>
      <c r="G9" s="2059"/>
      <c r="H9" s="2059"/>
      <c r="I9" s="2059"/>
    </row>
    <row r="10" spans="1:10" ht="15.75">
      <c r="A10" s="2060" t="s">
        <v>744</v>
      </c>
      <c r="B10" s="2060"/>
      <c r="C10" s="2060"/>
      <c r="D10" s="2060"/>
      <c r="E10" s="2060"/>
      <c r="F10" s="2060"/>
      <c r="G10" s="2060"/>
      <c r="H10" s="2060"/>
      <c r="I10" s="2060"/>
    </row>
    <row r="11" spans="1:10" ht="22.5">
      <c r="A11" s="2061" t="s">
        <v>1222</v>
      </c>
      <c r="B11" s="2061"/>
      <c r="C11" s="2061"/>
      <c r="D11" s="2061"/>
      <c r="E11" s="2061"/>
      <c r="F11" s="2061"/>
      <c r="G11" s="2061"/>
      <c r="H11" s="2061"/>
      <c r="I11" s="2061"/>
    </row>
    <row r="12" spans="1:10" ht="25.5">
      <c r="A12" s="430"/>
      <c r="B12" s="430"/>
      <c r="C12" s="430"/>
      <c r="D12" s="430"/>
      <c r="E12" s="430"/>
      <c r="F12" s="430"/>
      <c r="G12" s="430"/>
      <c r="H12" s="430"/>
      <c r="I12" s="430"/>
    </row>
    <row r="13" spans="1:10" ht="27" customHeight="1">
      <c r="A13" s="769" t="s">
        <v>1191</v>
      </c>
      <c r="B13" s="775"/>
      <c r="C13" s="775"/>
      <c r="D13" s="775"/>
      <c r="E13" s="775"/>
      <c r="F13" s="775"/>
      <c r="G13" s="2058" t="s">
        <v>1205</v>
      </c>
      <c r="H13" s="2058"/>
      <c r="I13" s="2058"/>
      <c r="J13" s="2058"/>
    </row>
    <row r="14" spans="1:10" ht="27" customHeight="1">
      <c r="A14" s="769" t="s">
        <v>1192</v>
      </c>
      <c r="B14" s="775"/>
      <c r="C14" s="775"/>
      <c r="D14" s="775"/>
      <c r="E14" s="775"/>
      <c r="F14" s="775"/>
      <c r="G14" s="775"/>
      <c r="H14" s="775"/>
      <c r="I14" s="775"/>
    </row>
    <row r="15" spans="1:10" ht="27" customHeight="1">
      <c r="A15" s="769" t="str">
        <f>+'Data Input'!D74</f>
        <v>Fatullah Branch Narayanganj</v>
      </c>
      <c r="B15" s="775"/>
      <c r="C15" s="775"/>
      <c r="D15" s="775"/>
      <c r="E15" s="775"/>
      <c r="F15" s="775"/>
      <c r="G15" s="775"/>
      <c r="H15" s="775"/>
      <c r="I15" s="775"/>
    </row>
    <row r="16" spans="1:10" ht="27" customHeight="1">
      <c r="A16" s="769"/>
      <c r="B16" s="775"/>
      <c r="C16" s="775"/>
      <c r="D16" s="775"/>
      <c r="E16" s="775"/>
      <c r="F16" s="775"/>
      <c r="G16" s="775"/>
      <c r="H16" s="775"/>
      <c r="I16" s="775"/>
    </row>
    <row r="17" spans="1:9" ht="27" customHeight="1">
      <c r="A17" s="432" t="s">
        <v>745</v>
      </c>
      <c r="B17" s="432"/>
      <c r="C17" s="432"/>
      <c r="D17" s="432"/>
      <c r="E17" s="432"/>
      <c r="F17" s="432"/>
      <c r="G17" s="432"/>
      <c r="H17" s="432"/>
      <c r="I17" s="432"/>
    </row>
    <row r="18" spans="1:9" ht="27" customHeight="1">
      <c r="A18" s="2052" t="str">
        <f>"With reference to my/our CMSME  Loan Account with you secured by a Demand Promissory Note dated the.......................... for  Tk. "&amp;'Data Input'!D83&amp;"/- with interest made"</f>
        <v>With reference to my/our CMSME  Loan Account with you secured by a Demand Promissory Note dated the.......................... for  Tk. 500000/- with interest made</v>
      </c>
      <c r="B18" s="2052"/>
      <c r="C18" s="2052"/>
      <c r="D18" s="2052"/>
      <c r="E18" s="2052"/>
      <c r="F18" s="2052"/>
      <c r="G18" s="2052"/>
      <c r="H18" s="2052"/>
      <c r="I18" s="2052"/>
    </row>
    <row r="19" spans="1:9">
      <c r="A19" s="2052"/>
      <c r="B19" s="2052"/>
      <c r="C19" s="2052"/>
      <c r="D19" s="2052"/>
      <c r="E19" s="2052"/>
      <c r="F19" s="2052"/>
      <c r="G19" s="2052"/>
      <c r="H19" s="2052"/>
      <c r="I19" s="2052"/>
    </row>
    <row r="20" spans="1:9" ht="37.5" customHeight="1">
      <c r="A20" s="2052"/>
      <c r="B20" s="2052"/>
      <c r="C20" s="2052"/>
      <c r="D20" s="2052"/>
      <c r="E20" s="2052"/>
      <c r="F20" s="2052"/>
      <c r="G20" s="2052"/>
      <c r="H20" s="2052"/>
      <c r="I20" s="2052"/>
    </row>
    <row r="21" spans="1:9" ht="15" customHeight="1">
      <c r="A21" s="2052"/>
      <c r="B21" s="2052"/>
      <c r="C21" s="2052"/>
      <c r="D21" s="2052"/>
      <c r="E21" s="2052"/>
      <c r="F21" s="2052"/>
      <c r="G21" s="2052"/>
      <c r="H21" s="2052"/>
      <c r="I21" s="2052"/>
    </row>
    <row r="22" spans="1:9" ht="15" customHeight="1">
      <c r="A22" s="2052"/>
      <c r="B22" s="2052"/>
      <c r="C22" s="2052"/>
      <c r="D22" s="2052"/>
      <c r="E22" s="2052"/>
      <c r="F22" s="2052"/>
      <c r="G22" s="2052"/>
      <c r="H22" s="2052"/>
      <c r="I22" s="2052"/>
    </row>
    <row r="23" spans="1:9" ht="18.75" customHeight="1">
      <c r="A23" s="2052"/>
      <c r="B23" s="2052"/>
      <c r="C23" s="2052"/>
      <c r="D23" s="2052"/>
      <c r="E23" s="2052"/>
      <c r="F23" s="2052"/>
      <c r="G23" s="2052"/>
      <c r="H23" s="2052"/>
      <c r="I23" s="2052"/>
    </row>
    <row r="24" spans="1:9" ht="18.75" customHeight="1">
      <c r="A24" s="2052"/>
      <c r="B24" s="2052"/>
      <c r="C24" s="2052"/>
      <c r="D24" s="2052"/>
      <c r="E24" s="2052"/>
      <c r="F24" s="2052"/>
      <c r="G24" s="2052"/>
      <c r="H24" s="2052"/>
      <c r="I24" s="2052"/>
    </row>
    <row r="25" spans="1:9" ht="33" customHeight="1">
      <c r="A25" s="431"/>
      <c r="B25" s="431"/>
      <c r="C25" s="431"/>
      <c r="D25" s="431"/>
      <c r="E25" s="431"/>
      <c r="F25" s="431"/>
      <c r="G25" s="431"/>
      <c r="H25" s="431"/>
      <c r="I25" s="431"/>
    </row>
    <row r="26" spans="1:9" ht="18.75" customHeight="1">
      <c r="A26" s="431"/>
      <c r="B26" s="431"/>
      <c r="C26" s="431"/>
      <c r="D26" s="431"/>
      <c r="E26" s="431"/>
      <c r="F26" s="431"/>
      <c r="G26" s="431"/>
      <c r="H26" s="431"/>
      <c r="I26" s="431"/>
    </row>
    <row r="27" spans="1:9" ht="18.75" customHeight="1">
      <c r="A27" s="431"/>
      <c r="B27" s="431"/>
      <c r="C27" s="431"/>
      <c r="D27" s="431"/>
      <c r="E27" s="431"/>
      <c r="F27" s="431"/>
      <c r="G27" s="431"/>
      <c r="H27" s="431"/>
      <c r="I27" s="431"/>
    </row>
    <row r="28" spans="1:9" ht="18.75">
      <c r="A28" s="431"/>
      <c r="B28" s="431"/>
      <c r="C28" s="431"/>
      <c r="D28" s="431"/>
      <c r="E28" s="431"/>
      <c r="F28" s="431"/>
      <c r="G28" s="431"/>
      <c r="H28" s="431"/>
      <c r="I28" s="431"/>
    </row>
    <row r="29" spans="1:9" ht="18.75">
      <c r="A29" s="431"/>
      <c r="B29" s="431"/>
      <c r="C29" s="431"/>
      <c r="D29" s="431"/>
      <c r="E29" s="431"/>
      <c r="F29" s="431"/>
      <c r="G29" s="431"/>
      <c r="H29" s="431"/>
      <c r="I29" s="431"/>
    </row>
    <row r="30" spans="1:9" ht="18.75">
      <c r="A30" s="431"/>
      <c r="B30" s="431"/>
      <c r="C30" s="431"/>
      <c r="D30" s="431"/>
      <c r="E30" s="431"/>
      <c r="F30" s="431"/>
      <c r="G30" s="431"/>
      <c r="H30" s="431"/>
      <c r="I30" s="431"/>
    </row>
    <row r="31" spans="1:9" ht="18.75">
      <c r="A31" s="431"/>
      <c r="B31" s="431"/>
      <c r="C31" s="431"/>
      <c r="D31" s="431"/>
      <c r="E31" s="431"/>
      <c r="F31" s="431"/>
      <c r="G31" s="431"/>
      <c r="H31" s="431"/>
      <c r="I31" s="431"/>
    </row>
    <row r="32" spans="1:9" ht="18.75">
      <c r="A32" s="431"/>
      <c r="B32" s="431"/>
      <c r="C32" s="431"/>
      <c r="D32" s="431"/>
      <c r="E32" s="431"/>
      <c r="F32" s="431"/>
      <c r="G32" s="431"/>
      <c r="H32" s="431"/>
      <c r="I32" s="431"/>
    </row>
    <row r="33" spans="1:9" ht="18.75">
      <c r="A33" s="431"/>
      <c r="B33" s="431"/>
      <c r="C33" s="431"/>
      <c r="D33" s="431"/>
      <c r="E33" s="431"/>
      <c r="F33" s="431"/>
      <c r="G33" s="431"/>
      <c r="H33" s="431"/>
      <c r="I33" s="431"/>
    </row>
    <row r="34" spans="1:9" ht="18.75">
      <c r="A34" s="431"/>
      <c r="B34" s="431"/>
      <c r="C34" s="431"/>
      <c r="D34" s="431"/>
      <c r="E34" s="431"/>
      <c r="F34" s="431"/>
      <c r="G34" s="431"/>
      <c r="H34" s="431"/>
      <c r="I34" s="431"/>
    </row>
    <row r="35" spans="1:9" ht="18.75">
      <c r="A35" s="431"/>
      <c r="B35" s="431"/>
      <c r="C35" s="431"/>
      <c r="D35" s="431"/>
      <c r="E35" s="431"/>
      <c r="F35" s="431"/>
      <c r="G35" s="431"/>
      <c r="H35" s="431"/>
      <c r="I35" s="431"/>
    </row>
    <row r="36" spans="1:9" ht="18.75">
      <c r="A36" s="2062"/>
      <c r="B36" s="2062"/>
      <c r="C36" s="2062"/>
      <c r="D36" s="2062"/>
      <c r="E36" s="2062"/>
      <c r="F36" s="2062"/>
      <c r="G36" s="2062"/>
      <c r="H36" s="2062"/>
      <c r="I36" s="2062"/>
    </row>
    <row r="37" spans="1:9" ht="18.75">
      <c r="A37" s="2062"/>
      <c r="B37" s="2062"/>
      <c r="C37" s="2062"/>
      <c r="D37" s="2062"/>
      <c r="E37" s="2062"/>
      <c r="F37" s="2062"/>
      <c r="G37" s="2062"/>
      <c r="H37" s="2062"/>
      <c r="I37" s="2062"/>
    </row>
    <row r="38" spans="1:9" ht="18.75">
      <c r="A38" s="2062"/>
      <c r="B38" s="2062"/>
      <c r="C38" s="2062"/>
      <c r="D38" s="2062"/>
      <c r="E38" s="2062"/>
      <c r="F38" s="2062"/>
      <c r="G38" s="2062"/>
      <c r="H38" s="2062"/>
      <c r="I38" s="2062"/>
    </row>
    <row r="39" spans="1:9" ht="18.75">
      <c r="A39" s="2062"/>
      <c r="B39" s="2062"/>
      <c r="C39" s="2062"/>
      <c r="D39" s="2062"/>
      <c r="E39" s="2062"/>
      <c r="F39" s="2062"/>
      <c r="G39" s="2062"/>
      <c r="H39" s="2062"/>
      <c r="I39" s="2062"/>
    </row>
    <row r="40" spans="1:9" ht="18.75">
      <c r="A40" s="431"/>
      <c r="B40" s="431"/>
      <c r="C40" s="431"/>
      <c r="D40" s="431"/>
      <c r="E40" s="431"/>
      <c r="F40" s="431"/>
      <c r="G40" s="431"/>
      <c r="H40" s="431"/>
      <c r="I40" s="431"/>
    </row>
    <row r="41" spans="1:9" ht="18.75">
      <c r="A41" s="431"/>
      <c r="B41" s="431"/>
      <c r="C41" s="431"/>
      <c r="D41" s="431"/>
      <c r="E41" s="431"/>
      <c r="F41" s="431"/>
      <c r="G41" s="431"/>
      <c r="H41" s="431"/>
      <c r="I41" s="431"/>
    </row>
    <row r="42" spans="1:9" ht="18.75">
      <c r="A42" s="431"/>
      <c r="B42" s="431"/>
      <c r="C42" s="431"/>
      <c r="D42" s="431"/>
      <c r="E42" s="431"/>
      <c r="F42" s="431"/>
      <c r="G42" s="431"/>
      <c r="H42" s="431"/>
      <c r="I42" s="431"/>
    </row>
    <row r="43" spans="1:9" ht="18.75">
      <c r="A43" s="431"/>
      <c r="B43" s="431"/>
      <c r="C43" s="431"/>
      <c r="D43" s="431"/>
      <c r="E43" s="431"/>
      <c r="F43" s="431"/>
      <c r="G43" s="431"/>
      <c r="H43" s="431"/>
      <c r="I43" s="431"/>
    </row>
    <row r="44" spans="1:9" ht="18.75">
      <c r="A44" s="431"/>
      <c r="B44" s="431"/>
      <c r="C44" s="431"/>
      <c r="D44" s="431"/>
      <c r="E44" s="431"/>
      <c r="F44" s="431"/>
      <c r="G44" s="431"/>
      <c r="H44" s="431"/>
      <c r="I44" s="431"/>
    </row>
    <row r="45" spans="1:9" ht="18.75">
      <c r="A45" s="431"/>
      <c r="B45" s="431"/>
      <c r="C45" s="431"/>
      <c r="D45" s="431"/>
      <c r="E45" s="431"/>
      <c r="F45" s="431"/>
      <c r="G45" s="431"/>
      <c r="H45" s="431"/>
      <c r="I45" s="431"/>
    </row>
    <row r="46" spans="1:9" ht="18.75">
      <c r="A46" s="431"/>
      <c r="B46" s="431"/>
      <c r="C46" s="431"/>
      <c r="D46" s="431"/>
      <c r="E46" s="431"/>
      <c r="F46" s="431"/>
      <c r="G46" s="431"/>
      <c r="H46" s="431"/>
      <c r="I46" s="431"/>
    </row>
    <row r="47" spans="1:9" ht="18.75">
      <c r="A47" s="431"/>
      <c r="B47" s="431"/>
      <c r="C47" s="431"/>
      <c r="D47" s="431"/>
      <c r="E47" s="431"/>
      <c r="F47" s="431"/>
      <c r="G47" s="431"/>
      <c r="H47" s="431"/>
      <c r="I47" s="431"/>
    </row>
    <row r="48" spans="1:9" ht="18.75">
      <c r="A48" s="431"/>
      <c r="B48" s="431"/>
      <c r="C48" s="431"/>
      <c r="D48" s="431"/>
      <c r="E48" s="431"/>
      <c r="F48" s="431"/>
      <c r="G48" s="431"/>
      <c r="H48" s="431"/>
      <c r="I48" s="431"/>
    </row>
    <row r="49" spans="1:10" ht="18.75">
      <c r="A49" s="431"/>
      <c r="B49" s="431"/>
      <c r="C49" s="431"/>
      <c r="D49" s="431"/>
      <c r="E49" s="431"/>
      <c r="F49" s="431"/>
      <c r="G49" s="431"/>
      <c r="H49" s="431"/>
      <c r="I49" s="431"/>
    </row>
    <row r="50" spans="1:10" ht="18.75">
      <c r="A50" s="431"/>
      <c r="B50" s="431"/>
      <c r="C50" s="431"/>
      <c r="D50" s="431"/>
      <c r="E50" s="431"/>
      <c r="F50" s="431"/>
      <c r="G50" s="431"/>
      <c r="H50" s="431"/>
      <c r="I50" s="431"/>
    </row>
    <row r="51" spans="1:10" ht="18.75">
      <c r="A51" s="431"/>
      <c r="B51" s="431"/>
      <c r="C51" s="431"/>
      <c r="D51" s="431"/>
      <c r="E51" s="431"/>
      <c r="F51" s="431"/>
      <c r="G51" s="431"/>
      <c r="H51" s="431"/>
      <c r="I51" s="431"/>
    </row>
    <row r="52" spans="1:10" ht="18.75">
      <c r="A52" s="431"/>
      <c r="B52" s="431"/>
      <c r="C52" s="431"/>
      <c r="D52" s="431"/>
      <c r="E52" s="431"/>
      <c r="F52" s="431"/>
      <c r="G52" s="431"/>
      <c r="H52" s="431"/>
      <c r="I52" s="431"/>
    </row>
    <row r="53" spans="1:10" ht="18.75">
      <c r="A53" s="431"/>
      <c r="B53" s="431"/>
      <c r="C53" s="431"/>
      <c r="D53" s="431"/>
      <c r="E53" s="431"/>
      <c r="F53" s="431"/>
      <c r="G53" s="431"/>
      <c r="H53" s="431"/>
      <c r="I53" s="431"/>
    </row>
    <row r="54" spans="1:10" ht="18.75">
      <c r="A54" s="431"/>
      <c r="B54" s="431"/>
      <c r="C54" s="431"/>
      <c r="D54" s="431"/>
      <c r="E54" s="431"/>
      <c r="F54" s="431"/>
      <c r="G54" s="431"/>
      <c r="H54" s="431"/>
      <c r="I54" s="431"/>
    </row>
    <row r="55" spans="1:10" ht="18.75">
      <c r="A55" s="431"/>
      <c r="B55" s="431"/>
      <c r="C55" s="431"/>
      <c r="D55" s="431"/>
      <c r="E55" s="431"/>
      <c r="F55" s="431"/>
      <c r="G55" s="431"/>
      <c r="H55" s="431"/>
      <c r="I55" s="431"/>
    </row>
    <row r="56" spans="1:10" ht="18.75">
      <c r="A56" s="431"/>
      <c r="B56" s="431"/>
      <c r="C56" s="431"/>
      <c r="D56" s="431"/>
      <c r="E56" s="431"/>
      <c r="F56" s="431"/>
      <c r="G56" s="431"/>
      <c r="H56" s="431"/>
      <c r="I56" s="431"/>
    </row>
    <row r="57" spans="1:10" ht="18.75">
      <c r="A57" s="431"/>
      <c r="B57" s="431"/>
      <c r="C57" s="431"/>
      <c r="D57" s="431"/>
      <c r="E57" s="431"/>
      <c r="F57" s="431"/>
      <c r="G57" s="431"/>
      <c r="H57" s="431"/>
      <c r="I57" s="431"/>
    </row>
    <row r="58" spans="1:10" ht="18.75">
      <c r="A58" s="431"/>
      <c r="B58" s="431"/>
      <c r="C58" s="431"/>
      <c r="D58" s="431"/>
      <c r="E58" s="431"/>
      <c r="F58" s="431"/>
      <c r="G58" s="431"/>
      <c r="H58" s="431"/>
      <c r="I58" s="431"/>
    </row>
    <row r="59" spans="1:10">
      <c r="A59" s="2052" t="s">
        <v>1203</v>
      </c>
      <c r="B59" s="2052"/>
      <c r="C59" s="2052"/>
      <c r="D59" s="2052"/>
      <c r="E59" s="2052"/>
      <c r="F59" s="2052"/>
      <c r="G59" s="2052"/>
      <c r="H59" s="2052"/>
      <c r="I59" s="2052"/>
      <c r="J59" s="2052"/>
    </row>
    <row r="60" spans="1:10">
      <c r="A60" s="2052"/>
      <c r="B60" s="2052"/>
      <c r="C60" s="2052"/>
      <c r="D60" s="2052"/>
      <c r="E60" s="2052"/>
      <c r="F60" s="2052"/>
      <c r="G60" s="2052"/>
      <c r="H60" s="2052"/>
      <c r="I60" s="2052"/>
      <c r="J60" s="2052"/>
    </row>
    <row r="61" spans="1:10" ht="89.25" customHeight="1">
      <c r="A61" s="2052"/>
      <c r="B61" s="2052"/>
      <c r="C61" s="2052"/>
      <c r="D61" s="2052"/>
      <c r="E61" s="2052"/>
      <c r="F61" s="2052"/>
      <c r="G61" s="2052"/>
      <c r="H61" s="2052"/>
      <c r="I61" s="2052"/>
      <c r="J61" s="2052"/>
    </row>
    <row r="62" spans="1:10" ht="48" customHeight="1">
      <c r="A62" s="2062"/>
      <c r="B62" s="2062"/>
      <c r="C62" s="2062"/>
      <c r="D62" s="2062"/>
      <c r="E62" s="2062"/>
      <c r="F62" s="2062"/>
      <c r="G62" s="2062"/>
      <c r="H62" s="2062"/>
      <c r="I62" s="2062"/>
    </row>
    <row r="63" spans="1:10" ht="48" customHeight="1">
      <c r="A63" s="2062"/>
      <c r="B63" s="2062"/>
      <c r="C63" s="2062"/>
      <c r="D63" s="2062"/>
      <c r="E63" s="2062"/>
      <c r="F63" s="2062"/>
      <c r="G63" s="2062"/>
      <c r="H63" s="2062"/>
      <c r="I63" s="2062"/>
    </row>
    <row r="64" spans="1:10" ht="48" customHeight="1">
      <c r="A64" s="2062"/>
      <c r="B64" s="2062"/>
      <c r="C64" s="2062"/>
      <c r="D64" s="2062"/>
      <c r="E64" s="2062"/>
      <c r="F64" s="2062"/>
      <c r="G64" s="2062"/>
      <c r="H64" s="2062"/>
      <c r="I64" s="2062"/>
    </row>
    <row r="65" spans="1:9" ht="18.75">
      <c r="A65" s="2065"/>
      <c r="B65" s="2065"/>
      <c r="C65" s="2065"/>
      <c r="D65" s="432"/>
      <c r="E65" s="432"/>
      <c r="F65" s="432"/>
      <c r="G65" s="2065" t="s">
        <v>746</v>
      </c>
      <c r="H65" s="2065"/>
      <c r="I65" s="2065"/>
    </row>
    <row r="66" spans="1:9" ht="18.75">
      <c r="B66" s="432"/>
      <c r="C66" s="432"/>
      <c r="D66" s="432"/>
      <c r="E66" s="432"/>
      <c r="F66" s="432"/>
      <c r="G66" s="432"/>
      <c r="H66" s="432"/>
      <c r="I66" s="432"/>
    </row>
    <row r="67" spans="1:9" ht="18.75">
      <c r="A67" s="2067"/>
      <c r="B67" s="2067"/>
      <c r="C67" s="2067"/>
      <c r="D67" s="2067"/>
      <c r="E67" s="2067"/>
      <c r="F67" s="2067"/>
      <c r="G67" s="2067"/>
      <c r="H67" s="2067"/>
      <c r="I67" s="2067"/>
    </row>
    <row r="68" spans="1:9">
      <c r="A68" s="2066"/>
      <c r="B68" s="2066"/>
      <c r="C68" s="2066"/>
      <c r="D68" s="2066"/>
      <c r="E68" s="2066"/>
      <c r="F68" s="2066"/>
      <c r="G68" s="2066"/>
      <c r="H68" s="2066"/>
      <c r="I68" s="2066"/>
    </row>
    <row r="69" spans="1:9">
      <c r="A69" s="2002"/>
      <c r="B69" s="2002"/>
      <c r="C69" s="2002"/>
      <c r="D69" s="2002"/>
      <c r="E69" s="2002"/>
      <c r="F69" s="2002"/>
      <c r="G69" s="2002"/>
      <c r="H69" s="2002"/>
      <c r="I69" s="2002"/>
    </row>
    <row r="70" spans="1:9" ht="18.75">
      <c r="A70" s="2062" t="s">
        <v>1204</v>
      </c>
      <c r="B70" s="2062"/>
      <c r="C70" s="2062"/>
      <c r="D70" s="2062"/>
      <c r="E70" s="2062"/>
      <c r="F70" s="2062"/>
      <c r="G70" s="2062"/>
      <c r="H70" s="2062"/>
      <c r="I70" s="2062"/>
    </row>
    <row r="71" spans="1:9" ht="18.75">
      <c r="A71" s="2063"/>
      <c r="B71" s="2063"/>
      <c r="C71" s="2063"/>
      <c r="D71" s="2063"/>
      <c r="E71" s="2063"/>
      <c r="F71" s="2063"/>
      <c r="G71" s="2063"/>
      <c r="H71" s="2063"/>
      <c r="I71" s="2063"/>
    </row>
    <row r="72" spans="1:9">
      <c r="A72" s="2064"/>
      <c r="B72" s="2064"/>
      <c r="C72" s="2064"/>
      <c r="D72" s="2064"/>
      <c r="E72" s="2064"/>
      <c r="F72" s="2064"/>
      <c r="G72" s="2064"/>
      <c r="H72" s="2064"/>
      <c r="I72" s="2064"/>
    </row>
    <row r="73" spans="1:9">
      <c r="A73" s="2002"/>
      <c r="B73" s="2002"/>
      <c r="C73" s="2002"/>
      <c r="D73" s="2002"/>
      <c r="E73" s="2002"/>
      <c r="F73" s="2002"/>
      <c r="G73" s="2002"/>
      <c r="H73" s="2002"/>
      <c r="I73" s="2002"/>
    </row>
    <row r="74" spans="1:9">
      <c r="A74" s="2002"/>
      <c r="B74" s="2002"/>
      <c r="C74" s="2002"/>
      <c r="D74" s="2002"/>
      <c r="E74" s="2002"/>
      <c r="F74" s="2002"/>
      <c r="G74" s="2002"/>
      <c r="H74" s="2002"/>
      <c r="I74" s="2002"/>
    </row>
  </sheetData>
  <mergeCells count="31">
    <mergeCell ref="A72:I72"/>
    <mergeCell ref="A73:I73"/>
    <mergeCell ref="A74:I74"/>
    <mergeCell ref="A39:I39"/>
    <mergeCell ref="A65:C65"/>
    <mergeCell ref="G65:I65"/>
    <mergeCell ref="A68:I68"/>
    <mergeCell ref="A69:I69"/>
    <mergeCell ref="A70:I70"/>
    <mergeCell ref="A67:I67"/>
    <mergeCell ref="A62:I62"/>
    <mergeCell ref="A63:I63"/>
    <mergeCell ref="A64:I64"/>
    <mergeCell ref="A59:J61"/>
    <mergeCell ref="A71:I71"/>
    <mergeCell ref="A11:I11"/>
    <mergeCell ref="G13:J13"/>
    <mergeCell ref="A36:I36"/>
    <mergeCell ref="A37:I37"/>
    <mergeCell ref="A38:I38"/>
    <mergeCell ref="A18:I24"/>
    <mergeCell ref="A6:I6"/>
    <mergeCell ref="A7:I7"/>
    <mergeCell ref="A8:I8"/>
    <mergeCell ref="A9:I9"/>
    <mergeCell ref="A10:I10"/>
    <mergeCell ref="A1:I1"/>
    <mergeCell ref="A2:I2"/>
    <mergeCell ref="A3:I3"/>
    <mergeCell ref="A4:I4"/>
    <mergeCell ref="A5:I5"/>
  </mergeCells>
  <pageMargins left="0.7" right="0.7" top="0.75" bottom="0.75" header="0.3" footer="0.3"/>
  <pageSetup paperSize="5" scale="98" fitToHeight="0" orientation="portrait" r:id="rId1"/>
  <rowBreaks count="1" manualBreakCount="1">
    <brk id="38" max="9"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2">
    <pageSetUpPr fitToPage="1"/>
  </sheetPr>
  <dimension ref="A1:J73"/>
  <sheetViews>
    <sheetView showGridLines="0" view="pageBreakPreview" topLeftCell="A6" zoomScaleSheetLayoutView="100" workbookViewId="0">
      <selection activeCell="C11" sqref="C11"/>
    </sheetView>
  </sheetViews>
  <sheetFormatPr defaultRowHeight="15"/>
  <cols>
    <col min="1" max="16384" width="9.140625" style="777"/>
  </cols>
  <sheetData>
    <row r="1" spans="1:10" ht="31.5" customHeight="1">
      <c r="A1" s="776"/>
    </row>
    <row r="2" spans="1:10" ht="31.5" customHeight="1">
      <c r="A2" s="776"/>
    </row>
    <row r="3" spans="1:10" ht="31.5" customHeight="1">
      <c r="A3" s="776"/>
    </row>
    <row r="4" spans="1:10" ht="31.5" customHeight="1">
      <c r="A4" s="776"/>
    </row>
    <row r="5" spans="1:10" ht="31.5" customHeight="1">
      <c r="A5" s="776"/>
    </row>
    <row r="6" spans="1:10" ht="18.75">
      <c r="A6" s="776"/>
    </row>
    <row r="7" spans="1:10" ht="18.75">
      <c r="A7" s="776"/>
    </row>
    <row r="8" spans="1:10" ht="18.75">
      <c r="A8" s="776"/>
    </row>
    <row r="9" spans="1:10" ht="88.5" customHeight="1">
      <c r="A9" s="776"/>
    </row>
    <row r="10" spans="1:10" ht="88.5" customHeight="1">
      <c r="A10" s="776"/>
    </row>
    <row r="11" spans="1:10" ht="61.5" customHeight="1">
      <c r="A11" s="776"/>
    </row>
    <row r="12" spans="1:10" ht="18.75">
      <c r="A12" s="769" t="s">
        <v>1191</v>
      </c>
      <c r="B12" s="778"/>
      <c r="C12" s="778"/>
      <c r="D12" s="778"/>
      <c r="E12" s="778"/>
      <c r="F12" s="778"/>
      <c r="G12" s="2058" t="s">
        <v>1195</v>
      </c>
      <c r="H12" s="2058"/>
      <c r="I12" s="2058"/>
      <c r="J12" s="2058"/>
    </row>
    <row r="13" spans="1:10" ht="18.75">
      <c r="A13" s="776" t="s">
        <v>1206</v>
      </c>
      <c r="B13" s="778"/>
      <c r="C13" s="778"/>
      <c r="D13" s="778"/>
      <c r="E13" s="778"/>
      <c r="F13" s="778"/>
      <c r="G13" s="776" t="s">
        <v>1208</v>
      </c>
      <c r="H13" s="778"/>
      <c r="I13" s="778"/>
    </row>
    <row r="14" spans="1:10" ht="18.75">
      <c r="A14" s="776" t="str">
        <f>+'Data Input'!D74</f>
        <v>Fatullah Branch Narayanganj</v>
      </c>
      <c r="B14" s="776"/>
      <c r="C14" s="776"/>
      <c r="D14" s="776"/>
      <c r="E14" s="776"/>
      <c r="F14" s="776"/>
      <c r="G14" s="776"/>
      <c r="H14" s="776"/>
      <c r="I14" s="776"/>
    </row>
    <row r="15" spans="1:10" ht="18.75">
      <c r="A15" s="776"/>
      <c r="B15" s="776"/>
      <c r="C15" s="776"/>
      <c r="D15" s="776"/>
      <c r="E15" s="776"/>
      <c r="F15" s="776"/>
      <c r="G15" s="776"/>
      <c r="H15" s="776"/>
      <c r="I15" s="776"/>
    </row>
    <row r="16" spans="1:10" ht="37.5" customHeight="1">
      <c r="A16" s="776"/>
      <c r="B16" s="776"/>
      <c r="D16" s="781" t="s">
        <v>1207</v>
      </c>
      <c r="E16" s="776"/>
      <c r="F16" s="776"/>
      <c r="G16" s="776"/>
      <c r="H16" s="776"/>
      <c r="I16" s="776"/>
    </row>
    <row r="17" spans="1:10" ht="18.75">
      <c r="A17" s="776" t="s">
        <v>745</v>
      </c>
      <c r="B17" s="779"/>
      <c r="C17" s="779"/>
      <c r="D17" s="779"/>
      <c r="E17" s="779"/>
      <c r="F17" s="779"/>
      <c r="G17" s="779"/>
      <c r="H17" s="779"/>
      <c r="I17" s="779"/>
    </row>
    <row r="18" spans="1:10" ht="18.75" customHeight="1">
      <c r="A18" s="776"/>
      <c r="B18" s="776"/>
      <c r="C18" s="776"/>
      <c r="D18" s="776"/>
      <c r="E18" s="776"/>
      <c r="F18" s="776"/>
      <c r="G18" s="776"/>
      <c r="H18" s="776"/>
      <c r="I18" s="776"/>
    </row>
    <row r="19" spans="1:10" ht="18.75" customHeight="1">
      <c r="A19" s="2052" t="s">
        <v>1209</v>
      </c>
      <c r="B19" s="2052"/>
      <c r="C19" s="2052"/>
      <c r="D19" s="2052"/>
      <c r="E19" s="2052"/>
      <c r="F19" s="2052"/>
      <c r="G19" s="2052"/>
      <c r="H19" s="2052"/>
      <c r="I19" s="2052"/>
      <c r="J19" s="2052"/>
    </row>
    <row r="20" spans="1:10" ht="20.25" customHeight="1">
      <c r="A20" s="2052"/>
      <c r="B20" s="2052"/>
      <c r="C20" s="2052"/>
      <c r="D20" s="2052"/>
      <c r="E20" s="2052"/>
      <c r="F20" s="2052"/>
      <c r="G20" s="2052"/>
      <c r="H20" s="2052"/>
      <c r="I20" s="2052"/>
      <c r="J20" s="2052"/>
    </row>
    <row r="21" spans="1:10">
      <c r="A21" s="2052"/>
      <c r="B21" s="2052"/>
      <c r="C21" s="2052"/>
      <c r="D21" s="2052"/>
      <c r="E21" s="2052"/>
      <c r="F21" s="2052"/>
      <c r="G21" s="2052"/>
      <c r="H21" s="2052"/>
      <c r="I21" s="2052"/>
      <c r="J21" s="2052"/>
    </row>
    <row r="22" spans="1:10" ht="18" customHeight="1">
      <c r="A22" s="2052"/>
      <c r="B22" s="2052"/>
      <c r="C22" s="2052"/>
      <c r="D22" s="2052"/>
      <c r="E22" s="2052"/>
      <c r="F22" s="2052"/>
      <c r="G22" s="2052"/>
      <c r="H22" s="2052"/>
      <c r="I22" s="2052"/>
      <c r="J22" s="2052"/>
    </row>
    <row r="23" spans="1:10" ht="18" customHeight="1">
      <c r="A23" s="2052"/>
      <c r="B23" s="2052"/>
      <c r="C23" s="2052"/>
      <c r="D23" s="2052"/>
      <c r="E23" s="2052"/>
      <c r="F23" s="2052"/>
      <c r="G23" s="2052"/>
      <c r="H23" s="2052"/>
      <c r="I23" s="2052"/>
      <c r="J23" s="2052"/>
    </row>
    <row r="24" spans="1:10" ht="18" customHeight="1">
      <c r="A24" s="2052"/>
      <c r="B24" s="2052"/>
      <c r="C24" s="2052"/>
      <c r="D24" s="2052"/>
      <c r="E24" s="2052"/>
      <c r="F24" s="2052"/>
      <c r="G24" s="2052"/>
      <c r="H24" s="2052"/>
      <c r="I24" s="2052"/>
      <c r="J24" s="2052"/>
    </row>
    <row r="25" spans="1:10" ht="18" customHeight="1">
      <c r="A25" s="2052"/>
      <c r="B25" s="2052"/>
      <c r="C25" s="2052"/>
      <c r="D25" s="2052"/>
      <c r="E25" s="2052"/>
      <c r="F25" s="2052"/>
      <c r="G25" s="2052"/>
      <c r="H25" s="2052"/>
      <c r="I25" s="2052"/>
      <c r="J25" s="2052"/>
    </row>
    <row r="26" spans="1:10" ht="18" customHeight="1">
      <c r="A26" s="2069"/>
      <c r="B26" s="2069"/>
      <c r="C26" s="2069"/>
      <c r="D26" s="2069"/>
      <c r="E26" s="2069"/>
      <c r="F26" s="2069"/>
      <c r="G26" s="2069"/>
      <c r="H26" s="2069"/>
      <c r="I26" s="2069"/>
    </row>
    <row r="27" spans="1:10" ht="18" customHeight="1">
      <c r="A27" s="2069"/>
      <c r="B27" s="2069"/>
      <c r="C27" s="2069"/>
      <c r="D27" s="2069"/>
      <c r="E27" s="2069"/>
      <c r="F27" s="2069"/>
      <c r="G27" s="2069"/>
      <c r="H27" s="2069"/>
      <c r="I27" s="2069"/>
    </row>
    <row r="28" spans="1:10" ht="18.75">
      <c r="A28" s="2069"/>
      <c r="B28" s="2069"/>
      <c r="C28" s="2069"/>
      <c r="D28" s="2069"/>
      <c r="E28" s="2069"/>
      <c r="F28" s="2069"/>
      <c r="G28" s="2069"/>
      <c r="H28" s="2069"/>
      <c r="I28" s="2069"/>
    </row>
    <row r="29" spans="1:10" ht="18.75">
      <c r="A29" s="780"/>
      <c r="B29" s="780"/>
      <c r="C29" s="780"/>
      <c r="D29" s="780"/>
      <c r="E29" s="780"/>
      <c r="F29" s="780"/>
      <c r="G29" s="780"/>
      <c r="H29" s="780"/>
      <c r="I29" s="780"/>
    </row>
    <row r="30" spans="1:10" ht="18.75">
      <c r="A30" s="780"/>
      <c r="B30" s="780"/>
      <c r="C30" s="780"/>
      <c r="D30" s="780"/>
      <c r="E30" s="780"/>
      <c r="F30" s="780"/>
      <c r="G30" s="780"/>
      <c r="H30" s="780"/>
      <c r="I30" s="780"/>
    </row>
    <row r="31" spans="1:10" ht="18.75">
      <c r="A31" s="780"/>
      <c r="B31" s="780"/>
      <c r="C31" s="780"/>
      <c r="D31" s="780"/>
      <c r="E31" s="780"/>
      <c r="F31" s="780"/>
      <c r="G31" s="780"/>
      <c r="H31" s="780"/>
      <c r="I31" s="780"/>
    </row>
    <row r="32" spans="1:10" ht="18.75">
      <c r="A32" s="780"/>
      <c r="B32" s="780"/>
      <c r="C32" s="780"/>
      <c r="D32" s="780"/>
      <c r="E32" s="780"/>
      <c r="F32" s="780"/>
      <c r="G32" s="780"/>
      <c r="H32" s="780"/>
      <c r="I32" s="780"/>
    </row>
    <row r="33" spans="1:9" ht="18.75">
      <c r="A33" s="780"/>
      <c r="B33" s="780"/>
      <c r="C33" s="780"/>
      <c r="D33" s="780"/>
      <c r="E33" s="780"/>
      <c r="F33" s="780"/>
      <c r="G33" s="780"/>
      <c r="H33" s="780"/>
      <c r="I33" s="780"/>
    </row>
    <row r="34" spans="1:9" ht="18.75">
      <c r="A34" s="780"/>
      <c r="B34" s="780"/>
      <c r="C34" s="780"/>
      <c r="D34" s="780"/>
      <c r="E34" s="780"/>
      <c r="F34" s="780"/>
      <c r="G34" s="780"/>
      <c r="H34" s="780"/>
      <c r="I34" s="780"/>
    </row>
    <row r="35" spans="1:9" ht="18.75">
      <c r="A35" s="780"/>
      <c r="B35" s="780"/>
      <c r="C35" s="780"/>
      <c r="D35" s="780"/>
      <c r="E35" s="780"/>
      <c r="F35" s="780"/>
      <c r="G35" s="780"/>
      <c r="H35" s="780"/>
      <c r="I35" s="780"/>
    </row>
    <row r="36" spans="1:9" ht="18.75">
      <c r="A36" s="780"/>
      <c r="B36" s="780"/>
      <c r="C36" s="780"/>
      <c r="D36" s="780"/>
      <c r="E36" s="780"/>
      <c r="F36" s="780"/>
      <c r="G36" s="780"/>
      <c r="H36" s="780"/>
      <c r="I36" s="780"/>
    </row>
    <row r="37" spans="1:9" ht="18.75">
      <c r="A37" s="780"/>
      <c r="B37" s="780"/>
      <c r="C37" s="780"/>
      <c r="D37" s="780"/>
      <c r="E37" s="780"/>
      <c r="F37" s="780"/>
      <c r="G37" s="780"/>
      <c r="H37" s="780"/>
      <c r="I37" s="780"/>
    </row>
    <row r="38" spans="1:9" ht="18.75">
      <c r="A38" s="780"/>
      <c r="B38" s="780"/>
      <c r="C38" s="780"/>
      <c r="D38" s="780"/>
      <c r="E38" s="780"/>
      <c r="F38" s="780"/>
      <c r="G38" s="780"/>
      <c r="H38" s="780"/>
      <c r="I38" s="780"/>
    </row>
    <row r="39" spans="1:9" ht="18.75">
      <c r="A39" s="780"/>
      <c r="B39" s="780"/>
      <c r="C39" s="780"/>
      <c r="D39" s="780"/>
      <c r="E39" s="780"/>
      <c r="F39" s="780"/>
      <c r="G39" s="780"/>
      <c r="H39" s="780"/>
      <c r="I39" s="780"/>
    </row>
    <row r="40" spans="1:9" ht="18.75">
      <c r="A40" s="780"/>
      <c r="B40" s="780"/>
      <c r="C40" s="780"/>
      <c r="D40" s="780"/>
      <c r="E40" s="780"/>
      <c r="F40" s="780"/>
      <c r="G40" s="780"/>
      <c r="H40" s="780"/>
      <c r="I40" s="780"/>
    </row>
    <row r="41" spans="1:9" ht="18.75">
      <c r="A41" s="780"/>
      <c r="B41" s="780"/>
      <c r="C41" s="780"/>
      <c r="D41" s="780"/>
      <c r="E41" s="780"/>
      <c r="F41" s="780"/>
      <c r="G41" s="780"/>
      <c r="H41" s="780"/>
      <c r="I41" s="780"/>
    </row>
    <row r="42" spans="1:9" ht="18.75">
      <c r="A42" s="780"/>
      <c r="B42" s="780"/>
      <c r="C42" s="780"/>
      <c r="D42" s="780"/>
      <c r="E42" s="780"/>
      <c r="F42" s="780"/>
      <c r="G42" s="780"/>
      <c r="H42" s="780"/>
      <c r="I42" s="780"/>
    </row>
    <row r="43" spans="1:9" ht="18.75">
      <c r="A43" s="780"/>
      <c r="B43" s="780"/>
      <c r="C43" s="780"/>
      <c r="D43" s="780"/>
      <c r="E43" s="780"/>
      <c r="F43" s="780"/>
      <c r="G43" s="780"/>
      <c r="H43" s="780"/>
      <c r="I43" s="780"/>
    </row>
    <row r="44" spans="1:9" ht="18.75">
      <c r="A44" s="780"/>
      <c r="B44" s="780"/>
      <c r="C44" s="780"/>
      <c r="D44" s="780"/>
      <c r="E44" s="780"/>
      <c r="F44" s="780"/>
      <c r="G44" s="780"/>
      <c r="H44" s="780"/>
      <c r="I44" s="780"/>
    </row>
    <row r="45" spans="1:9" ht="18.75">
      <c r="A45" s="780"/>
      <c r="B45" s="780"/>
      <c r="C45" s="780"/>
      <c r="D45" s="780"/>
      <c r="E45" s="780"/>
      <c r="F45" s="780"/>
      <c r="G45" s="780"/>
      <c r="H45" s="780"/>
      <c r="I45" s="780"/>
    </row>
    <row r="46" spans="1:9" ht="18.75">
      <c r="A46" s="780"/>
      <c r="B46" s="780"/>
      <c r="C46" s="780"/>
      <c r="D46" s="780"/>
      <c r="E46" s="780"/>
      <c r="F46" s="780"/>
      <c r="G46" s="780"/>
      <c r="H46" s="780"/>
      <c r="I46" s="780"/>
    </row>
    <row r="47" spans="1:9" ht="18.75">
      <c r="A47" s="780"/>
      <c r="B47" s="780"/>
      <c r="C47" s="780"/>
      <c r="D47" s="780"/>
      <c r="E47" s="780"/>
      <c r="F47" s="780"/>
      <c r="G47" s="780"/>
      <c r="H47" s="780"/>
      <c r="I47" s="780"/>
    </row>
    <row r="48" spans="1:9" ht="18.75">
      <c r="A48" s="780"/>
      <c r="B48" s="780"/>
      <c r="C48" s="780"/>
      <c r="D48" s="780"/>
      <c r="E48" s="780"/>
      <c r="F48" s="780"/>
      <c r="G48" s="780"/>
      <c r="H48" s="780"/>
      <c r="I48" s="780"/>
    </row>
    <row r="49" spans="1:10" ht="18.75">
      <c r="A49" s="780"/>
      <c r="B49" s="780"/>
      <c r="C49" s="780"/>
      <c r="D49" s="780"/>
      <c r="E49" s="780"/>
      <c r="F49" s="780"/>
      <c r="G49" s="780"/>
      <c r="H49" s="780"/>
      <c r="I49" s="780"/>
    </row>
    <row r="50" spans="1:10" ht="18.75">
      <c r="A50" s="780"/>
      <c r="B50" s="780"/>
      <c r="C50" s="780"/>
      <c r="D50" s="780"/>
      <c r="E50" s="780"/>
      <c r="F50" s="780"/>
      <c r="G50" s="780"/>
      <c r="H50" s="780"/>
      <c r="I50" s="780"/>
    </row>
    <row r="51" spans="1:10" ht="18.75">
      <c r="A51" s="780"/>
      <c r="B51" s="780"/>
      <c r="C51" s="780"/>
      <c r="D51" s="780"/>
      <c r="E51" s="780"/>
      <c r="F51" s="780"/>
      <c r="G51" s="780"/>
      <c r="H51" s="780"/>
      <c r="I51" s="780"/>
    </row>
    <row r="52" spans="1:10" ht="18.75">
      <c r="A52" s="780"/>
      <c r="B52" s="780"/>
      <c r="C52" s="780"/>
      <c r="D52" s="780"/>
      <c r="E52" s="780"/>
      <c r="F52" s="780"/>
      <c r="G52" s="780"/>
      <c r="H52" s="780"/>
      <c r="I52" s="780"/>
    </row>
    <row r="53" spans="1:10" ht="18.75">
      <c r="A53" s="780"/>
      <c r="B53" s="780"/>
      <c r="C53" s="780"/>
      <c r="D53" s="780"/>
      <c r="E53" s="780"/>
      <c r="F53" s="780"/>
      <c r="G53" s="780"/>
      <c r="H53" s="780"/>
      <c r="I53" s="780"/>
    </row>
    <row r="54" spans="1:10" ht="18.75">
      <c r="A54" s="780"/>
      <c r="B54" s="780"/>
      <c r="C54" s="780"/>
      <c r="D54" s="780"/>
      <c r="E54" s="780"/>
      <c r="F54" s="780"/>
      <c r="G54" s="780"/>
      <c r="H54" s="780"/>
      <c r="I54" s="780"/>
    </row>
    <row r="55" spans="1:10" ht="18.75">
      <c r="A55" s="2069"/>
      <c r="B55" s="2069"/>
      <c r="C55" s="2069"/>
      <c r="D55" s="2069"/>
      <c r="E55" s="2069"/>
      <c r="F55" s="2069"/>
      <c r="G55" s="2069"/>
      <c r="H55" s="2069"/>
      <c r="I55" s="2069"/>
    </row>
    <row r="56" spans="1:10" ht="18.75">
      <c r="A56" s="2069"/>
      <c r="B56" s="2069"/>
      <c r="C56" s="2069"/>
      <c r="D56" s="2069"/>
      <c r="E56" s="2069"/>
      <c r="F56" s="2069"/>
      <c r="G56" s="2069"/>
      <c r="H56" s="2069"/>
      <c r="I56" s="2069"/>
    </row>
    <row r="57" spans="1:10" ht="18.75">
      <c r="A57" s="2069"/>
      <c r="B57" s="2069"/>
      <c r="C57" s="2069"/>
      <c r="D57" s="2069"/>
      <c r="E57" s="2069"/>
      <c r="F57" s="2069"/>
      <c r="G57" s="2069"/>
      <c r="H57" s="2069"/>
      <c r="I57" s="2069"/>
    </row>
    <row r="58" spans="1:10" ht="18.75">
      <c r="A58" s="2069"/>
      <c r="B58" s="2069"/>
      <c r="C58" s="2069"/>
      <c r="D58" s="2069"/>
      <c r="E58" s="2069"/>
      <c r="F58" s="2069"/>
      <c r="G58" s="2069"/>
      <c r="H58" s="2069"/>
      <c r="I58" s="2069"/>
    </row>
    <row r="59" spans="1:10" ht="18.75" customHeight="1">
      <c r="A59" s="2052" t="s">
        <v>1210</v>
      </c>
      <c r="B59" s="2052"/>
      <c r="C59" s="2052"/>
      <c r="D59" s="2052"/>
      <c r="E59" s="2052"/>
      <c r="F59" s="2052"/>
      <c r="G59" s="2052"/>
      <c r="H59" s="2052"/>
      <c r="I59" s="2052"/>
      <c r="J59" s="2052"/>
    </row>
    <row r="60" spans="1:10" ht="18.75" customHeight="1">
      <c r="A60" s="2052"/>
      <c r="B60" s="2052"/>
      <c r="C60" s="2052"/>
      <c r="D60" s="2052"/>
      <c r="E60" s="2052"/>
      <c r="F60" s="2052"/>
      <c r="G60" s="2052"/>
      <c r="H60" s="2052"/>
      <c r="I60" s="2052"/>
      <c r="J60" s="2052"/>
    </row>
    <row r="61" spans="1:10" ht="18.75" customHeight="1">
      <c r="A61" s="2052"/>
      <c r="B61" s="2052"/>
      <c r="C61" s="2052"/>
      <c r="D61" s="2052"/>
      <c r="E61" s="2052"/>
      <c r="F61" s="2052"/>
      <c r="G61" s="2052"/>
      <c r="H61" s="2052"/>
      <c r="I61" s="2052"/>
      <c r="J61" s="2052"/>
    </row>
    <row r="62" spans="1:10" ht="18.75">
      <c r="B62" s="776"/>
      <c r="C62" s="776"/>
      <c r="D62" s="776"/>
      <c r="E62" s="776"/>
      <c r="F62" s="776"/>
      <c r="G62" s="776"/>
      <c r="H62" s="776"/>
      <c r="I62" s="776"/>
    </row>
    <row r="63" spans="1:10" ht="18.75">
      <c r="A63" s="776"/>
      <c r="B63" s="776"/>
      <c r="C63" s="776"/>
      <c r="D63" s="776"/>
      <c r="E63" s="776"/>
      <c r="F63" s="776"/>
      <c r="G63" s="776"/>
      <c r="H63" s="776"/>
      <c r="I63" s="776"/>
    </row>
    <row r="64" spans="1:10" ht="18.75">
      <c r="B64" s="776"/>
      <c r="C64" s="776"/>
      <c r="D64" s="776"/>
      <c r="E64" s="776"/>
      <c r="F64" s="776"/>
      <c r="G64" s="776"/>
      <c r="H64" s="776"/>
      <c r="I64" s="776"/>
    </row>
    <row r="65" spans="1:9" ht="18.75">
      <c r="B65" s="776"/>
      <c r="C65" s="776"/>
      <c r="D65" s="776"/>
      <c r="E65" s="776"/>
      <c r="F65" s="776"/>
      <c r="G65" s="2070"/>
      <c r="H65" s="2070"/>
      <c r="I65" s="2070"/>
    </row>
    <row r="66" spans="1:9" ht="18.75">
      <c r="A66" s="776"/>
      <c r="B66" s="776"/>
      <c r="C66" s="776"/>
      <c r="D66" s="776"/>
      <c r="E66" s="776"/>
      <c r="F66" s="776"/>
      <c r="G66" s="776"/>
      <c r="H66" s="776"/>
      <c r="I66" s="776"/>
    </row>
    <row r="67" spans="1:9" ht="18.75">
      <c r="A67" s="776"/>
      <c r="B67" s="776"/>
      <c r="C67" s="776"/>
      <c r="D67" s="776"/>
      <c r="E67" s="776"/>
      <c r="F67" s="776"/>
      <c r="G67" s="776"/>
      <c r="H67" s="773" t="s">
        <v>1211</v>
      </c>
      <c r="I67" s="776"/>
    </row>
    <row r="72" spans="1:9" ht="131.25" customHeight="1">
      <c r="A72" s="2068" t="s">
        <v>1223</v>
      </c>
      <c r="B72" s="2068"/>
    </row>
    <row r="73" spans="1:9" ht="56.25" customHeight="1">
      <c r="A73" s="769">
        <v>2</v>
      </c>
    </row>
  </sheetData>
  <mergeCells count="12">
    <mergeCell ref="A72:B72"/>
    <mergeCell ref="A19:J25"/>
    <mergeCell ref="G12:J12"/>
    <mergeCell ref="A55:I55"/>
    <mergeCell ref="A26:I26"/>
    <mergeCell ref="A27:I27"/>
    <mergeCell ref="A28:I28"/>
    <mergeCell ref="G65:I65"/>
    <mergeCell ref="A56:I56"/>
    <mergeCell ref="A57:I57"/>
    <mergeCell ref="A58:I58"/>
    <mergeCell ref="A59:J61"/>
  </mergeCells>
  <pageMargins left="0.7" right="0.7" top="0.75" bottom="0.75" header="0.3" footer="0.3"/>
  <pageSetup paperSize="5" scale="98" fitToHeight="0" orientation="portrait" r:id="rId1"/>
  <rowBreaks count="1" manualBreakCount="1">
    <brk id="34" max="9"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A0FDA-BF0B-4440-9D98-9EFFF172BAA3}">
  <sheetPr codeName="Sheet5">
    <pageSetUpPr fitToPage="1"/>
  </sheetPr>
  <dimension ref="A1:AT73"/>
  <sheetViews>
    <sheetView view="pageBreakPreview" zoomScale="70" zoomScaleNormal="100" zoomScaleSheetLayoutView="70" workbookViewId="0">
      <selection activeCell="C77" sqref="C77"/>
    </sheetView>
  </sheetViews>
  <sheetFormatPr defaultRowHeight="15"/>
  <cols>
    <col min="37" max="37" width="7.85546875" customWidth="1"/>
    <col min="38" max="46" width="9.140625" hidden="1" customWidth="1"/>
  </cols>
  <sheetData>
    <row r="1" spans="1:46">
      <c r="A1" s="793"/>
      <c r="B1" s="793"/>
      <c r="C1" s="793"/>
      <c r="D1" s="793"/>
      <c r="E1" s="793"/>
      <c r="F1" s="793"/>
      <c r="G1" s="793"/>
      <c r="H1" s="793"/>
      <c r="I1" s="793"/>
      <c r="J1" s="793"/>
      <c r="K1" s="793"/>
      <c r="L1" s="793"/>
      <c r="M1" s="793"/>
      <c r="N1" s="793"/>
      <c r="O1" s="793"/>
      <c r="P1" s="793"/>
      <c r="Q1" s="793"/>
      <c r="R1" s="793"/>
      <c r="S1" s="793"/>
      <c r="T1" s="793"/>
      <c r="U1" s="793"/>
      <c r="V1" s="793"/>
      <c r="W1" s="793"/>
      <c r="X1" s="793"/>
      <c r="Y1" s="793"/>
      <c r="Z1" s="793"/>
      <c r="AA1" s="793"/>
      <c r="AB1" s="793"/>
      <c r="AC1" s="793"/>
      <c r="AD1" s="793"/>
      <c r="AE1" s="793"/>
      <c r="AF1" s="793"/>
      <c r="AG1" s="793"/>
      <c r="AH1" s="793"/>
      <c r="AI1" s="793"/>
      <c r="AJ1" s="793"/>
      <c r="AK1" s="793"/>
      <c r="AL1" s="793"/>
      <c r="AM1" s="793"/>
      <c r="AN1" s="793"/>
      <c r="AO1" s="793"/>
      <c r="AP1" s="793"/>
      <c r="AQ1" s="793"/>
      <c r="AR1" s="793"/>
      <c r="AS1" s="793"/>
      <c r="AT1" s="793"/>
    </row>
    <row r="2" spans="1:46" ht="17.2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23"/>
      <c r="AG2" s="12"/>
      <c r="AH2" s="12"/>
      <c r="AI2" s="23"/>
      <c r="AJ2" s="23"/>
      <c r="AK2" s="23"/>
      <c r="AL2" s="12"/>
      <c r="AM2" s="12"/>
      <c r="AN2" s="12"/>
      <c r="AO2" s="111"/>
      <c r="AP2" s="111"/>
      <c r="AQ2" s="111"/>
      <c r="AR2" s="111"/>
      <c r="AS2" s="111"/>
      <c r="AT2" s="111"/>
    </row>
    <row r="3" spans="1:46" ht="33">
      <c r="A3" s="791"/>
      <c r="B3" s="791"/>
      <c r="C3" s="791"/>
      <c r="D3" s="791"/>
      <c r="E3" s="791"/>
      <c r="F3" s="791"/>
      <c r="G3" s="791"/>
      <c r="H3" s="791"/>
      <c r="I3" s="791"/>
      <c r="J3" s="791"/>
      <c r="K3" s="791"/>
      <c r="L3" s="791"/>
      <c r="M3" s="791"/>
      <c r="N3" s="791"/>
      <c r="O3" s="791"/>
      <c r="P3" s="791"/>
      <c r="Q3" s="791"/>
      <c r="R3" s="791"/>
      <c r="S3" s="791"/>
      <c r="T3" s="791"/>
      <c r="U3" s="791"/>
      <c r="V3" s="791"/>
      <c r="W3" s="791"/>
      <c r="X3" s="791"/>
      <c r="Y3" s="791"/>
      <c r="Z3" s="791"/>
      <c r="AA3" s="791"/>
      <c r="AB3" s="791"/>
      <c r="AC3" s="791"/>
      <c r="AD3" s="791"/>
      <c r="AE3" s="791"/>
      <c r="AF3" s="791"/>
      <c r="AG3" s="791"/>
      <c r="AH3" s="791"/>
      <c r="AI3" s="791"/>
      <c r="AJ3" s="791"/>
      <c r="AK3" s="791"/>
      <c r="AL3" s="791"/>
      <c r="AM3" s="791"/>
      <c r="AN3" s="791"/>
      <c r="AO3" s="791"/>
      <c r="AP3" s="791"/>
      <c r="AQ3" s="791"/>
      <c r="AR3" s="791"/>
      <c r="AS3" s="791"/>
      <c r="AT3" s="791"/>
    </row>
    <row r="4" spans="1:46" ht="24.75">
      <c r="A4" s="790"/>
      <c r="B4" s="790"/>
      <c r="C4" s="790"/>
      <c r="D4" s="790"/>
      <c r="E4" s="790"/>
      <c r="F4" s="790"/>
      <c r="G4" s="790"/>
      <c r="H4" s="790"/>
      <c r="I4" s="790"/>
      <c r="J4" s="790"/>
      <c r="K4" s="790"/>
      <c r="L4" s="790"/>
      <c r="M4" s="790"/>
      <c r="N4" s="790"/>
      <c r="O4" s="790"/>
      <c r="P4" s="790"/>
      <c r="Q4" s="790"/>
      <c r="R4" s="790"/>
      <c r="S4" s="790"/>
      <c r="T4" s="790"/>
      <c r="U4" s="790"/>
      <c r="V4" s="790"/>
      <c r="W4" s="790"/>
      <c r="X4" s="790"/>
      <c r="Y4" s="790"/>
      <c r="Z4" s="790"/>
      <c r="AA4" s="790"/>
      <c r="AB4" s="790"/>
      <c r="AC4" s="790"/>
      <c r="AD4" s="790"/>
      <c r="AE4" s="790"/>
      <c r="AF4" s="790"/>
      <c r="AG4" s="790"/>
      <c r="AH4" s="790"/>
      <c r="AI4" s="790"/>
      <c r="AJ4" s="790"/>
      <c r="AK4" s="790"/>
      <c r="AL4" s="790"/>
      <c r="AM4" s="790"/>
      <c r="AN4" s="790"/>
      <c r="AO4" s="790"/>
      <c r="AP4" s="790"/>
      <c r="AQ4" s="790"/>
      <c r="AR4" s="790"/>
      <c r="AS4" s="790"/>
      <c r="AT4" s="790"/>
    </row>
    <row r="5" spans="1:46" ht="24.75">
      <c r="A5" s="790"/>
      <c r="B5" s="790"/>
      <c r="C5" s="790"/>
      <c r="D5" s="790"/>
      <c r="E5" s="790"/>
      <c r="F5" s="790"/>
      <c r="G5" s="790"/>
      <c r="H5" s="790"/>
      <c r="I5" s="790"/>
      <c r="J5" s="790"/>
      <c r="K5" s="790"/>
      <c r="L5" s="790"/>
      <c r="M5" s="790"/>
      <c r="N5" s="790"/>
      <c r="O5" s="790"/>
      <c r="P5" s="790"/>
      <c r="Q5" s="790"/>
      <c r="R5" s="790"/>
      <c r="S5" s="790"/>
      <c r="T5" s="790"/>
      <c r="U5" s="790"/>
      <c r="V5" s="790"/>
      <c r="W5" s="790"/>
      <c r="X5" s="790"/>
      <c r="Y5" s="790"/>
      <c r="Z5" s="790"/>
      <c r="AA5" s="790"/>
      <c r="AB5" s="790"/>
      <c r="AC5" s="790"/>
      <c r="AD5" s="790"/>
      <c r="AE5" s="790"/>
      <c r="AF5" s="790"/>
      <c r="AG5" s="790"/>
      <c r="AH5" s="790"/>
      <c r="AI5" s="790"/>
      <c r="AJ5" s="790"/>
      <c r="AK5" s="790"/>
      <c r="AL5" s="790"/>
      <c r="AM5" s="790"/>
      <c r="AN5" s="790"/>
      <c r="AO5" s="790"/>
      <c r="AP5" s="790"/>
      <c r="AQ5" s="790"/>
      <c r="AR5" s="790"/>
      <c r="AS5" s="790"/>
      <c r="AT5" s="790"/>
    </row>
    <row r="6" spans="1:46" ht="21.75">
      <c r="A6" s="792"/>
      <c r="B6" s="792"/>
      <c r="C6" s="792"/>
      <c r="D6" s="792"/>
      <c r="E6" s="792"/>
      <c r="F6" s="792"/>
      <c r="G6" s="792"/>
      <c r="H6" s="792"/>
      <c r="I6" s="792"/>
      <c r="J6" s="792"/>
      <c r="K6" s="792"/>
      <c r="L6" s="792"/>
      <c r="M6" s="792"/>
      <c r="N6" s="792"/>
      <c r="O6" s="792"/>
      <c r="P6" s="792"/>
      <c r="Q6" s="792"/>
      <c r="R6" s="792"/>
      <c r="S6" s="792"/>
      <c r="T6" s="792"/>
      <c r="U6" s="792"/>
      <c r="V6" s="792"/>
      <c r="W6" s="792"/>
      <c r="X6" s="792"/>
      <c r="Y6" s="792"/>
      <c r="Z6" s="792"/>
      <c r="AA6" s="792"/>
      <c r="AB6" s="792"/>
      <c r="AC6" s="792"/>
      <c r="AD6" s="792"/>
      <c r="AE6" s="792"/>
      <c r="AF6" s="792"/>
      <c r="AG6" s="792"/>
      <c r="AH6" s="792"/>
      <c r="AI6" s="792"/>
      <c r="AJ6" s="792"/>
      <c r="AK6" s="792"/>
      <c r="AL6" s="792"/>
      <c r="AM6" s="792"/>
      <c r="AN6" s="792"/>
      <c r="AO6" s="792"/>
      <c r="AP6" s="792"/>
      <c r="AQ6" s="792"/>
      <c r="AR6" s="792"/>
      <c r="AS6" s="792"/>
      <c r="AT6" s="792"/>
    </row>
    <row r="7" spans="1:46" ht="21.75">
      <c r="A7" s="792"/>
      <c r="B7" s="792"/>
      <c r="C7" s="792"/>
      <c r="D7" s="792"/>
      <c r="E7" s="792"/>
      <c r="F7" s="792"/>
      <c r="G7" s="792"/>
      <c r="H7" s="792"/>
      <c r="I7" s="792"/>
      <c r="J7" s="792"/>
      <c r="K7" s="792"/>
      <c r="L7" s="792"/>
      <c r="M7" s="792"/>
      <c r="N7" s="792"/>
      <c r="O7" s="792"/>
      <c r="P7" s="792"/>
      <c r="Q7" s="792"/>
      <c r="R7" s="792"/>
      <c r="S7" s="792"/>
      <c r="T7" s="792"/>
      <c r="U7" s="792"/>
      <c r="V7" s="792"/>
      <c r="W7" s="792"/>
      <c r="X7" s="792"/>
      <c r="Y7" s="792"/>
      <c r="Z7" s="792"/>
      <c r="AA7" s="792"/>
      <c r="AB7" s="792"/>
      <c r="AC7" s="792"/>
      <c r="AD7" s="792"/>
      <c r="AE7" s="792"/>
      <c r="AF7" s="792"/>
      <c r="AG7" s="792"/>
      <c r="AH7" s="792"/>
      <c r="AI7" s="792"/>
      <c r="AJ7" s="792"/>
      <c r="AK7" s="792"/>
      <c r="AL7" s="792"/>
      <c r="AM7" s="792"/>
      <c r="AN7" s="792"/>
      <c r="AO7" s="792"/>
      <c r="AP7" s="792"/>
      <c r="AQ7" s="792"/>
      <c r="AR7" s="792"/>
      <c r="AS7" s="792"/>
      <c r="AT7" s="792"/>
    </row>
    <row r="8" spans="1:46" ht="242.25" customHeight="1">
      <c r="A8" s="791"/>
      <c r="B8" s="791"/>
      <c r="C8" s="791"/>
      <c r="D8" s="791"/>
      <c r="E8" s="791"/>
      <c r="F8" s="791"/>
      <c r="G8" s="791"/>
      <c r="H8" s="791"/>
      <c r="I8" s="791"/>
      <c r="J8" s="791"/>
      <c r="K8" s="791"/>
      <c r="L8" s="791"/>
      <c r="M8" s="791"/>
      <c r="N8" s="791"/>
      <c r="O8" s="791"/>
      <c r="P8" s="791"/>
      <c r="Q8" s="791"/>
      <c r="R8" s="791"/>
      <c r="S8" s="791"/>
      <c r="T8" s="791"/>
      <c r="U8" s="791"/>
      <c r="V8" s="791"/>
      <c r="W8" s="791"/>
      <c r="X8" s="791"/>
      <c r="Y8" s="791"/>
      <c r="Z8" s="791"/>
      <c r="AA8" s="791"/>
      <c r="AB8" s="791"/>
      <c r="AC8" s="791"/>
      <c r="AD8" s="791"/>
      <c r="AE8" s="791"/>
      <c r="AF8" s="791"/>
      <c r="AG8" s="791"/>
      <c r="AH8" s="791"/>
      <c r="AI8" s="791"/>
      <c r="AJ8" s="791"/>
      <c r="AK8" s="791"/>
      <c r="AL8" s="791"/>
      <c r="AM8" s="791"/>
      <c r="AN8" s="791"/>
      <c r="AO8" s="791"/>
      <c r="AP8" s="791"/>
      <c r="AQ8" s="791"/>
      <c r="AR8" s="791"/>
      <c r="AS8" s="791"/>
      <c r="AT8" s="791"/>
    </row>
    <row r="9" spans="1:46" ht="24.75">
      <c r="A9" s="790"/>
      <c r="B9" s="790"/>
      <c r="C9" s="790"/>
      <c r="D9" s="790"/>
      <c r="E9" s="790"/>
      <c r="F9" s="790"/>
      <c r="G9" s="790"/>
      <c r="H9" s="790"/>
      <c r="I9" s="790"/>
      <c r="J9" s="790"/>
      <c r="K9" s="790"/>
      <c r="L9" s="790"/>
      <c r="M9" s="790"/>
      <c r="N9" s="790"/>
      <c r="O9" s="790"/>
      <c r="P9" s="790"/>
      <c r="Q9" s="790"/>
      <c r="R9" s="790"/>
      <c r="S9" s="790"/>
      <c r="T9" s="790"/>
      <c r="U9" s="790"/>
      <c r="V9" s="790"/>
      <c r="W9" s="790"/>
      <c r="X9" s="790"/>
      <c r="Y9" s="790"/>
      <c r="Z9" s="790"/>
      <c r="AA9" s="790"/>
      <c r="AB9" s="790"/>
      <c r="AC9" s="790"/>
      <c r="AD9" s="790"/>
      <c r="AE9" s="790"/>
      <c r="AF9" s="790"/>
      <c r="AG9" s="790"/>
      <c r="AH9" s="790"/>
      <c r="AI9" s="790"/>
      <c r="AJ9" s="790"/>
      <c r="AK9" s="790"/>
      <c r="AL9" s="790"/>
      <c r="AM9" s="790"/>
      <c r="AN9" s="790"/>
      <c r="AO9" s="790"/>
      <c r="AP9" s="790"/>
      <c r="AQ9" s="790"/>
      <c r="AR9" s="790"/>
      <c r="AS9" s="790"/>
      <c r="AT9" s="790"/>
    </row>
    <row r="10" spans="1:46" ht="24.75">
      <c r="A10" s="790"/>
      <c r="B10" s="790"/>
      <c r="C10" s="790"/>
      <c r="D10" s="790"/>
      <c r="E10" s="790"/>
      <c r="F10" s="790"/>
      <c r="G10" s="790"/>
      <c r="H10" s="790"/>
      <c r="I10" s="790"/>
      <c r="J10" s="790"/>
      <c r="K10" s="790"/>
      <c r="L10" s="790"/>
      <c r="M10" s="790"/>
      <c r="N10" s="790"/>
      <c r="O10" s="790"/>
      <c r="P10" s="790"/>
      <c r="Q10" s="790"/>
      <c r="R10" s="790"/>
      <c r="S10" s="790"/>
      <c r="T10" s="790"/>
      <c r="U10" s="790"/>
      <c r="V10" s="790"/>
      <c r="W10" s="790"/>
      <c r="X10" s="790"/>
      <c r="Y10" s="790"/>
      <c r="Z10" s="790"/>
      <c r="AA10" s="790"/>
      <c r="AB10" s="790"/>
      <c r="AC10" s="790"/>
      <c r="AD10" s="790"/>
      <c r="AE10" s="790"/>
      <c r="AF10" s="790"/>
      <c r="AG10" s="790"/>
      <c r="AH10" s="790"/>
      <c r="AI10" s="790"/>
      <c r="AJ10" s="790"/>
      <c r="AK10" s="790"/>
      <c r="AL10" s="790"/>
      <c r="AM10" s="790"/>
      <c r="AN10" s="790"/>
      <c r="AO10" s="790"/>
      <c r="AP10" s="790"/>
      <c r="AQ10" s="790"/>
      <c r="AR10" s="790"/>
      <c r="AS10" s="790"/>
      <c r="AT10" s="790"/>
    </row>
    <row r="11" spans="1:46" ht="21.75">
      <c r="A11" s="792"/>
      <c r="B11" s="792"/>
      <c r="C11" s="792"/>
      <c r="D11" s="792"/>
      <c r="E11" s="792"/>
      <c r="F11" s="792"/>
      <c r="G11" s="792"/>
      <c r="H11" s="792"/>
      <c r="I11" s="792"/>
      <c r="J11" s="792"/>
      <c r="K11" s="792"/>
      <c r="L11" s="792"/>
      <c r="M11" s="792"/>
      <c r="N11" s="792"/>
      <c r="O11" s="792"/>
      <c r="P11" s="792"/>
      <c r="Q11" s="792"/>
      <c r="R11" s="792"/>
      <c r="S11" s="792"/>
      <c r="T11" s="792"/>
      <c r="U11" s="792"/>
      <c r="V11" s="792"/>
      <c r="W11" s="792"/>
      <c r="X11" s="792"/>
      <c r="Y11" s="792"/>
      <c r="Z11" s="792"/>
      <c r="AA11" s="792"/>
      <c r="AB11" s="792"/>
      <c r="AC11" s="792"/>
      <c r="AD11" s="792"/>
      <c r="AE11" s="792"/>
      <c r="AF11" s="792"/>
      <c r="AG11" s="792"/>
      <c r="AH11" s="792"/>
      <c r="AI11" s="792"/>
      <c r="AJ11" s="792"/>
      <c r="AK11" s="792"/>
      <c r="AL11" s="792"/>
      <c r="AM11" s="792"/>
      <c r="AN11" s="792"/>
      <c r="AO11" s="792"/>
      <c r="AP11" s="792"/>
      <c r="AQ11" s="792"/>
      <c r="AR11" s="792"/>
      <c r="AS11" s="792"/>
      <c r="AT11" s="792"/>
    </row>
    <row r="12" spans="1:46" ht="21.75">
      <c r="A12" s="792"/>
      <c r="B12" s="792"/>
      <c r="C12" s="792"/>
      <c r="D12" s="792"/>
      <c r="E12" s="792"/>
      <c r="F12" s="792"/>
      <c r="G12" s="792"/>
      <c r="H12" s="792"/>
      <c r="I12" s="792"/>
      <c r="J12" s="792"/>
      <c r="K12" s="792"/>
      <c r="L12" s="792"/>
      <c r="M12" s="792"/>
      <c r="N12" s="792"/>
      <c r="O12" s="792"/>
      <c r="P12" s="792"/>
      <c r="Q12" s="792"/>
      <c r="R12" s="792"/>
      <c r="S12" s="792"/>
      <c r="T12" s="792"/>
      <c r="U12" s="792"/>
      <c r="V12" s="792"/>
      <c r="W12" s="792"/>
      <c r="X12" s="792"/>
      <c r="Y12" s="792"/>
      <c r="Z12" s="792"/>
      <c r="AA12" s="792"/>
      <c r="AB12" s="792"/>
      <c r="AC12" s="792"/>
      <c r="AD12" s="792"/>
      <c r="AE12" s="792"/>
      <c r="AF12" s="792"/>
      <c r="AG12" s="792"/>
      <c r="AH12" s="792"/>
      <c r="AI12" s="792"/>
      <c r="AJ12" s="792"/>
      <c r="AK12" s="792"/>
      <c r="AL12" s="792"/>
      <c r="AM12" s="792"/>
      <c r="AN12" s="792"/>
      <c r="AO12" s="792"/>
      <c r="AP12" s="792"/>
      <c r="AQ12" s="792"/>
      <c r="AR12" s="792"/>
      <c r="AS12" s="792"/>
      <c r="AT12" s="792"/>
    </row>
    <row r="13" spans="1:46" ht="24.75">
      <c r="A13" s="790"/>
      <c r="B13" s="790"/>
      <c r="C13" s="790"/>
      <c r="D13" s="790"/>
      <c r="E13" s="790"/>
      <c r="F13" s="790"/>
      <c r="G13" s="790"/>
      <c r="H13" s="790"/>
      <c r="I13" s="790"/>
      <c r="J13" s="790"/>
      <c r="K13" s="790"/>
      <c r="L13" s="790"/>
      <c r="M13" s="790"/>
      <c r="N13" s="790"/>
      <c r="O13" s="790"/>
      <c r="P13" s="790"/>
      <c r="Q13" s="790"/>
      <c r="R13" s="790"/>
      <c r="S13" s="790"/>
      <c r="T13" s="790"/>
      <c r="U13" s="790"/>
      <c r="V13" s="790"/>
      <c r="W13" s="790"/>
      <c r="X13" s="790"/>
      <c r="Y13" s="790"/>
      <c r="Z13" s="790"/>
      <c r="AA13" s="790"/>
      <c r="AB13" s="790"/>
      <c r="AC13" s="790"/>
      <c r="AD13" s="790"/>
      <c r="AE13" s="790"/>
      <c r="AF13" s="790"/>
      <c r="AG13" s="790"/>
      <c r="AH13" s="790"/>
      <c r="AI13" s="790"/>
      <c r="AJ13" s="790"/>
      <c r="AK13" s="790"/>
      <c r="AL13" s="790"/>
      <c r="AM13" s="790"/>
      <c r="AN13" s="790"/>
      <c r="AO13" s="790"/>
      <c r="AP13" s="790"/>
      <c r="AQ13" s="790"/>
      <c r="AR13" s="790"/>
      <c r="AS13" s="790"/>
      <c r="AT13" s="790"/>
    </row>
    <row r="14" spans="1:46" ht="24.75">
      <c r="A14" s="790"/>
      <c r="B14" s="790"/>
      <c r="C14" s="790"/>
      <c r="D14" s="790"/>
      <c r="E14" s="790"/>
      <c r="F14" s="790"/>
      <c r="G14" s="790"/>
      <c r="H14" s="790"/>
      <c r="I14" s="790"/>
      <c r="J14" s="790"/>
      <c r="K14" s="790"/>
      <c r="L14" s="790"/>
      <c r="M14" s="790"/>
      <c r="N14" s="790"/>
      <c r="O14" s="790"/>
      <c r="P14" s="790"/>
      <c r="Q14" s="790"/>
      <c r="R14" s="790"/>
      <c r="S14" s="790"/>
      <c r="T14" s="790"/>
      <c r="U14" s="790"/>
      <c r="V14" s="790"/>
      <c r="W14" s="790"/>
      <c r="X14" s="790"/>
      <c r="Y14" s="790"/>
      <c r="Z14" s="790"/>
      <c r="AA14" s="790"/>
      <c r="AB14" s="790"/>
      <c r="AC14" s="790"/>
      <c r="AD14" s="790"/>
      <c r="AE14" s="790"/>
      <c r="AF14" s="790"/>
      <c r="AG14" s="790"/>
      <c r="AH14" s="790"/>
      <c r="AI14" s="790"/>
      <c r="AJ14" s="790"/>
      <c r="AK14" s="790"/>
      <c r="AL14" s="790"/>
      <c r="AM14" s="790"/>
      <c r="AN14" s="790"/>
      <c r="AO14" s="790"/>
      <c r="AP14" s="790"/>
      <c r="AQ14" s="790"/>
      <c r="AR14" s="790"/>
      <c r="AS14" s="790"/>
      <c r="AT14" s="790"/>
    </row>
    <row r="15" spans="1:46" ht="21.75">
      <c r="A15" s="792"/>
      <c r="B15" s="792"/>
      <c r="C15" s="792"/>
      <c r="D15" s="792"/>
      <c r="E15" s="792"/>
      <c r="F15" s="792"/>
      <c r="G15" s="792"/>
      <c r="H15" s="792"/>
      <c r="I15" s="792"/>
      <c r="J15" s="792"/>
      <c r="K15" s="792"/>
      <c r="L15" s="792"/>
      <c r="M15" s="792"/>
      <c r="N15" s="792"/>
      <c r="O15" s="792"/>
      <c r="P15" s="792"/>
      <c r="Q15" s="792"/>
      <c r="R15" s="792"/>
      <c r="S15" s="792"/>
      <c r="T15" s="792"/>
      <c r="U15" s="792"/>
      <c r="V15" s="792"/>
      <c r="W15" s="792"/>
      <c r="X15" s="792"/>
      <c r="Y15" s="792"/>
      <c r="Z15" s="792"/>
      <c r="AA15" s="792"/>
      <c r="AB15" s="792"/>
      <c r="AC15" s="792"/>
      <c r="AD15" s="792"/>
      <c r="AE15" s="792"/>
      <c r="AF15" s="792"/>
      <c r="AG15" s="792"/>
      <c r="AH15" s="792"/>
      <c r="AI15" s="792"/>
      <c r="AJ15" s="792"/>
      <c r="AK15" s="792"/>
      <c r="AL15" s="792"/>
      <c r="AM15" s="792"/>
      <c r="AN15" s="792"/>
      <c r="AO15" s="792"/>
      <c r="AP15" s="792"/>
      <c r="AQ15" s="792"/>
      <c r="AR15" s="792"/>
      <c r="AS15" s="792"/>
      <c r="AT15" s="792"/>
    </row>
    <row r="16" spans="1:46" ht="21.75">
      <c r="A16" s="792"/>
      <c r="B16" s="792"/>
      <c r="C16" s="792"/>
      <c r="D16" s="792"/>
      <c r="E16" s="792"/>
      <c r="F16" s="792"/>
      <c r="G16" s="792"/>
      <c r="H16" s="792"/>
      <c r="I16" s="792"/>
      <c r="J16" s="792"/>
      <c r="K16" s="792"/>
      <c r="L16" s="792"/>
      <c r="M16" s="792"/>
      <c r="N16" s="792"/>
      <c r="O16" s="792"/>
      <c r="P16" s="792"/>
      <c r="Q16" s="792"/>
      <c r="R16" s="792"/>
      <c r="S16" s="792"/>
      <c r="T16" s="792"/>
      <c r="U16" s="792"/>
      <c r="V16" s="792"/>
      <c r="W16" s="792"/>
      <c r="X16" s="792"/>
      <c r="Y16" s="792"/>
      <c r="Z16" s="792"/>
      <c r="AA16" s="792"/>
      <c r="AB16" s="792"/>
      <c r="AC16" s="792"/>
      <c r="AD16" s="792"/>
      <c r="AE16" s="792"/>
      <c r="AF16" s="792"/>
      <c r="AG16" s="792"/>
      <c r="AH16" s="792"/>
      <c r="AI16" s="792"/>
      <c r="AJ16" s="792"/>
      <c r="AK16" s="792"/>
      <c r="AL16" s="792"/>
      <c r="AM16" s="792"/>
      <c r="AN16" s="792"/>
      <c r="AO16" s="792"/>
      <c r="AP16" s="792"/>
      <c r="AQ16" s="792"/>
      <c r="AR16" s="792"/>
      <c r="AS16" s="792"/>
      <c r="AT16" s="792"/>
    </row>
    <row r="17" spans="1:46" ht="33">
      <c r="A17" s="791"/>
      <c r="B17" s="791"/>
      <c r="C17" s="791"/>
      <c r="D17" s="791"/>
      <c r="E17" s="791"/>
      <c r="F17" s="791"/>
      <c r="G17" s="791"/>
      <c r="H17" s="791"/>
      <c r="I17" s="791"/>
      <c r="J17" s="791"/>
      <c r="K17" s="791"/>
      <c r="L17" s="791"/>
      <c r="M17" s="791"/>
      <c r="N17" s="791"/>
      <c r="O17" s="791"/>
      <c r="P17" s="791"/>
      <c r="Q17" s="791"/>
      <c r="R17" s="791"/>
      <c r="S17" s="791"/>
      <c r="T17" s="791"/>
      <c r="U17" s="791"/>
      <c r="V17" s="791"/>
      <c r="W17" s="791"/>
      <c r="X17" s="791"/>
      <c r="Y17" s="791"/>
      <c r="Z17" s="791"/>
      <c r="AA17" s="791"/>
      <c r="AB17" s="791"/>
      <c r="AC17" s="791"/>
      <c r="AD17" s="791"/>
      <c r="AE17" s="791"/>
      <c r="AF17" s="791"/>
      <c r="AG17" s="791"/>
      <c r="AH17" s="791"/>
      <c r="AI17" s="791"/>
      <c r="AJ17" s="791"/>
      <c r="AK17" s="791"/>
      <c r="AL17" s="791"/>
      <c r="AM17" s="791"/>
      <c r="AN17" s="791"/>
      <c r="AO17" s="791"/>
      <c r="AP17" s="791"/>
      <c r="AQ17" s="791"/>
      <c r="AR17" s="791"/>
      <c r="AS17" s="791"/>
      <c r="AT17" s="791"/>
    </row>
    <row r="18" spans="1:46" ht="24.75">
      <c r="A18" s="790"/>
      <c r="B18" s="790"/>
      <c r="C18" s="790"/>
      <c r="D18" s="790"/>
      <c r="E18" s="790"/>
      <c r="F18" s="790"/>
      <c r="G18" s="790"/>
      <c r="H18" s="790"/>
      <c r="I18" s="790"/>
      <c r="J18" s="790"/>
      <c r="K18" s="790"/>
      <c r="L18" s="790"/>
      <c r="M18" s="790"/>
      <c r="N18" s="790"/>
      <c r="O18" s="790"/>
      <c r="P18" s="790"/>
      <c r="Q18" s="790"/>
      <c r="R18" s="790"/>
      <c r="S18" s="790"/>
      <c r="T18" s="790"/>
      <c r="U18" s="790"/>
      <c r="V18" s="790"/>
      <c r="W18" s="790"/>
      <c r="X18" s="790"/>
      <c r="Y18" s="790"/>
      <c r="Z18" s="790"/>
      <c r="AA18" s="790"/>
      <c r="AB18" s="790"/>
      <c r="AC18" s="790"/>
      <c r="AD18" s="790"/>
      <c r="AE18" s="790"/>
      <c r="AF18" s="790"/>
      <c r="AG18" s="790"/>
      <c r="AH18" s="790"/>
      <c r="AI18" s="790"/>
      <c r="AJ18" s="790"/>
      <c r="AK18" s="790"/>
      <c r="AL18" s="790"/>
      <c r="AM18" s="790"/>
      <c r="AN18" s="790"/>
      <c r="AO18" s="790"/>
      <c r="AP18" s="790"/>
      <c r="AQ18" s="790"/>
      <c r="AR18" s="790"/>
      <c r="AS18" s="790"/>
      <c r="AT18" s="790"/>
    </row>
    <row r="19" spans="1:46" ht="24.75">
      <c r="A19" s="790"/>
      <c r="B19" s="790"/>
      <c r="C19" s="790"/>
      <c r="D19" s="790"/>
      <c r="E19" s="790"/>
      <c r="F19" s="790"/>
      <c r="G19" s="790"/>
      <c r="H19" s="790"/>
      <c r="I19" s="790"/>
      <c r="J19" s="790"/>
      <c r="K19" s="790"/>
      <c r="L19" s="790"/>
      <c r="M19" s="790"/>
      <c r="N19" s="790"/>
      <c r="O19" s="790"/>
      <c r="P19" s="790"/>
      <c r="Q19" s="790"/>
      <c r="R19" s="790"/>
      <c r="S19" s="790"/>
      <c r="T19" s="790"/>
      <c r="U19" s="790"/>
      <c r="V19" s="790"/>
      <c r="W19" s="790"/>
      <c r="X19" s="790"/>
      <c r="Y19" s="790"/>
      <c r="Z19" s="790"/>
      <c r="AA19" s="790"/>
      <c r="AB19" s="790"/>
      <c r="AC19" s="790"/>
      <c r="AD19" s="790"/>
      <c r="AE19" s="790"/>
      <c r="AF19" s="790"/>
      <c r="AG19" s="790"/>
      <c r="AH19" s="790"/>
      <c r="AI19" s="790"/>
      <c r="AJ19" s="790"/>
      <c r="AK19" s="790"/>
      <c r="AL19" s="790"/>
      <c r="AM19" s="790"/>
      <c r="AN19" s="790"/>
      <c r="AO19" s="790"/>
      <c r="AP19" s="790"/>
      <c r="AQ19" s="790"/>
      <c r="AR19" s="790"/>
      <c r="AS19" s="790"/>
      <c r="AT19" s="790"/>
    </row>
    <row r="20" spans="1:46" ht="21.75">
      <c r="A20" s="792"/>
      <c r="B20" s="792"/>
      <c r="C20" s="792"/>
      <c r="D20" s="792"/>
      <c r="E20" s="792"/>
      <c r="F20" s="792"/>
      <c r="G20" s="792"/>
      <c r="H20" s="792"/>
      <c r="I20" s="792"/>
      <c r="J20" s="792"/>
      <c r="K20" s="792"/>
      <c r="L20" s="792"/>
      <c r="M20" s="792"/>
      <c r="N20" s="792"/>
      <c r="O20" s="792"/>
      <c r="P20" s="792"/>
      <c r="Q20" s="792"/>
      <c r="R20" s="792"/>
      <c r="S20" s="792"/>
      <c r="T20" s="792"/>
      <c r="U20" s="792"/>
      <c r="V20" s="792"/>
      <c r="W20" s="792"/>
      <c r="X20" s="792"/>
      <c r="Y20" s="792"/>
      <c r="Z20" s="792"/>
      <c r="AA20" s="792"/>
      <c r="AB20" s="792"/>
      <c r="AC20" s="792"/>
      <c r="AD20" s="792"/>
      <c r="AE20" s="792"/>
      <c r="AF20" s="792"/>
      <c r="AG20" s="792"/>
      <c r="AH20" s="792"/>
      <c r="AI20" s="792"/>
      <c r="AJ20" s="792"/>
      <c r="AK20" s="792"/>
      <c r="AL20" s="792"/>
      <c r="AM20" s="792"/>
      <c r="AN20" s="792"/>
      <c r="AO20" s="792"/>
      <c r="AP20" s="792"/>
      <c r="AQ20" s="792"/>
      <c r="AR20" s="792"/>
      <c r="AS20" s="792"/>
      <c r="AT20" s="792"/>
    </row>
    <row r="21" spans="1:46" ht="24.75">
      <c r="A21" s="790"/>
      <c r="B21" s="790"/>
      <c r="C21" s="790"/>
      <c r="D21" s="790"/>
      <c r="E21" s="790"/>
      <c r="F21" s="790"/>
      <c r="G21" s="790"/>
      <c r="H21" s="790"/>
      <c r="I21" s="790"/>
      <c r="J21" s="790"/>
      <c r="K21" s="790"/>
      <c r="L21" s="790"/>
      <c r="M21" s="790"/>
      <c r="N21" s="790"/>
      <c r="O21" s="790"/>
      <c r="P21" s="790"/>
      <c r="Q21" s="790"/>
      <c r="R21" s="790"/>
      <c r="S21" s="790"/>
      <c r="T21" s="790"/>
      <c r="U21" s="790"/>
      <c r="V21" s="790"/>
      <c r="W21" s="790"/>
      <c r="X21" s="790"/>
      <c r="Y21" s="790"/>
      <c r="Z21" s="790"/>
      <c r="AA21" s="790"/>
      <c r="AB21" s="790"/>
      <c r="AC21" s="790"/>
      <c r="AD21" s="790"/>
      <c r="AE21" s="790"/>
      <c r="AF21" s="790"/>
      <c r="AG21" s="790"/>
      <c r="AH21" s="790"/>
      <c r="AI21" s="790"/>
      <c r="AJ21" s="790"/>
      <c r="AK21" s="790"/>
      <c r="AL21" s="790"/>
      <c r="AM21" s="790"/>
      <c r="AN21" s="790"/>
      <c r="AO21" s="790"/>
      <c r="AP21" s="790"/>
      <c r="AQ21" s="790"/>
      <c r="AR21" s="790"/>
      <c r="AS21" s="790"/>
      <c r="AT21" s="790"/>
    </row>
    <row r="22" spans="1:46" ht="17.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row>
    <row r="23" spans="1:46" ht="35.25">
      <c r="B23" s="788"/>
      <c r="C23" s="788"/>
      <c r="D23" s="788"/>
      <c r="E23" s="788" t="s">
        <v>1212</v>
      </c>
      <c r="F23" s="788"/>
      <c r="G23" s="788"/>
      <c r="H23" s="788"/>
      <c r="I23" s="788"/>
      <c r="J23" s="788"/>
      <c r="K23" s="788"/>
      <c r="L23" s="788"/>
      <c r="M23" s="788"/>
      <c r="N23" s="788"/>
      <c r="O23" s="788"/>
      <c r="P23" s="788"/>
      <c r="Q23" s="788"/>
      <c r="R23" s="788"/>
      <c r="S23" s="788"/>
      <c r="T23" s="788"/>
      <c r="U23" s="788"/>
      <c r="V23" s="788"/>
      <c r="W23" s="788"/>
      <c r="X23" s="788"/>
      <c r="Y23" s="788"/>
      <c r="Z23" s="788"/>
      <c r="AA23" s="788"/>
      <c r="AB23" s="788"/>
      <c r="AC23" s="788"/>
      <c r="AD23" s="788"/>
      <c r="AE23" s="788"/>
      <c r="AF23" s="788"/>
      <c r="AG23" s="788"/>
      <c r="AH23" s="788"/>
      <c r="AI23" s="788"/>
      <c r="AJ23" s="788"/>
      <c r="AK23" s="788"/>
      <c r="AL23" s="788"/>
      <c r="AM23" s="788"/>
      <c r="AN23" s="788"/>
      <c r="AO23" s="788"/>
      <c r="AP23" s="788"/>
      <c r="AQ23" s="788"/>
      <c r="AR23" s="788"/>
      <c r="AS23" s="788"/>
      <c r="AT23" s="788"/>
    </row>
    <row r="24" spans="1:46" ht="35.25">
      <c r="A24" s="23"/>
      <c r="B24" s="782"/>
      <c r="C24" s="782"/>
      <c r="D24" s="782"/>
      <c r="E24" s="782"/>
      <c r="F24" s="782"/>
      <c r="G24" s="785" t="s">
        <v>1214</v>
      </c>
      <c r="H24" s="782"/>
      <c r="I24" s="782"/>
      <c r="J24" s="782"/>
      <c r="K24" s="782"/>
      <c r="L24" s="782"/>
      <c r="M24" s="782"/>
      <c r="N24" s="23"/>
      <c r="O24" s="782"/>
      <c r="Q24" s="782"/>
      <c r="R24" s="782"/>
      <c r="S24" s="782"/>
      <c r="T24" s="782"/>
      <c r="U24" s="782"/>
      <c r="V24" s="782"/>
      <c r="W24" s="782"/>
      <c r="X24" s="782"/>
      <c r="Y24" s="782"/>
      <c r="Z24" s="782"/>
      <c r="AA24" s="782"/>
      <c r="AB24" s="782"/>
      <c r="AC24" s="782"/>
      <c r="AD24" s="782"/>
      <c r="AE24" s="782"/>
      <c r="AF24" s="782"/>
      <c r="AG24" s="782"/>
      <c r="AH24" s="782"/>
      <c r="AI24" s="782"/>
      <c r="AJ24" s="782"/>
      <c r="AK24" s="782"/>
      <c r="AL24" s="782"/>
      <c r="AM24" s="782"/>
      <c r="AN24" s="782"/>
      <c r="AO24" s="782"/>
      <c r="AP24" s="782"/>
      <c r="AQ24" s="782"/>
      <c r="AR24" s="782"/>
      <c r="AS24" s="782"/>
      <c r="AT24" s="782"/>
    </row>
    <row r="25" spans="1:46" ht="35.25">
      <c r="A25" s="23"/>
      <c r="B25" s="782"/>
      <c r="C25" s="782"/>
      <c r="D25" s="782"/>
      <c r="E25" s="782"/>
      <c r="F25" s="782"/>
      <c r="G25" s="782"/>
      <c r="H25" s="782"/>
      <c r="I25" s="782"/>
      <c r="J25" s="782"/>
      <c r="K25" s="782"/>
      <c r="L25" s="782"/>
      <c r="M25" s="782"/>
      <c r="N25" s="23"/>
      <c r="O25" s="782"/>
      <c r="P25" s="783"/>
      <c r="Q25" s="782"/>
      <c r="R25" s="782"/>
      <c r="S25" s="782"/>
      <c r="T25" s="782"/>
      <c r="U25" s="782"/>
      <c r="V25" s="782"/>
      <c r="W25" s="782"/>
      <c r="X25" s="782"/>
      <c r="Y25" s="782"/>
      <c r="Z25" s="782"/>
      <c r="AA25" s="782"/>
      <c r="AB25" s="782"/>
      <c r="AC25" s="782"/>
      <c r="AD25" s="782"/>
      <c r="AE25" s="782"/>
      <c r="AF25" s="782"/>
      <c r="AG25" s="782"/>
      <c r="AH25" s="782"/>
      <c r="AI25" s="782"/>
      <c r="AJ25" s="782"/>
      <c r="AK25" s="782"/>
      <c r="AL25" s="782"/>
      <c r="AM25" s="782"/>
      <c r="AN25" s="782"/>
      <c r="AO25" s="782"/>
      <c r="AP25" s="782"/>
      <c r="AQ25" s="782"/>
      <c r="AR25" s="782"/>
      <c r="AS25" s="782"/>
      <c r="AT25" s="782"/>
    </row>
    <row r="26" spans="1:46" ht="21.75" customHeight="1">
      <c r="A26" s="2071" t="s">
        <v>1213</v>
      </c>
      <c r="B26" s="2071"/>
      <c r="C26" s="2071"/>
      <c r="D26" s="2071"/>
      <c r="E26" s="2071"/>
      <c r="F26" s="2071"/>
      <c r="G26" s="2071"/>
      <c r="H26" s="2071"/>
      <c r="I26" s="2071"/>
      <c r="J26" s="2071"/>
      <c r="K26" s="2071"/>
      <c r="L26" s="2071"/>
      <c r="M26" s="2071"/>
      <c r="N26" s="2071"/>
      <c r="O26" s="2071"/>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row>
    <row r="28" spans="1:46" ht="213.75" customHeight="1">
      <c r="A28" s="2072" t="s">
        <v>1224</v>
      </c>
      <c r="B28" s="2072"/>
      <c r="C28" s="2072"/>
      <c r="D28" s="2072"/>
      <c r="E28" s="2072"/>
      <c r="F28" s="2072"/>
      <c r="G28" s="2072"/>
      <c r="H28" s="2072"/>
      <c r="I28" s="2072"/>
      <c r="J28" s="2072"/>
      <c r="K28" s="2072"/>
      <c r="L28" s="2072"/>
      <c r="M28" s="2072"/>
      <c r="N28" s="2072"/>
      <c r="O28" s="2072"/>
      <c r="P28" s="789"/>
      <c r="Q28" s="789"/>
      <c r="R28" s="789"/>
      <c r="S28" s="789"/>
      <c r="T28" s="789"/>
      <c r="U28" s="789"/>
      <c r="V28" s="789"/>
      <c r="W28" s="789"/>
      <c r="X28" s="789"/>
      <c r="Y28" s="789"/>
      <c r="Z28" s="789"/>
      <c r="AA28" s="789"/>
      <c r="AB28" s="789"/>
      <c r="AC28" s="789"/>
      <c r="AD28" s="789"/>
      <c r="AE28" s="789"/>
      <c r="AF28" s="789"/>
      <c r="AG28" s="789"/>
      <c r="AH28" s="789"/>
      <c r="AI28" s="789"/>
      <c r="AJ28" s="789"/>
      <c r="AK28" s="789"/>
      <c r="AL28" s="789"/>
      <c r="AM28" s="789"/>
      <c r="AN28" s="789"/>
      <c r="AO28" s="789"/>
      <c r="AP28" s="789"/>
      <c r="AQ28" s="789"/>
      <c r="AR28" s="789"/>
      <c r="AS28" s="789"/>
      <c r="AT28" s="789"/>
    </row>
    <row r="29" spans="1:46" ht="21.75">
      <c r="A29" s="784"/>
      <c r="B29" s="786" t="s">
        <v>1215</v>
      </c>
      <c r="C29" s="76"/>
      <c r="D29" s="76"/>
      <c r="E29" s="76"/>
      <c r="F29" s="786" t="s">
        <v>1220</v>
      </c>
      <c r="G29" s="145"/>
      <c r="H29" s="784"/>
      <c r="I29" s="76"/>
      <c r="J29" s="76"/>
      <c r="K29" s="786" t="s">
        <v>1221</v>
      </c>
      <c r="L29" s="145"/>
      <c r="M29" s="145"/>
      <c r="N29" s="784"/>
      <c r="O29" s="145"/>
      <c r="P29" s="145"/>
      <c r="S29" s="145"/>
      <c r="T29" s="145"/>
      <c r="U29" s="145"/>
      <c r="V29" s="145"/>
      <c r="W29" s="145"/>
      <c r="X29" s="145"/>
      <c r="Y29" s="145"/>
      <c r="Z29" s="145"/>
      <c r="AA29" s="145"/>
      <c r="AB29" s="145"/>
      <c r="AC29" s="145"/>
      <c r="AD29" s="145"/>
      <c r="AE29" s="145"/>
      <c r="AG29" s="145"/>
      <c r="AH29" s="145"/>
      <c r="AI29" s="145"/>
      <c r="AJ29" s="145"/>
      <c r="AK29" s="145"/>
      <c r="AL29" s="145"/>
      <c r="AM29" s="145"/>
      <c r="AN29" s="145"/>
      <c r="AO29" s="145"/>
      <c r="AP29" s="145"/>
      <c r="AQ29" s="145"/>
      <c r="AR29" s="145"/>
      <c r="AS29" s="145"/>
      <c r="AT29" s="145"/>
    </row>
    <row r="30" spans="1:46" ht="21.75">
      <c r="A30" s="93"/>
      <c r="B30" s="76"/>
      <c r="C30" s="76"/>
      <c r="D30" s="76"/>
      <c r="E30" s="76"/>
      <c r="F30" s="145"/>
      <c r="G30" s="145"/>
      <c r="H30" s="76"/>
      <c r="I30" s="76"/>
      <c r="J30" s="76"/>
      <c r="K30" s="145"/>
      <c r="L30" s="145"/>
      <c r="M30" s="145"/>
      <c r="N30" s="145"/>
      <c r="O30" s="145"/>
      <c r="P30" s="145"/>
      <c r="S30" s="145"/>
      <c r="T30" s="145"/>
      <c r="U30" s="145"/>
      <c r="V30" s="145"/>
      <c r="W30" s="145"/>
      <c r="X30" s="145"/>
      <c r="Y30" s="145"/>
      <c r="Z30" s="145"/>
      <c r="AA30" s="145"/>
      <c r="AB30" s="145"/>
      <c r="AC30" s="145"/>
      <c r="AD30" s="145"/>
      <c r="AE30" s="145"/>
      <c r="AF30" s="145"/>
      <c r="AG30" s="145"/>
      <c r="AH30" s="145"/>
      <c r="AI30" s="145"/>
      <c r="AJ30" s="145"/>
      <c r="AK30" s="145"/>
      <c r="AL30" s="145"/>
      <c r="AM30" s="145"/>
      <c r="AN30" s="145"/>
      <c r="AO30" s="145"/>
      <c r="AP30" s="145"/>
      <c r="AQ30" s="145"/>
      <c r="AR30" s="145"/>
      <c r="AS30" s="145"/>
      <c r="AT30" s="145"/>
    </row>
    <row r="31" spans="1:46" ht="21.75">
      <c r="A31" s="145"/>
      <c r="B31" s="93" t="s">
        <v>1216</v>
      </c>
      <c r="C31" s="76"/>
      <c r="D31" s="76"/>
      <c r="E31" s="93"/>
      <c r="F31" s="145">
        <v>60</v>
      </c>
      <c r="G31" s="145"/>
      <c r="H31" s="76"/>
      <c r="I31" s="93"/>
      <c r="J31" s="76"/>
      <c r="K31" s="145"/>
      <c r="L31" s="145"/>
      <c r="M31" s="145"/>
      <c r="N31" s="145"/>
      <c r="O31" s="145"/>
      <c r="P31" s="145"/>
      <c r="S31" s="145"/>
      <c r="T31" s="145"/>
      <c r="U31" s="145"/>
      <c r="V31" s="145"/>
      <c r="W31" s="145"/>
      <c r="X31" s="145"/>
      <c r="Y31" s="145"/>
      <c r="Z31" s="145"/>
      <c r="AA31" s="145"/>
      <c r="AB31" s="145"/>
      <c r="AC31" s="145"/>
      <c r="AD31" s="145"/>
      <c r="AE31" s="145"/>
      <c r="AF31" s="145"/>
      <c r="AG31" s="145"/>
      <c r="AH31" s="145"/>
      <c r="AI31" s="145"/>
      <c r="AJ31" s="145"/>
      <c r="AK31" s="145"/>
      <c r="AL31" s="145"/>
      <c r="AM31" s="145"/>
      <c r="AN31" s="145"/>
      <c r="AO31" s="145"/>
      <c r="AP31" s="145"/>
      <c r="AQ31" s="145"/>
      <c r="AR31" s="145"/>
      <c r="AS31" s="145"/>
      <c r="AT31" s="145"/>
    </row>
    <row r="32" spans="1:46" ht="21.75">
      <c r="A32" s="145"/>
      <c r="B32" s="93" t="s">
        <v>1217</v>
      </c>
      <c r="C32" s="76"/>
      <c r="D32" s="76"/>
      <c r="E32" s="76"/>
      <c r="F32" s="93">
        <v>38</v>
      </c>
      <c r="G32" s="145"/>
      <c r="H32" s="76"/>
      <c r="I32" s="76"/>
      <c r="J32" s="93"/>
      <c r="K32" s="145"/>
      <c r="L32" s="145"/>
      <c r="M32" s="145"/>
      <c r="N32" s="145"/>
      <c r="O32" s="145"/>
      <c r="P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145"/>
      <c r="AT32" s="145"/>
    </row>
    <row r="33" spans="1:46" ht="21.75">
      <c r="A33" s="145"/>
      <c r="B33" s="93" t="s">
        <v>1218</v>
      </c>
      <c r="C33" s="76"/>
      <c r="D33" s="76"/>
      <c r="E33" s="145"/>
      <c r="F33" s="93">
        <v>41</v>
      </c>
      <c r="G33" s="145"/>
      <c r="H33" s="93"/>
      <c r="I33" s="76"/>
      <c r="J33" s="76"/>
      <c r="K33" s="145"/>
      <c r="L33" s="145"/>
      <c r="M33" s="145"/>
      <c r="N33" s="145"/>
      <c r="O33" s="145"/>
      <c r="P33" s="145"/>
      <c r="S33" s="145"/>
      <c r="T33" s="145"/>
      <c r="U33" s="145"/>
      <c r="V33" s="145"/>
      <c r="W33" s="145"/>
      <c r="X33" s="145"/>
      <c r="Y33" s="145"/>
      <c r="Z33" s="145"/>
      <c r="AA33" s="145"/>
      <c r="AB33" s="145"/>
      <c r="AC33" s="145"/>
      <c r="AD33" s="145"/>
      <c r="AE33" s="145"/>
      <c r="AF33" s="145"/>
      <c r="AG33" s="145"/>
      <c r="AH33" s="145"/>
      <c r="AI33" s="145"/>
      <c r="AJ33" s="145"/>
      <c r="AK33" s="145"/>
      <c r="AL33" s="145"/>
      <c r="AM33" s="145"/>
      <c r="AN33" s="145"/>
      <c r="AO33" s="145"/>
      <c r="AP33" s="145"/>
      <c r="AQ33" s="145"/>
      <c r="AR33" s="145"/>
      <c r="AS33" s="145"/>
      <c r="AT33" s="145"/>
    </row>
    <row r="34" spans="1:46" ht="21.75">
      <c r="A34" s="145"/>
      <c r="B34" s="93" t="s">
        <v>1219</v>
      </c>
      <c r="C34" s="76"/>
      <c r="D34" s="76"/>
      <c r="E34" s="76"/>
      <c r="F34" s="93">
        <v>33</v>
      </c>
      <c r="G34" s="145"/>
      <c r="H34" s="76"/>
      <c r="I34" s="93"/>
      <c r="J34" s="76"/>
      <c r="K34" s="145"/>
      <c r="L34" s="145"/>
      <c r="M34" s="145"/>
      <c r="N34" s="145"/>
      <c r="O34" s="145"/>
      <c r="P34" s="145"/>
      <c r="S34" s="145"/>
      <c r="T34" s="145"/>
      <c r="U34" s="145"/>
      <c r="V34" s="145"/>
      <c r="W34" s="145"/>
      <c r="X34" s="145"/>
      <c r="Y34" s="145"/>
      <c r="Z34" s="145"/>
      <c r="AA34" s="145"/>
      <c r="AB34" s="145"/>
      <c r="AC34" s="145"/>
      <c r="AD34" s="145"/>
      <c r="AE34" s="145"/>
      <c r="AF34" s="145"/>
      <c r="AG34" s="145"/>
      <c r="AH34" s="145"/>
      <c r="AI34" s="145"/>
      <c r="AJ34" s="145"/>
      <c r="AK34" s="145"/>
      <c r="AL34" s="145"/>
      <c r="AM34" s="145"/>
      <c r="AN34" s="145"/>
      <c r="AO34" s="145"/>
      <c r="AP34" s="145"/>
      <c r="AQ34" s="145"/>
      <c r="AR34" s="145"/>
      <c r="AS34" s="145"/>
      <c r="AT34" s="145"/>
    </row>
    <row r="35" spans="1:46" ht="20.25" customHeight="1">
      <c r="A35" s="145"/>
      <c r="B35" s="787"/>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c r="AB35" s="145"/>
      <c r="AC35" s="145"/>
      <c r="AD35" s="145"/>
      <c r="AE35" s="145"/>
      <c r="AF35" s="145"/>
      <c r="AG35" s="145"/>
      <c r="AH35" s="145"/>
      <c r="AI35" s="145"/>
      <c r="AJ35" s="145"/>
      <c r="AK35" s="145"/>
      <c r="AL35" s="145"/>
      <c r="AM35" s="145"/>
      <c r="AN35" s="145"/>
      <c r="AO35" s="145"/>
      <c r="AP35" s="145"/>
      <c r="AQ35" s="145"/>
      <c r="AR35" s="145"/>
      <c r="AS35" s="145"/>
      <c r="AT35" s="145"/>
    </row>
    <row r="48" spans="1:46">
      <c r="A48" s="793"/>
    </row>
    <row r="49" spans="1:1" ht="17.25">
      <c r="A49" s="12"/>
    </row>
    <row r="50" spans="1:1" ht="33">
      <c r="A50" s="791"/>
    </row>
    <row r="51" spans="1:1" ht="24.75">
      <c r="A51" s="790"/>
    </row>
    <row r="52" spans="1:1" ht="24.75">
      <c r="A52" s="790"/>
    </row>
    <row r="53" spans="1:1" ht="21.75">
      <c r="A53" s="792"/>
    </row>
    <row r="54" spans="1:1" ht="21.75">
      <c r="A54" s="792"/>
    </row>
    <row r="55" spans="1:1" ht="33">
      <c r="A55" s="791"/>
    </row>
    <row r="56" spans="1:1" ht="24.75">
      <c r="A56" s="790"/>
    </row>
    <row r="57" spans="1:1" ht="24.75">
      <c r="A57" s="790"/>
    </row>
    <row r="58" spans="1:1" ht="21.75">
      <c r="A58" s="792"/>
    </row>
    <row r="59" spans="1:1" ht="21.75">
      <c r="A59" s="792"/>
    </row>
    <row r="60" spans="1:1" ht="24.75">
      <c r="A60" s="790"/>
    </row>
    <row r="61" spans="1:1" ht="24.75">
      <c r="A61" s="790"/>
    </row>
    <row r="62" spans="1:1" ht="21.75">
      <c r="A62" s="792"/>
    </row>
    <row r="63" spans="1:1" ht="21.75">
      <c r="A63" s="792"/>
    </row>
    <row r="64" spans="1:1" ht="33">
      <c r="A64" s="791"/>
    </row>
    <row r="65" spans="1:15" ht="24.75">
      <c r="A65" s="790"/>
    </row>
    <row r="66" spans="1:15" ht="24.75">
      <c r="A66" s="790"/>
    </row>
    <row r="67" spans="1:15" ht="21.75">
      <c r="A67" s="792"/>
    </row>
    <row r="68" spans="1:15" ht="24.75">
      <c r="A68" s="790"/>
    </row>
    <row r="72" spans="1:15" ht="152.25" customHeight="1">
      <c r="A72" s="2102" t="s">
        <v>1236</v>
      </c>
      <c r="B72" s="2102"/>
      <c r="C72" s="2102"/>
      <c r="D72" s="2102"/>
      <c r="E72" s="2102"/>
      <c r="F72" s="2102"/>
      <c r="G72" s="2102"/>
      <c r="H72" s="2102"/>
      <c r="I72" s="2102"/>
      <c r="J72" s="2102"/>
      <c r="K72" s="2102"/>
      <c r="L72" s="2102"/>
      <c r="M72" s="2102"/>
      <c r="N72" s="2102"/>
      <c r="O72" s="2102"/>
    </row>
    <row r="73" spans="1:15" ht="19.5" customHeight="1">
      <c r="A73" s="66"/>
      <c r="B73" s="66"/>
      <c r="C73" s="66"/>
      <c r="D73" s="66"/>
      <c r="E73" s="66"/>
      <c r="F73" s="66"/>
      <c r="G73" s="66"/>
      <c r="H73" s="66"/>
      <c r="I73" s="66"/>
      <c r="J73" s="66"/>
      <c r="K73" s="66"/>
      <c r="L73" s="66"/>
      <c r="M73" s="66"/>
      <c r="N73" s="66"/>
      <c r="O73" s="66"/>
    </row>
  </sheetData>
  <mergeCells count="3">
    <mergeCell ref="A72:O72"/>
    <mergeCell ref="A26:O26"/>
    <mergeCell ref="A28:O28"/>
  </mergeCells>
  <pageMargins left="0.7" right="0.7" top="0.75" bottom="0.75" header="0.3" footer="0.3"/>
  <pageSetup paperSize="5" scale="65" fitToHeight="0" orientation="portrait" r:id="rId1"/>
  <rowBreaks count="1" manualBreakCount="1">
    <brk id="47" max="14"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1C349-FCE6-4D0F-81AB-1B0DC8B437DD}">
  <sheetPr codeName="Sheet53">
    <tabColor rgb="FF92D050"/>
    <pageSetUpPr fitToPage="1"/>
  </sheetPr>
  <dimension ref="A1:AY62"/>
  <sheetViews>
    <sheetView showGridLines="0" view="pageBreakPreview" topLeftCell="A56" zoomScale="90" zoomScaleSheetLayoutView="90" workbookViewId="0">
      <selection activeCell="U67" sqref="U67"/>
    </sheetView>
  </sheetViews>
  <sheetFormatPr defaultRowHeight="18.75" customHeight="1"/>
  <cols>
    <col min="1" max="1" width="3.7109375" customWidth="1"/>
    <col min="2" max="2" width="2.7109375" style="53" customWidth="1"/>
    <col min="3" max="8" width="2.28515625" customWidth="1"/>
    <col min="9" max="9" width="1.28515625" customWidth="1"/>
    <col min="10" max="11" width="2.7109375" customWidth="1"/>
    <col min="12" max="16" width="2.28515625" customWidth="1"/>
    <col min="17" max="17" width="4.42578125" customWidth="1"/>
    <col min="18"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0" width="2.28515625" customWidth="1"/>
    <col min="41" max="46" width="2" customWidth="1"/>
    <col min="48" max="48" width="11.42578125" customWidth="1"/>
    <col min="49" max="49" width="11.7109375" customWidth="1"/>
  </cols>
  <sheetData>
    <row r="1" spans="1:51" ht="30.75" customHeight="1">
      <c r="A1" s="1871"/>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891"/>
      <c r="B4" s="1891"/>
      <c r="C4" s="1891"/>
      <c r="D4" s="1891"/>
      <c r="E4" s="1891"/>
      <c r="F4" s="1891"/>
      <c r="G4" s="1891"/>
      <c r="H4" s="1891"/>
      <c r="I4" s="1891"/>
      <c r="J4" s="1891"/>
      <c r="K4" s="1891"/>
      <c r="L4" s="1891"/>
      <c r="M4" s="1891"/>
      <c r="N4" s="1891"/>
      <c r="O4" s="1891"/>
      <c r="P4" s="1891"/>
      <c r="Q4" s="1891"/>
      <c r="R4" s="1891"/>
      <c r="S4" s="1891"/>
      <c r="T4" s="1891"/>
      <c r="U4" s="1891"/>
      <c r="V4" s="1891"/>
      <c r="W4" s="1891"/>
      <c r="X4" s="1891"/>
      <c r="Y4" s="1891"/>
      <c r="Z4" s="1891"/>
      <c r="AA4" s="1891"/>
      <c r="AB4" s="1891"/>
      <c r="AC4" s="1891"/>
      <c r="AD4" s="1891"/>
      <c r="AE4" s="1891"/>
      <c r="AF4" s="1891"/>
      <c r="AG4" s="1891"/>
      <c r="AH4" s="1891"/>
      <c r="AI4" s="1891"/>
      <c r="AJ4" s="1891"/>
      <c r="AK4" s="1891"/>
      <c r="AL4" s="1891"/>
      <c r="AM4" s="1891"/>
      <c r="AN4" s="1891"/>
      <c r="AO4" s="1891"/>
      <c r="AP4" s="1891"/>
      <c r="AQ4" s="1891"/>
      <c r="AR4" s="1891"/>
      <c r="AS4" s="1891"/>
      <c r="AT4" s="1891"/>
      <c r="AY4" s="160"/>
    </row>
    <row r="5" spans="1:51" s="23" customFormat="1" ht="17.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G5" s="52"/>
      <c r="AH5" s="52"/>
      <c r="AL5" s="43"/>
      <c r="AM5" s="43"/>
      <c r="AN5" s="43"/>
      <c r="AO5" s="55"/>
      <c r="AP5" s="55"/>
      <c r="AQ5" s="55"/>
      <c r="AR5" s="55"/>
      <c r="AS5" s="55"/>
      <c r="AT5" s="44"/>
    </row>
    <row r="6" spans="1:51" s="23" customFormat="1" ht="17.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7.25"/>
    <row r="9" spans="1:51" s="23" customFormat="1" ht="16.5" customHeight="1">
      <c r="A9" s="12"/>
      <c r="B9" s="12"/>
      <c r="C9" s="12"/>
      <c r="D9" s="12"/>
      <c r="E9" s="12"/>
      <c r="F9" s="12"/>
      <c r="G9" s="12"/>
      <c r="H9" s="12"/>
      <c r="I9" s="12"/>
      <c r="J9" s="12"/>
      <c r="K9" s="12"/>
      <c r="L9" s="12"/>
      <c r="M9" s="12"/>
      <c r="N9" s="12"/>
      <c r="O9" s="12" t="s">
        <v>491</v>
      </c>
      <c r="P9" s="12"/>
      <c r="Q9" s="12"/>
      <c r="R9" s="12"/>
      <c r="S9" s="12"/>
      <c r="T9" s="12"/>
      <c r="U9" s="12"/>
      <c r="V9" s="12"/>
      <c r="W9" s="12"/>
      <c r="X9" s="12"/>
      <c r="Y9" s="12"/>
      <c r="Z9" s="12"/>
      <c r="AA9" s="12"/>
      <c r="AB9" s="12"/>
      <c r="AC9" s="12"/>
      <c r="AD9" s="12"/>
      <c r="AE9" s="12"/>
      <c r="AG9" s="52"/>
      <c r="AH9" s="52"/>
      <c r="AL9" s="43"/>
      <c r="AM9" s="43"/>
      <c r="AN9" s="43"/>
      <c r="AO9" s="55"/>
      <c r="AP9" s="55"/>
      <c r="AQ9" s="55"/>
      <c r="AR9" s="55"/>
      <c r="AS9" s="55"/>
      <c r="AT9" s="44"/>
    </row>
    <row r="10" spans="1:51" s="23" customFormat="1" ht="123.75" customHeight="1">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2093"/>
      <c r="C11" s="111"/>
      <c r="D11" s="2094"/>
      <c r="E11" s="2094"/>
      <c r="F11" s="2094"/>
      <c r="G11" s="2094"/>
      <c r="H11" s="2094"/>
      <c r="I11" s="2094"/>
      <c r="J11" s="2094"/>
      <c r="K11" s="2094"/>
      <c r="L11" s="2094"/>
      <c r="M11" s="2094"/>
      <c r="N11" s="2094"/>
      <c r="O11" s="2094"/>
      <c r="P11" s="2094"/>
      <c r="Q11" s="2094"/>
      <c r="R11" s="2094"/>
      <c r="S11" s="2094"/>
      <c r="T11" s="2094"/>
      <c r="U11" s="2094"/>
      <c r="V11" s="2094"/>
      <c r="W11" s="2094"/>
      <c r="X11" s="2094"/>
      <c r="Y11" s="2094"/>
      <c r="Z11" s="2094"/>
      <c r="AA11" s="2094"/>
      <c r="AB11" s="2094"/>
      <c r="AC11" s="2094"/>
      <c r="AD11" s="2094"/>
      <c r="AE11" s="2094"/>
      <c r="AF11" s="2094"/>
      <c r="AG11" s="2094"/>
      <c r="AH11" s="2094"/>
      <c r="AI11" s="2094"/>
      <c r="AJ11" s="2094"/>
      <c r="AK11" s="2094"/>
      <c r="AL11" s="2094"/>
      <c r="AM11" s="2094"/>
      <c r="AN11" s="2094"/>
      <c r="AO11" s="2094"/>
      <c r="AP11" s="2094"/>
      <c r="AQ11" s="2094"/>
      <c r="AR11" s="2094"/>
    </row>
    <row r="12" spans="1:51" s="145" customFormat="1" ht="16.5" customHeight="1">
      <c r="A12" s="93"/>
      <c r="B12" s="2095"/>
      <c r="C12" s="2096"/>
      <c r="D12" s="2097"/>
      <c r="E12" s="2097"/>
      <c r="F12" s="2097"/>
      <c r="G12" s="2097"/>
      <c r="H12" s="2097"/>
      <c r="I12" s="2097"/>
      <c r="J12" s="2097"/>
      <c r="K12" s="2097"/>
      <c r="L12" s="2097"/>
      <c r="M12" s="2097"/>
      <c r="N12" s="2097"/>
      <c r="O12" s="2097"/>
      <c r="P12" s="2097"/>
      <c r="Q12" s="2097"/>
      <c r="R12" s="2097"/>
      <c r="S12" s="2097"/>
      <c r="T12" s="2097"/>
      <c r="U12" s="2097"/>
      <c r="V12" s="2097"/>
      <c r="W12" s="2097"/>
      <c r="X12" s="2097"/>
      <c r="Y12" s="2097"/>
      <c r="Z12" s="2097"/>
      <c r="AA12" s="2097"/>
      <c r="AB12" s="2097"/>
      <c r="AC12" s="2097"/>
      <c r="AD12" s="2097"/>
      <c r="AE12" s="2097"/>
      <c r="AF12" s="2097"/>
      <c r="AG12" s="2097"/>
      <c r="AH12" s="2097"/>
      <c r="AI12" s="2097"/>
      <c r="AJ12" s="2097"/>
      <c r="AK12" s="2097"/>
      <c r="AL12" s="2097"/>
      <c r="AM12" s="2097"/>
      <c r="AN12" s="2097"/>
      <c r="AO12" s="2097"/>
      <c r="AP12" s="2097"/>
      <c r="AQ12" s="2097"/>
      <c r="AR12" s="2097"/>
    </row>
    <row r="13" spans="1:51" s="145" customFormat="1" ht="16.5" customHeight="1">
      <c r="B13" s="93"/>
      <c r="C13" s="93"/>
      <c r="D13" s="2097"/>
      <c r="E13" s="2097"/>
      <c r="F13" s="2097"/>
      <c r="G13" s="2097"/>
      <c r="H13" s="2097"/>
      <c r="I13" s="2097"/>
      <c r="J13" s="2097"/>
      <c r="K13" s="2097"/>
      <c r="L13" s="2097"/>
      <c r="M13" s="2097"/>
      <c r="N13" s="2097"/>
      <c r="O13" s="2097"/>
      <c r="P13" s="2097"/>
      <c r="Q13" s="2097"/>
      <c r="R13" s="2097"/>
      <c r="S13" s="2097"/>
      <c r="T13" s="2097"/>
      <c r="U13" s="2097"/>
      <c r="V13" s="2097"/>
      <c r="W13" s="2097"/>
      <c r="X13" s="2097"/>
      <c r="Y13" s="2097"/>
      <c r="Z13" s="2097"/>
      <c r="AA13" s="2097"/>
      <c r="AB13" s="2097"/>
      <c r="AC13" s="2097"/>
      <c r="AD13" s="2097"/>
      <c r="AE13" s="2097"/>
      <c r="AF13" s="2097"/>
      <c r="AG13" s="2097"/>
      <c r="AH13" s="2097"/>
      <c r="AI13" s="2097"/>
      <c r="AJ13" s="2097"/>
      <c r="AK13" s="2097"/>
      <c r="AL13" s="2097"/>
      <c r="AM13" s="2097"/>
      <c r="AN13" s="2097"/>
      <c r="AO13" s="2097"/>
      <c r="AP13" s="2097"/>
      <c r="AQ13" s="2097"/>
      <c r="AR13" s="2097"/>
    </row>
    <row r="14" spans="1:51" s="145" customFormat="1" ht="16.5" customHeight="1">
      <c r="A14" s="146"/>
      <c r="B14" s="93"/>
      <c r="C14" s="93"/>
      <c r="D14" s="2097"/>
      <c r="E14" s="2097"/>
      <c r="F14" s="2097"/>
      <c r="G14" s="2097"/>
      <c r="H14" s="2097"/>
      <c r="I14" s="2097"/>
      <c r="J14" s="2097"/>
      <c r="K14" s="2097"/>
      <c r="L14" s="2097"/>
      <c r="M14" s="2097"/>
      <c r="N14" s="2097"/>
      <c r="O14" s="2097"/>
      <c r="P14" s="2097"/>
      <c r="Q14" s="2097"/>
      <c r="R14" s="2097"/>
      <c r="S14" s="2097"/>
      <c r="T14" s="2097"/>
      <c r="U14" s="2097"/>
      <c r="V14" s="2097"/>
      <c r="W14" s="2097"/>
      <c r="X14" s="2097"/>
      <c r="Y14" s="2097"/>
      <c r="Z14" s="2097"/>
      <c r="AA14" s="2097"/>
      <c r="AB14" s="2097"/>
      <c r="AC14" s="2097"/>
      <c r="AD14" s="2097"/>
      <c r="AE14" s="2097"/>
      <c r="AF14" s="2097"/>
      <c r="AG14" s="2097"/>
      <c r="AH14" s="2097"/>
      <c r="AI14" s="2097"/>
      <c r="AJ14" s="2097"/>
      <c r="AK14" s="2097"/>
      <c r="AL14" s="2097"/>
      <c r="AM14" s="2097"/>
      <c r="AN14" s="2097"/>
      <c r="AO14" s="2097"/>
      <c r="AP14" s="2097"/>
      <c r="AQ14" s="2097"/>
      <c r="AR14" s="2097"/>
    </row>
    <row r="15" spans="1:51" s="23" customFormat="1" ht="16.5" customHeight="1">
      <c r="A15" s="24"/>
      <c r="B15" s="66"/>
      <c r="C15" s="66"/>
      <c r="D15" s="2094"/>
      <c r="E15" s="2094"/>
      <c r="F15" s="2094"/>
      <c r="G15" s="2094"/>
      <c r="H15" s="2094"/>
      <c r="I15" s="2094"/>
      <c r="J15" s="2094"/>
      <c r="K15" s="2094"/>
      <c r="L15" s="2094"/>
      <c r="M15" s="2094"/>
      <c r="N15" s="2094"/>
      <c r="O15" s="2094"/>
      <c r="P15" s="2094"/>
      <c r="Q15" s="2094"/>
      <c r="R15" s="2094"/>
      <c r="S15" s="2094"/>
      <c r="T15" s="2094"/>
      <c r="U15" s="2094"/>
      <c r="V15" s="2094"/>
      <c r="W15" s="2094"/>
      <c r="X15" s="2094"/>
      <c r="Y15" s="2094"/>
      <c r="Z15" s="2094"/>
      <c r="AA15" s="2094"/>
      <c r="AB15" s="2094"/>
      <c r="AC15" s="2094"/>
      <c r="AD15" s="2094"/>
      <c r="AE15" s="2094"/>
      <c r="AF15" s="2094"/>
      <c r="AG15" s="2094"/>
      <c r="AH15" s="2094"/>
      <c r="AI15" s="2094"/>
      <c r="AJ15" s="2094"/>
      <c r="AK15" s="2094"/>
      <c r="AL15" s="2094"/>
      <c r="AM15" s="2094"/>
      <c r="AN15" s="2094"/>
      <c r="AO15" s="2094"/>
      <c r="AP15" s="2094"/>
      <c r="AQ15" s="2094"/>
      <c r="AR15" s="2094"/>
    </row>
    <row r="16" spans="1:51" s="23" customFormat="1" ht="16.5" customHeight="1">
      <c r="A16" s="12"/>
      <c r="B16" s="2093"/>
      <c r="C16" s="111"/>
      <c r="D16" s="2094"/>
      <c r="E16" s="2094"/>
      <c r="F16" s="2094"/>
      <c r="G16" s="2094"/>
      <c r="H16" s="2094"/>
      <c r="I16" s="2094"/>
      <c r="J16" s="2094"/>
      <c r="K16" s="2094"/>
      <c r="L16" s="2094"/>
      <c r="M16" s="2094"/>
      <c r="N16" s="2094"/>
      <c r="O16" s="2094"/>
      <c r="P16" s="2094"/>
      <c r="Q16" s="2094"/>
      <c r="R16" s="2094"/>
      <c r="S16" s="2094"/>
      <c r="T16" s="2094"/>
      <c r="U16" s="2094"/>
      <c r="V16" s="2094"/>
      <c r="W16" s="2094"/>
      <c r="X16" s="2094"/>
      <c r="Y16" s="2094"/>
      <c r="Z16" s="2094"/>
      <c r="AA16" s="2094"/>
      <c r="AB16" s="2094"/>
      <c r="AC16" s="2094"/>
      <c r="AD16" s="2094"/>
      <c r="AE16" s="2094"/>
      <c r="AF16" s="2094"/>
      <c r="AG16" s="2094"/>
      <c r="AH16" s="2094"/>
      <c r="AI16" s="2094"/>
      <c r="AJ16" s="2094"/>
      <c r="AK16" s="2094"/>
      <c r="AL16" s="2094"/>
      <c r="AM16" s="2094"/>
      <c r="AN16" s="2094"/>
      <c r="AO16" s="2094"/>
      <c r="AP16" s="2094"/>
      <c r="AQ16" s="2094"/>
      <c r="AR16" s="2094"/>
    </row>
    <row r="17" spans="1:46" s="23" customFormat="1" ht="16.5" customHeight="1">
      <c r="A17" s="12"/>
      <c r="B17" s="2093"/>
      <c r="C17" s="111"/>
      <c r="D17" s="2094"/>
      <c r="E17" s="2094"/>
      <c r="F17" s="2094"/>
      <c r="G17" s="2094"/>
      <c r="H17" s="2094"/>
      <c r="I17" s="2094"/>
      <c r="J17" s="2094"/>
      <c r="K17" s="2094"/>
      <c r="L17" s="2094"/>
      <c r="M17" s="2094"/>
      <c r="N17" s="2094"/>
      <c r="O17" s="2094"/>
      <c r="P17" s="2094"/>
      <c r="Q17" s="2094"/>
      <c r="R17" s="2094"/>
      <c r="S17" s="2094"/>
      <c r="T17" s="2094"/>
      <c r="U17" s="2094"/>
      <c r="V17" s="2094"/>
      <c r="W17" s="2094"/>
      <c r="X17" s="2094"/>
      <c r="Y17" s="2094"/>
      <c r="Z17" s="2094"/>
      <c r="AA17" s="2094"/>
      <c r="AB17" s="2094"/>
      <c r="AC17" s="2094"/>
      <c r="AD17" s="2094"/>
      <c r="AE17" s="2094"/>
      <c r="AF17" s="2094"/>
      <c r="AG17" s="2094"/>
      <c r="AH17" s="2094"/>
      <c r="AI17" s="2094"/>
      <c r="AJ17" s="2094"/>
      <c r="AK17" s="2094"/>
      <c r="AL17" s="2094"/>
      <c r="AM17" s="2094"/>
      <c r="AN17" s="2094"/>
      <c r="AO17" s="2094"/>
      <c r="AP17" s="2094"/>
      <c r="AQ17" s="2094"/>
      <c r="AR17" s="2094"/>
    </row>
    <row r="18" spans="1:46" s="23" customFormat="1" ht="41.25">
      <c r="A18" s="1868" t="s">
        <v>1233</v>
      </c>
      <c r="B18" s="1868"/>
      <c r="C18" s="1868"/>
      <c r="D18" s="1868"/>
      <c r="E18" s="1868"/>
      <c r="F18" s="1868"/>
      <c r="G18" s="1868"/>
      <c r="H18" s="1868"/>
      <c r="I18" s="1868"/>
      <c r="J18" s="1868"/>
      <c r="K18" s="1868"/>
      <c r="L18" s="1868"/>
      <c r="M18" s="1868"/>
      <c r="N18" s="1868"/>
      <c r="O18" s="1868"/>
      <c r="P18" s="1868"/>
      <c r="Q18" s="1868"/>
      <c r="R18" s="1868"/>
      <c r="S18" s="1868"/>
      <c r="T18" s="1868"/>
      <c r="U18" s="1868"/>
      <c r="V18" s="1868"/>
      <c r="W18" s="1868"/>
      <c r="X18" s="1868"/>
      <c r="Y18" s="1868"/>
      <c r="Z18" s="1868"/>
      <c r="AA18" s="1868"/>
      <c r="AB18" s="1868"/>
      <c r="AC18" s="1868"/>
      <c r="AD18" s="1868"/>
      <c r="AE18" s="1868"/>
      <c r="AF18" s="1868"/>
      <c r="AG18" s="1868"/>
      <c r="AH18" s="1868"/>
      <c r="AI18" s="1868"/>
      <c r="AJ18" s="1868"/>
      <c r="AK18" s="1868"/>
      <c r="AL18" s="1868"/>
      <c r="AM18" s="1868"/>
      <c r="AN18" s="1868"/>
      <c r="AO18" s="1868"/>
      <c r="AP18" s="1868"/>
      <c r="AQ18" s="1868"/>
      <c r="AR18" s="1868"/>
      <c r="AS18" s="1868"/>
      <c r="AT18" s="1868"/>
    </row>
    <row r="19" spans="1:46" s="68" customFormat="1" ht="24" customHeight="1">
      <c r="A19" s="66"/>
      <c r="B19" s="2098"/>
      <c r="C19" s="2099"/>
      <c r="D19" s="2100"/>
      <c r="E19" s="2100"/>
      <c r="F19" s="2100"/>
      <c r="G19" s="2100"/>
      <c r="H19" s="2100"/>
      <c r="I19" s="2100"/>
      <c r="J19" s="2100"/>
      <c r="K19" s="2100"/>
      <c r="L19" s="2100"/>
      <c r="M19" s="2100"/>
      <c r="N19" s="2100"/>
      <c r="O19" s="2100"/>
      <c r="P19" s="2100"/>
      <c r="Q19" s="2100"/>
      <c r="R19" s="2100"/>
      <c r="S19" s="2100"/>
      <c r="T19" s="2100"/>
      <c r="U19" s="2100"/>
      <c r="V19" s="2100"/>
      <c r="W19" s="2100"/>
      <c r="X19" s="2100"/>
      <c r="Y19" s="2100"/>
      <c r="Z19" s="2100"/>
      <c r="AA19" s="2100"/>
      <c r="AB19" s="2100"/>
      <c r="AC19" s="2100"/>
      <c r="AD19" s="2100"/>
      <c r="AE19" s="2100"/>
      <c r="AF19" s="2100"/>
      <c r="AG19" s="2100"/>
      <c r="AH19" s="2100"/>
      <c r="AI19" s="2100"/>
      <c r="AJ19" s="2100"/>
      <c r="AK19" s="2100"/>
      <c r="AL19" s="2100"/>
      <c r="AM19" s="2100"/>
      <c r="AN19" s="2100"/>
      <c r="AO19" s="2100"/>
      <c r="AP19" s="2100"/>
      <c r="AQ19" s="2100"/>
      <c r="AR19" s="2100"/>
    </row>
    <row r="20" spans="1:46" s="68" customFormat="1" ht="19.5">
      <c r="A20" s="12" t="s">
        <v>491</v>
      </c>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12"/>
      <c r="AT20" s="12"/>
    </row>
    <row r="21" spans="1:46" s="1" customFormat="1" ht="31.5" customHeight="1">
      <c r="A21" s="12"/>
      <c r="B21" s="2072" t="str">
        <f>"Avwg wbgœ¯^vÿiKvix GB g‡g© wbðqZv cÖ`vb Kwi‡ZwQ †h, "&amp;'Data Input'!D12&amp;", wcZv/¯^vgxi bvgt "&amp;'Data Input'!D13&amp;", gvZvi bvgt "&amp;'Data Input'!D14&amp;",eZ©gvb wVKvbvt "&amp;+'Data Input'!D17&amp;", ¯’vqx wVKvbvt "&amp;+'Data Input'!D17&amp;" ;evsjv‡`k K…wl e¨vsK,dZzjøv kvLv nB‡Z gyw` cY¨ e¨emv cwiPvjbv Kivi Rb¨ gs "&amp;+'Data Input'!D11&amp;" (K_vqt cvuP jÿ) UvKv gvÎ wmGgGmGgB Lv‡Z RvgvbZwenxb FY cÖ`vb Kiv nB‡j D³ F‡Yi UvKv h_vh_ fv‡e e¨eüZ nB‡e Ges FYwU h_vmg‡q my‡` Avm‡j cwi‡kva wbwðZ nB‡e|"</f>
        <v>Avwg wbgœ¯^vÿiKvix GB g‡g© wbðqZv cÖ`vb Kwi‡ZwQ †h, ‡gvt Rwb, wcZv/¯^vgxi bvgt g„Z †gvt Bw`ªm Avjx, gvZvi bvgt gvmvt Avgexqv LvZzb,eZ©gvb wVKvbvt `vcv B`ªvKcyi, dZzjøv, bvivqYMÄ, ¯’vqx wVKvbvt `vcv B`ªvKcyi, dZzjøv, bvivqYMÄ ;evsjv‡`k K…wl e¨vsK,dZzjøv kvLv nB‡Z gyw` cY¨ e¨emv cwiPvjbv Kivi Rb¨ gs 500000 (K_vqt cvuP jÿ) UvKv gvÎ wmGgGmGgB Lv‡Z RvgvbZwenxb FY cÖ`vb Kiv nB‡j D³ F‡Yi UvKv h_vh_ fv‡e e¨eüZ nB‡e Ges FYwU h_vmg‡q my‡` Avm‡j cwi‡kva wbwðZ nB‡e|</v>
      </c>
      <c r="C21" s="2072"/>
      <c r="D21" s="2072"/>
      <c r="E21" s="2072"/>
      <c r="F21" s="2072"/>
      <c r="G21" s="2072"/>
      <c r="H21" s="2072"/>
      <c r="I21" s="2072"/>
      <c r="J21" s="2072"/>
      <c r="K21" s="2072"/>
      <c r="L21" s="2072"/>
      <c r="M21" s="2072"/>
      <c r="N21" s="2072"/>
      <c r="O21" s="2072"/>
      <c r="P21" s="2072"/>
      <c r="Q21" s="2072"/>
      <c r="R21" s="2072"/>
      <c r="S21" s="2072"/>
      <c r="T21" s="2072"/>
      <c r="U21" s="2072"/>
      <c r="V21" s="2072"/>
      <c r="W21" s="2072"/>
      <c r="X21" s="2072"/>
      <c r="Y21" s="2072"/>
      <c r="Z21" s="2072"/>
      <c r="AA21" s="2072"/>
      <c r="AB21" s="2072"/>
      <c r="AC21" s="2072"/>
      <c r="AD21" s="2072"/>
      <c r="AE21" s="2072"/>
      <c r="AF21" s="2072"/>
      <c r="AG21" s="2072"/>
      <c r="AH21" s="2072"/>
      <c r="AI21" s="2072"/>
      <c r="AJ21" s="2072"/>
      <c r="AK21" s="2072"/>
      <c r="AL21" s="2072"/>
      <c r="AM21" s="2072"/>
      <c r="AN21" s="2072"/>
      <c r="AO21" s="2072"/>
      <c r="AP21" s="2072"/>
      <c r="AQ21" s="2072"/>
      <c r="AR21" s="2072"/>
      <c r="AS21" s="12"/>
      <c r="AT21" s="12"/>
    </row>
    <row r="22" spans="1:46" s="1" customFormat="1" ht="18.75" customHeight="1">
      <c r="A22" s="12"/>
      <c r="B22" s="2072"/>
      <c r="C22" s="2072"/>
      <c r="D22" s="2072"/>
      <c r="E22" s="2072"/>
      <c r="F22" s="2072"/>
      <c r="G22" s="2072"/>
      <c r="H22" s="2072"/>
      <c r="I22" s="2072"/>
      <c r="J22" s="2072"/>
      <c r="K22" s="2072"/>
      <c r="L22" s="2072"/>
      <c r="M22" s="2072"/>
      <c r="N22" s="2072"/>
      <c r="O22" s="2072"/>
      <c r="P22" s="2072"/>
      <c r="Q22" s="2072"/>
      <c r="R22" s="2072"/>
      <c r="S22" s="2072"/>
      <c r="T22" s="2072"/>
      <c r="U22" s="2072"/>
      <c r="V22" s="2072"/>
      <c r="W22" s="2072"/>
      <c r="X22" s="2072"/>
      <c r="Y22" s="2072"/>
      <c r="Z22" s="2072"/>
      <c r="AA22" s="2072"/>
      <c r="AB22" s="2072"/>
      <c r="AC22" s="2072"/>
      <c r="AD22" s="2072"/>
      <c r="AE22" s="2072"/>
      <c r="AF22" s="2072"/>
      <c r="AG22" s="2072"/>
      <c r="AH22" s="2072"/>
      <c r="AI22" s="2072"/>
      <c r="AJ22" s="2072"/>
      <c r="AK22" s="2072"/>
      <c r="AL22" s="2072"/>
      <c r="AM22" s="2072"/>
      <c r="AN22" s="2072"/>
      <c r="AO22" s="2072"/>
      <c r="AP22" s="2072"/>
      <c r="AQ22" s="2072"/>
      <c r="AR22" s="2072"/>
      <c r="AS22" s="12"/>
      <c r="AT22" s="12"/>
    </row>
    <row r="23" spans="1:46" s="1" customFormat="1" ht="18.75" customHeight="1">
      <c r="A23" s="12"/>
      <c r="B23" s="2072"/>
      <c r="C23" s="2072"/>
      <c r="D23" s="2072"/>
      <c r="E23" s="2072"/>
      <c r="F23" s="2072"/>
      <c r="G23" s="2072"/>
      <c r="H23" s="2072"/>
      <c r="I23" s="2072"/>
      <c r="J23" s="2072"/>
      <c r="K23" s="2072"/>
      <c r="L23" s="2072"/>
      <c r="M23" s="2072"/>
      <c r="N23" s="2072"/>
      <c r="O23" s="2072"/>
      <c r="P23" s="2072"/>
      <c r="Q23" s="2072"/>
      <c r="R23" s="2072"/>
      <c r="S23" s="2072"/>
      <c r="T23" s="2072"/>
      <c r="U23" s="2072"/>
      <c r="V23" s="2072"/>
      <c r="W23" s="2072"/>
      <c r="X23" s="2072"/>
      <c r="Y23" s="2072"/>
      <c r="Z23" s="2072"/>
      <c r="AA23" s="2072"/>
      <c r="AB23" s="2072"/>
      <c r="AC23" s="2072"/>
      <c r="AD23" s="2072"/>
      <c r="AE23" s="2072"/>
      <c r="AF23" s="2072"/>
      <c r="AG23" s="2072"/>
      <c r="AH23" s="2072"/>
      <c r="AI23" s="2072"/>
      <c r="AJ23" s="2072"/>
      <c r="AK23" s="2072"/>
      <c r="AL23" s="2072"/>
      <c r="AM23" s="2072"/>
      <c r="AN23" s="2072"/>
      <c r="AO23" s="2072"/>
      <c r="AP23" s="2072"/>
      <c r="AQ23" s="2072"/>
      <c r="AR23" s="2072"/>
      <c r="AS23" s="12"/>
      <c r="AT23" s="12"/>
    </row>
    <row r="24" spans="1:46" s="1" customFormat="1" ht="18.75" customHeight="1">
      <c r="A24" s="12"/>
      <c r="B24" s="2072"/>
      <c r="C24" s="2072"/>
      <c r="D24" s="2072"/>
      <c r="E24" s="2072"/>
      <c r="F24" s="2072"/>
      <c r="G24" s="2072"/>
      <c r="H24" s="2072"/>
      <c r="I24" s="2072"/>
      <c r="J24" s="2072"/>
      <c r="K24" s="2072"/>
      <c r="L24" s="2072"/>
      <c r="M24" s="2072"/>
      <c r="N24" s="2072"/>
      <c r="O24" s="2072"/>
      <c r="P24" s="2072"/>
      <c r="Q24" s="2072"/>
      <c r="R24" s="2072"/>
      <c r="S24" s="2072"/>
      <c r="T24" s="2072"/>
      <c r="U24" s="2072"/>
      <c r="V24" s="2072"/>
      <c r="W24" s="2072"/>
      <c r="X24" s="2072"/>
      <c r="Y24" s="2072"/>
      <c r="Z24" s="2072"/>
      <c r="AA24" s="2072"/>
      <c r="AB24" s="2072"/>
      <c r="AC24" s="2072"/>
      <c r="AD24" s="2072"/>
      <c r="AE24" s="2072"/>
      <c r="AF24" s="2072"/>
      <c r="AG24" s="2072"/>
      <c r="AH24" s="2072"/>
      <c r="AI24" s="2072"/>
      <c r="AJ24" s="2072"/>
      <c r="AK24" s="2072"/>
      <c r="AL24" s="2072"/>
      <c r="AM24" s="2072"/>
      <c r="AN24" s="2072"/>
      <c r="AO24" s="2072"/>
      <c r="AP24" s="2072"/>
      <c r="AQ24" s="2072"/>
      <c r="AR24" s="2072"/>
      <c r="AS24" s="12"/>
      <c r="AT24" s="12"/>
    </row>
    <row r="25" spans="1:46" ht="18.75" customHeight="1">
      <c r="A25" s="12"/>
      <c r="B25" s="2072"/>
      <c r="C25" s="2072"/>
      <c r="D25" s="2072"/>
      <c r="E25" s="2072"/>
      <c r="F25" s="2072"/>
      <c r="G25" s="2072"/>
      <c r="H25" s="2072"/>
      <c r="I25" s="2072"/>
      <c r="J25" s="2072"/>
      <c r="K25" s="2072"/>
      <c r="L25" s="2072"/>
      <c r="M25" s="2072"/>
      <c r="N25" s="2072"/>
      <c r="O25" s="2072"/>
      <c r="P25" s="2072"/>
      <c r="Q25" s="2072"/>
      <c r="R25" s="2072"/>
      <c r="S25" s="2072"/>
      <c r="T25" s="2072"/>
      <c r="U25" s="2072"/>
      <c r="V25" s="2072"/>
      <c r="W25" s="2072"/>
      <c r="X25" s="2072"/>
      <c r="Y25" s="2072"/>
      <c r="Z25" s="2072"/>
      <c r="AA25" s="2072"/>
      <c r="AB25" s="2072"/>
      <c r="AC25" s="2072"/>
      <c r="AD25" s="2072"/>
      <c r="AE25" s="2072"/>
      <c r="AF25" s="2072"/>
      <c r="AG25" s="2072"/>
      <c r="AH25" s="2072"/>
      <c r="AI25" s="2072"/>
      <c r="AJ25" s="2072"/>
      <c r="AK25" s="2072"/>
      <c r="AL25" s="2072"/>
      <c r="AM25" s="2072"/>
      <c r="AN25" s="2072"/>
      <c r="AO25" s="2072"/>
      <c r="AP25" s="2072"/>
      <c r="AQ25" s="2072"/>
      <c r="AR25" s="2072"/>
      <c r="AS25" s="12"/>
      <c r="AT25" s="12"/>
    </row>
    <row r="26" spans="1:46" ht="18.75" customHeight="1">
      <c r="A26" s="12"/>
      <c r="B26" s="2072"/>
      <c r="C26" s="2072"/>
      <c r="D26" s="2072"/>
      <c r="E26" s="2072"/>
      <c r="F26" s="2072"/>
      <c r="G26" s="2072"/>
      <c r="H26" s="2072"/>
      <c r="I26" s="2072"/>
      <c r="J26" s="2072"/>
      <c r="K26" s="2072"/>
      <c r="L26" s="2072"/>
      <c r="M26" s="2072"/>
      <c r="N26" s="2072"/>
      <c r="O26" s="2072"/>
      <c r="P26" s="2072"/>
      <c r="Q26" s="2072"/>
      <c r="R26" s="2072"/>
      <c r="S26" s="2072"/>
      <c r="T26" s="2072"/>
      <c r="U26" s="2072"/>
      <c r="V26" s="2072"/>
      <c r="W26" s="2072"/>
      <c r="X26" s="2072"/>
      <c r="Y26" s="2072"/>
      <c r="Z26" s="2072"/>
      <c r="AA26" s="2072"/>
      <c r="AB26" s="2072"/>
      <c r="AC26" s="2072"/>
      <c r="AD26" s="2072"/>
      <c r="AE26" s="2072"/>
      <c r="AF26" s="2072"/>
      <c r="AG26" s="2072"/>
      <c r="AH26" s="2072"/>
      <c r="AI26" s="2072"/>
      <c r="AJ26" s="2072"/>
      <c r="AK26" s="2072"/>
      <c r="AL26" s="2072"/>
      <c r="AM26" s="2072"/>
      <c r="AN26" s="2072"/>
      <c r="AO26" s="2072"/>
      <c r="AP26" s="2072"/>
      <c r="AQ26" s="2072"/>
      <c r="AR26" s="2072"/>
      <c r="AS26" s="12"/>
      <c r="AT26" s="12"/>
    </row>
    <row r="27" spans="1:46" ht="18.75" customHeight="1">
      <c r="A27" s="12"/>
      <c r="B27" s="2072"/>
      <c r="C27" s="2072"/>
      <c r="D27" s="2072"/>
      <c r="E27" s="2072"/>
      <c r="F27" s="2072"/>
      <c r="G27" s="2072"/>
      <c r="H27" s="2072"/>
      <c r="I27" s="2072"/>
      <c r="J27" s="2072"/>
      <c r="K27" s="2072"/>
      <c r="L27" s="2072"/>
      <c r="M27" s="2072"/>
      <c r="N27" s="2072"/>
      <c r="O27" s="2072"/>
      <c r="P27" s="2072"/>
      <c r="Q27" s="2072"/>
      <c r="R27" s="2072"/>
      <c r="S27" s="2072"/>
      <c r="T27" s="2072"/>
      <c r="U27" s="2072"/>
      <c r="V27" s="2072"/>
      <c r="W27" s="2072"/>
      <c r="X27" s="2072"/>
      <c r="Y27" s="2072"/>
      <c r="Z27" s="2072"/>
      <c r="AA27" s="2072"/>
      <c r="AB27" s="2072"/>
      <c r="AC27" s="2072"/>
      <c r="AD27" s="2072"/>
      <c r="AE27" s="2072"/>
      <c r="AF27" s="2072"/>
      <c r="AG27" s="2072"/>
      <c r="AH27" s="2072"/>
      <c r="AI27" s="2072"/>
      <c r="AJ27" s="2072"/>
      <c r="AK27" s="2072"/>
      <c r="AL27" s="2072"/>
      <c r="AM27" s="2072"/>
      <c r="AN27" s="2072"/>
      <c r="AO27" s="2072"/>
      <c r="AP27" s="2072"/>
      <c r="AQ27" s="2072"/>
      <c r="AR27" s="2072"/>
      <c r="AS27" s="12"/>
      <c r="AT27" s="12"/>
    </row>
    <row r="28" spans="1:46" ht="18.75" customHeight="1">
      <c r="A28" s="12"/>
      <c r="B28" s="2072"/>
      <c r="C28" s="2072"/>
      <c r="D28" s="2072"/>
      <c r="E28" s="2072"/>
      <c r="F28" s="2072"/>
      <c r="G28" s="2072"/>
      <c r="H28" s="2072"/>
      <c r="I28" s="2072"/>
      <c r="J28" s="2072"/>
      <c r="K28" s="2072"/>
      <c r="L28" s="2072"/>
      <c r="M28" s="2072"/>
      <c r="N28" s="2072"/>
      <c r="O28" s="2072"/>
      <c r="P28" s="2072"/>
      <c r="Q28" s="2072"/>
      <c r="R28" s="2072"/>
      <c r="S28" s="2072"/>
      <c r="T28" s="2072"/>
      <c r="U28" s="2072"/>
      <c r="V28" s="2072"/>
      <c r="W28" s="2072"/>
      <c r="X28" s="2072"/>
      <c r="Y28" s="2072"/>
      <c r="Z28" s="2072"/>
      <c r="AA28" s="2072"/>
      <c r="AB28" s="2072"/>
      <c r="AC28" s="2072"/>
      <c r="AD28" s="2072"/>
      <c r="AE28" s="2072"/>
      <c r="AF28" s="2072"/>
      <c r="AG28" s="2072"/>
      <c r="AH28" s="2072"/>
      <c r="AI28" s="2072"/>
      <c r="AJ28" s="2072"/>
      <c r="AK28" s="2072"/>
      <c r="AL28" s="2072"/>
      <c r="AM28" s="2072"/>
      <c r="AN28" s="2072"/>
      <c r="AO28" s="2072"/>
      <c r="AP28" s="2072"/>
      <c r="AQ28" s="2072"/>
      <c r="AR28" s="2072"/>
      <c r="AS28" s="12"/>
      <c r="AT28" s="12"/>
    </row>
    <row r="29" spans="1:46" ht="18.75" customHeight="1">
      <c r="A29" s="12"/>
      <c r="B29" s="2072"/>
      <c r="C29" s="2072"/>
      <c r="D29" s="2072"/>
      <c r="E29" s="2072"/>
      <c r="F29" s="2072"/>
      <c r="G29" s="2072"/>
      <c r="H29" s="2072"/>
      <c r="I29" s="2072"/>
      <c r="J29" s="2072"/>
      <c r="K29" s="2072"/>
      <c r="L29" s="2072"/>
      <c r="M29" s="2072"/>
      <c r="N29" s="2072"/>
      <c r="O29" s="2072"/>
      <c r="P29" s="2072"/>
      <c r="Q29" s="2072"/>
      <c r="R29" s="2072"/>
      <c r="S29" s="2072"/>
      <c r="T29" s="2072"/>
      <c r="U29" s="2072"/>
      <c r="V29" s="2072"/>
      <c r="W29" s="2072"/>
      <c r="X29" s="2072"/>
      <c r="Y29" s="2072"/>
      <c r="Z29" s="2072"/>
      <c r="AA29" s="2072"/>
      <c r="AB29" s="2072"/>
      <c r="AC29" s="2072"/>
      <c r="AD29" s="2072"/>
      <c r="AE29" s="2072"/>
      <c r="AF29" s="2072"/>
      <c r="AG29" s="2072"/>
      <c r="AH29" s="2072"/>
      <c r="AI29" s="2072"/>
      <c r="AJ29" s="2072"/>
      <c r="AK29" s="2072"/>
      <c r="AL29" s="2072"/>
      <c r="AM29" s="2072"/>
      <c r="AN29" s="2072"/>
      <c r="AO29" s="2072"/>
      <c r="AP29" s="2072"/>
      <c r="AQ29" s="2072"/>
      <c r="AR29" s="2072"/>
      <c r="AS29" s="12"/>
      <c r="AT29" s="12"/>
    </row>
    <row r="30" spans="1:46" ht="18.75" customHeight="1">
      <c r="A30" s="12"/>
      <c r="B30" s="2072"/>
      <c r="C30" s="2072"/>
      <c r="D30" s="2072"/>
      <c r="E30" s="2072"/>
      <c r="F30" s="2072"/>
      <c r="G30" s="2072"/>
      <c r="H30" s="2072"/>
      <c r="I30" s="2072"/>
      <c r="J30" s="2072"/>
      <c r="K30" s="2072"/>
      <c r="L30" s="2072"/>
      <c r="M30" s="2072"/>
      <c r="N30" s="2072"/>
      <c r="O30" s="2072"/>
      <c r="P30" s="2072"/>
      <c r="Q30" s="2072"/>
      <c r="R30" s="2072"/>
      <c r="S30" s="2072"/>
      <c r="T30" s="2072"/>
      <c r="U30" s="2072"/>
      <c r="V30" s="2072"/>
      <c r="W30" s="2072"/>
      <c r="X30" s="2072"/>
      <c r="Y30" s="2072"/>
      <c r="Z30" s="2072"/>
      <c r="AA30" s="2072"/>
      <c r="AB30" s="2072"/>
      <c r="AC30" s="2072"/>
      <c r="AD30" s="2072"/>
      <c r="AE30" s="2072"/>
      <c r="AF30" s="2072"/>
      <c r="AG30" s="2072"/>
      <c r="AH30" s="2072"/>
      <c r="AI30" s="2072"/>
      <c r="AJ30" s="2072"/>
      <c r="AK30" s="2072"/>
      <c r="AL30" s="2072"/>
      <c r="AM30" s="2072"/>
      <c r="AN30" s="2072"/>
      <c r="AO30" s="2072"/>
      <c r="AP30" s="2072"/>
      <c r="AQ30" s="2072"/>
      <c r="AR30" s="2072"/>
      <c r="AS30" s="55"/>
      <c r="AT30" s="44"/>
    </row>
    <row r="31" spans="1:46" ht="18.75" customHeight="1">
      <c r="A31" s="93"/>
      <c r="B31" s="93"/>
      <c r="C31" s="93"/>
      <c r="D31" s="93"/>
      <c r="AO31" s="143"/>
      <c r="AP31" s="143"/>
      <c r="AQ31" s="143"/>
      <c r="AR31" s="143"/>
      <c r="AS31" s="143"/>
      <c r="AT31" s="144"/>
    </row>
    <row r="32" spans="1:46" ht="18.75" customHeight="1">
      <c r="A32" s="145"/>
      <c r="B32" s="146"/>
      <c r="C32" s="146"/>
      <c r="D32" s="146"/>
      <c r="AO32" s="146"/>
      <c r="AP32" s="146"/>
      <c r="AQ32" s="146"/>
      <c r="AR32" s="146"/>
      <c r="AS32" s="146"/>
      <c r="AT32" s="146"/>
    </row>
    <row r="33" spans="1:46" ht="18.75" customHeight="1">
      <c r="A33" s="146"/>
      <c r="B33" s="146"/>
      <c r="C33" s="146"/>
      <c r="D33" s="146"/>
      <c r="AO33" s="146"/>
      <c r="AP33" s="146"/>
      <c r="AQ33" s="146"/>
      <c r="AR33" s="146"/>
      <c r="AS33" s="146"/>
      <c r="AT33" s="146"/>
    </row>
    <row r="34" spans="1:46" ht="18.75" customHeight="1">
      <c r="A34" s="24"/>
      <c r="B34" s="24"/>
      <c r="C34" s="24"/>
      <c r="D34" s="24"/>
      <c r="AO34" s="24"/>
      <c r="AP34" s="24"/>
      <c r="AQ34" s="24"/>
      <c r="AR34" s="24"/>
      <c r="AS34" s="24"/>
      <c r="AT34" s="24"/>
    </row>
    <row r="35" spans="1:46" ht="18.75" customHeight="1">
      <c r="A35" s="12"/>
      <c r="B35" s="12"/>
      <c r="C35" s="12"/>
      <c r="D35" s="12"/>
      <c r="AO35" s="55"/>
      <c r="AP35" s="55"/>
      <c r="AQ35" s="55"/>
      <c r="AR35" s="55"/>
      <c r="AS35" s="55"/>
      <c r="AT35" s="44"/>
    </row>
    <row r="36" spans="1:46" ht="18.75" customHeight="1">
      <c r="A36" s="12"/>
      <c r="B36" s="12"/>
      <c r="C36" s="12"/>
      <c r="D36" s="12"/>
      <c r="AO36" s="55"/>
      <c r="AP36" s="55"/>
      <c r="AQ36" s="55"/>
      <c r="AR36" s="55"/>
      <c r="AS36" s="55"/>
      <c r="AT36" s="44"/>
    </row>
    <row r="37" spans="1:46" ht="18.75" customHeight="1">
      <c r="A37" s="12"/>
      <c r="B37" s="12"/>
      <c r="C37" s="12"/>
      <c r="D37" s="12"/>
      <c r="AO37" s="55"/>
      <c r="AP37" s="55"/>
      <c r="AQ37" s="55"/>
      <c r="AR37" s="55"/>
      <c r="AS37" s="55"/>
      <c r="AT37" s="44"/>
    </row>
    <row r="38" spans="1:46" ht="18.75" customHeight="1">
      <c r="A38" s="12"/>
      <c r="B38" s="12"/>
      <c r="C38" s="12"/>
      <c r="D38" s="12"/>
      <c r="AO38" s="55"/>
      <c r="AP38" s="55"/>
      <c r="AQ38" s="55"/>
      <c r="AR38" s="55"/>
      <c r="AS38" s="55"/>
      <c r="AT38" s="44"/>
    </row>
    <row r="39" spans="1:46" ht="18.75" customHeight="1">
      <c r="A39" s="66"/>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8"/>
      <c r="AG39" s="24"/>
      <c r="AH39" s="24"/>
      <c r="AI39" s="68"/>
      <c r="AJ39" s="68"/>
      <c r="AK39" s="68"/>
      <c r="AL39" s="2"/>
      <c r="AM39" s="2"/>
      <c r="AN39" s="2"/>
      <c r="AO39" s="138"/>
      <c r="AP39" s="138"/>
      <c r="AQ39" s="138"/>
      <c r="AR39" s="138"/>
      <c r="AS39" s="138"/>
      <c r="AT39" s="139"/>
    </row>
    <row r="40" spans="1:46" ht="18.75" customHeight="1">
      <c r="A40" s="1870"/>
      <c r="B40" s="1870"/>
      <c r="C40" s="1870"/>
      <c r="D40" s="1870"/>
      <c r="E40" s="1870"/>
      <c r="F40" s="1870"/>
      <c r="G40" s="1870"/>
      <c r="H40" s="1870"/>
      <c r="I40" s="1870"/>
      <c r="J40" s="1870"/>
      <c r="K40" s="1870"/>
      <c r="L40" s="1870"/>
      <c r="M40" s="1870"/>
      <c r="N40" s="1870"/>
      <c r="O40" s="1870"/>
      <c r="P40" s="1870"/>
      <c r="Q40" s="1870"/>
      <c r="R40" s="1870"/>
      <c r="S40" s="1870"/>
      <c r="T40" s="1870"/>
      <c r="U40" s="1870"/>
      <c r="V40" s="1870"/>
      <c r="W40" s="1870"/>
      <c r="X40" s="1870"/>
      <c r="Y40" s="1870"/>
      <c r="Z40" s="1870"/>
      <c r="AA40" s="1870"/>
      <c r="AB40" s="1870"/>
      <c r="AC40" s="1870"/>
      <c r="AD40" s="1870"/>
      <c r="AE40" s="1870"/>
      <c r="AF40" s="1870"/>
      <c r="AG40" s="1870"/>
      <c r="AH40" s="1870"/>
      <c r="AI40" s="1870"/>
      <c r="AJ40" s="1870"/>
      <c r="AK40" s="1870"/>
      <c r="AL40" s="1870"/>
      <c r="AM40" s="1870"/>
      <c r="AN40" s="1870"/>
      <c r="AO40" s="1870"/>
      <c r="AP40" s="1870"/>
      <c r="AQ40" s="1870"/>
      <c r="AR40" s="1870"/>
      <c r="AS40" s="1870"/>
      <c r="AT40" s="1870"/>
    </row>
    <row r="41" spans="1:46" ht="18.75" customHeight="1">
      <c r="A41" s="66"/>
      <c r="B41" s="66"/>
      <c r="C41" s="66"/>
      <c r="D41" s="66"/>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c r="AE41" s="1870"/>
      <c r="AF41" s="1870"/>
      <c r="AG41" s="1870"/>
      <c r="AH41" s="1870"/>
      <c r="AI41" s="1870"/>
      <c r="AJ41" s="1870"/>
      <c r="AK41" s="1870"/>
      <c r="AL41" s="1870"/>
      <c r="AM41" s="1870"/>
      <c r="AN41" s="1870"/>
      <c r="AO41" s="1870"/>
      <c r="AP41" s="138"/>
      <c r="AQ41" s="138"/>
      <c r="AR41" s="138"/>
      <c r="AS41" s="138"/>
      <c r="AT41" s="139"/>
    </row>
    <row r="42" spans="1:46" ht="18.75" customHeight="1">
      <c r="A42" s="1867"/>
      <c r="B42" s="1867"/>
      <c r="C42" s="1867"/>
      <c r="D42" s="1867"/>
      <c r="E42" s="1867"/>
      <c r="F42" s="1867"/>
      <c r="G42" s="1867"/>
      <c r="H42" s="1867"/>
      <c r="I42" s="1867"/>
      <c r="J42" s="1867"/>
      <c r="K42" s="1867"/>
      <c r="L42" s="71"/>
      <c r="M42" s="71"/>
      <c r="N42" s="71"/>
      <c r="O42" s="71"/>
      <c r="P42" s="71"/>
      <c r="Q42" s="273"/>
      <c r="R42" s="273"/>
      <c r="S42" s="1867"/>
      <c r="T42" s="1867"/>
      <c r="U42" s="1867"/>
      <c r="V42" s="1867"/>
      <c r="W42" s="1867"/>
      <c r="X42" s="1867"/>
      <c r="Y42" s="1867"/>
      <c r="Z42" s="1867"/>
      <c r="AA42" s="1867"/>
      <c r="AB42" s="1867"/>
      <c r="AC42" s="1867"/>
      <c r="AD42" s="273"/>
      <c r="AE42" s="273"/>
      <c r="AF42" s="273"/>
      <c r="AG42" s="273"/>
      <c r="AH42" s="273"/>
      <c r="AI42" s="71"/>
      <c r="AJ42" s="1867"/>
      <c r="AK42" s="1867"/>
      <c r="AL42" s="1867"/>
      <c r="AM42" s="1867"/>
      <c r="AN42" s="1867"/>
      <c r="AO42" s="1867"/>
      <c r="AP42" s="1867"/>
      <c r="AQ42" s="1867"/>
      <c r="AR42" s="1867"/>
      <c r="AS42" s="1867"/>
      <c r="AT42" s="1867"/>
    </row>
    <row r="43" spans="1:46" ht="18.75" customHeight="1">
      <c r="A43" s="1867"/>
      <c r="B43" s="1867"/>
      <c r="C43" s="1867"/>
      <c r="D43" s="1867"/>
      <c r="E43" s="1867"/>
      <c r="F43" s="1867"/>
      <c r="G43" s="1867"/>
      <c r="H43" s="1867"/>
      <c r="I43" s="1867"/>
      <c r="J43" s="1867"/>
      <c r="K43" s="1867"/>
      <c r="L43" s="141"/>
      <c r="M43" s="141"/>
      <c r="N43" s="71"/>
      <c r="O43" s="71"/>
      <c r="P43" s="1867"/>
      <c r="Q43" s="1867"/>
      <c r="R43" s="1867"/>
      <c r="S43" s="1867"/>
      <c r="T43" s="1867"/>
      <c r="U43" s="1867"/>
      <c r="V43" s="1867"/>
      <c r="W43" s="1867"/>
      <c r="X43" s="1867"/>
      <c r="Y43" s="1867"/>
      <c r="Z43" s="1867"/>
      <c r="AA43" s="1867"/>
      <c r="AB43" s="1867"/>
      <c r="AC43" s="1867"/>
      <c r="AD43" s="1867"/>
      <c r="AE43" s="1867"/>
      <c r="AF43" s="1867"/>
      <c r="AG43" s="273"/>
      <c r="AH43" s="273"/>
      <c r="AI43" s="71"/>
      <c r="AJ43" s="1867"/>
      <c r="AK43" s="1867"/>
      <c r="AL43" s="1867"/>
      <c r="AM43" s="1867"/>
      <c r="AN43" s="1867"/>
      <c r="AO43" s="1867"/>
      <c r="AP43" s="1867"/>
      <c r="AQ43" s="1867"/>
      <c r="AR43" s="1867"/>
      <c r="AS43" s="1867"/>
      <c r="AT43" s="1867"/>
    </row>
    <row r="44" spans="1:46" ht="18.75" customHeight="1">
      <c r="A44" s="1867"/>
      <c r="B44" s="1867"/>
      <c r="C44" s="1867"/>
      <c r="D44" s="1867"/>
      <c r="E44" s="1867"/>
      <c r="F44" s="1867"/>
      <c r="G44" s="1867"/>
      <c r="H44" s="1867"/>
      <c r="I44" s="1867"/>
      <c r="J44" s="1867"/>
      <c r="K44" s="1867"/>
      <c r="L44" s="141"/>
      <c r="M44" s="141"/>
      <c r="N44" s="71"/>
      <c r="O44" s="71"/>
      <c r="P44" s="1867"/>
      <c r="Q44" s="1867"/>
      <c r="R44" s="1867"/>
      <c r="S44" s="1867"/>
      <c r="T44" s="1867"/>
      <c r="U44" s="1867"/>
      <c r="V44" s="1867"/>
      <c r="W44" s="1867"/>
      <c r="X44" s="1867"/>
      <c r="Y44" s="1867"/>
      <c r="Z44" s="1867"/>
      <c r="AA44" s="1867"/>
      <c r="AB44" s="1867"/>
      <c r="AC44" s="1867"/>
      <c r="AD44" s="1867"/>
      <c r="AE44" s="1867"/>
      <c r="AF44" s="1867"/>
      <c r="AG44" s="273"/>
      <c r="AH44" s="273"/>
      <c r="AI44" s="71"/>
      <c r="AJ44" s="1867"/>
      <c r="AK44" s="1867"/>
      <c r="AL44" s="1867"/>
      <c r="AM44" s="1867"/>
      <c r="AN44" s="1867"/>
      <c r="AO44" s="1867"/>
      <c r="AP44" s="1867"/>
      <c r="AQ44" s="1867"/>
      <c r="AR44" s="1867"/>
      <c r="AS44" s="1867"/>
      <c r="AT44" s="1867"/>
    </row>
    <row r="45" spans="1:46" ht="18.75" customHeight="1">
      <c r="A45" s="1865"/>
      <c r="B45" s="1865"/>
      <c r="C45" s="1865"/>
      <c r="D45" s="1865"/>
      <c r="E45" s="1865"/>
      <c r="F45" s="1865"/>
      <c r="G45" s="1865"/>
      <c r="H45" s="1865"/>
      <c r="I45" s="1865"/>
      <c r="J45" s="1865"/>
      <c r="K45" s="1865"/>
      <c r="L45" s="51"/>
      <c r="M45" s="51"/>
      <c r="N45" s="1"/>
      <c r="O45" s="1"/>
      <c r="P45" s="1865"/>
      <c r="Q45" s="1865"/>
      <c r="R45" s="1865"/>
      <c r="S45" s="1865"/>
      <c r="T45" s="1865"/>
      <c r="U45" s="1865"/>
      <c r="V45" s="1865"/>
      <c r="W45" s="1865"/>
      <c r="X45" s="1865"/>
      <c r="Y45" s="1865"/>
      <c r="Z45" s="1865"/>
      <c r="AA45" s="1865"/>
      <c r="AB45" s="1865"/>
      <c r="AC45" s="1865"/>
      <c r="AD45" s="1865"/>
      <c r="AE45" s="1865"/>
      <c r="AF45" s="1865"/>
      <c r="AG45" s="274"/>
      <c r="AH45" s="274"/>
      <c r="AI45" s="1"/>
      <c r="AJ45" s="1865"/>
      <c r="AK45" s="1865"/>
      <c r="AL45" s="1865"/>
      <c r="AM45" s="1865"/>
      <c r="AN45" s="1865"/>
      <c r="AO45" s="1865"/>
      <c r="AP45" s="1865"/>
      <c r="AQ45" s="1865"/>
      <c r="AR45" s="1865"/>
      <c r="AS45" s="1865"/>
      <c r="AT45" s="1865"/>
    </row>
    <row r="46" spans="1:46" ht="18.75" customHeight="1">
      <c r="A46" s="1"/>
      <c r="B46" s="54"/>
      <c r="C46" s="39"/>
      <c r="D46" s="39"/>
      <c r="E46" s="39"/>
      <c r="F46" s="51"/>
      <c r="G46" s="51"/>
      <c r="H46" s="51"/>
      <c r="I46" s="51"/>
      <c r="J46" s="51"/>
      <c r="K46" s="51"/>
      <c r="L46" s="51"/>
      <c r="M46" s="5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ht="18.75" customHeight="1">
      <c r="A47" s="1"/>
      <c r="B47" s="54"/>
      <c r="C47" s="1866"/>
      <c r="D47" s="1866"/>
      <c r="E47" s="1866"/>
      <c r="F47" s="51"/>
      <c r="G47" s="51"/>
      <c r="H47" s="51"/>
      <c r="I47" s="51"/>
      <c r="J47" s="51"/>
      <c r="K47" s="51"/>
      <c r="L47" s="51"/>
      <c r="M47" s="5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ht="18.75" customHeight="1">
      <c r="A48" s="1"/>
      <c r="B48" s="54"/>
      <c r="C48" s="1866"/>
      <c r="D48" s="1866"/>
      <c r="E48" s="1866"/>
      <c r="F48" s="51"/>
      <c r="G48" s="51"/>
      <c r="H48" s="51"/>
      <c r="I48" s="51"/>
      <c r="J48" s="51"/>
      <c r="K48" s="51"/>
      <c r="L48" s="51"/>
      <c r="M48" s="5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2:44" ht="18.75" customHeight="1">
      <c r="D49" s="258"/>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58"/>
    </row>
    <row r="50" spans="2:44" ht="18.75" customHeight="1">
      <c r="D50" s="258"/>
      <c r="E50" s="258"/>
      <c r="F50" s="258"/>
      <c r="G50" s="258"/>
      <c r="H50" s="258"/>
      <c r="I50" s="258"/>
      <c r="J50" s="258"/>
      <c r="K50" s="258"/>
      <c r="L50" s="258"/>
      <c r="M50" s="258"/>
      <c r="N50" s="258"/>
      <c r="O50" s="258"/>
      <c r="P50" s="258"/>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58"/>
    </row>
    <row r="51" spans="2:44" ht="18.75" customHeight="1">
      <c r="D51" s="258"/>
      <c r="E51" s="258"/>
      <c r="F51" s="258"/>
      <c r="G51" s="258"/>
      <c r="H51" s="258"/>
      <c r="I51" s="258"/>
      <c r="J51" s="258"/>
      <c r="K51" s="258"/>
      <c r="L51" s="258"/>
      <c r="M51" s="258"/>
      <c r="N51" s="258"/>
      <c r="O51" s="258"/>
      <c r="P51" s="258"/>
      <c r="Q51" s="258"/>
      <c r="R51" s="258"/>
      <c r="S51" s="258"/>
      <c r="T51" s="258"/>
      <c r="U51" s="258"/>
      <c r="V51" s="258"/>
      <c r="W51" s="258"/>
      <c r="X51" s="258"/>
      <c r="Y51" s="258"/>
      <c r="Z51" s="258"/>
      <c r="AA51" s="258"/>
      <c r="AB51" s="258"/>
      <c r="AC51" s="258"/>
      <c r="AD51" s="258"/>
      <c r="AE51" s="258"/>
      <c r="AF51" s="258"/>
      <c r="AG51" s="258"/>
      <c r="AH51" s="258"/>
      <c r="AI51" s="258"/>
      <c r="AJ51" s="258"/>
      <c r="AK51" s="258"/>
      <c r="AL51" s="258"/>
      <c r="AM51" s="258"/>
    </row>
    <row r="52" spans="2:44" ht="18.75" customHeight="1">
      <c r="D52" s="258"/>
      <c r="E52" s="258"/>
      <c r="F52" s="258"/>
      <c r="G52" s="258"/>
      <c r="H52" s="258"/>
      <c r="I52" s="258"/>
      <c r="J52" s="258"/>
      <c r="K52" s="258"/>
      <c r="L52" s="258"/>
      <c r="M52" s="258"/>
      <c r="N52" s="258"/>
      <c r="O52" s="258"/>
      <c r="P52" s="258"/>
      <c r="Q52" s="258"/>
      <c r="R52" s="258"/>
      <c r="S52" s="258"/>
      <c r="T52" s="258"/>
      <c r="U52" s="258"/>
      <c r="V52" s="258"/>
      <c r="W52" s="258"/>
      <c r="X52" s="258"/>
      <c r="Y52" s="258"/>
      <c r="Z52" s="258"/>
      <c r="AA52" s="258"/>
      <c r="AB52" s="258"/>
      <c r="AC52" s="258"/>
      <c r="AD52" s="258"/>
      <c r="AE52" s="258"/>
      <c r="AF52" s="258"/>
      <c r="AG52" s="258"/>
      <c r="AH52" s="258"/>
      <c r="AI52" s="258"/>
      <c r="AJ52" s="258"/>
      <c r="AK52" s="258"/>
      <c r="AL52" s="258"/>
      <c r="AM52" s="258"/>
    </row>
    <row r="53" spans="2:44" ht="18.75" customHeight="1">
      <c r="D53" s="258"/>
      <c r="E53" s="258"/>
      <c r="F53" s="258"/>
      <c r="G53" s="258"/>
      <c r="H53" s="258"/>
      <c r="I53" s="258"/>
      <c r="J53" s="258"/>
      <c r="K53" s="258"/>
      <c r="L53" s="258"/>
      <c r="M53" s="258"/>
      <c r="N53" s="258"/>
      <c r="O53" s="258"/>
      <c r="P53" s="258"/>
      <c r="Q53" s="258"/>
      <c r="R53" s="258"/>
      <c r="S53" s="258"/>
      <c r="T53" s="258"/>
      <c r="U53" s="258"/>
      <c r="V53" s="258"/>
      <c r="W53" s="258"/>
      <c r="X53" s="258"/>
      <c r="Y53" s="258"/>
      <c r="Z53" s="258"/>
      <c r="AA53" s="258"/>
      <c r="AB53" s="258"/>
      <c r="AC53" s="258"/>
      <c r="AD53" s="258"/>
      <c r="AE53" s="258"/>
      <c r="AF53" s="258"/>
      <c r="AG53" s="258"/>
      <c r="AH53" s="258"/>
      <c r="AI53" s="258"/>
      <c r="AJ53" s="258"/>
      <c r="AK53" s="258"/>
      <c r="AL53" s="258"/>
      <c r="AM53" s="258"/>
    </row>
    <row r="54" spans="2:44" ht="18.75" customHeight="1">
      <c r="B54" s="1869" t="s">
        <v>1234</v>
      </c>
      <c r="C54" s="2073"/>
      <c r="D54" s="2073"/>
      <c r="E54" s="2073"/>
      <c r="F54" s="2073"/>
      <c r="G54" s="2073"/>
      <c r="H54" s="2073"/>
      <c r="I54" s="2073"/>
      <c r="J54" s="2073"/>
      <c r="K54" s="2073"/>
      <c r="L54" s="2073"/>
      <c r="M54" s="2073"/>
      <c r="N54" s="2073"/>
      <c r="O54" s="2073"/>
      <c r="P54" s="2073"/>
      <c r="Q54" s="2073"/>
      <c r="R54" s="2073"/>
      <c r="S54" s="2073"/>
      <c r="T54" s="2073"/>
      <c r="U54" s="2073"/>
      <c r="V54" s="2073"/>
      <c r="W54" s="2073"/>
      <c r="X54" s="2073"/>
      <c r="Y54" s="2073"/>
      <c r="Z54" s="2073"/>
      <c r="AA54" s="2073"/>
      <c r="AB54" s="2073"/>
      <c r="AC54" s="2073"/>
      <c r="AD54" s="2073"/>
      <c r="AE54" s="2073"/>
      <c r="AF54" s="2073"/>
      <c r="AG54" s="2073"/>
      <c r="AH54" s="2073"/>
      <c r="AI54" s="2073"/>
      <c r="AJ54" s="2073"/>
      <c r="AK54" s="2073"/>
      <c r="AL54" s="2073"/>
      <c r="AM54" s="2073"/>
      <c r="AN54" s="2073"/>
      <c r="AO54" s="2073"/>
      <c r="AP54" s="2073"/>
      <c r="AQ54" s="2073"/>
      <c r="AR54" s="2073"/>
    </row>
    <row r="55" spans="2:44" ht="18.75" customHeight="1">
      <c r="B55" s="2073"/>
      <c r="C55" s="2073"/>
      <c r="D55" s="2073"/>
      <c r="E55" s="2073"/>
      <c r="F55" s="2073"/>
      <c r="G55" s="2073"/>
      <c r="H55" s="2073"/>
      <c r="I55" s="2073"/>
      <c r="J55" s="2073"/>
      <c r="K55" s="2073"/>
      <c r="L55" s="2073"/>
      <c r="M55" s="2073"/>
      <c r="N55" s="2073"/>
      <c r="O55" s="2073"/>
      <c r="P55" s="2073"/>
      <c r="Q55" s="2073"/>
      <c r="R55" s="2073"/>
      <c r="S55" s="2073"/>
      <c r="T55" s="2073"/>
      <c r="U55" s="2073"/>
      <c r="V55" s="2073"/>
      <c r="W55" s="2073"/>
      <c r="X55" s="2073"/>
      <c r="Y55" s="2073"/>
      <c r="Z55" s="2073"/>
      <c r="AA55" s="2073"/>
      <c r="AB55" s="2073"/>
      <c r="AC55" s="2073"/>
      <c r="AD55" s="2073"/>
      <c r="AE55" s="2073"/>
      <c r="AF55" s="2073"/>
      <c r="AG55" s="2073"/>
      <c r="AH55" s="2073"/>
      <c r="AI55" s="2073"/>
      <c r="AJ55" s="2073"/>
      <c r="AK55" s="2073"/>
      <c r="AL55" s="2073"/>
      <c r="AM55" s="2073"/>
      <c r="AN55" s="2073"/>
      <c r="AO55" s="2073"/>
      <c r="AP55" s="2073"/>
      <c r="AQ55" s="2073"/>
      <c r="AR55" s="2073"/>
    </row>
    <row r="56" spans="2:44" ht="18.75" customHeight="1">
      <c r="B56" s="2073"/>
      <c r="C56" s="2073"/>
      <c r="D56" s="2073"/>
      <c r="E56" s="2073"/>
      <c r="F56" s="2073"/>
      <c r="G56" s="2073"/>
      <c r="H56" s="2073"/>
      <c r="I56" s="2073"/>
      <c r="J56" s="2073"/>
      <c r="K56" s="2073"/>
      <c r="L56" s="2073"/>
      <c r="M56" s="2073"/>
      <c r="N56" s="2073"/>
      <c r="O56" s="2073"/>
      <c r="P56" s="2073"/>
      <c r="Q56" s="2073"/>
      <c r="R56" s="2073"/>
      <c r="S56" s="2073"/>
      <c r="T56" s="2073"/>
      <c r="U56" s="2073"/>
      <c r="V56" s="2073"/>
      <c r="W56" s="2073"/>
      <c r="X56" s="2073"/>
      <c r="Y56" s="2073"/>
      <c r="Z56" s="2073"/>
      <c r="AA56" s="2073"/>
      <c r="AB56" s="2073"/>
      <c r="AC56" s="2073"/>
      <c r="AD56" s="2073"/>
      <c r="AE56" s="2073"/>
      <c r="AF56" s="2073"/>
      <c r="AG56" s="2073"/>
      <c r="AH56" s="2073"/>
      <c r="AI56" s="2073"/>
      <c r="AJ56" s="2073"/>
      <c r="AK56" s="2073"/>
      <c r="AL56" s="2073"/>
      <c r="AM56" s="2073"/>
      <c r="AN56" s="2073"/>
      <c r="AO56" s="2073"/>
      <c r="AP56" s="2073"/>
      <c r="AQ56" s="2073"/>
      <c r="AR56" s="2073"/>
    </row>
    <row r="57" spans="2:44" ht="18.75" customHeight="1">
      <c r="B57" s="2073"/>
      <c r="C57" s="2073"/>
      <c r="D57" s="2073"/>
      <c r="E57" s="2073"/>
      <c r="F57" s="2073"/>
      <c r="G57" s="2073"/>
      <c r="H57" s="2073"/>
      <c r="I57" s="2073"/>
      <c r="J57" s="2073"/>
      <c r="K57" s="2073"/>
      <c r="L57" s="2073"/>
      <c r="M57" s="2073"/>
      <c r="N57" s="2073"/>
      <c r="O57" s="2073"/>
      <c r="P57" s="2073"/>
      <c r="Q57" s="2073"/>
      <c r="R57" s="2073"/>
      <c r="S57" s="2073"/>
      <c r="T57" s="2073"/>
      <c r="U57" s="2073"/>
      <c r="V57" s="2073"/>
      <c r="W57" s="2073"/>
      <c r="X57" s="2073"/>
      <c r="Y57" s="2073"/>
      <c r="Z57" s="2073"/>
      <c r="AA57" s="2073"/>
      <c r="AB57" s="2073"/>
      <c r="AC57" s="2073"/>
      <c r="AD57" s="2073"/>
      <c r="AE57" s="2073"/>
      <c r="AF57" s="2073"/>
      <c r="AG57" s="2073"/>
      <c r="AH57" s="2073"/>
      <c r="AI57" s="2073"/>
      <c r="AJ57" s="2073"/>
      <c r="AK57" s="2073"/>
      <c r="AL57" s="2073"/>
      <c r="AM57" s="2073"/>
      <c r="AN57" s="2073"/>
      <c r="AO57" s="2073"/>
      <c r="AP57" s="2073"/>
      <c r="AQ57" s="2073"/>
      <c r="AR57" s="2073"/>
    </row>
    <row r="58" spans="2:44" ht="18.75" customHeight="1">
      <c r="B58" s="2073"/>
      <c r="C58" s="2073"/>
      <c r="D58" s="2073"/>
      <c r="E58" s="2073"/>
      <c r="F58" s="2073"/>
      <c r="G58" s="2073"/>
      <c r="H58" s="2073"/>
      <c r="I58" s="2073"/>
      <c r="J58" s="2073"/>
      <c r="K58" s="2073"/>
      <c r="L58" s="2073"/>
      <c r="M58" s="2073"/>
      <c r="N58" s="2073"/>
      <c r="O58" s="2073"/>
      <c r="P58" s="2073"/>
      <c r="Q58" s="2073"/>
      <c r="R58" s="2073"/>
      <c r="S58" s="2073"/>
      <c r="T58" s="2073"/>
      <c r="U58" s="2073"/>
      <c r="V58" s="2073"/>
      <c r="W58" s="2073"/>
      <c r="X58" s="2073"/>
      <c r="Y58" s="2073"/>
      <c r="Z58" s="2073"/>
      <c r="AA58" s="2073"/>
      <c r="AB58" s="2073"/>
      <c r="AC58" s="2073"/>
      <c r="AD58" s="2073"/>
      <c r="AE58" s="2073"/>
      <c r="AF58" s="2073"/>
      <c r="AG58" s="2073"/>
      <c r="AH58" s="2073"/>
      <c r="AI58" s="2073"/>
      <c r="AJ58" s="2073"/>
      <c r="AK58" s="2073"/>
      <c r="AL58" s="2073"/>
      <c r="AM58" s="2073"/>
      <c r="AN58" s="2073"/>
      <c r="AO58" s="2073"/>
      <c r="AP58" s="2073"/>
      <c r="AQ58" s="2073"/>
      <c r="AR58" s="2073"/>
    </row>
    <row r="59" spans="2:44" ht="18.75" customHeight="1">
      <c r="B59" s="2073"/>
      <c r="C59" s="2073"/>
      <c r="D59" s="2073"/>
      <c r="E59" s="2073"/>
      <c r="F59" s="2073"/>
      <c r="G59" s="2073"/>
      <c r="H59" s="2073"/>
      <c r="I59" s="2073"/>
      <c r="J59" s="2073"/>
      <c r="K59" s="2073"/>
      <c r="L59" s="2073"/>
      <c r="M59" s="2073"/>
      <c r="N59" s="2073"/>
      <c r="O59" s="2073"/>
      <c r="P59" s="2073"/>
      <c r="Q59" s="2073"/>
      <c r="R59" s="2073"/>
      <c r="S59" s="2073"/>
      <c r="T59" s="2073"/>
      <c r="U59" s="2073"/>
      <c r="V59" s="2073"/>
      <c r="W59" s="2073"/>
      <c r="X59" s="2073"/>
      <c r="Y59" s="2073"/>
      <c r="Z59" s="2073"/>
      <c r="AA59" s="2073"/>
      <c r="AB59" s="2073"/>
      <c r="AC59" s="2073"/>
      <c r="AD59" s="2073"/>
      <c r="AE59" s="2073"/>
      <c r="AF59" s="2073"/>
      <c r="AG59" s="2073"/>
      <c r="AH59" s="2073"/>
      <c r="AI59" s="2073"/>
      <c r="AJ59" s="2073"/>
      <c r="AK59" s="2073"/>
      <c r="AL59" s="2073"/>
      <c r="AM59" s="2073"/>
      <c r="AN59" s="2073"/>
      <c r="AO59" s="2073"/>
      <c r="AP59" s="2073"/>
      <c r="AQ59" s="2073"/>
      <c r="AR59" s="2073"/>
    </row>
    <row r="60" spans="2:44" ht="18.75" customHeight="1">
      <c r="B60" s="2073"/>
      <c r="C60" s="2073"/>
      <c r="D60" s="2073"/>
      <c r="E60" s="2073"/>
      <c r="F60" s="2073"/>
      <c r="G60" s="2073"/>
      <c r="H60" s="2073"/>
      <c r="I60" s="2073"/>
      <c r="J60" s="2073"/>
      <c r="K60" s="2073"/>
      <c r="L60" s="2073"/>
      <c r="M60" s="2073"/>
      <c r="N60" s="2073"/>
      <c r="O60" s="2073"/>
      <c r="P60" s="2073"/>
      <c r="Q60" s="2073"/>
      <c r="R60" s="2073"/>
      <c r="S60" s="2073"/>
      <c r="T60" s="2073"/>
      <c r="U60" s="2073"/>
      <c r="V60" s="2073"/>
      <c r="W60" s="2073"/>
      <c r="X60" s="2073"/>
      <c r="Y60" s="2073"/>
      <c r="Z60" s="2073"/>
      <c r="AA60" s="2073"/>
      <c r="AB60" s="2073"/>
      <c r="AC60" s="2073"/>
      <c r="AD60" s="2073"/>
      <c r="AE60" s="2073"/>
      <c r="AF60" s="2073"/>
      <c r="AG60" s="2073"/>
      <c r="AH60" s="2073"/>
      <c r="AI60" s="2073"/>
      <c r="AJ60" s="2073"/>
      <c r="AK60" s="2073"/>
      <c r="AL60" s="2073"/>
      <c r="AM60" s="2073"/>
      <c r="AN60" s="2073"/>
      <c r="AO60" s="2073"/>
      <c r="AP60" s="2073"/>
      <c r="AQ60" s="2073"/>
      <c r="AR60" s="2073"/>
    </row>
    <row r="61" spans="2:44" ht="18.75" customHeight="1">
      <c r="B61" s="2073"/>
      <c r="C61" s="2073"/>
      <c r="D61" s="2073"/>
      <c r="E61" s="2073"/>
      <c r="F61" s="2073"/>
      <c r="G61" s="2073"/>
      <c r="H61" s="2073"/>
      <c r="I61" s="2073"/>
      <c r="J61" s="2073"/>
      <c r="K61" s="2073"/>
      <c r="L61" s="2073"/>
      <c r="M61" s="2073"/>
      <c r="N61" s="2073"/>
      <c r="O61" s="2073"/>
      <c r="P61" s="2073"/>
      <c r="Q61" s="2073"/>
      <c r="R61" s="2073"/>
      <c r="S61" s="2073"/>
      <c r="T61" s="2073"/>
      <c r="U61" s="2073"/>
      <c r="V61" s="2073"/>
      <c r="W61" s="2073"/>
      <c r="X61" s="2073"/>
      <c r="Y61" s="2073"/>
      <c r="Z61" s="2073"/>
      <c r="AA61" s="2073"/>
      <c r="AB61" s="2073"/>
      <c r="AC61" s="2073"/>
      <c r="AD61" s="2073"/>
      <c r="AE61" s="2073"/>
      <c r="AF61" s="2073"/>
      <c r="AG61" s="2073"/>
      <c r="AH61" s="2073"/>
      <c r="AI61" s="2073"/>
      <c r="AJ61" s="2073"/>
      <c r="AK61" s="2073"/>
      <c r="AL61" s="2073"/>
      <c r="AM61" s="2073"/>
      <c r="AN61" s="2073"/>
      <c r="AO61" s="2073"/>
      <c r="AP61" s="2073"/>
      <c r="AQ61" s="2073"/>
      <c r="AR61" s="2073"/>
    </row>
    <row r="62" spans="2:44" ht="18.75" customHeight="1">
      <c r="B62" s="2073"/>
      <c r="C62" s="2073"/>
      <c r="D62" s="2073"/>
      <c r="E62" s="2073"/>
      <c r="F62" s="2073"/>
      <c r="G62" s="2073"/>
      <c r="H62" s="2073"/>
      <c r="I62" s="2073"/>
      <c r="J62" s="2073"/>
      <c r="K62" s="2073"/>
      <c r="L62" s="2073"/>
      <c r="M62" s="2073"/>
      <c r="N62" s="2073"/>
      <c r="O62" s="2073"/>
      <c r="P62" s="2073"/>
      <c r="Q62" s="2073"/>
      <c r="R62" s="2073"/>
      <c r="S62" s="2073"/>
      <c r="T62" s="2073"/>
      <c r="U62" s="2073"/>
      <c r="V62" s="2073"/>
      <c r="W62" s="2073"/>
      <c r="X62" s="2073"/>
      <c r="Y62" s="2073"/>
      <c r="Z62" s="2073"/>
      <c r="AA62" s="2073"/>
      <c r="AB62" s="2073"/>
      <c r="AC62" s="2073"/>
      <c r="AD62" s="2073"/>
      <c r="AE62" s="2073"/>
      <c r="AF62" s="2073"/>
      <c r="AG62" s="2073"/>
      <c r="AH62" s="2073"/>
      <c r="AI62" s="2073"/>
      <c r="AJ62" s="2073"/>
      <c r="AK62" s="2073"/>
      <c r="AL62" s="2073"/>
      <c r="AM62" s="2073"/>
      <c r="AN62" s="2073"/>
      <c r="AO62" s="2073"/>
      <c r="AP62" s="2073"/>
      <c r="AQ62" s="2073"/>
      <c r="AR62" s="2073"/>
    </row>
  </sheetData>
  <mergeCells count="23">
    <mergeCell ref="B21:AR30"/>
    <mergeCell ref="B54:AR62"/>
    <mergeCell ref="A43:K43"/>
    <mergeCell ref="P43:AF43"/>
    <mergeCell ref="AJ43:AT43"/>
    <mergeCell ref="A44:K44"/>
    <mergeCell ref="P44:AF44"/>
    <mergeCell ref="AJ44:AT44"/>
    <mergeCell ref="A45:K45"/>
    <mergeCell ref="P45:AF45"/>
    <mergeCell ref="AJ45:AT45"/>
    <mergeCell ref="C47:E47"/>
    <mergeCell ref="C48:E48"/>
    <mergeCell ref="A40:AT40"/>
    <mergeCell ref="AE41:AO41"/>
    <mergeCell ref="A42:K42"/>
    <mergeCell ref="S42:AC42"/>
    <mergeCell ref="AJ42:AT42"/>
    <mergeCell ref="A1:AT1"/>
    <mergeCell ref="A2:AT2"/>
    <mergeCell ref="A3:AT3"/>
    <mergeCell ref="A4:AT4"/>
    <mergeCell ref="A18:AT18"/>
  </mergeCells>
  <pageMargins left="0.43307086614173229" right="0.43307086614173229" top="0.94488188976377963" bottom="0.94488188976377963" header="0.31496062992125984" footer="0.31496062992125984"/>
  <pageSetup paperSize="9" scale="91" fitToHeight="0" orientation="portrait" r:id="rId1"/>
  <headerFooter>
    <oddFooter>&amp;LPrepared By Tariqul Islam; &amp;Z&amp;F&amp;R&amp;"SutonnyMJ,Regular"evsjv‡`k K…wl e¨vsK, c„ôv &amp;P &amp;"-,Regular"of&amp;"SutonnyMJ,Regular" &amp;N</oddFooter>
  </headerFooter>
  <rowBreaks count="2" manualBreakCount="2">
    <brk id="36" max="45" man="1"/>
    <brk id="77" max="45"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9C049-EB84-43E9-B098-C4DAF116F2EC}">
  <sheetPr codeName="Sheet54">
    <tabColor rgb="FF92D050"/>
    <pageSetUpPr fitToPage="1"/>
  </sheetPr>
  <dimension ref="A1:AY62"/>
  <sheetViews>
    <sheetView showGridLines="0" tabSelected="1" view="pageBreakPreview" topLeftCell="A50" zoomScale="90" zoomScaleSheetLayoutView="90" workbookViewId="0">
      <selection activeCell="Z66" sqref="Z66"/>
    </sheetView>
  </sheetViews>
  <sheetFormatPr defaultRowHeight="18.75" customHeight="1"/>
  <cols>
    <col min="1" max="1" width="3.7109375" customWidth="1"/>
    <col min="2" max="2" width="2.7109375" style="53" customWidth="1"/>
    <col min="3" max="8" width="2.28515625" customWidth="1"/>
    <col min="9" max="9" width="1.28515625" customWidth="1"/>
    <col min="10" max="11" width="2.7109375" customWidth="1"/>
    <col min="12" max="16" width="2.28515625" customWidth="1"/>
    <col min="17" max="17" width="4.42578125" customWidth="1"/>
    <col min="18" max="19" width="2.28515625" customWidth="1"/>
    <col min="20" max="24" width="1.7109375" customWidth="1"/>
    <col min="25" max="25" width="1.140625" customWidth="1"/>
    <col min="26" max="27" width="1.7109375" customWidth="1"/>
    <col min="28" max="29" width="2.28515625" customWidth="1"/>
    <col min="30" max="30" width="1.85546875" customWidth="1"/>
    <col min="31" max="33" width="2.85546875" customWidth="1"/>
    <col min="34" max="40" width="2.28515625" customWidth="1"/>
    <col min="41" max="46" width="2" customWidth="1"/>
    <col min="48" max="48" width="11.42578125" customWidth="1"/>
    <col min="49" max="49" width="11.7109375" customWidth="1"/>
  </cols>
  <sheetData>
    <row r="1" spans="1:51" ht="30.75" customHeight="1">
      <c r="A1" s="1871"/>
      <c r="B1" s="1871"/>
      <c r="C1" s="1871"/>
      <c r="D1" s="1871"/>
      <c r="E1" s="1871"/>
      <c r="F1" s="1871"/>
      <c r="G1" s="1871"/>
      <c r="H1" s="1871"/>
      <c r="I1" s="1871"/>
      <c r="J1" s="1871"/>
      <c r="K1" s="1871"/>
      <c r="L1" s="1871"/>
      <c r="M1" s="1871"/>
      <c r="N1" s="1871"/>
      <c r="O1" s="1871"/>
      <c r="P1" s="1871"/>
      <c r="Q1" s="1871"/>
      <c r="R1" s="1871"/>
      <c r="S1" s="1871"/>
      <c r="T1" s="1871"/>
      <c r="U1" s="1871"/>
      <c r="V1" s="1871"/>
      <c r="W1" s="1871"/>
      <c r="X1" s="1871"/>
      <c r="Y1" s="1871"/>
      <c r="Z1" s="1871"/>
      <c r="AA1" s="1871"/>
      <c r="AB1" s="1871"/>
      <c r="AC1" s="1871"/>
      <c r="AD1" s="1871"/>
      <c r="AE1" s="1871"/>
      <c r="AF1" s="1871"/>
      <c r="AG1" s="1871"/>
      <c r="AH1" s="1871"/>
      <c r="AI1" s="1871"/>
      <c r="AJ1" s="1871"/>
      <c r="AK1" s="1871"/>
      <c r="AL1" s="1871"/>
      <c r="AM1" s="1871"/>
      <c r="AN1" s="1871"/>
      <c r="AO1" s="1871"/>
      <c r="AP1" s="1871"/>
      <c r="AQ1" s="1871"/>
      <c r="AR1" s="1871"/>
      <c r="AS1" s="1871"/>
      <c r="AT1" s="1871"/>
      <c r="AY1" s="157"/>
    </row>
    <row r="2" spans="1:51" ht="19.5" customHeight="1">
      <c r="A2" s="810"/>
      <c r="B2" s="810"/>
      <c r="C2" s="810"/>
      <c r="D2" s="810"/>
      <c r="E2" s="810"/>
      <c r="F2" s="810"/>
      <c r="G2" s="810"/>
      <c r="H2" s="810"/>
      <c r="I2" s="810"/>
      <c r="J2" s="810"/>
      <c r="K2" s="810"/>
      <c r="L2" s="810"/>
      <c r="M2" s="810"/>
      <c r="N2" s="810"/>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Y2" s="158"/>
    </row>
    <row r="3" spans="1:51" ht="13.5" customHeight="1">
      <c r="A3" s="811"/>
      <c r="B3" s="811"/>
      <c r="C3" s="811"/>
      <c r="D3" s="811"/>
      <c r="E3" s="811"/>
      <c r="F3" s="811"/>
      <c r="G3" s="811"/>
      <c r="H3" s="811"/>
      <c r="I3" s="811"/>
      <c r="J3" s="811"/>
      <c r="K3" s="811"/>
      <c r="L3" s="811"/>
      <c r="M3" s="811"/>
      <c r="N3" s="811"/>
      <c r="O3" s="811"/>
      <c r="P3" s="811"/>
      <c r="Q3" s="811"/>
      <c r="R3" s="811"/>
      <c r="S3" s="811"/>
      <c r="T3" s="811"/>
      <c r="U3" s="811"/>
      <c r="V3" s="811"/>
      <c r="W3" s="811"/>
      <c r="X3" s="811"/>
      <c r="Y3" s="811"/>
      <c r="Z3" s="811"/>
      <c r="AA3" s="811"/>
      <c r="AB3" s="811"/>
      <c r="AC3" s="811"/>
      <c r="AD3" s="811"/>
      <c r="AE3" s="811"/>
      <c r="AF3" s="811"/>
      <c r="AG3" s="811"/>
      <c r="AH3" s="811"/>
      <c r="AI3" s="811"/>
      <c r="AJ3" s="811"/>
      <c r="AK3" s="811"/>
      <c r="AL3" s="811"/>
      <c r="AM3" s="811"/>
      <c r="AN3" s="811"/>
      <c r="AO3" s="811"/>
      <c r="AP3" s="811"/>
      <c r="AQ3" s="811"/>
      <c r="AR3" s="811"/>
      <c r="AS3" s="811"/>
      <c r="AT3" s="811"/>
      <c r="AY3" s="159"/>
    </row>
    <row r="4" spans="1:51" ht="13.5" customHeight="1">
      <c r="A4" s="1891"/>
      <c r="B4" s="1891"/>
      <c r="C4" s="1891"/>
      <c r="D4" s="1891"/>
      <c r="E4" s="1891"/>
      <c r="F4" s="1891"/>
      <c r="G4" s="1891"/>
      <c r="H4" s="1891"/>
      <c r="I4" s="1891"/>
      <c r="J4" s="1891"/>
      <c r="K4" s="1891"/>
      <c r="L4" s="1891"/>
      <c r="M4" s="1891"/>
      <c r="N4" s="1891"/>
      <c r="O4" s="1891"/>
      <c r="P4" s="1891"/>
      <c r="Q4" s="1891"/>
      <c r="R4" s="1891"/>
      <c r="S4" s="1891"/>
      <c r="T4" s="1891"/>
      <c r="U4" s="1891"/>
      <c r="V4" s="1891"/>
      <c r="W4" s="1891"/>
      <c r="X4" s="1891"/>
      <c r="Y4" s="1891"/>
      <c r="Z4" s="1891"/>
      <c r="AA4" s="1891"/>
      <c r="AB4" s="1891"/>
      <c r="AC4" s="1891"/>
      <c r="AD4" s="1891"/>
      <c r="AE4" s="1891"/>
      <c r="AF4" s="1891"/>
      <c r="AG4" s="1891"/>
      <c r="AH4" s="1891"/>
      <c r="AI4" s="1891"/>
      <c r="AJ4" s="1891"/>
      <c r="AK4" s="1891"/>
      <c r="AL4" s="1891"/>
      <c r="AM4" s="1891"/>
      <c r="AN4" s="1891"/>
      <c r="AO4" s="1891"/>
      <c r="AP4" s="1891"/>
      <c r="AQ4" s="1891"/>
      <c r="AR4" s="1891"/>
      <c r="AS4" s="1891"/>
      <c r="AT4" s="1891"/>
      <c r="AY4" s="160"/>
    </row>
    <row r="5" spans="1:51" s="23" customFormat="1" ht="17.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G5" s="52"/>
      <c r="AH5" s="52"/>
      <c r="AL5" s="43"/>
      <c r="AM5" s="43"/>
      <c r="AN5" s="43"/>
      <c r="AO5" s="55"/>
      <c r="AP5" s="55"/>
      <c r="AQ5" s="55"/>
      <c r="AR5" s="55"/>
      <c r="AS5" s="55"/>
      <c r="AT5" s="44"/>
    </row>
    <row r="6" spans="1:51" s="23" customFormat="1" ht="17.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G6" s="52"/>
      <c r="AH6" s="52"/>
      <c r="AL6" s="43"/>
      <c r="AM6" s="43"/>
      <c r="AN6" s="43"/>
      <c r="AO6" s="55"/>
      <c r="AP6" s="55"/>
      <c r="AQ6" s="55"/>
      <c r="AR6" s="55"/>
      <c r="AS6" s="55"/>
      <c r="AT6" s="44"/>
    </row>
    <row r="7" spans="1:51" s="23" customFormat="1" ht="16.5" customHeight="1">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G7" s="52"/>
      <c r="AH7" s="52"/>
      <c r="AL7" s="43"/>
      <c r="AM7" s="43"/>
      <c r="AN7" s="43"/>
      <c r="AO7" s="55"/>
      <c r="AP7" s="55"/>
      <c r="AQ7" s="55"/>
      <c r="AR7" s="55"/>
      <c r="AS7" s="55"/>
      <c r="AT7" s="44"/>
    </row>
    <row r="8" spans="1:51" s="23" customFormat="1" ht="17.25"/>
    <row r="9" spans="1:51" s="23" customFormat="1" ht="16.5" customHeight="1">
      <c r="A9" s="12"/>
      <c r="B9" s="12"/>
      <c r="C9" s="12"/>
      <c r="D9" s="12"/>
      <c r="E9" s="12"/>
      <c r="F9" s="12"/>
      <c r="G9" s="12"/>
      <c r="H9" s="12"/>
      <c r="I9" s="12"/>
      <c r="J9" s="12"/>
      <c r="K9" s="12"/>
      <c r="L9" s="12"/>
      <c r="M9" s="12"/>
      <c r="N9" s="12"/>
      <c r="O9" s="12" t="s">
        <v>491</v>
      </c>
      <c r="P9" s="12"/>
      <c r="Q9" s="12"/>
      <c r="R9" s="12"/>
      <c r="S9" s="12"/>
      <c r="T9" s="12"/>
      <c r="U9" s="12"/>
      <c r="V9" s="12"/>
      <c r="W9" s="12"/>
      <c r="X9" s="12"/>
      <c r="Y9" s="12"/>
      <c r="Z9" s="12"/>
      <c r="AA9" s="12"/>
      <c r="AB9" s="12"/>
      <c r="AC9" s="12"/>
      <c r="AD9" s="12"/>
      <c r="AE9" s="12"/>
      <c r="AG9" s="52"/>
      <c r="AH9" s="52"/>
      <c r="AL9" s="43"/>
      <c r="AM9" s="43"/>
      <c r="AN9" s="43"/>
      <c r="AO9" s="55"/>
      <c r="AP9" s="55"/>
      <c r="AQ9" s="55"/>
      <c r="AR9" s="55"/>
      <c r="AS9" s="55"/>
      <c r="AT9" s="44"/>
    </row>
    <row r="10" spans="1:51" s="23" customFormat="1" ht="123.75" customHeight="1">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G10" s="52"/>
      <c r="AH10" s="52"/>
      <c r="AL10" s="43"/>
      <c r="AM10" s="43"/>
      <c r="AN10" s="43"/>
      <c r="AO10" s="55"/>
      <c r="AP10" s="55"/>
      <c r="AQ10" s="55"/>
      <c r="AR10" s="55"/>
      <c r="AS10" s="55"/>
      <c r="AT10" s="44"/>
    </row>
    <row r="11" spans="1:51" s="23" customFormat="1" ht="16.5" customHeight="1">
      <c r="A11" s="12"/>
      <c r="B11" s="2093"/>
      <c r="C11" s="111"/>
      <c r="D11" s="2094"/>
      <c r="E11" s="2094"/>
      <c r="F11" s="2094"/>
      <c r="G11" s="2094"/>
      <c r="H11" s="2094"/>
      <c r="I11" s="2094"/>
      <c r="J11" s="2094"/>
      <c r="K11" s="2094"/>
      <c r="L11" s="2094"/>
      <c r="M11" s="2094"/>
      <c r="N11" s="2094"/>
      <c r="O11" s="2094"/>
      <c r="P11" s="2094"/>
      <c r="Q11" s="2094"/>
      <c r="R11" s="2094"/>
      <c r="S11" s="2094"/>
      <c r="T11" s="2094"/>
      <c r="U11" s="2094"/>
      <c r="V11" s="2094"/>
      <c r="W11" s="2094"/>
      <c r="X11" s="2094"/>
      <c r="Y11" s="2094"/>
      <c r="Z11" s="2094"/>
      <c r="AA11" s="2094"/>
      <c r="AB11" s="2094"/>
      <c r="AC11" s="2094"/>
      <c r="AD11" s="2094"/>
      <c r="AE11" s="2094"/>
      <c r="AF11" s="2094"/>
      <c r="AG11" s="2094"/>
      <c r="AH11" s="2094"/>
      <c r="AI11" s="2094"/>
      <c r="AJ11" s="2094"/>
      <c r="AK11" s="2094"/>
      <c r="AL11" s="2094"/>
      <c r="AM11" s="2094"/>
      <c r="AN11" s="2094"/>
      <c r="AO11" s="2094"/>
      <c r="AP11" s="2094"/>
      <c r="AQ11" s="2094"/>
      <c r="AR11" s="2094"/>
    </row>
    <row r="12" spans="1:51" s="145" customFormat="1" ht="16.5" customHeight="1">
      <c r="A12" s="93"/>
      <c r="B12" s="2095"/>
      <c r="C12" s="2096"/>
      <c r="D12" s="2097"/>
      <c r="E12" s="2097"/>
      <c r="F12" s="2097"/>
      <c r="G12" s="2097"/>
      <c r="H12" s="2097"/>
      <c r="I12" s="2097"/>
      <c r="J12" s="2097"/>
      <c r="K12" s="2097"/>
      <c r="L12" s="2097"/>
      <c r="M12" s="2097"/>
      <c r="N12" s="2097"/>
      <c r="O12" s="2097"/>
      <c r="P12" s="2097"/>
      <c r="Q12" s="2097"/>
      <c r="R12" s="2097"/>
      <c r="S12" s="2097"/>
      <c r="T12" s="2097"/>
      <c r="U12" s="2097"/>
      <c r="V12" s="2097"/>
      <c r="W12" s="2097"/>
      <c r="X12" s="2097"/>
      <c r="Y12" s="2097"/>
      <c r="Z12" s="2097"/>
      <c r="AA12" s="2097"/>
      <c r="AB12" s="2097"/>
      <c r="AC12" s="2097"/>
      <c r="AD12" s="2097"/>
      <c r="AE12" s="2097"/>
      <c r="AF12" s="2097"/>
      <c r="AG12" s="2097"/>
      <c r="AH12" s="2097"/>
      <c r="AI12" s="2097"/>
      <c r="AJ12" s="2097"/>
      <c r="AK12" s="2097"/>
      <c r="AL12" s="2097"/>
      <c r="AM12" s="2097"/>
      <c r="AN12" s="2097"/>
      <c r="AO12" s="2097"/>
      <c r="AP12" s="2097"/>
      <c r="AQ12" s="2097"/>
      <c r="AR12" s="2097"/>
    </row>
    <row r="13" spans="1:51" s="145" customFormat="1" ht="16.5" customHeight="1">
      <c r="B13" s="93"/>
      <c r="C13" s="93"/>
      <c r="D13" s="2097"/>
      <c r="E13" s="2097"/>
      <c r="F13" s="2097"/>
      <c r="G13" s="2097"/>
      <c r="H13" s="2097"/>
      <c r="I13" s="2097"/>
      <c r="J13" s="2097"/>
      <c r="K13" s="2097"/>
      <c r="L13" s="2097"/>
      <c r="M13" s="2097"/>
      <c r="N13" s="2097"/>
      <c r="O13" s="2097"/>
      <c r="P13" s="2097"/>
      <c r="Q13" s="2097"/>
      <c r="R13" s="2097"/>
      <c r="S13" s="2097"/>
      <c r="T13" s="2097"/>
      <c r="U13" s="2097"/>
      <c r="V13" s="2097"/>
      <c r="W13" s="2097"/>
      <c r="X13" s="2097"/>
      <c r="Y13" s="2097"/>
      <c r="Z13" s="2097"/>
      <c r="AA13" s="2097"/>
      <c r="AB13" s="2097"/>
      <c r="AC13" s="2097"/>
      <c r="AD13" s="2097"/>
      <c r="AE13" s="2097"/>
      <c r="AF13" s="2097"/>
      <c r="AG13" s="2097"/>
      <c r="AH13" s="2097"/>
      <c r="AI13" s="2097"/>
      <c r="AJ13" s="2097"/>
      <c r="AK13" s="2097"/>
      <c r="AL13" s="2097"/>
      <c r="AM13" s="2097"/>
      <c r="AN13" s="2097"/>
      <c r="AO13" s="2097"/>
      <c r="AP13" s="2097"/>
      <c r="AQ13" s="2097"/>
      <c r="AR13" s="2097"/>
    </row>
    <row r="14" spans="1:51" s="145" customFormat="1" ht="16.5" customHeight="1">
      <c r="A14" s="146"/>
      <c r="B14" s="93"/>
      <c r="C14" s="93"/>
      <c r="D14" s="2097"/>
      <c r="E14" s="2097"/>
      <c r="F14" s="2097"/>
      <c r="G14" s="2097"/>
      <c r="H14" s="2097"/>
      <c r="I14" s="2097"/>
      <c r="J14" s="2097"/>
      <c r="K14" s="2097"/>
      <c r="L14" s="2097"/>
      <c r="M14" s="2097"/>
      <c r="N14" s="2097"/>
      <c r="O14" s="2097"/>
      <c r="P14" s="2097"/>
      <c r="Q14" s="2097"/>
      <c r="R14" s="2097"/>
      <c r="S14" s="2097"/>
      <c r="T14" s="2097"/>
      <c r="U14" s="2097"/>
      <c r="V14" s="2097"/>
      <c r="W14" s="2097"/>
      <c r="X14" s="2097"/>
      <c r="Y14" s="2097"/>
      <c r="Z14" s="2097"/>
      <c r="AA14" s="2097"/>
      <c r="AB14" s="2097"/>
      <c r="AC14" s="2097"/>
      <c r="AD14" s="2097"/>
      <c r="AE14" s="2097"/>
      <c r="AF14" s="2097"/>
      <c r="AG14" s="2097"/>
      <c r="AH14" s="2097"/>
      <c r="AI14" s="2097"/>
      <c r="AJ14" s="2097"/>
      <c r="AK14" s="2097"/>
      <c r="AL14" s="2097"/>
      <c r="AM14" s="2097"/>
      <c r="AN14" s="2097"/>
      <c r="AO14" s="2097"/>
      <c r="AP14" s="2097"/>
      <c r="AQ14" s="2097"/>
      <c r="AR14" s="2097"/>
    </row>
    <row r="15" spans="1:51" s="23" customFormat="1" ht="16.5" customHeight="1">
      <c r="A15" s="24"/>
      <c r="B15" s="66"/>
      <c r="C15" s="66"/>
      <c r="D15" s="2094"/>
      <c r="E15" s="2094"/>
      <c r="F15" s="2094"/>
      <c r="G15" s="2094"/>
      <c r="H15" s="2094"/>
      <c r="I15" s="2094"/>
      <c r="J15" s="2094"/>
      <c r="K15" s="2094"/>
      <c r="L15" s="2094"/>
      <c r="M15" s="2094"/>
      <c r="N15" s="2094"/>
      <c r="O15" s="2094"/>
      <c r="P15" s="2094"/>
      <c r="Q15" s="2094"/>
      <c r="R15" s="2094"/>
      <c r="S15" s="2094"/>
      <c r="T15" s="2094"/>
      <c r="U15" s="2094"/>
      <c r="V15" s="2094"/>
      <c r="W15" s="2094"/>
      <c r="X15" s="2094"/>
      <c r="Y15" s="2094"/>
      <c r="Z15" s="2094"/>
      <c r="AA15" s="2094"/>
      <c r="AB15" s="2094"/>
      <c r="AC15" s="2094"/>
      <c r="AD15" s="2094"/>
      <c r="AE15" s="2094"/>
      <c r="AF15" s="2094"/>
      <c r="AG15" s="2094"/>
      <c r="AH15" s="2094"/>
      <c r="AI15" s="2094"/>
      <c r="AJ15" s="2094"/>
      <c r="AK15" s="2094"/>
      <c r="AL15" s="2094"/>
      <c r="AM15" s="2094"/>
      <c r="AN15" s="2094"/>
      <c r="AO15" s="2094"/>
      <c r="AP15" s="2094"/>
      <c r="AQ15" s="2094"/>
      <c r="AR15" s="2094"/>
    </row>
    <row r="16" spans="1:51" s="23" customFormat="1" ht="16.5" customHeight="1">
      <c r="A16" s="12"/>
      <c r="B16" s="2093"/>
      <c r="C16" s="111"/>
      <c r="D16" s="2094"/>
      <c r="E16" s="2094"/>
      <c r="F16" s="2094"/>
      <c r="G16" s="2094"/>
      <c r="H16" s="2094"/>
      <c r="I16" s="2094"/>
      <c r="J16" s="2094"/>
      <c r="K16" s="2094"/>
      <c r="L16" s="2094"/>
      <c r="M16" s="2094"/>
      <c r="N16" s="2094"/>
      <c r="O16" s="2094"/>
      <c r="P16" s="2094"/>
      <c r="Q16" s="2094"/>
      <c r="R16" s="2094"/>
      <c r="S16" s="2094"/>
      <c r="T16" s="2094"/>
      <c r="U16" s="2094"/>
      <c r="V16" s="2094"/>
      <c r="W16" s="2094"/>
      <c r="X16" s="2094"/>
      <c r="Y16" s="2094"/>
      <c r="Z16" s="2094"/>
      <c r="AA16" s="2094"/>
      <c r="AB16" s="2094"/>
      <c r="AC16" s="2094"/>
      <c r="AD16" s="2094"/>
      <c r="AE16" s="2094"/>
      <c r="AF16" s="2094"/>
      <c r="AG16" s="2094"/>
      <c r="AH16" s="2094"/>
      <c r="AI16" s="2094"/>
      <c r="AJ16" s="2094"/>
      <c r="AK16" s="2094"/>
      <c r="AL16" s="2094"/>
      <c r="AM16" s="2094"/>
      <c r="AN16" s="2094"/>
      <c r="AO16" s="2094"/>
      <c r="AP16" s="2094"/>
      <c r="AQ16" s="2094"/>
      <c r="AR16" s="2094"/>
    </row>
    <row r="17" spans="1:46" s="23" customFormat="1" ht="16.5" customHeight="1">
      <c r="A17" s="12"/>
      <c r="B17" s="2093"/>
      <c r="C17" s="111"/>
      <c r="D17" s="2094"/>
      <c r="E17" s="2094"/>
      <c r="F17" s="2094"/>
      <c r="G17" s="2094"/>
      <c r="H17" s="2094"/>
      <c r="I17" s="2094"/>
      <c r="J17" s="2094"/>
      <c r="K17" s="2094"/>
      <c r="L17" s="2094"/>
      <c r="M17" s="2094"/>
      <c r="N17" s="2094"/>
      <c r="O17" s="2094"/>
      <c r="P17" s="2094"/>
      <c r="Q17" s="2094"/>
      <c r="R17" s="2094"/>
      <c r="S17" s="2094"/>
      <c r="T17" s="2094"/>
      <c r="U17" s="2094"/>
      <c r="V17" s="2094"/>
      <c r="W17" s="2094"/>
      <c r="X17" s="2094"/>
      <c r="Y17" s="2094"/>
      <c r="Z17" s="2094"/>
      <c r="AA17" s="2094"/>
      <c r="AB17" s="2094"/>
      <c r="AC17" s="2094"/>
      <c r="AD17" s="2094"/>
      <c r="AE17" s="2094"/>
      <c r="AF17" s="2094"/>
      <c r="AG17" s="2094"/>
      <c r="AH17" s="2094"/>
      <c r="AI17" s="2094"/>
      <c r="AJ17" s="2094"/>
      <c r="AK17" s="2094"/>
      <c r="AL17" s="2094"/>
      <c r="AM17" s="2094"/>
      <c r="AN17" s="2094"/>
      <c r="AO17" s="2094"/>
      <c r="AP17" s="2094"/>
      <c r="AQ17" s="2094"/>
      <c r="AR17" s="2094"/>
    </row>
    <row r="18" spans="1:46" s="23" customFormat="1" ht="41.25">
      <c r="A18" s="1868" t="s">
        <v>1233</v>
      </c>
      <c r="B18" s="1868"/>
      <c r="C18" s="1868"/>
      <c r="D18" s="1868"/>
      <c r="E18" s="1868"/>
      <c r="F18" s="1868"/>
      <c r="G18" s="1868"/>
      <c r="H18" s="1868"/>
      <c r="I18" s="1868"/>
      <c r="J18" s="1868"/>
      <c r="K18" s="1868"/>
      <c r="L18" s="1868"/>
      <c r="M18" s="1868"/>
      <c r="N18" s="1868"/>
      <c r="O18" s="1868"/>
      <c r="P18" s="1868"/>
      <c r="Q18" s="1868"/>
      <c r="R18" s="1868"/>
      <c r="S18" s="1868"/>
      <c r="T18" s="1868"/>
      <c r="U18" s="1868"/>
      <c r="V18" s="1868"/>
      <c r="W18" s="1868"/>
      <c r="X18" s="1868"/>
      <c r="Y18" s="1868"/>
      <c r="Z18" s="1868"/>
      <c r="AA18" s="1868"/>
      <c r="AB18" s="1868"/>
      <c r="AC18" s="1868"/>
      <c r="AD18" s="1868"/>
      <c r="AE18" s="1868"/>
      <c r="AF18" s="1868"/>
      <c r="AG18" s="1868"/>
      <c r="AH18" s="1868"/>
      <c r="AI18" s="1868"/>
      <c r="AJ18" s="1868"/>
      <c r="AK18" s="1868"/>
      <c r="AL18" s="1868"/>
      <c r="AM18" s="1868"/>
      <c r="AN18" s="1868"/>
      <c r="AO18" s="1868"/>
      <c r="AP18" s="1868"/>
      <c r="AQ18" s="1868"/>
      <c r="AR18" s="1868"/>
      <c r="AS18" s="1868"/>
      <c r="AT18" s="1868"/>
    </row>
    <row r="19" spans="1:46" s="68" customFormat="1" ht="24" customHeight="1">
      <c r="A19" s="66"/>
      <c r="B19" s="2098"/>
      <c r="C19" s="2099"/>
      <c r="D19" s="2100"/>
      <c r="E19" s="2100"/>
      <c r="F19" s="2100"/>
      <c r="G19" s="2100"/>
      <c r="H19" s="2100"/>
      <c r="I19" s="2100"/>
      <c r="J19" s="2100"/>
      <c r="K19" s="2100"/>
      <c r="L19" s="2100"/>
      <c r="M19" s="2100"/>
      <c r="N19" s="2100"/>
      <c r="O19" s="2100"/>
      <c r="P19" s="2100"/>
      <c r="Q19" s="2100"/>
      <c r="R19" s="2100"/>
      <c r="S19" s="2100"/>
      <c r="T19" s="2100"/>
      <c r="U19" s="2100"/>
      <c r="V19" s="2100"/>
      <c r="W19" s="2100"/>
      <c r="X19" s="2100"/>
      <c r="Y19" s="2100"/>
      <c r="Z19" s="2100"/>
      <c r="AA19" s="2100"/>
      <c r="AB19" s="2100"/>
      <c r="AC19" s="2100"/>
      <c r="AD19" s="2100"/>
      <c r="AE19" s="2100"/>
      <c r="AF19" s="2100"/>
      <c r="AG19" s="2100"/>
      <c r="AH19" s="2100"/>
      <c r="AI19" s="2100"/>
      <c r="AJ19" s="2100"/>
      <c r="AK19" s="2100"/>
      <c r="AL19" s="2100"/>
      <c r="AM19" s="2100"/>
      <c r="AN19" s="2100"/>
      <c r="AO19" s="2100"/>
      <c r="AP19" s="2100"/>
      <c r="AQ19" s="2100"/>
      <c r="AR19" s="2100"/>
    </row>
    <row r="20" spans="1:46" s="68" customFormat="1" ht="19.5">
      <c r="A20" s="12" t="s">
        <v>491</v>
      </c>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12"/>
      <c r="AT20" s="12"/>
    </row>
    <row r="21" spans="1:46" s="1" customFormat="1" ht="31.5" customHeight="1">
      <c r="A21" s="12"/>
      <c r="B21" s="2072" t="str">
        <f>"Avwg wbgœ¯^vÿiKvix GB g‡g© wbðqZv cÖ`vb Kwi‡ZwQ †h, "&amp;'Data Input'!D12&amp;", wcZv/¯^vgxi bvgt "&amp;'Data Input'!D13&amp;", gvZvi bvgt "&amp;'Data Input'!D14&amp;",eZ©gvb wVKvbvt "&amp;+'Data Input'!D17&amp;", ¯’vqx wVKvbvt "&amp;+'Data Input'!D17&amp;" ;evsjv‡`k K…wl e¨vsK,dZzjøv kvLv nB‡Z gyw` cY¨ e¨emv cwiPvjbv Kivi Rb¨ gs "&amp;+'Data Input'!D11&amp;" (K_vqt cvuP jÿ) UvKv gvÎ wmGgGmGgB Lv‡Z RvgvbZwenxb FY cÖ`vb Kiv nB‡j D³ F‡Yi UvKv h_vh_ fv‡e e¨eüZ nB‡e Ges FYwU h_vmg‡q my‡` Avm‡j cwi‡kva wbwðZ nB‡e|"</f>
        <v>Avwg wbgœ¯^vÿiKvix GB g‡g© wbðqZv cÖ`vb Kwi‡ZwQ †h, ‡gvt Rwb, wcZv/¯^vgxi bvgt g„Z †gvt Bw`ªm Avjx, gvZvi bvgt gvmvt Avgexqv LvZzb,eZ©gvb wVKvbvt `vcv B`ªvKcyi, dZzjøv, bvivqYMÄ, ¯’vqx wVKvbvt `vcv B`ªvKcyi, dZzjøv, bvivqYMÄ ;evsjv‡`k K…wl e¨vsK,dZzjøv kvLv nB‡Z gyw` cY¨ e¨emv cwiPvjbv Kivi Rb¨ gs 500000 (K_vqt cvuP jÿ) UvKv gvÎ wmGgGmGgB Lv‡Z RvgvbZwenxb FY cÖ`vb Kiv nB‡j D³ F‡Yi UvKv h_vh_ fv‡e e¨eüZ nB‡e Ges FYwU h_vmg‡q my‡` Avm‡j cwi‡kva wbwðZ nB‡e|</v>
      </c>
      <c r="C21" s="2072"/>
      <c r="D21" s="2072"/>
      <c r="E21" s="2072"/>
      <c r="F21" s="2072"/>
      <c r="G21" s="2072"/>
      <c r="H21" s="2072"/>
      <c r="I21" s="2072"/>
      <c r="J21" s="2072"/>
      <c r="K21" s="2072"/>
      <c r="L21" s="2072"/>
      <c r="M21" s="2072"/>
      <c r="N21" s="2072"/>
      <c r="O21" s="2072"/>
      <c r="P21" s="2072"/>
      <c r="Q21" s="2072"/>
      <c r="R21" s="2072"/>
      <c r="S21" s="2072"/>
      <c r="T21" s="2072"/>
      <c r="U21" s="2072"/>
      <c r="V21" s="2072"/>
      <c r="W21" s="2072"/>
      <c r="X21" s="2072"/>
      <c r="Y21" s="2072"/>
      <c r="Z21" s="2072"/>
      <c r="AA21" s="2072"/>
      <c r="AB21" s="2072"/>
      <c r="AC21" s="2072"/>
      <c r="AD21" s="2072"/>
      <c r="AE21" s="2072"/>
      <c r="AF21" s="2072"/>
      <c r="AG21" s="2072"/>
      <c r="AH21" s="2072"/>
      <c r="AI21" s="2072"/>
      <c r="AJ21" s="2072"/>
      <c r="AK21" s="2072"/>
      <c r="AL21" s="2072"/>
      <c r="AM21" s="2072"/>
      <c r="AN21" s="2072"/>
      <c r="AO21" s="2072"/>
      <c r="AP21" s="2072"/>
      <c r="AQ21" s="2072"/>
      <c r="AR21" s="2072"/>
      <c r="AS21" s="12"/>
      <c r="AT21" s="12"/>
    </row>
    <row r="22" spans="1:46" s="1" customFormat="1" ht="18.75" customHeight="1">
      <c r="A22" s="12"/>
      <c r="B22" s="2072"/>
      <c r="C22" s="2072"/>
      <c r="D22" s="2072"/>
      <c r="E22" s="2072"/>
      <c r="F22" s="2072"/>
      <c r="G22" s="2072"/>
      <c r="H22" s="2072"/>
      <c r="I22" s="2072"/>
      <c r="J22" s="2072"/>
      <c r="K22" s="2072"/>
      <c r="L22" s="2072"/>
      <c r="M22" s="2072"/>
      <c r="N22" s="2072"/>
      <c r="O22" s="2072"/>
      <c r="P22" s="2072"/>
      <c r="Q22" s="2072"/>
      <c r="R22" s="2072"/>
      <c r="S22" s="2072"/>
      <c r="T22" s="2072"/>
      <c r="U22" s="2072"/>
      <c r="V22" s="2072"/>
      <c r="W22" s="2072"/>
      <c r="X22" s="2072"/>
      <c r="Y22" s="2072"/>
      <c r="Z22" s="2072"/>
      <c r="AA22" s="2072"/>
      <c r="AB22" s="2072"/>
      <c r="AC22" s="2072"/>
      <c r="AD22" s="2072"/>
      <c r="AE22" s="2072"/>
      <c r="AF22" s="2072"/>
      <c r="AG22" s="2072"/>
      <c r="AH22" s="2072"/>
      <c r="AI22" s="2072"/>
      <c r="AJ22" s="2072"/>
      <c r="AK22" s="2072"/>
      <c r="AL22" s="2072"/>
      <c r="AM22" s="2072"/>
      <c r="AN22" s="2072"/>
      <c r="AO22" s="2072"/>
      <c r="AP22" s="2072"/>
      <c r="AQ22" s="2072"/>
      <c r="AR22" s="2072"/>
      <c r="AS22" s="12"/>
      <c r="AT22" s="12"/>
    </row>
    <row r="23" spans="1:46" s="1" customFormat="1" ht="18.75" customHeight="1">
      <c r="A23" s="12"/>
      <c r="B23" s="2072"/>
      <c r="C23" s="2072"/>
      <c r="D23" s="2072"/>
      <c r="E23" s="2072"/>
      <c r="F23" s="2072"/>
      <c r="G23" s="2072"/>
      <c r="H23" s="2072"/>
      <c r="I23" s="2072"/>
      <c r="J23" s="2072"/>
      <c r="K23" s="2072"/>
      <c r="L23" s="2072"/>
      <c r="M23" s="2072"/>
      <c r="N23" s="2072"/>
      <c r="O23" s="2072"/>
      <c r="P23" s="2072"/>
      <c r="Q23" s="2072"/>
      <c r="R23" s="2072"/>
      <c r="S23" s="2072"/>
      <c r="T23" s="2072"/>
      <c r="U23" s="2072"/>
      <c r="V23" s="2072"/>
      <c r="W23" s="2072"/>
      <c r="X23" s="2072"/>
      <c r="Y23" s="2072"/>
      <c r="Z23" s="2072"/>
      <c r="AA23" s="2072"/>
      <c r="AB23" s="2072"/>
      <c r="AC23" s="2072"/>
      <c r="AD23" s="2072"/>
      <c r="AE23" s="2072"/>
      <c r="AF23" s="2072"/>
      <c r="AG23" s="2072"/>
      <c r="AH23" s="2072"/>
      <c r="AI23" s="2072"/>
      <c r="AJ23" s="2072"/>
      <c r="AK23" s="2072"/>
      <c r="AL23" s="2072"/>
      <c r="AM23" s="2072"/>
      <c r="AN23" s="2072"/>
      <c r="AO23" s="2072"/>
      <c r="AP23" s="2072"/>
      <c r="AQ23" s="2072"/>
      <c r="AR23" s="2072"/>
      <c r="AS23" s="12"/>
      <c r="AT23" s="12"/>
    </row>
    <row r="24" spans="1:46" s="1" customFormat="1" ht="18.75" customHeight="1">
      <c r="A24" s="12"/>
      <c r="B24" s="2072"/>
      <c r="C24" s="2072"/>
      <c r="D24" s="2072"/>
      <c r="E24" s="2072"/>
      <c r="F24" s="2072"/>
      <c r="G24" s="2072"/>
      <c r="H24" s="2072"/>
      <c r="I24" s="2072"/>
      <c r="J24" s="2072"/>
      <c r="K24" s="2072"/>
      <c r="L24" s="2072"/>
      <c r="M24" s="2072"/>
      <c r="N24" s="2072"/>
      <c r="O24" s="2072"/>
      <c r="P24" s="2072"/>
      <c r="Q24" s="2072"/>
      <c r="R24" s="2072"/>
      <c r="S24" s="2072"/>
      <c r="T24" s="2072"/>
      <c r="U24" s="2072"/>
      <c r="V24" s="2072"/>
      <c r="W24" s="2072"/>
      <c r="X24" s="2072"/>
      <c r="Y24" s="2072"/>
      <c r="Z24" s="2072"/>
      <c r="AA24" s="2072"/>
      <c r="AB24" s="2072"/>
      <c r="AC24" s="2072"/>
      <c r="AD24" s="2072"/>
      <c r="AE24" s="2072"/>
      <c r="AF24" s="2072"/>
      <c r="AG24" s="2072"/>
      <c r="AH24" s="2072"/>
      <c r="AI24" s="2072"/>
      <c r="AJ24" s="2072"/>
      <c r="AK24" s="2072"/>
      <c r="AL24" s="2072"/>
      <c r="AM24" s="2072"/>
      <c r="AN24" s="2072"/>
      <c r="AO24" s="2072"/>
      <c r="AP24" s="2072"/>
      <c r="AQ24" s="2072"/>
      <c r="AR24" s="2072"/>
      <c r="AS24" s="12"/>
      <c r="AT24" s="12"/>
    </row>
    <row r="25" spans="1:46" ht="18.75" customHeight="1">
      <c r="A25" s="12"/>
      <c r="B25" s="2072"/>
      <c r="C25" s="2072"/>
      <c r="D25" s="2072"/>
      <c r="E25" s="2072"/>
      <c r="F25" s="2072"/>
      <c r="G25" s="2072"/>
      <c r="H25" s="2072"/>
      <c r="I25" s="2072"/>
      <c r="J25" s="2072"/>
      <c r="K25" s="2072"/>
      <c r="L25" s="2072"/>
      <c r="M25" s="2072"/>
      <c r="N25" s="2072"/>
      <c r="O25" s="2072"/>
      <c r="P25" s="2072"/>
      <c r="Q25" s="2072"/>
      <c r="R25" s="2072"/>
      <c r="S25" s="2072"/>
      <c r="T25" s="2072"/>
      <c r="U25" s="2072"/>
      <c r="V25" s="2072"/>
      <c r="W25" s="2072"/>
      <c r="X25" s="2072"/>
      <c r="Y25" s="2072"/>
      <c r="Z25" s="2072"/>
      <c r="AA25" s="2072"/>
      <c r="AB25" s="2072"/>
      <c r="AC25" s="2072"/>
      <c r="AD25" s="2072"/>
      <c r="AE25" s="2072"/>
      <c r="AF25" s="2072"/>
      <c r="AG25" s="2072"/>
      <c r="AH25" s="2072"/>
      <c r="AI25" s="2072"/>
      <c r="AJ25" s="2072"/>
      <c r="AK25" s="2072"/>
      <c r="AL25" s="2072"/>
      <c r="AM25" s="2072"/>
      <c r="AN25" s="2072"/>
      <c r="AO25" s="2072"/>
      <c r="AP25" s="2072"/>
      <c r="AQ25" s="2072"/>
      <c r="AR25" s="2072"/>
      <c r="AS25" s="12"/>
      <c r="AT25" s="12"/>
    </row>
    <row r="26" spans="1:46" ht="18.75" customHeight="1">
      <c r="A26" s="12"/>
      <c r="B26" s="2072"/>
      <c r="C26" s="2072"/>
      <c r="D26" s="2072"/>
      <c r="E26" s="2072"/>
      <c r="F26" s="2072"/>
      <c r="G26" s="2072"/>
      <c r="H26" s="2072"/>
      <c r="I26" s="2072"/>
      <c r="J26" s="2072"/>
      <c r="K26" s="2072"/>
      <c r="L26" s="2072"/>
      <c r="M26" s="2072"/>
      <c r="N26" s="2072"/>
      <c r="O26" s="2072"/>
      <c r="P26" s="2072"/>
      <c r="Q26" s="2072"/>
      <c r="R26" s="2072"/>
      <c r="S26" s="2072"/>
      <c r="T26" s="2072"/>
      <c r="U26" s="2072"/>
      <c r="V26" s="2072"/>
      <c r="W26" s="2072"/>
      <c r="X26" s="2072"/>
      <c r="Y26" s="2072"/>
      <c r="Z26" s="2072"/>
      <c r="AA26" s="2072"/>
      <c r="AB26" s="2072"/>
      <c r="AC26" s="2072"/>
      <c r="AD26" s="2072"/>
      <c r="AE26" s="2072"/>
      <c r="AF26" s="2072"/>
      <c r="AG26" s="2072"/>
      <c r="AH26" s="2072"/>
      <c r="AI26" s="2072"/>
      <c r="AJ26" s="2072"/>
      <c r="AK26" s="2072"/>
      <c r="AL26" s="2072"/>
      <c r="AM26" s="2072"/>
      <c r="AN26" s="2072"/>
      <c r="AO26" s="2072"/>
      <c r="AP26" s="2072"/>
      <c r="AQ26" s="2072"/>
      <c r="AR26" s="2072"/>
      <c r="AS26" s="12"/>
      <c r="AT26" s="12"/>
    </row>
    <row r="27" spans="1:46" ht="18.75" customHeight="1">
      <c r="A27" s="12"/>
      <c r="B27" s="2072"/>
      <c r="C27" s="2072"/>
      <c r="D27" s="2072"/>
      <c r="E27" s="2072"/>
      <c r="F27" s="2072"/>
      <c r="G27" s="2072"/>
      <c r="H27" s="2072"/>
      <c r="I27" s="2072"/>
      <c r="J27" s="2072"/>
      <c r="K27" s="2072"/>
      <c r="L27" s="2072"/>
      <c r="M27" s="2072"/>
      <c r="N27" s="2072"/>
      <c r="O27" s="2072"/>
      <c r="P27" s="2072"/>
      <c r="Q27" s="2072"/>
      <c r="R27" s="2072"/>
      <c r="S27" s="2072"/>
      <c r="T27" s="2072"/>
      <c r="U27" s="2072"/>
      <c r="V27" s="2072"/>
      <c r="W27" s="2072"/>
      <c r="X27" s="2072"/>
      <c r="Y27" s="2072"/>
      <c r="Z27" s="2072"/>
      <c r="AA27" s="2072"/>
      <c r="AB27" s="2072"/>
      <c r="AC27" s="2072"/>
      <c r="AD27" s="2072"/>
      <c r="AE27" s="2072"/>
      <c r="AF27" s="2072"/>
      <c r="AG27" s="2072"/>
      <c r="AH27" s="2072"/>
      <c r="AI27" s="2072"/>
      <c r="AJ27" s="2072"/>
      <c r="AK27" s="2072"/>
      <c r="AL27" s="2072"/>
      <c r="AM27" s="2072"/>
      <c r="AN27" s="2072"/>
      <c r="AO27" s="2072"/>
      <c r="AP27" s="2072"/>
      <c r="AQ27" s="2072"/>
      <c r="AR27" s="2072"/>
      <c r="AS27" s="12"/>
      <c r="AT27" s="12"/>
    </row>
    <row r="28" spans="1:46" ht="18.75" customHeight="1">
      <c r="A28" s="12"/>
      <c r="B28" s="2072"/>
      <c r="C28" s="2072"/>
      <c r="D28" s="2072"/>
      <c r="E28" s="2072"/>
      <c r="F28" s="2072"/>
      <c r="G28" s="2072"/>
      <c r="H28" s="2072"/>
      <c r="I28" s="2072"/>
      <c r="J28" s="2072"/>
      <c r="K28" s="2072"/>
      <c r="L28" s="2072"/>
      <c r="M28" s="2072"/>
      <c r="N28" s="2072"/>
      <c r="O28" s="2072"/>
      <c r="P28" s="2072"/>
      <c r="Q28" s="2072"/>
      <c r="R28" s="2072"/>
      <c r="S28" s="2072"/>
      <c r="T28" s="2072"/>
      <c r="U28" s="2072"/>
      <c r="V28" s="2072"/>
      <c r="W28" s="2072"/>
      <c r="X28" s="2072"/>
      <c r="Y28" s="2072"/>
      <c r="Z28" s="2072"/>
      <c r="AA28" s="2072"/>
      <c r="AB28" s="2072"/>
      <c r="AC28" s="2072"/>
      <c r="AD28" s="2072"/>
      <c r="AE28" s="2072"/>
      <c r="AF28" s="2072"/>
      <c r="AG28" s="2072"/>
      <c r="AH28" s="2072"/>
      <c r="AI28" s="2072"/>
      <c r="AJ28" s="2072"/>
      <c r="AK28" s="2072"/>
      <c r="AL28" s="2072"/>
      <c r="AM28" s="2072"/>
      <c r="AN28" s="2072"/>
      <c r="AO28" s="2072"/>
      <c r="AP28" s="2072"/>
      <c r="AQ28" s="2072"/>
      <c r="AR28" s="2072"/>
      <c r="AS28" s="12"/>
      <c r="AT28" s="12"/>
    </row>
    <row r="29" spans="1:46" ht="18.75" customHeight="1">
      <c r="A29" s="12"/>
      <c r="B29" s="2072"/>
      <c r="C29" s="2072"/>
      <c r="D29" s="2072"/>
      <c r="E29" s="2072"/>
      <c r="F29" s="2072"/>
      <c r="G29" s="2072"/>
      <c r="H29" s="2072"/>
      <c r="I29" s="2072"/>
      <c r="J29" s="2072"/>
      <c r="K29" s="2072"/>
      <c r="L29" s="2072"/>
      <c r="M29" s="2072"/>
      <c r="N29" s="2072"/>
      <c r="O29" s="2072"/>
      <c r="P29" s="2072"/>
      <c r="Q29" s="2072"/>
      <c r="R29" s="2072"/>
      <c r="S29" s="2072"/>
      <c r="T29" s="2072"/>
      <c r="U29" s="2072"/>
      <c r="V29" s="2072"/>
      <c r="W29" s="2072"/>
      <c r="X29" s="2072"/>
      <c r="Y29" s="2072"/>
      <c r="Z29" s="2072"/>
      <c r="AA29" s="2072"/>
      <c r="AB29" s="2072"/>
      <c r="AC29" s="2072"/>
      <c r="AD29" s="2072"/>
      <c r="AE29" s="2072"/>
      <c r="AF29" s="2072"/>
      <c r="AG29" s="2072"/>
      <c r="AH29" s="2072"/>
      <c r="AI29" s="2072"/>
      <c r="AJ29" s="2072"/>
      <c r="AK29" s="2072"/>
      <c r="AL29" s="2072"/>
      <c r="AM29" s="2072"/>
      <c r="AN29" s="2072"/>
      <c r="AO29" s="2072"/>
      <c r="AP29" s="2072"/>
      <c r="AQ29" s="2072"/>
      <c r="AR29" s="2072"/>
      <c r="AS29" s="12"/>
      <c r="AT29" s="12"/>
    </row>
    <row r="30" spans="1:46" ht="18.75" customHeight="1">
      <c r="A30" s="12"/>
      <c r="B30" s="2072"/>
      <c r="C30" s="2072"/>
      <c r="D30" s="2072"/>
      <c r="E30" s="2072"/>
      <c r="F30" s="2072"/>
      <c r="G30" s="2072"/>
      <c r="H30" s="2072"/>
      <c r="I30" s="2072"/>
      <c r="J30" s="2072"/>
      <c r="K30" s="2072"/>
      <c r="L30" s="2072"/>
      <c r="M30" s="2072"/>
      <c r="N30" s="2072"/>
      <c r="O30" s="2072"/>
      <c r="P30" s="2072"/>
      <c r="Q30" s="2072"/>
      <c r="R30" s="2072"/>
      <c r="S30" s="2072"/>
      <c r="T30" s="2072"/>
      <c r="U30" s="2072"/>
      <c r="V30" s="2072"/>
      <c r="W30" s="2072"/>
      <c r="X30" s="2072"/>
      <c r="Y30" s="2072"/>
      <c r="Z30" s="2072"/>
      <c r="AA30" s="2072"/>
      <c r="AB30" s="2072"/>
      <c r="AC30" s="2072"/>
      <c r="AD30" s="2072"/>
      <c r="AE30" s="2072"/>
      <c r="AF30" s="2072"/>
      <c r="AG30" s="2072"/>
      <c r="AH30" s="2072"/>
      <c r="AI30" s="2072"/>
      <c r="AJ30" s="2072"/>
      <c r="AK30" s="2072"/>
      <c r="AL30" s="2072"/>
      <c r="AM30" s="2072"/>
      <c r="AN30" s="2072"/>
      <c r="AO30" s="2072"/>
      <c r="AP30" s="2072"/>
      <c r="AQ30" s="2072"/>
      <c r="AR30" s="2072"/>
      <c r="AS30" s="55"/>
      <c r="AT30" s="44"/>
    </row>
    <row r="31" spans="1:46" ht="18.75" customHeight="1">
      <c r="A31" s="93"/>
      <c r="B31" s="93"/>
      <c r="C31" s="93"/>
      <c r="D31" s="93"/>
      <c r="AO31" s="143"/>
      <c r="AP31" s="143"/>
      <c r="AQ31" s="143"/>
      <c r="AR31" s="143"/>
      <c r="AS31" s="143"/>
      <c r="AT31" s="144"/>
    </row>
    <row r="32" spans="1:46" ht="18.75" customHeight="1">
      <c r="A32" s="145"/>
      <c r="B32" s="146"/>
      <c r="C32" s="146"/>
      <c r="D32" s="146"/>
      <c r="AO32" s="146"/>
      <c r="AP32" s="146"/>
      <c r="AQ32" s="146"/>
      <c r="AR32" s="146"/>
      <c r="AS32" s="146"/>
      <c r="AT32" s="146"/>
    </row>
    <row r="33" spans="1:46" ht="18.75" customHeight="1">
      <c r="A33" s="146"/>
      <c r="B33" s="146"/>
      <c r="C33" s="146"/>
      <c r="D33" s="146"/>
      <c r="AO33" s="146"/>
      <c r="AP33" s="146"/>
      <c r="AQ33" s="146"/>
      <c r="AR33" s="146"/>
      <c r="AS33" s="146"/>
      <c r="AT33" s="146"/>
    </row>
    <row r="34" spans="1:46" ht="18.75" customHeight="1">
      <c r="A34" s="24"/>
      <c r="B34" s="24"/>
      <c r="C34" s="24"/>
      <c r="D34" s="24"/>
      <c r="AO34" s="24"/>
      <c r="AP34" s="24"/>
      <c r="AQ34" s="24"/>
      <c r="AR34" s="24"/>
      <c r="AS34" s="24"/>
      <c r="AT34" s="24"/>
    </row>
    <row r="35" spans="1:46" ht="18.75" customHeight="1">
      <c r="A35" s="12"/>
      <c r="B35" s="12"/>
      <c r="C35" s="12"/>
      <c r="D35" s="12"/>
      <c r="AO35" s="55"/>
      <c r="AP35" s="55"/>
      <c r="AQ35" s="55"/>
      <c r="AR35" s="55"/>
      <c r="AS35" s="55"/>
      <c r="AT35" s="44"/>
    </row>
    <row r="36" spans="1:46" ht="18.75" customHeight="1">
      <c r="A36" s="12"/>
      <c r="B36" s="12"/>
      <c r="C36" s="12"/>
      <c r="D36" s="12"/>
      <c r="AO36" s="55"/>
      <c r="AP36" s="55"/>
      <c r="AQ36" s="55"/>
      <c r="AR36" s="55"/>
      <c r="AS36" s="55"/>
      <c r="AT36" s="44"/>
    </row>
    <row r="37" spans="1:46" ht="18.75" customHeight="1">
      <c r="A37" s="12"/>
      <c r="B37" s="12"/>
      <c r="C37" s="12"/>
      <c r="D37" s="12"/>
      <c r="AO37" s="55"/>
      <c r="AP37" s="55"/>
      <c r="AQ37" s="55"/>
      <c r="AR37" s="55"/>
      <c r="AS37" s="55"/>
      <c r="AT37" s="44"/>
    </row>
    <row r="38" spans="1:46" ht="18.75" customHeight="1">
      <c r="A38" s="12"/>
      <c r="B38" s="12"/>
      <c r="C38" s="12"/>
      <c r="D38" s="12"/>
      <c r="AO38" s="55"/>
      <c r="AP38" s="55"/>
      <c r="AQ38" s="55"/>
      <c r="AR38" s="55"/>
      <c r="AS38" s="55"/>
      <c r="AT38" s="44"/>
    </row>
    <row r="39" spans="1:46" ht="18.75" customHeight="1">
      <c r="A39" s="66"/>
      <c r="B39" s="66"/>
      <c r="C39" s="66"/>
      <c r="D39" s="66"/>
      <c r="E39" s="6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8"/>
      <c r="AG39" s="24"/>
      <c r="AH39" s="24"/>
      <c r="AI39" s="68"/>
      <c r="AJ39" s="68"/>
      <c r="AK39" s="68"/>
      <c r="AL39" s="2"/>
      <c r="AM39" s="2"/>
      <c r="AN39" s="2"/>
      <c r="AO39" s="138"/>
      <c r="AP39" s="138"/>
      <c r="AQ39" s="138"/>
      <c r="AR39" s="138"/>
      <c r="AS39" s="138"/>
      <c r="AT39" s="139"/>
    </row>
    <row r="40" spans="1:46" ht="18.75" customHeight="1">
      <c r="A40" s="1870"/>
      <c r="B40" s="1870"/>
      <c r="C40" s="1870"/>
      <c r="D40" s="1870"/>
      <c r="E40" s="1870"/>
      <c r="F40" s="1870"/>
      <c r="G40" s="1870"/>
      <c r="H40" s="1870"/>
      <c r="I40" s="1870"/>
      <c r="J40" s="1870"/>
      <c r="K40" s="1870"/>
      <c r="L40" s="1870"/>
      <c r="M40" s="1870"/>
      <c r="N40" s="1870"/>
      <c r="O40" s="1870"/>
      <c r="P40" s="1870"/>
      <c r="Q40" s="1870"/>
      <c r="R40" s="1870"/>
      <c r="S40" s="1870"/>
      <c r="T40" s="1870"/>
      <c r="U40" s="1870"/>
      <c r="V40" s="1870"/>
      <c r="W40" s="1870"/>
      <c r="X40" s="1870"/>
      <c r="Y40" s="1870"/>
      <c r="Z40" s="1870"/>
      <c r="AA40" s="1870"/>
      <c r="AB40" s="1870"/>
      <c r="AC40" s="1870"/>
      <c r="AD40" s="1870"/>
      <c r="AE40" s="1870"/>
      <c r="AF40" s="1870"/>
      <c r="AG40" s="1870"/>
      <c r="AH40" s="1870"/>
      <c r="AI40" s="1870"/>
      <c r="AJ40" s="1870"/>
      <c r="AK40" s="1870"/>
      <c r="AL40" s="1870"/>
      <c r="AM40" s="1870"/>
      <c r="AN40" s="1870"/>
      <c r="AO40" s="1870"/>
      <c r="AP40" s="1870"/>
      <c r="AQ40" s="1870"/>
      <c r="AR40" s="1870"/>
      <c r="AS40" s="1870"/>
      <c r="AT40" s="1870"/>
    </row>
    <row r="41" spans="1:46" ht="18.75" customHeight="1">
      <c r="A41" s="66"/>
      <c r="B41" s="66"/>
      <c r="C41" s="66"/>
      <c r="D41" s="66"/>
      <c r="E41" s="66"/>
      <c r="F41" s="66"/>
      <c r="G41" s="66"/>
      <c r="H41" s="66"/>
      <c r="I41" s="66"/>
      <c r="J41" s="66"/>
      <c r="K41" s="66"/>
      <c r="L41" s="66"/>
      <c r="M41" s="66"/>
      <c r="N41" s="66"/>
      <c r="O41" s="66"/>
      <c r="P41" s="66"/>
      <c r="Q41" s="66"/>
      <c r="R41" s="66"/>
      <c r="S41" s="66"/>
      <c r="T41" s="66"/>
      <c r="U41" s="66"/>
      <c r="V41" s="66"/>
      <c r="W41" s="66"/>
      <c r="X41" s="66"/>
      <c r="Y41" s="66"/>
      <c r="Z41" s="66"/>
      <c r="AA41" s="66"/>
      <c r="AB41" s="66"/>
      <c r="AC41" s="66"/>
      <c r="AD41" s="66"/>
      <c r="AE41" s="1870"/>
      <c r="AF41" s="1870"/>
      <c r="AG41" s="1870"/>
      <c r="AH41" s="1870"/>
      <c r="AI41" s="1870"/>
      <c r="AJ41" s="1870"/>
      <c r="AK41" s="1870"/>
      <c r="AL41" s="1870"/>
      <c r="AM41" s="1870"/>
      <c r="AN41" s="1870"/>
      <c r="AO41" s="1870"/>
      <c r="AP41" s="138"/>
      <c r="AQ41" s="138"/>
      <c r="AR41" s="138"/>
      <c r="AS41" s="138"/>
      <c r="AT41" s="139"/>
    </row>
    <row r="42" spans="1:46" ht="18.75" customHeight="1">
      <c r="A42" s="1867"/>
      <c r="B42" s="1867"/>
      <c r="C42" s="1867"/>
      <c r="D42" s="1867"/>
      <c r="E42" s="1867"/>
      <c r="F42" s="1867"/>
      <c r="G42" s="1867"/>
      <c r="H42" s="1867"/>
      <c r="I42" s="1867"/>
      <c r="J42" s="1867"/>
      <c r="K42" s="1867"/>
      <c r="L42" s="71"/>
      <c r="M42" s="71"/>
      <c r="N42" s="71"/>
      <c r="O42" s="71"/>
      <c r="P42" s="71"/>
      <c r="Q42" s="273"/>
      <c r="R42" s="273"/>
      <c r="S42" s="1867"/>
      <c r="T42" s="1867"/>
      <c r="U42" s="1867"/>
      <c r="V42" s="1867"/>
      <c r="W42" s="1867"/>
      <c r="X42" s="1867"/>
      <c r="Y42" s="1867"/>
      <c r="Z42" s="1867"/>
      <c r="AA42" s="1867"/>
      <c r="AB42" s="1867"/>
      <c r="AC42" s="1867"/>
      <c r="AD42" s="273"/>
      <c r="AE42" s="273"/>
      <c r="AF42" s="273"/>
      <c r="AG42" s="273"/>
      <c r="AH42" s="273"/>
      <c r="AI42" s="71"/>
      <c r="AJ42" s="1867"/>
      <c r="AK42" s="1867"/>
      <c r="AL42" s="1867"/>
      <c r="AM42" s="1867"/>
      <c r="AN42" s="1867"/>
      <c r="AO42" s="1867"/>
      <c r="AP42" s="1867"/>
      <c r="AQ42" s="1867"/>
      <c r="AR42" s="1867"/>
      <c r="AS42" s="1867"/>
      <c r="AT42" s="1867"/>
    </row>
    <row r="43" spans="1:46" ht="18.75" customHeight="1">
      <c r="A43" s="1867"/>
      <c r="B43" s="1867"/>
      <c r="C43" s="1867"/>
      <c r="D43" s="1867"/>
      <c r="E43" s="1867"/>
      <c r="F43" s="1867"/>
      <c r="G43" s="1867"/>
      <c r="H43" s="1867"/>
      <c r="I43" s="1867"/>
      <c r="J43" s="1867"/>
      <c r="K43" s="1867"/>
      <c r="L43" s="141"/>
      <c r="M43" s="141"/>
      <c r="N43" s="71"/>
      <c r="O43" s="71"/>
      <c r="P43" s="1867"/>
      <c r="Q43" s="1867"/>
      <c r="R43" s="1867"/>
      <c r="S43" s="1867"/>
      <c r="T43" s="1867"/>
      <c r="U43" s="1867"/>
      <c r="V43" s="1867"/>
      <c r="W43" s="1867"/>
      <c r="X43" s="1867"/>
      <c r="Y43" s="1867"/>
      <c r="Z43" s="1867"/>
      <c r="AA43" s="1867"/>
      <c r="AB43" s="1867"/>
      <c r="AC43" s="1867"/>
      <c r="AD43" s="1867"/>
      <c r="AE43" s="1867"/>
      <c r="AF43" s="1867"/>
      <c r="AG43" s="273"/>
      <c r="AH43" s="273"/>
      <c r="AI43" s="71"/>
      <c r="AJ43" s="1867"/>
      <c r="AK43" s="1867"/>
      <c r="AL43" s="1867"/>
      <c r="AM43" s="1867"/>
      <c r="AN43" s="1867"/>
      <c r="AO43" s="1867"/>
      <c r="AP43" s="1867"/>
      <c r="AQ43" s="1867"/>
      <c r="AR43" s="1867"/>
      <c r="AS43" s="1867"/>
      <c r="AT43" s="1867"/>
    </row>
    <row r="44" spans="1:46" ht="18.75" customHeight="1">
      <c r="A44" s="1867"/>
      <c r="B44" s="1867"/>
      <c r="C44" s="1867"/>
      <c r="D44" s="1867"/>
      <c r="E44" s="1867"/>
      <c r="F44" s="1867"/>
      <c r="G44" s="1867"/>
      <c r="H44" s="1867"/>
      <c r="I44" s="1867"/>
      <c r="J44" s="1867"/>
      <c r="K44" s="1867"/>
      <c r="L44" s="141"/>
      <c r="M44" s="141"/>
      <c r="N44" s="71"/>
      <c r="O44" s="71"/>
      <c r="P44" s="1867"/>
      <c r="Q44" s="1867"/>
      <c r="R44" s="1867"/>
      <c r="S44" s="1867"/>
      <c r="T44" s="1867"/>
      <c r="U44" s="1867"/>
      <c r="V44" s="1867"/>
      <c r="W44" s="1867"/>
      <c r="X44" s="1867"/>
      <c r="Y44" s="1867"/>
      <c r="Z44" s="1867"/>
      <c r="AA44" s="1867"/>
      <c r="AB44" s="1867"/>
      <c r="AC44" s="1867"/>
      <c r="AD44" s="1867"/>
      <c r="AE44" s="1867"/>
      <c r="AF44" s="1867"/>
      <c r="AG44" s="273"/>
      <c r="AH44" s="273"/>
      <c r="AI44" s="71"/>
      <c r="AJ44" s="1867"/>
      <c r="AK44" s="1867"/>
      <c r="AL44" s="1867"/>
      <c r="AM44" s="1867"/>
      <c r="AN44" s="1867"/>
      <c r="AO44" s="1867"/>
      <c r="AP44" s="1867"/>
      <c r="AQ44" s="1867"/>
      <c r="AR44" s="1867"/>
      <c r="AS44" s="1867"/>
      <c r="AT44" s="1867"/>
    </row>
    <row r="45" spans="1:46" ht="18.75" customHeight="1">
      <c r="A45" s="1865"/>
      <c r="B45" s="1865"/>
      <c r="C45" s="1865"/>
      <c r="D45" s="1865"/>
      <c r="E45" s="1865"/>
      <c r="F45" s="1865"/>
      <c r="G45" s="1865"/>
      <c r="H45" s="1865"/>
      <c r="I45" s="1865"/>
      <c r="J45" s="1865"/>
      <c r="K45" s="1865"/>
      <c r="L45" s="51"/>
      <c r="M45" s="51"/>
      <c r="N45" s="1"/>
      <c r="O45" s="1"/>
      <c r="P45" s="1865"/>
      <c r="Q45" s="1865"/>
      <c r="R45" s="1865"/>
      <c r="S45" s="1865"/>
      <c r="T45" s="1865"/>
      <c r="U45" s="1865"/>
      <c r="V45" s="1865"/>
      <c r="W45" s="1865"/>
      <c r="X45" s="1865"/>
      <c r="Y45" s="1865"/>
      <c r="Z45" s="1865"/>
      <c r="AA45" s="1865"/>
      <c r="AB45" s="1865"/>
      <c r="AC45" s="1865"/>
      <c r="AD45" s="1865"/>
      <c r="AE45" s="1865"/>
      <c r="AF45" s="1865"/>
      <c r="AG45" s="274"/>
      <c r="AH45" s="274"/>
      <c r="AI45" s="1"/>
      <c r="AJ45" s="1865"/>
      <c r="AK45" s="1865"/>
      <c r="AL45" s="1865"/>
      <c r="AM45" s="1865"/>
      <c r="AN45" s="1865"/>
      <c r="AO45" s="1865"/>
      <c r="AP45" s="1865"/>
      <c r="AQ45" s="1865"/>
      <c r="AR45" s="1865"/>
      <c r="AS45" s="1865"/>
      <c r="AT45" s="1865"/>
    </row>
    <row r="46" spans="1:46" ht="18.75" customHeight="1">
      <c r="A46" s="1"/>
      <c r="B46" s="54"/>
      <c r="C46" s="39"/>
      <c r="D46" s="39"/>
      <c r="E46" s="39"/>
      <c r="F46" s="51"/>
      <c r="G46" s="51"/>
      <c r="H46" s="51"/>
      <c r="I46" s="51"/>
      <c r="J46" s="51"/>
      <c r="K46" s="51"/>
      <c r="L46" s="51"/>
      <c r="M46" s="5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ht="18.75" customHeight="1">
      <c r="A47" s="1"/>
      <c r="B47" s="54"/>
      <c r="C47" s="1866"/>
      <c r="D47" s="1866"/>
      <c r="E47" s="1866"/>
      <c r="F47" s="51"/>
      <c r="G47" s="51"/>
      <c r="H47" s="51"/>
      <c r="I47" s="51"/>
      <c r="J47" s="51"/>
      <c r="K47" s="51"/>
      <c r="L47" s="51"/>
      <c r="M47" s="5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ht="18.75" customHeight="1">
      <c r="A48" s="1"/>
      <c r="B48" s="54"/>
      <c r="C48" s="1866"/>
      <c r="D48" s="1866"/>
      <c r="E48" s="1866"/>
      <c r="F48" s="51"/>
      <c r="G48" s="51"/>
      <c r="H48" s="51"/>
      <c r="I48" s="51"/>
      <c r="J48" s="51"/>
      <c r="K48" s="51"/>
      <c r="L48" s="51"/>
      <c r="M48" s="5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2:44" ht="18.75" customHeight="1">
      <c r="D49" s="258"/>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58"/>
    </row>
    <row r="50" spans="2:44" ht="18.75" customHeight="1">
      <c r="D50" s="258"/>
      <c r="E50" s="258"/>
      <c r="F50" s="258"/>
      <c r="G50" s="258"/>
      <c r="H50" s="258"/>
      <c r="I50" s="258"/>
      <c r="J50" s="258"/>
      <c r="K50" s="258"/>
      <c r="L50" s="258"/>
      <c r="M50" s="258"/>
      <c r="N50" s="258"/>
      <c r="O50" s="258"/>
      <c r="P50" s="258"/>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58"/>
    </row>
    <row r="51" spans="2:44" ht="18.75" customHeight="1">
      <c r="D51" s="258"/>
      <c r="E51" s="258"/>
      <c r="F51" s="258"/>
      <c r="G51" s="258"/>
      <c r="H51" s="258"/>
      <c r="I51" s="258"/>
      <c r="J51" s="258"/>
      <c r="K51" s="258"/>
      <c r="L51" s="258"/>
      <c r="M51" s="258"/>
      <c r="N51" s="258"/>
      <c r="O51" s="258"/>
      <c r="P51" s="258"/>
      <c r="Q51" s="258"/>
      <c r="R51" s="258"/>
      <c r="S51" s="258"/>
      <c r="T51" s="258"/>
      <c r="U51" s="258"/>
      <c r="V51" s="258"/>
      <c r="W51" s="258"/>
      <c r="X51" s="258"/>
      <c r="Y51" s="258"/>
      <c r="Z51" s="258"/>
      <c r="AA51" s="258"/>
      <c r="AB51" s="258"/>
      <c r="AC51" s="258"/>
      <c r="AD51" s="258"/>
      <c r="AE51" s="258"/>
      <c r="AF51" s="258"/>
      <c r="AG51" s="258"/>
      <c r="AH51" s="258"/>
      <c r="AI51" s="258"/>
      <c r="AJ51" s="258"/>
      <c r="AK51" s="258"/>
      <c r="AL51" s="258"/>
      <c r="AM51" s="258"/>
    </row>
    <row r="52" spans="2:44" ht="18.75" customHeight="1">
      <c r="D52" s="258"/>
      <c r="E52" s="258"/>
      <c r="F52" s="258"/>
      <c r="G52" s="258"/>
      <c r="H52" s="258"/>
      <c r="I52" s="258"/>
      <c r="J52" s="258"/>
      <c r="K52" s="258"/>
      <c r="L52" s="258"/>
      <c r="M52" s="258"/>
      <c r="N52" s="258"/>
      <c r="O52" s="258"/>
      <c r="P52" s="258"/>
      <c r="Q52" s="258"/>
      <c r="R52" s="258"/>
      <c r="S52" s="258"/>
      <c r="T52" s="258"/>
      <c r="U52" s="258"/>
      <c r="V52" s="258"/>
      <c r="W52" s="258"/>
      <c r="X52" s="258"/>
      <c r="Y52" s="258"/>
      <c r="Z52" s="258"/>
      <c r="AA52" s="258"/>
      <c r="AB52" s="258"/>
      <c r="AC52" s="258"/>
      <c r="AD52" s="258"/>
      <c r="AE52" s="258"/>
      <c r="AF52" s="258"/>
      <c r="AG52" s="258"/>
      <c r="AH52" s="258"/>
      <c r="AI52" s="258"/>
      <c r="AJ52" s="258"/>
      <c r="AK52" s="258"/>
      <c r="AL52" s="258"/>
      <c r="AM52" s="258"/>
    </row>
    <row r="53" spans="2:44" ht="18.75" customHeight="1">
      <c r="D53" s="258"/>
      <c r="E53" s="258"/>
      <c r="F53" s="258"/>
      <c r="G53" s="258"/>
      <c r="H53" s="258"/>
      <c r="I53" s="258"/>
      <c r="J53" s="258"/>
      <c r="K53" s="258"/>
      <c r="L53" s="258"/>
      <c r="M53" s="258"/>
      <c r="N53" s="258"/>
      <c r="O53" s="258"/>
      <c r="P53" s="258"/>
      <c r="Q53" s="258"/>
      <c r="R53" s="258"/>
      <c r="S53" s="258"/>
      <c r="T53" s="258"/>
      <c r="U53" s="258"/>
      <c r="V53" s="258"/>
      <c r="W53" s="258"/>
      <c r="X53" s="258"/>
      <c r="Y53" s="258"/>
      <c r="Z53" s="258"/>
      <c r="AA53" s="258"/>
      <c r="AB53" s="258"/>
      <c r="AC53" s="258"/>
      <c r="AD53" s="258"/>
      <c r="AE53" s="258"/>
      <c r="AF53" s="258"/>
      <c r="AG53" s="258"/>
      <c r="AH53" s="258"/>
      <c r="AI53" s="258"/>
      <c r="AJ53" s="258"/>
      <c r="AK53" s="258"/>
      <c r="AL53" s="258"/>
      <c r="AM53" s="258"/>
    </row>
    <row r="54" spans="2:44" ht="18.75" customHeight="1">
      <c r="B54" s="2101" t="s">
        <v>1235</v>
      </c>
      <c r="C54" s="2103"/>
      <c r="D54" s="2103"/>
      <c r="E54" s="2103"/>
      <c r="F54" s="2103"/>
      <c r="G54" s="2103"/>
      <c r="H54" s="2103"/>
      <c r="I54" s="2103"/>
      <c r="J54" s="2103"/>
      <c r="K54" s="2103"/>
      <c r="L54" s="2103"/>
      <c r="M54" s="2103"/>
      <c r="N54" s="2103"/>
      <c r="O54" s="2103"/>
      <c r="P54" s="2103"/>
      <c r="Q54" s="2103"/>
      <c r="R54" s="2103"/>
      <c r="S54" s="2103"/>
      <c r="T54" s="2103"/>
      <c r="U54" s="2103"/>
      <c r="V54" s="2103"/>
      <c r="W54" s="2103"/>
      <c r="X54" s="2103"/>
      <c r="Y54" s="2103"/>
      <c r="Z54" s="2103"/>
      <c r="AA54" s="2103"/>
      <c r="AB54" s="2103"/>
      <c r="AC54" s="2103"/>
      <c r="AD54" s="2103"/>
      <c r="AE54" s="2103"/>
      <c r="AF54" s="2103"/>
      <c r="AG54" s="2103"/>
      <c r="AH54" s="2103"/>
      <c r="AI54" s="2103"/>
      <c r="AJ54" s="2103"/>
      <c r="AK54" s="2103"/>
      <c r="AL54" s="2103"/>
      <c r="AM54" s="2103"/>
      <c r="AN54" s="2103"/>
      <c r="AO54" s="2103"/>
      <c r="AP54" s="2103"/>
      <c r="AQ54" s="2103"/>
      <c r="AR54" s="2103"/>
    </row>
    <row r="55" spans="2:44" ht="18.75" customHeight="1">
      <c r="B55" s="2103"/>
      <c r="C55" s="2103"/>
      <c r="D55" s="2103"/>
      <c r="E55" s="2103"/>
      <c r="F55" s="2103"/>
      <c r="G55" s="2103"/>
      <c r="H55" s="2103"/>
      <c r="I55" s="2103"/>
      <c r="J55" s="2103"/>
      <c r="K55" s="2103"/>
      <c r="L55" s="2103"/>
      <c r="M55" s="2103"/>
      <c r="N55" s="2103"/>
      <c r="O55" s="2103"/>
      <c r="P55" s="2103"/>
      <c r="Q55" s="2103"/>
      <c r="R55" s="2103"/>
      <c r="S55" s="2103"/>
      <c r="T55" s="2103"/>
      <c r="U55" s="2103"/>
      <c r="V55" s="2103"/>
      <c r="W55" s="2103"/>
      <c r="X55" s="2103"/>
      <c r="Y55" s="2103"/>
      <c r="Z55" s="2103"/>
      <c r="AA55" s="2103"/>
      <c r="AB55" s="2103"/>
      <c r="AC55" s="2103"/>
      <c r="AD55" s="2103"/>
      <c r="AE55" s="2103"/>
      <c r="AF55" s="2103"/>
      <c r="AG55" s="2103"/>
      <c r="AH55" s="2103"/>
      <c r="AI55" s="2103"/>
      <c r="AJ55" s="2103"/>
      <c r="AK55" s="2103"/>
      <c r="AL55" s="2103"/>
      <c r="AM55" s="2103"/>
      <c r="AN55" s="2103"/>
      <c r="AO55" s="2103"/>
      <c r="AP55" s="2103"/>
      <c r="AQ55" s="2103"/>
      <c r="AR55" s="2103"/>
    </row>
    <row r="56" spans="2:44" ht="18.75" customHeight="1">
      <c r="B56" s="2103"/>
      <c r="C56" s="2103"/>
      <c r="D56" s="2103"/>
      <c r="E56" s="2103"/>
      <c r="F56" s="2103"/>
      <c r="G56" s="2103"/>
      <c r="H56" s="2103"/>
      <c r="I56" s="2103"/>
      <c r="J56" s="2103"/>
      <c r="K56" s="2103"/>
      <c r="L56" s="2103"/>
      <c r="M56" s="2103"/>
      <c r="N56" s="2103"/>
      <c r="O56" s="2103"/>
      <c r="P56" s="2103"/>
      <c r="Q56" s="2103"/>
      <c r="R56" s="2103"/>
      <c r="S56" s="2103"/>
      <c r="T56" s="2103"/>
      <c r="U56" s="2103"/>
      <c r="V56" s="2103"/>
      <c r="W56" s="2103"/>
      <c r="X56" s="2103"/>
      <c r="Y56" s="2103"/>
      <c r="Z56" s="2103"/>
      <c r="AA56" s="2103"/>
      <c r="AB56" s="2103"/>
      <c r="AC56" s="2103"/>
      <c r="AD56" s="2103"/>
      <c r="AE56" s="2103"/>
      <c r="AF56" s="2103"/>
      <c r="AG56" s="2103"/>
      <c r="AH56" s="2103"/>
      <c r="AI56" s="2103"/>
      <c r="AJ56" s="2103"/>
      <c r="AK56" s="2103"/>
      <c r="AL56" s="2103"/>
      <c r="AM56" s="2103"/>
      <c r="AN56" s="2103"/>
      <c r="AO56" s="2103"/>
      <c r="AP56" s="2103"/>
      <c r="AQ56" s="2103"/>
      <c r="AR56" s="2103"/>
    </row>
    <row r="57" spans="2:44" ht="18.75" customHeight="1">
      <c r="B57" s="2103"/>
      <c r="C57" s="2103"/>
      <c r="D57" s="2103"/>
      <c r="E57" s="2103"/>
      <c r="F57" s="2103"/>
      <c r="G57" s="2103"/>
      <c r="H57" s="2103"/>
      <c r="I57" s="2103"/>
      <c r="J57" s="2103"/>
      <c r="K57" s="2103"/>
      <c r="L57" s="2103"/>
      <c r="M57" s="2103"/>
      <c r="N57" s="2103"/>
      <c r="O57" s="2103"/>
      <c r="P57" s="2103"/>
      <c r="Q57" s="2103"/>
      <c r="R57" s="2103"/>
      <c r="S57" s="2103"/>
      <c r="T57" s="2103"/>
      <c r="U57" s="2103"/>
      <c r="V57" s="2103"/>
      <c r="W57" s="2103"/>
      <c r="X57" s="2103"/>
      <c r="Y57" s="2103"/>
      <c r="Z57" s="2103"/>
      <c r="AA57" s="2103"/>
      <c r="AB57" s="2103"/>
      <c r="AC57" s="2103"/>
      <c r="AD57" s="2103"/>
      <c r="AE57" s="2103"/>
      <c r="AF57" s="2103"/>
      <c r="AG57" s="2103"/>
      <c r="AH57" s="2103"/>
      <c r="AI57" s="2103"/>
      <c r="AJ57" s="2103"/>
      <c r="AK57" s="2103"/>
      <c r="AL57" s="2103"/>
      <c r="AM57" s="2103"/>
      <c r="AN57" s="2103"/>
      <c r="AO57" s="2103"/>
      <c r="AP57" s="2103"/>
      <c r="AQ57" s="2103"/>
      <c r="AR57" s="2103"/>
    </row>
    <row r="58" spans="2:44" ht="18.75" customHeight="1">
      <c r="B58" s="2103"/>
      <c r="C58" s="2103"/>
      <c r="D58" s="2103"/>
      <c r="E58" s="2103"/>
      <c r="F58" s="2103"/>
      <c r="G58" s="2103"/>
      <c r="H58" s="2103"/>
      <c r="I58" s="2103"/>
      <c r="J58" s="2103"/>
      <c r="K58" s="2103"/>
      <c r="L58" s="2103"/>
      <c r="M58" s="2103"/>
      <c r="N58" s="2103"/>
      <c r="O58" s="2103"/>
      <c r="P58" s="2103"/>
      <c r="Q58" s="2103"/>
      <c r="R58" s="2103"/>
      <c r="S58" s="2103"/>
      <c r="T58" s="2103"/>
      <c r="U58" s="2103"/>
      <c r="V58" s="2103"/>
      <c r="W58" s="2103"/>
      <c r="X58" s="2103"/>
      <c r="Y58" s="2103"/>
      <c r="Z58" s="2103"/>
      <c r="AA58" s="2103"/>
      <c r="AB58" s="2103"/>
      <c r="AC58" s="2103"/>
      <c r="AD58" s="2103"/>
      <c r="AE58" s="2103"/>
      <c r="AF58" s="2103"/>
      <c r="AG58" s="2103"/>
      <c r="AH58" s="2103"/>
      <c r="AI58" s="2103"/>
      <c r="AJ58" s="2103"/>
      <c r="AK58" s="2103"/>
      <c r="AL58" s="2103"/>
      <c r="AM58" s="2103"/>
      <c r="AN58" s="2103"/>
      <c r="AO58" s="2103"/>
      <c r="AP58" s="2103"/>
      <c r="AQ58" s="2103"/>
      <c r="AR58" s="2103"/>
    </row>
    <row r="59" spans="2:44" ht="18.75" customHeight="1">
      <c r="B59" s="2103"/>
      <c r="C59" s="2103"/>
      <c r="D59" s="2103"/>
      <c r="E59" s="2103"/>
      <c r="F59" s="2103"/>
      <c r="G59" s="2103"/>
      <c r="H59" s="2103"/>
      <c r="I59" s="2103"/>
      <c r="J59" s="2103"/>
      <c r="K59" s="2103"/>
      <c r="L59" s="2103"/>
      <c r="M59" s="2103"/>
      <c r="N59" s="2103"/>
      <c r="O59" s="2103"/>
      <c r="P59" s="2103"/>
      <c r="Q59" s="2103"/>
      <c r="R59" s="2103"/>
      <c r="S59" s="2103"/>
      <c r="T59" s="2103"/>
      <c r="U59" s="2103"/>
      <c r="V59" s="2103"/>
      <c r="W59" s="2103"/>
      <c r="X59" s="2103"/>
      <c r="Y59" s="2103"/>
      <c r="Z59" s="2103"/>
      <c r="AA59" s="2103"/>
      <c r="AB59" s="2103"/>
      <c r="AC59" s="2103"/>
      <c r="AD59" s="2103"/>
      <c r="AE59" s="2103"/>
      <c r="AF59" s="2103"/>
      <c r="AG59" s="2103"/>
      <c r="AH59" s="2103"/>
      <c r="AI59" s="2103"/>
      <c r="AJ59" s="2103"/>
      <c r="AK59" s="2103"/>
      <c r="AL59" s="2103"/>
      <c r="AM59" s="2103"/>
      <c r="AN59" s="2103"/>
      <c r="AO59" s="2103"/>
      <c r="AP59" s="2103"/>
      <c r="AQ59" s="2103"/>
      <c r="AR59" s="2103"/>
    </row>
    <row r="60" spans="2:44" ht="18.75" customHeight="1">
      <c r="B60" s="2103"/>
      <c r="C60" s="2103"/>
      <c r="D60" s="2103"/>
      <c r="E60" s="2103"/>
      <c r="F60" s="2103"/>
      <c r="G60" s="2103"/>
      <c r="H60" s="2103"/>
      <c r="I60" s="2103"/>
      <c r="J60" s="2103"/>
      <c r="K60" s="2103"/>
      <c r="L60" s="2103"/>
      <c r="M60" s="2103"/>
      <c r="N60" s="2103"/>
      <c r="O60" s="2103"/>
      <c r="P60" s="2103"/>
      <c r="Q60" s="2103"/>
      <c r="R60" s="2103"/>
      <c r="S60" s="2103"/>
      <c r="T60" s="2103"/>
      <c r="U60" s="2103"/>
      <c r="V60" s="2103"/>
      <c r="W60" s="2103"/>
      <c r="X60" s="2103"/>
      <c r="Y60" s="2103"/>
      <c r="Z60" s="2103"/>
      <c r="AA60" s="2103"/>
      <c r="AB60" s="2103"/>
      <c r="AC60" s="2103"/>
      <c r="AD60" s="2103"/>
      <c r="AE60" s="2103"/>
      <c r="AF60" s="2103"/>
      <c r="AG60" s="2103"/>
      <c r="AH60" s="2103"/>
      <c r="AI60" s="2103"/>
      <c r="AJ60" s="2103"/>
      <c r="AK60" s="2103"/>
      <c r="AL60" s="2103"/>
      <c r="AM60" s="2103"/>
      <c r="AN60" s="2103"/>
      <c r="AO60" s="2103"/>
      <c r="AP60" s="2103"/>
      <c r="AQ60" s="2103"/>
      <c r="AR60" s="2103"/>
    </row>
    <row r="61" spans="2:44" ht="18.75" customHeight="1">
      <c r="B61" s="2103"/>
      <c r="C61" s="2103"/>
      <c r="D61" s="2103"/>
      <c r="E61" s="2103"/>
      <c r="F61" s="2103"/>
      <c r="G61" s="2103"/>
      <c r="H61" s="2103"/>
      <c r="I61" s="2103"/>
      <c r="J61" s="2103"/>
      <c r="K61" s="2103"/>
      <c r="L61" s="2103"/>
      <c r="M61" s="2103"/>
      <c r="N61" s="2103"/>
      <c r="O61" s="2103"/>
      <c r="P61" s="2103"/>
      <c r="Q61" s="2103"/>
      <c r="R61" s="2103"/>
      <c r="S61" s="2103"/>
      <c r="T61" s="2103"/>
      <c r="U61" s="2103"/>
      <c r="V61" s="2103"/>
      <c r="W61" s="2103"/>
      <c r="X61" s="2103"/>
      <c r="Y61" s="2103"/>
      <c r="Z61" s="2103"/>
      <c r="AA61" s="2103"/>
      <c r="AB61" s="2103"/>
      <c r="AC61" s="2103"/>
      <c r="AD61" s="2103"/>
      <c r="AE61" s="2103"/>
      <c r="AF61" s="2103"/>
      <c r="AG61" s="2103"/>
      <c r="AH61" s="2103"/>
      <c r="AI61" s="2103"/>
      <c r="AJ61" s="2103"/>
      <c r="AK61" s="2103"/>
      <c r="AL61" s="2103"/>
      <c r="AM61" s="2103"/>
      <c r="AN61" s="2103"/>
      <c r="AO61" s="2103"/>
      <c r="AP61" s="2103"/>
      <c r="AQ61" s="2103"/>
      <c r="AR61" s="2103"/>
    </row>
    <row r="62" spans="2:44" ht="18.75" customHeight="1">
      <c r="B62" s="2103"/>
      <c r="C62" s="2103"/>
      <c r="D62" s="2103"/>
      <c r="E62" s="2103"/>
      <c r="F62" s="2103"/>
      <c r="G62" s="2103"/>
      <c r="H62" s="2103"/>
      <c r="I62" s="2103"/>
      <c r="J62" s="2103"/>
      <c r="K62" s="2103"/>
      <c r="L62" s="2103"/>
      <c r="M62" s="2103"/>
      <c r="N62" s="2103"/>
      <c r="O62" s="2103"/>
      <c r="P62" s="2103"/>
      <c r="Q62" s="2103"/>
      <c r="R62" s="2103"/>
      <c r="S62" s="2103"/>
      <c r="T62" s="2103"/>
      <c r="U62" s="2103"/>
      <c r="V62" s="2103"/>
      <c r="W62" s="2103"/>
      <c r="X62" s="2103"/>
      <c r="Y62" s="2103"/>
      <c r="Z62" s="2103"/>
      <c r="AA62" s="2103"/>
      <c r="AB62" s="2103"/>
      <c r="AC62" s="2103"/>
      <c r="AD62" s="2103"/>
      <c r="AE62" s="2103"/>
      <c r="AF62" s="2103"/>
      <c r="AG62" s="2103"/>
      <c r="AH62" s="2103"/>
      <c r="AI62" s="2103"/>
      <c r="AJ62" s="2103"/>
      <c r="AK62" s="2103"/>
      <c r="AL62" s="2103"/>
      <c r="AM62" s="2103"/>
      <c r="AN62" s="2103"/>
      <c r="AO62" s="2103"/>
      <c r="AP62" s="2103"/>
      <c r="AQ62" s="2103"/>
      <c r="AR62" s="2103"/>
    </row>
  </sheetData>
  <mergeCells count="23">
    <mergeCell ref="C47:E47"/>
    <mergeCell ref="C48:E48"/>
    <mergeCell ref="B54:AR62"/>
    <mergeCell ref="A44:K44"/>
    <mergeCell ref="P44:AF44"/>
    <mergeCell ref="AJ44:AT44"/>
    <mergeCell ref="A45:K45"/>
    <mergeCell ref="P45:AF45"/>
    <mergeCell ref="AJ45:AT45"/>
    <mergeCell ref="A40:AT40"/>
    <mergeCell ref="AE41:AO41"/>
    <mergeCell ref="A42:K42"/>
    <mergeCell ref="S42:AC42"/>
    <mergeCell ref="AJ42:AT42"/>
    <mergeCell ref="A43:K43"/>
    <mergeCell ref="P43:AF43"/>
    <mergeCell ref="AJ43:AT43"/>
    <mergeCell ref="A1:AT1"/>
    <mergeCell ref="A2:AT2"/>
    <mergeCell ref="A3:AT3"/>
    <mergeCell ref="A4:AT4"/>
    <mergeCell ref="A18:AT18"/>
    <mergeCell ref="B21:AR30"/>
  </mergeCells>
  <pageMargins left="0.43307086614173229" right="0.43307086614173229" top="0.94488188976377963" bottom="0.94488188976377963" header="0.31496062992125984" footer="0.31496062992125984"/>
  <pageSetup paperSize="9" scale="91" fitToHeight="0" orientation="portrait" r:id="rId1"/>
  <headerFooter>
    <oddFooter>&amp;LPrepared By Tariqul Islam; &amp;Z&amp;F&amp;R&amp;"SutonnyMJ,Regular"evsjv‡`k K…wl e¨vsK, c„ôv &amp;P &amp;"-,Regular"of&amp;"SutonnyMJ,Regular" &amp;N</oddFooter>
  </headerFooter>
  <rowBreaks count="2" manualBreakCount="2">
    <brk id="36" max="45" man="1"/>
    <brk id="77" max="45"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0"/>
  <dimension ref="A1:N59"/>
  <sheetViews>
    <sheetView showGridLines="0" view="pageBreakPreview" zoomScale="80" zoomScaleSheetLayoutView="80" workbookViewId="0">
      <selection activeCell="E34" sqref="E34:F34"/>
    </sheetView>
  </sheetViews>
  <sheetFormatPr defaultRowHeight="15"/>
  <cols>
    <col min="1" max="1" width="4.140625" customWidth="1"/>
    <col min="2" max="2" width="7.5703125" customWidth="1"/>
    <col min="3" max="10" width="6.7109375" customWidth="1"/>
    <col min="11" max="13" width="8.28515625" customWidth="1"/>
    <col min="14" max="14" width="5.5703125" customWidth="1"/>
    <col min="15" max="16" width="8.28515625" customWidth="1"/>
  </cols>
  <sheetData>
    <row r="1" spans="1:14" ht="33">
      <c r="A1" s="95"/>
    </row>
    <row r="2" spans="1:14" ht="33">
      <c r="A2" s="95"/>
    </row>
    <row r="3" spans="1:14" ht="33">
      <c r="A3" s="95"/>
    </row>
    <row r="4" spans="1:14" ht="33">
      <c r="A4" s="95"/>
    </row>
    <row r="5" spans="1:14" ht="33">
      <c r="A5" s="95"/>
    </row>
    <row r="6" spans="1:14" ht="33">
      <c r="A6" s="95"/>
    </row>
    <row r="7" spans="1:14" ht="33">
      <c r="A7" s="95"/>
    </row>
    <row r="8" spans="1:14" ht="33">
      <c r="A8" s="2086" t="s">
        <v>0</v>
      </c>
      <c r="B8" s="2086"/>
      <c r="C8" s="2086"/>
      <c r="D8" s="2086"/>
      <c r="E8" s="2086"/>
      <c r="F8" s="2086"/>
      <c r="G8" s="2086"/>
      <c r="H8" s="2086"/>
      <c r="I8" s="2086"/>
      <c r="J8" s="2086"/>
      <c r="K8" s="2086"/>
      <c r="L8" s="2086"/>
      <c r="M8" s="2086"/>
      <c r="N8" s="2086"/>
    </row>
    <row r="9" spans="1:14" ht="27.75">
      <c r="A9" s="1876" t="str">
        <f>+'Data Input'!D2</f>
        <v>wmw×iMÄ kvLv, bvivqYMÄ</v>
      </c>
      <c r="B9" s="1876"/>
      <c r="C9" s="1876"/>
      <c r="D9" s="1876"/>
      <c r="E9" s="1876"/>
      <c r="F9" s="1876"/>
      <c r="G9" s="1876"/>
      <c r="H9" s="1876"/>
      <c r="I9" s="1876"/>
      <c r="J9" s="1876"/>
      <c r="K9" s="1876"/>
      <c r="L9" s="1876"/>
      <c r="M9" s="1876"/>
      <c r="N9" s="1876"/>
    </row>
    <row r="10" spans="1:14">
      <c r="A10" s="96"/>
    </row>
    <row r="11" spans="1:14" ht="29.25">
      <c r="A11" s="97"/>
    </row>
    <row r="12" spans="1:14" ht="48.75">
      <c r="A12" s="1894" t="s">
        <v>385</v>
      </c>
      <c r="B12" s="1894"/>
      <c r="C12" s="1894"/>
      <c r="D12" s="1894"/>
      <c r="E12" s="1894"/>
      <c r="F12" s="1894"/>
      <c r="G12" s="1894"/>
      <c r="H12" s="1894"/>
      <c r="I12" s="1894"/>
      <c r="J12" s="1894"/>
      <c r="K12" s="1894"/>
      <c r="L12" s="1894"/>
      <c r="M12" s="1894"/>
      <c r="N12" s="1894"/>
    </row>
    <row r="13" spans="1:14" ht="48.75">
      <c r="A13" s="98"/>
      <c r="B13" s="98"/>
      <c r="C13" s="98"/>
      <c r="D13" s="98"/>
      <c r="E13" s="98"/>
      <c r="F13" s="98"/>
      <c r="G13" s="98"/>
      <c r="H13" s="98"/>
      <c r="I13" s="98"/>
      <c r="J13" s="98"/>
      <c r="K13" s="98"/>
      <c r="L13" s="98"/>
      <c r="M13" s="98"/>
      <c r="N13" s="98"/>
    </row>
    <row r="14" spans="1:14" ht="18.75" customHeight="1">
      <c r="A14" s="98"/>
      <c r="B14" s="98"/>
      <c r="C14" s="98"/>
      <c r="D14" s="98"/>
      <c r="E14" s="98"/>
      <c r="F14" s="98"/>
      <c r="G14" s="98"/>
      <c r="H14" s="98"/>
      <c r="I14" s="98"/>
      <c r="J14" s="98"/>
      <c r="K14" s="98"/>
      <c r="L14" s="98"/>
      <c r="M14" s="98"/>
      <c r="N14" s="98"/>
    </row>
    <row r="15" spans="1:14">
      <c r="A15" s="99"/>
    </row>
    <row r="16" spans="1:14" ht="62.25" customHeight="1">
      <c r="A16" s="2013" t="s">
        <v>386</v>
      </c>
      <c r="B16" s="2013"/>
      <c r="C16" s="2013"/>
      <c r="D16" s="2013"/>
      <c r="E16" s="2013"/>
      <c r="F16" s="2013"/>
      <c r="G16" s="2013"/>
      <c r="H16" s="2013"/>
      <c r="I16" s="2013"/>
      <c r="J16" s="2013"/>
      <c r="K16" s="2013"/>
      <c r="L16" s="2013"/>
      <c r="M16" s="2013"/>
      <c r="N16" s="2013"/>
    </row>
    <row r="17" spans="1:14" ht="22.5" customHeight="1">
      <c r="A17" s="102"/>
      <c r="B17" s="102"/>
      <c r="C17" s="102"/>
      <c r="D17" s="102"/>
      <c r="E17" s="102"/>
      <c r="F17" s="102"/>
      <c r="G17" s="102"/>
      <c r="H17" s="102"/>
      <c r="I17" s="102"/>
      <c r="J17" s="102"/>
      <c r="K17" s="102"/>
      <c r="L17" s="102"/>
      <c r="M17" s="102"/>
      <c r="N17" s="102"/>
    </row>
    <row r="18" spans="1:14" ht="124.5" customHeight="1">
      <c r="A18" s="2013" t="s">
        <v>387</v>
      </c>
      <c r="B18" s="2013"/>
      <c r="C18" s="2013"/>
      <c r="D18" s="2013"/>
      <c r="E18" s="2013"/>
      <c r="F18" s="2013"/>
      <c r="G18" s="2013"/>
      <c r="H18" s="2013"/>
      <c r="I18" s="2013"/>
      <c r="J18" s="2013"/>
      <c r="K18" s="2013"/>
      <c r="L18" s="2013"/>
      <c r="M18" s="2013"/>
      <c r="N18" s="2013"/>
    </row>
    <row r="19" spans="1:14">
      <c r="A19" s="15"/>
    </row>
    <row r="20" spans="1:14" ht="30">
      <c r="A20" s="100"/>
    </row>
    <row r="21" spans="1:14" ht="30">
      <c r="A21" s="100"/>
    </row>
    <row r="22" spans="1:14" ht="30">
      <c r="A22" s="100"/>
    </row>
    <row r="23" spans="1:14" ht="30">
      <c r="A23" s="100"/>
    </row>
    <row r="24" spans="1:14" ht="30">
      <c r="A24" s="100"/>
    </row>
    <row r="25" spans="1:14" ht="30">
      <c r="A25" s="100"/>
    </row>
    <row r="26" spans="1:14" ht="30">
      <c r="A26" s="100"/>
    </row>
    <row r="27" spans="1:14" ht="30">
      <c r="A27" s="100"/>
    </row>
    <row r="28" spans="1:14" ht="30">
      <c r="A28" s="100"/>
    </row>
    <row r="29" spans="1:14" ht="75.75" customHeight="1">
      <c r="A29" s="100"/>
    </row>
    <row r="30" spans="1:14" ht="135" customHeight="1">
      <c r="A30" s="100"/>
    </row>
    <row r="31" spans="1:14" ht="30">
      <c r="A31" s="101"/>
    </row>
    <row r="32" spans="1:14" ht="23.25" customHeight="1" thickBot="1">
      <c r="A32" s="2087" t="s">
        <v>388</v>
      </c>
      <c r="B32" s="2087"/>
      <c r="C32" s="2087"/>
      <c r="D32" s="2087"/>
      <c r="E32" s="2087"/>
      <c r="F32" s="2087"/>
      <c r="G32" s="2087"/>
      <c r="H32" s="2087"/>
      <c r="I32" s="2087"/>
      <c r="J32" s="2087"/>
      <c r="K32" s="2087"/>
      <c r="L32" s="2087"/>
      <c r="M32" s="2087"/>
      <c r="N32" s="2087"/>
    </row>
    <row r="33" spans="1:14" ht="23.25" customHeight="1">
      <c r="A33" s="2092" t="s">
        <v>174</v>
      </c>
      <c r="B33" s="2084"/>
      <c r="C33" s="2084" t="s">
        <v>175</v>
      </c>
      <c r="D33" s="2084"/>
      <c r="E33" s="2084" t="s">
        <v>176</v>
      </c>
      <c r="F33" s="2084"/>
      <c r="G33" s="2084" t="s">
        <v>177</v>
      </c>
      <c r="H33" s="2084"/>
      <c r="I33" s="2084" t="s">
        <v>178</v>
      </c>
      <c r="J33" s="2084"/>
      <c r="K33" s="2084" t="s">
        <v>179</v>
      </c>
      <c r="L33" s="2084"/>
      <c r="M33" s="2084" t="s">
        <v>109</v>
      </c>
      <c r="N33" s="2088"/>
    </row>
    <row r="34" spans="1:14" ht="23.25" customHeight="1">
      <c r="A34" s="2078" t="e">
        <f>+'Data Input'!#REF!</f>
        <v>#REF!</v>
      </c>
      <c r="B34" s="1078"/>
      <c r="C34" s="1078" t="e">
        <f>+'Data Input'!#REF!</f>
        <v>#REF!</v>
      </c>
      <c r="D34" s="1078"/>
      <c r="E34" s="1078" t="str">
        <f>IF('Data Input'!L4&gt;0,+'Data Input'!J4,"")</f>
        <v/>
      </c>
      <c r="F34" s="1078"/>
      <c r="G34" s="1078">
        <f>+'Data Input'!K4</f>
        <v>0</v>
      </c>
      <c r="H34" s="1078"/>
      <c r="I34" s="1078">
        <f>+'Data Input'!L4</f>
        <v>0</v>
      </c>
      <c r="J34" s="1078"/>
      <c r="K34" s="61">
        <f>+'Data Input'!M4</f>
        <v>0</v>
      </c>
      <c r="L34" s="61">
        <f>+'Data Input'!N4</f>
        <v>0</v>
      </c>
      <c r="M34" s="1078"/>
      <c r="N34" s="2089"/>
    </row>
    <row r="35" spans="1:14" ht="23.25" customHeight="1">
      <c r="A35" s="2078"/>
      <c r="B35" s="1078"/>
      <c r="C35" s="1078"/>
      <c r="D35" s="1078"/>
      <c r="E35" s="1078" t="str">
        <f>IF('Data Input'!L5&gt;0,+'Data Input'!J5,"")</f>
        <v/>
      </c>
      <c r="F35" s="1078"/>
      <c r="G35" s="1078">
        <f>+'Data Input'!K5</f>
        <v>0</v>
      </c>
      <c r="H35" s="1078"/>
      <c r="I35" s="1078">
        <f>+'Data Input'!L5</f>
        <v>0</v>
      </c>
      <c r="J35" s="1078"/>
      <c r="K35" s="61">
        <f>+'Data Input'!M5</f>
        <v>0</v>
      </c>
      <c r="L35" s="61">
        <f>+'Data Input'!N5</f>
        <v>0</v>
      </c>
      <c r="M35" s="1078"/>
      <c r="N35" s="2089"/>
    </row>
    <row r="36" spans="1:14" ht="23.25" customHeight="1">
      <c r="A36" s="2078"/>
      <c r="B36" s="1078"/>
      <c r="C36" s="1078"/>
      <c r="D36" s="1078"/>
      <c r="E36" s="1078" t="str">
        <f>IF('Data Input'!L8&gt;0,+'Data Input'!J8,"")</f>
        <v/>
      </c>
      <c r="F36" s="1078"/>
      <c r="G36" s="1078">
        <f>+'Data Input'!K8</f>
        <v>0</v>
      </c>
      <c r="H36" s="1078"/>
      <c r="I36" s="1078">
        <f>+'Data Input'!L8</f>
        <v>0</v>
      </c>
      <c r="J36" s="1078"/>
      <c r="K36" s="61">
        <f>+'Data Input'!M8</f>
        <v>0</v>
      </c>
      <c r="L36" s="61">
        <f>+'Data Input'!N8</f>
        <v>0</v>
      </c>
      <c r="M36" s="1078"/>
      <c r="N36" s="2089"/>
    </row>
    <row r="37" spans="1:14" ht="23.25" customHeight="1">
      <c r="A37" s="2078"/>
      <c r="B37" s="1078"/>
      <c r="C37" s="1078"/>
      <c r="D37" s="1078"/>
      <c r="E37" s="1078" t="str">
        <f>IF('Data Input'!L9&gt;0,+'Data Input'!J9,"")</f>
        <v/>
      </c>
      <c r="F37" s="1078"/>
      <c r="G37" s="1078">
        <f>+'Data Input'!K9</f>
        <v>0</v>
      </c>
      <c r="H37" s="1078"/>
      <c r="I37" s="1078">
        <f>+'Data Input'!L9</f>
        <v>0</v>
      </c>
      <c r="J37" s="1078"/>
      <c r="K37" s="61">
        <f>+'Data Input'!M9</f>
        <v>0</v>
      </c>
      <c r="L37" s="61">
        <f>+'Data Input'!N9</f>
        <v>0</v>
      </c>
      <c r="M37" s="1078"/>
      <c r="N37" s="2089"/>
    </row>
    <row r="38" spans="1:14" ht="23.25" customHeight="1">
      <c r="A38" s="2078"/>
      <c r="B38" s="1078"/>
      <c r="C38" s="1078"/>
      <c r="D38" s="1078"/>
      <c r="E38" s="1078" t="str">
        <f>IF('Data Input'!L10&gt;0,+'Data Input'!J10,"")</f>
        <v/>
      </c>
      <c r="F38" s="1078"/>
      <c r="G38" s="1078">
        <f>+'Data Input'!K10</f>
        <v>0</v>
      </c>
      <c r="H38" s="1078"/>
      <c r="I38" s="1078">
        <f>+'Data Input'!L10</f>
        <v>0</v>
      </c>
      <c r="J38" s="1078"/>
      <c r="K38" s="61">
        <f>+'Data Input'!M10</f>
        <v>0</v>
      </c>
      <c r="L38" s="61">
        <f>+'Data Input'!N10</f>
        <v>0</v>
      </c>
      <c r="M38" s="1078"/>
      <c r="N38" s="2089"/>
    </row>
    <row r="39" spans="1:14" ht="23.25" customHeight="1">
      <c r="A39" s="2078"/>
      <c r="B39" s="1078"/>
      <c r="C39" s="1078"/>
      <c r="D39" s="1078"/>
      <c r="E39" s="1078" t="str">
        <f>IF('Data Input'!L11&gt;0,+'Data Input'!J11,"")</f>
        <v/>
      </c>
      <c r="F39" s="1078"/>
      <c r="G39" s="1078">
        <f>+'Data Input'!K11</f>
        <v>0</v>
      </c>
      <c r="H39" s="1078"/>
      <c r="I39" s="1078">
        <f>+'Data Input'!L11</f>
        <v>0</v>
      </c>
      <c r="J39" s="1078"/>
      <c r="K39" s="61">
        <f>+'Data Input'!M11</f>
        <v>0</v>
      </c>
      <c r="L39" s="61">
        <f>+'Data Input'!N11</f>
        <v>0</v>
      </c>
      <c r="M39" s="1078"/>
      <c r="N39" s="2089"/>
    </row>
    <row r="40" spans="1:14" ht="23.25" customHeight="1">
      <c r="A40" s="2078"/>
      <c r="B40" s="1078"/>
      <c r="C40" s="1078"/>
      <c r="D40" s="1078"/>
      <c r="E40" s="1078" t="str">
        <f>IF('Data Input'!L12&gt;0,+'Data Input'!J12,"")</f>
        <v/>
      </c>
      <c r="F40" s="1078"/>
      <c r="G40" s="1078">
        <f>+'Data Input'!K12</f>
        <v>0</v>
      </c>
      <c r="H40" s="1078"/>
      <c r="I40" s="1078">
        <f>+'Data Input'!L12</f>
        <v>0</v>
      </c>
      <c r="J40" s="1078"/>
      <c r="K40" s="61">
        <f>+'Data Input'!M12</f>
        <v>0</v>
      </c>
      <c r="L40" s="61">
        <f>+'Data Input'!N12</f>
        <v>0</v>
      </c>
      <c r="M40" s="1078"/>
      <c r="N40" s="2089"/>
    </row>
    <row r="41" spans="1:14" ht="23.25" customHeight="1">
      <c r="A41" s="2078"/>
      <c r="B41" s="1078"/>
      <c r="C41" s="1078"/>
      <c r="D41" s="1078"/>
      <c r="E41" s="1078" t="str">
        <f>IF('Data Input'!L13&gt;0,+'Data Input'!J13,"")</f>
        <v/>
      </c>
      <c r="F41" s="1078"/>
      <c r="G41" s="1078">
        <f>+'Data Input'!K13</f>
        <v>0</v>
      </c>
      <c r="H41" s="1078"/>
      <c r="I41" s="1078">
        <f>+'Data Input'!L13</f>
        <v>0</v>
      </c>
      <c r="J41" s="1078"/>
      <c r="K41" s="61">
        <f>+'Data Input'!M13</f>
        <v>0</v>
      </c>
      <c r="L41" s="61">
        <f>+'Data Input'!N13</f>
        <v>0</v>
      </c>
      <c r="M41" s="1078"/>
      <c r="N41" s="2089"/>
    </row>
    <row r="42" spans="1:14" ht="23.25" customHeight="1">
      <c r="A42" s="2078"/>
      <c r="B42" s="1078"/>
      <c r="C42" s="1078"/>
      <c r="D42" s="1078"/>
      <c r="E42" s="1078" t="str">
        <f>IF('Data Input'!L14&gt;0,+'Data Input'!J14,"")</f>
        <v/>
      </c>
      <c r="F42" s="1078"/>
      <c r="G42" s="1078">
        <f>+'Data Input'!K14</f>
        <v>0</v>
      </c>
      <c r="H42" s="1078"/>
      <c r="I42" s="1078">
        <f>+'Data Input'!L14</f>
        <v>0</v>
      </c>
      <c r="J42" s="1078"/>
      <c r="K42" s="61">
        <f>+'Data Input'!M14</f>
        <v>0</v>
      </c>
      <c r="L42" s="61">
        <f>+'Data Input'!N14</f>
        <v>0</v>
      </c>
      <c r="M42" s="1078"/>
      <c r="N42" s="2089"/>
    </row>
    <row r="43" spans="1:14" ht="23.25" customHeight="1">
      <c r="A43" s="2078"/>
      <c r="B43" s="1078"/>
      <c r="C43" s="1078"/>
      <c r="D43" s="1078"/>
      <c r="E43" s="1078" t="str">
        <f>IF('Data Input'!L15&gt;0,+'Data Input'!J15,"")</f>
        <v/>
      </c>
      <c r="F43" s="1078"/>
      <c r="G43" s="1078">
        <f>+'Data Input'!K15</f>
        <v>0</v>
      </c>
      <c r="H43" s="1078"/>
      <c r="I43" s="1078">
        <f>+'Data Input'!L15</f>
        <v>0</v>
      </c>
      <c r="J43" s="1078"/>
      <c r="K43" s="61">
        <f>+'Data Input'!M15</f>
        <v>0</v>
      </c>
      <c r="L43" s="61">
        <f>+'Data Input'!N15</f>
        <v>0</v>
      </c>
      <c r="M43" s="1078"/>
      <c r="N43" s="2089"/>
    </row>
    <row r="44" spans="1:14" ht="23.25" customHeight="1" thickBot="1">
      <c r="A44" s="2079"/>
      <c r="B44" s="2080"/>
      <c r="C44" s="2080"/>
      <c r="D44" s="2080"/>
      <c r="E44" s="1078" t="str">
        <f>IF('Data Input'!L17&gt;0,+'Data Input'!J17,"")</f>
        <v/>
      </c>
      <c r="F44" s="1078"/>
      <c r="G44" s="2080">
        <f>+'Data Input'!K17</f>
        <v>0</v>
      </c>
      <c r="H44" s="2080"/>
      <c r="I44" s="2080">
        <f>+'Data Input'!L17</f>
        <v>0</v>
      </c>
      <c r="J44" s="2080"/>
      <c r="K44" s="198">
        <f>+'Data Input'!M17</f>
        <v>0</v>
      </c>
      <c r="L44" s="198">
        <f>+'Data Input'!N17</f>
        <v>0</v>
      </c>
      <c r="M44" s="2080"/>
      <c r="N44" s="2090"/>
    </row>
    <row r="45" spans="1:14" ht="18" thickBot="1">
      <c r="A45" s="2081" t="s">
        <v>381</v>
      </c>
      <c r="B45" s="2082"/>
      <c r="C45" s="2082"/>
      <c r="D45" s="2082"/>
      <c r="E45" s="2082"/>
      <c r="F45" s="2082"/>
      <c r="G45" s="2082"/>
      <c r="H45" s="2082"/>
      <c r="I45" s="2082"/>
      <c r="J45" s="2083"/>
      <c r="K45" s="2074">
        <f>SUM(L34:L44)</f>
        <v>0</v>
      </c>
      <c r="L45" s="2075"/>
      <c r="M45" s="2076" t="s">
        <v>259</v>
      </c>
      <c r="N45" s="2077"/>
    </row>
    <row r="46" spans="1:14" ht="51.75" customHeight="1">
      <c r="A46" s="2091" t="s">
        <v>389</v>
      </c>
      <c r="B46" s="2091"/>
      <c r="C46" s="2091"/>
      <c r="D46" s="2091"/>
      <c r="E46" s="2091"/>
      <c r="F46" s="2091"/>
      <c r="G46" s="2091"/>
      <c r="H46" s="2091"/>
      <c r="I46" s="2091"/>
      <c r="J46" s="2091"/>
      <c r="K46" s="2091"/>
      <c r="L46" s="2091"/>
      <c r="M46" s="2091"/>
      <c r="N46" s="2091"/>
    </row>
    <row r="47" spans="1:14" ht="9" customHeight="1">
      <c r="A47" s="104"/>
      <c r="B47" s="104"/>
      <c r="C47" s="104"/>
      <c r="D47" s="104"/>
      <c r="E47" s="104"/>
      <c r="F47" s="104"/>
      <c r="G47" s="104"/>
      <c r="H47" s="104"/>
      <c r="I47" s="104"/>
      <c r="J47" s="104"/>
      <c r="K47" s="104"/>
      <c r="L47" s="104"/>
      <c r="M47" s="104"/>
      <c r="N47" s="104"/>
    </row>
    <row r="48" spans="1:14" ht="9" customHeight="1">
      <c r="A48" s="104"/>
      <c r="B48" s="104"/>
      <c r="C48" s="104"/>
      <c r="D48" s="104"/>
      <c r="E48" s="104"/>
      <c r="F48" s="104"/>
      <c r="G48" s="104"/>
      <c r="H48" s="104"/>
      <c r="I48" s="104"/>
      <c r="J48" s="104"/>
      <c r="K48" s="104"/>
      <c r="L48" s="104"/>
      <c r="M48" s="104"/>
      <c r="N48" s="104"/>
    </row>
    <row r="49" spans="1:14" ht="9" customHeight="1">
      <c r="A49" s="104"/>
      <c r="B49" s="104"/>
      <c r="C49" s="104"/>
      <c r="D49" s="104"/>
      <c r="E49" s="104"/>
      <c r="F49" s="104"/>
      <c r="G49" s="104"/>
      <c r="H49" s="104"/>
      <c r="I49" s="104"/>
      <c r="J49" s="104"/>
      <c r="K49" s="104"/>
      <c r="L49" s="104"/>
      <c r="M49" s="104"/>
      <c r="N49" s="104"/>
    </row>
    <row r="50" spans="1:14" ht="24">
      <c r="A50" s="2085" t="s">
        <v>390</v>
      </c>
      <c r="B50" s="2085"/>
      <c r="C50" s="2085"/>
      <c r="D50" s="2085"/>
      <c r="E50" s="2085"/>
      <c r="F50" s="2085"/>
      <c r="G50" s="2085"/>
      <c r="H50" s="2085"/>
      <c r="I50" s="2085"/>
      <c r="J50" s="2085"/>
      <c r="K50" s="2085"/>
      <c r="L50" s="2085"/>
      <c r="M50" s="2085"/>
      <c r="N50" s="2085"/>
    </row>
    <row r="51" spans="1:14" ht="24">
      <c r="A51" s="103"/>
      <c r="B51" s="103"/>
      <c r="C51" s="103"/>
      <c r="D51" s="103"/>
      <c r="E51" s="103"/>
      <c r="F51" s="103"/>
      <c r="G51" s="103"/>
      <c r="H51" s="103"/>
      <c r="I51" s="103"/>
      <c r="J51" s="103"/>
      <c r="K51" s="103"/>
      <c r="L51" s="103"/>
      <c r="M51" s="103"/>
      <c r="N51" s="103"/>
    </row>
    <row r="52" spans="1:14" ht="21.75">
      <c r="A52" s="93" t="s">
        <v>391</v>
      </c>
      <c r="L52" s="1905" t="s">
        <v>392</v>
      </c>
      <c r="M52" s="1905"/>
      <c r="N52" s="1905"/>
    </row>
    <row r="53" spans="1:14" ht="37.5" customHeight="1">
      <c r="A53" s="12" t="s">
        <v>170</v>
      </c>
      <c r="B53" s="93" t="s">
        <v>577</v>
      </c>
    </row>
    <row r="54" spans="1:14" ht="37.5" customHeight="1">
      <c r="A54" s="93"/>
      <c r="B54" s="93" t="s">
        <v>578</v>
      </c>
    </row>
    <row r="55" spans="1:14" ht="37.5" customHeight="1">
      <c r="A55" s="93"/>
      <c r="B55" s="93" t="s">
        <v>579</v>
      </c>
    </row>
    <row r="56" spans="1:14" ht="37.5" customHeight="1">
      <c r="A56" s="93"/>
      <c r="B56" s="93"/>
    </row>
    <row r="57" spans="1:14" ht="37.5" customHeight="1">
      <c r="A57" s="12" t="s">
        <v>171</v>
      </c>
      <c r="B57" s="93" t="str">
        <f>+B53</f>
        <v>bvg  t</v>
      </c>
    </row>
    <row r="58" spans="1:14" ht="37.5" customHeight="1">
      <c r="A58" s="103"/>
      <c r="B58" s="93" t="str">
        <f>+B54</f>
        <v>wcZv t</v>
      </c>
      <c r="C58" s="103"/>
      <c r="D58" s="103"/>
      <c r="E58" s="103"/>
      <c r="F58" s="103"/>
      <c r="G58" s="103"/>
      <c r="H58" s="103"/>
      <c r="I58" s="103"/>
      <c r="J58" s="103"/>
      <c r="K58" s="103"/>
      <c r="L58" s="103"/>
      <c r="M58" s="103"/>
      <c r="N58" s="103"/>
    </row>
    <row r="59" spans="1:14" ht="37.5" customHeight="1">
      <c r="A59" s="103"/>
      <c r="B59" s="93" t="str">
        <f>+B55</f>
        <v>MÖvg  t</v>
      </c>
      <c r="C59" s="103"/>
      <c r="D59" s="103"/>
      <c r="E59" s="103"/>
      <c r="F59" s="103"/>
      <c r="G59" s="103"/>
      <c r="H59" s="103"/>
      <c r="I59" s="103"/>
      <c r="J59" s="103"/>
      <c r="K59" s="103"/>
      <c r="L59" s="103"/>
      <c r="M59" s="103"/>
      <c r="N59" s="103"/>
    </row>
  </sheetData>
  <mergeCells count="75">
    <mergeCell ref="A50:N50"/>
    <mergeCell ref="A8:N8"/>
    <mergeCell ref="A9:N9"/>
    <mergeCell ref="A12:N12"/>
    <mergeCell ref="A16:N16"/>
    <mergeCell ref="A18:N18"/>
    <mergeCell ref="A32:N32"/>
    <mergeCell ref="K33:L33"/>
    <mergeCell ref="M33:N33"/>
    <mergeCell ref="I35:J35"/>
    <mergeCell ref="M34:N44"/>
    <mergeCell ref="A46:N46"/>
    <mergeCell ref="A33:B33"/>
    <mergeCell ref="C33:D33"/>
    <mergeCell ref="E33:F33"/>
    <mergeCell ref="G33:H33"/>
    <mergeCell ref="I33:J33"/>
    <mergeCell ref="I41:J41"/>
    <mergeCell ref="I42:J42"/>
    <mergeCell ref="I43:J43"/>
    <mergeCell ref="I44:J44"/>
    <mergeCell ref="I36:J36"/>
    <mergeCell ref="I37:J37"/>
    <mergeCell ref="I38:J38"/>
    <mergeCell ref="I39:J39"/>
    <mergeCell ref="I40:J40"/>
    <mergeCell ref="A34:B34"/>
    <mergeCell ref="C34:D34"/>
    <mergeCell ref="E34:F34"/>
    <mergeCell ref="G34:H34"/>
    <mergeCell ref="I34:J34"/>
    <mergeCell ref="G35:H35"/>
    <mergeCell ref="G36:H36"/>
    <mergeCell ref="G37:H37"/>
    <mergeCell ref="G38:H38"/>
    <mergeCell ref="G39:H39"/>
    <mergeCell ref="G40:H40"/>
    <mergeCell ref="G41:H41"/>
    <mergeCell ref="G42:H42"/>
    <mergeCell ref="G43:H43"/>
    <mergeCell ref="G44:H44"/>
    <mergeCell ref="E40:F40"/>
    <mergeCell ref="E41:F41"/>
    <mergeCell ref="E42:F42"/>
    <mergeCell ref="E43:F43"/>
    <mergeCell ref="E44:F44"/>
    <mergeCell ref="E35:F35"/>
    <mergeCell ref="E36:F36"/>
    <mergeCell ref="E37:F37"/>
    <mergeCell ref="E38:F38"/>
    <mergeCell ref="E39:F39"/>
    <mergeCell ref="C42:D42"/>
    <mergeCell ref="C43:D43"/>
    <mergeCell ref="C44:D44"/>
    <mergeCell ref="C35:D35"/>
    <mergeCell ref="C36:D36"/>
    <mergeCell ref="C37:D37"/>
    <mergeCell ref="C38:D38"/>
    <mergeCell ref="C39:D39"/>
    <mergeCell ref="K45:L45"/>
    <mergeCell ref="M45:N45"/>
    <mergeCell ref="L52:N52"/>
    <mergeCell ref="A35:B35"/>
    <mergeCell ref="A36:B36"/>
    <mergeCell ref="A37:B37"/>
    <mergeCell ref="A38:B38"/>
    <mergeCell ref="A39:B39"/>
    <mergeCell ref="A40:B40"/>
    <mergeCell ref="A41:B41"/>
    <mergeCell ref="A42:B42"/>
    <mergeCell ref="A43:B43"/>
    <mergeCell ref="A44:B44"/>
    <mergeCell ref="A45:J45"/>
    <mergeCell ref="C40:D40"/>
    <mergeCell ref="C41:D41"/>
  </mergeCells>
  <pageMargins left="0.39370078740157483" right="0.39370078740157483" top="0.39370078740157483" bottom="0.39370078740157483" header="0.31496062992125984" footer="0.31496062992125984"/>
  <pageSetup paperSize="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24</vt:i4>
      </vt:variant>
    </vt:vector>
  </HeadingPairs>
  <TitlesOfParts>
    <vt:vector size="57" baseType="lpstr">
      <vt:lpstr>Forwarding</vt:lpstr>
      <vt:lpstr>Index</vt:lpstr>
      <vt:lpstr>Note Sheet-BR</vt:lpstr>
      <vt:lpstr>Data Input</vt:lpstr>
      <vt:lpstr>LF-5</vt:lpstr>
      <vt:lpstr>Profile</vt:lpstr>
      <vt:lpstr>SME App</vt:lpstr>
      <vt:lpstr>Check List MGR</vt:lpstr>
      <vt:lpstr>Valuation</vt:lpstr>
      <vt:lpstr>Information Sheet</vt:lpstr>
      <vt:lpstr>Gosonapattra</vt:lpstr>
      <vt:lpstr>25 Years Succession</vt:lpstr>
      <vt:lpstr>Business Run</vt:lpstr>
      <vt:lpstr>Road Map</vt:lpstr>
      <vt:lpstr>Nobayon Form-LF-58</vt:lpstr>
      <vt:lpstr>Sanction Order Br</vt:lpstr>
      <vt:lpstr>Cover Seal</vt:lpstr>
      <vt:lpstr>Note Sheet-RM</vt:lpstr>
      <vt:lpstr>Index-MGR-New</vt:lpstr>
      <vt:lpstr>Index-MGR-ReNew</vt:lpstr>
      <vt:lpstr>Risk Free</vt:lpstr>
      <vt:lpstr>Audit Free</vt:lpstr>
      <vt:lpstr>Main Documents</vt:lpstr>
      <vt:lpstr>Asset Liabilities</vt:lpstr>
      <vt:lpstr>Investment Sourch Lonee</vt:lpstr>
      <vt:lpstr>Audit Free MGR</vt:lpstr>
      <vt:lpstr>Letter of Continuty</vt:lpstr>
      <vt:lpstr>Letter of Revival</vt:lpstr>
      <vt:lpstr>Acceptance</vt:lpstr>
      <vt:lpstr>ghosonapotro2</vt:lpstr>
      <vt:lpstr>spouseguarantee</vt:lpstr>
      <vt:lpstr>personalguarantee</vt:lpstr>
      <vt:lpstr>Holopnama</vt:lpstr>
      <vt:lpstr>'25 Years Succession'!Print_Area</vt:lpstr>
      <vt:lpstr>Acceptance!Print_Area</vt:lpstr>
      <vt:lpstr>'Asset Liabilities'!Print_Area</vt:lpstr>
      <vt:lpstr>'Audit Free'!Print_Area</vt:lpstr>
      <vt:lpstr>'Audit Free MGR'!Print_Area</vt:lpstr>
      <vt:lpstr>'Cover Seal'!Print_Area</vt:lpstr>
      <vt:lpstr>Forwarding!Print_Area</vt:lpstr>
      <vt:lpstr>ghosonapotro2!Print_Area</vt:lpstr>
      <vt:lpstr>Holopnama!Print_Area</vt:lpstr>
      <vt:lpstr>Index!Print_Area</vt:lpstr>
      <vt:lpstr>'Index-MGR-New'!Print_Area</vt:lpstr>
      <vt:lpstr>'Index-MGR-ReNew'!Print_Area</vt:lpstr>
      <vt:lpstr>'Information Sheet'!Print_Area</vt:lpstr>
      <vt:lpstr>'Investment Sourch Lonee'!Print_Area</vt:lpstr>
      <vt:lpstr>'Letter of Continuty'!Print_Area</vt:lpstr>
      <vt:lpstr>'LF-5'!Print_Area</vt:lpstr>
      <vt:lpstr>'Nobayon Form-LF-58'!Print_Area</vt:lpstr>
      <vt:lpstr>'Note Sheet-BR'!Print_Area</vt:lpstr>
      <vt:lpstr>'Note Sheet-RM'!Print_Area</vt:lpstr>
      <vt:lpstr>personalguarantee!Print_Area</vt:lpstr>
      <vt:lpstr>Profile!Print_Area</vt:lpstr>
      <vt:lpstr>'Sanction Order Br'!Print_Area</vt:lpstr>
      <vt:lpstr>spouseguarantee!Print_Area</vt:lpstr>
      <vt:lpstr>Valuation!Print_Area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TARIQ;Tariqul;TARIQUL ISLAM</dc:creator>
  <cp:lastModifiedBy>Bhaskar Goswami</cp:lastModifiedBy>
  <cp:lastPrinted>2025-05-06T16:21:51Z</cp:lastPrinted>
  <dcterms:created xsi:type="dcterms:W3CDTF">2006-09-16T00:00:00Z</dcterms:created>
  <dcterms:modified xsi:type="dcterms:W3CDTF">2025-05-06T16:25:48Z</dcterms:modified>
</cp:coreProperties>
</file>