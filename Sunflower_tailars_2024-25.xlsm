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480" yWindow="60" windowWidth="18195" windowHeight="8505" tabRatio="600" firstSheet="0" activeTab="31" autoFilterDateGrouping="1"/>
  </bookViews>
  <sheets>
    <sheet xmlns:r="http://schemas.openxmlformats.org/officeDocument/2006/relationships" name="Forwarding" sheetId="1" state="visible" r:id="rId1"/>
    <sheet xmlns:r="http://schemas.openxmlformats.org/officeDocument/2006/relationships" name="Index" sheetId="2" state="visible" r:id="rId2"/>
    <sheet xmlns:r="http://schemas.openxmlformats.org/officeDocument/2006/relationships" name="Note Sheet-BR" sheetId="3" state="visible" r:id="rId3"/>
    <sheet xmlns:r="http://schemas.openxmlformats.org/officeDocument/2006/relationships" name="Data Input" sheetId="4" state="visible" r:id="rId4"/>
    <sheet xmlns:r="http://schemas.openxmlformats.org/officeDocument/2006/relationships" name="LF-5" sheetId="5" state="visible" r:id="rId5"/>
    <sheet xmlns:r="http://schemas.openxmlformats.org/officeDocument/2006/relationships" name="Profile" sheetId="6" state="visible" r:id="rId6"/>
    <sheet xmlns:r="http://schemas.openxmlformats.org/officeDocument/2006/relationships" name="SME App" sheetId="7" state="visible" r:id="rId7"/>
    <sheet xmlns:r="http://schemas.openxmlformats.org/officeDocument/2006/relationships" name="Check List MGR" sheetId="8" state="visible" r:id="rId8"/>
    <sheet xmlns:r="http://schemas.openxmlformats.org/officeDocument/2006/relationships" name="Valuation" sheetId="9" state="visible" r:id="rId9"/>
    <sheet xmlns:r="http://schemas.openxmlformats.org/officeDocument/2006/relationships" name="Information Sheet" sheetId="10" state="visible" r:id="rId10"/>
    <sheet xmlns:r="http://schemas.openxmlformats.org/officeDocument/2006/relationships" name="Gosonapattra" sheetId="11" state="visible" r:id="rId11"/>
    <sheet xmlns:r="http://schemas.openxmlformats.org/officeDocument/2006/relationships" name="25 Years Succession" sheetId="12" state="visible" r:id="rId12"/>
    <sheet xmlns:r="http://schemas.openxmlformats.org/officeDocument/2006/relationships" name="Business Run" sheetId="13" state="visible" r:id="rId13"/>
    <sheet xmlns:r="http://schemas.openxmlformats.org/officeDocument/2006/relationships" name="Road Map" sheetId="14" state="visible" r:id="rId14"/>
    <sheet xmlns:r="http://schemas.openxmlformats.org/officeDocument/2006/relationships" name="Nobayon Form-LF-58" sheetId="15" state="visible" r:id="rId15"/>
    <sheet xmlns:r="http://schemas.openxmlformats.org/officeDocument/2006/relationships" name="Sanction Order Br" sheetId="16" state="visible" r:id="rId16"/>
    <sheet xmlns:r="http://schemas.openxmlformats.org/officeDocument/2006/relationships" name="Cover Seal" sheetId="17" state="visible" r:id="rId17"/>
    <sheet xmlns:r="http://schemas.openxmlformats.org/officeDocument/2006/relationships" name="Note Sheet-RM" sheetId="18" state="visible" r:id="rId18"/>
    <sheet xmlns:r="http://schemas.openxmlformats.org/officeDocument/2006/relationships" name="Index-MGR-New" sheetId="19" state="visible" r:id="rId19"/>
    <sheet xmlns:r="http://schemas.openxmlformats.org/officeDocument/2006/relationships" name="Index-MGR-ReNew" sheetId="20" state="visible" r:id="rId20"/>
    <sheet xmlns:r="http://schemas.openxmlformats.org/officeDocument/2006/relationships" name="Risk Free" sheetId="21" state="visible" r:id="rId21"/>
    <sheet xmlns:r="http://schemas.openxmlformats.org/officeDocument/2006/relationships" name="Audit Free" sheetId="22" state="visible" r:id="rId22"/>
    <sheet xmlns:r="http://schemas.openxmlformats.org/officeDocument/2006/relationships" name="Main Documents" sheetId="23" state="visible" r:id="rId23"/>
    <sheet xmlns:r="http://schemas.openxmlformats.org/officeDocument/2006/relationships" name="Asset Liabilities" sheetId="24" state="visible" r:id="rId24"/>
    <sheet xmlns:r="http://schemas.openxmlformats.org/officeDocument/2006/relationships" name="Investment Sourch Lonee" sheetId="25" state="visible" r:id="rId25"/>
    <sheet xmlns:r="http://schemas.openxmlformats.org/officeDocument/2006/relationships" name="Audit Free MGR" sheetId="26" state="visible" r:id="rId26"/>
    <sheet xmlns:r="http://schemas.openxmlformats.org/officeDocument/2006/relationships" name="Letter of Continuty" sheetId="27" state="visible" r:id="rId27"/>
    <sheet xmlns:r="http://schemas.openxmlformats.org/officeDocument/2006/relationships" name="Letter of Revival" sheetId="28" state="visible" r:id="rId28"/>
    <sheet xmlns:r="http://schemas.openxmlformats.org/officeDocument/2006/relationships" name="Acceptance" sheetId="29" state="visible" r:id="rId29"/>
    <sheet xmlns:r="http://schemas.openxmlformats.org/officeDocument/2006/relationships" name="ghosonapotro2" sheetId="30" state="visible" r:id="rId30"/>
    <sheet xmlns:r="http://schemas.openxmlformats.org/officeDocument/2006/relationships" name="spouseguarantee" sheetId="31" state="visible" r:id="rId31"/>
    <sheet xmlns:r="http://schemas.openxmlformats.org/officeDocument/2006/relationships" name="personalguarantee" sheetId="32" state="visible" r:id="rId32"/>
    <sheet xmlns:r="http://schemas.openxmlformats.org/officeDocument/2006/relationships" name="Holopnama" sheetId="33" state="visible" r:id="rId33"/>
    <sheet xmlns:r="http://schemas.openxmlformats.org/officeDocument/2006/relationships" name="spouseguarantee_copy" sheetId="34" state="visible" r:id="rId34"/>
  </sheets>
  <definedNames>
    <definedName name="_xlnm.Print_Area" localSheetId="0">'Forwarding'!$A$1:$Y$25</definedName>
    <definedName name="_xlnm.Print_Area" localSheetId="1">'Index'!$A$1:$D$33</definedName>
    <definedName name="_xlnm.Print_Area" localSheetId="2">'Note Sheet-BR'!$A$1:$Y$61</definedName>
    <definedName name="_xlnm.Print_Area" localSheetId="4">'LF-5'!$A$1:$AN$192</definedName>
    <definedName name="_xlnm.Print_Area" localSheetId="5">'Profile'!$A$1:$N$185</definedName>
    <definedName name="_xlnm.Print_Area" localSheetId="8">'Valuation'!$A$1:$AM$109</definedName>
    <definedName name="_xlnm.Print_Area" localSheetId="9">'Information Sheet'!$A$1:$AC$212</definedName>
    <definedName name="_xlnm.Print_Area" localSheetId="11">'25 Years Succession'!$A$1:$K$26</definedName>
    <definedName name="_xlnm.Print_Area" localSheetId="14">'Nobayon Form-LF-58'!$A$1:$AN$48</definedName>
    <definedName name="_xlnm.Print_Area" localSheetId="15">'Sanction Order Br'!$A$1:$AN$77</definedName>
    <definedName name="_xlnm.Print_Area" localSheetId="16">'Cover Seal'!$A$1:$I$29</definedName>
    <definedName name="_xlnm.Print_Area" localSheetId="17">'Note Sheet-RM'!$B$1:$Y$27</definedName>
    <definedName name="_xlnm.Print_Area" localSheetId="18">'Index-MGR-New'!$A$1:$D$45</definedName>
    <definedName name="_xlnm.Print_Area" localSheetId="19">'Index-MGR-ReNew'!$A$1:$D$32</definedName>
    <definedName name="_xlnm.Print_Area" localSheetId="21">'Audit Free'!$A$1:$AT$28</definedName>
    <definedName name="_xlnm.Print_Area" localSheetId="23">'Asset Liabilities'!$A$1:$J$42</definedName>
    <definedName name="_xlnm.Print_Area" localSheetId="24">'Investment Sourch Lonee'!$A$1:$AT$29</definedName>
    <definedName name="_xlnm.Print_Area" localSheetId="25">'Audit Free MGR'!$A$1:$AT$31</definedName>
    <definedName name="OLE_LINK7" localSheetId="26">'Letter of Continuty'!#REF!</definedName>
    <definedName name="_xlnm.Print_Area" localSheetId="26">'Letter of Continuty'!$A$1:$T$73</definedName>
    <definedName name="_xlnm.Print_Area" localSheetId="28">'Acceptance'!$A$1:$J$76</definedName>
    <definedName name="_xlnm.Print_Area" localSheetId="29">'ghosonapotro2'!$A$1:$O$119</definedName>
    <definedName name="_xlnm.Print_Area" localSheetId="30">'spouseguarantee'!$A$1:$AT$77</definedName>
    <definedName name="_xlnm.Print_Area" localSheetId="31">'personalguarantee'!$A$1:$AT$77</definedName>
    <definedName name="_xlnm.Print_Area" localSheetId="32">'Holopnama'!$A$1:$N$59</definedName>
  </definedNames>
  <calcPr calcId="124519" fullCalcOnLoad="1"/>
</workbook>
</file>

<file path=xl/styles.xml><?xml version="1.0" encoding="utf-8"?>
<styleSheet xmlns="http://schemas.openxmlformats.org/spreadsheetml/2006/main">
  <numFmts count="10">
    <numFmt numFmtId="164" formatCode="#,##0%"/>
    <numFmt numFmtId="165" formatCode="#,##0.000"/>
    <numFmt numFmtId="166" formatCode="00"/>
    <numFmt numFmtId="167" formatCode="#,##0.00000"/>
    <numFmt numFmtId="168" formatCode="#,##0.0000"/>
    <numFmt numFmtId="169" formatCode="dd mmmm yyyy"/>
    <numFmt numFmtId="170" formatCode="_-* #,##0.00_-;\-* #,##0.00_-;_-* &quot;-&quot;??_-;_-@_-"/>
    <numFmt numFmtId="171" formatCode="#,##0.00%"/>
    <numFmt numFmtId="172" formatCode="0.f gvm"/>
    <numFmt numFmtId="173" formatCode="#,##0.000000"/>
  </numFmts>
  <fonts count="171">
    <font>
      <name val="Calibri"/>
      <family val="2"/>
      <color theme="1"/>
      <sz val="11"/>
      <scheme val="minor"/>
    </font>
    <font>
      <name val="SutonnyMJ"/>
      <family val="2"/>
      <b val="1"/>
      <color rgb="FF000000"/>
      <sz val="24"/>
    </font>
    <font>
      <name val="SutonnyMJ"/>
      <family val="2"/>
      <color rgb="FF000000"/>
      <sz val="20"/>
    </font>
    <font>
      <name val="SutonnyMJ"/>
      <family val="2"/>
      <b val="1"/>
      <color rgb="FF000000"/>
      <sz val="8"/>
    </font>
    <font>
      <name val="SutonnyMJ"/>
      <family val="2"/>
      <b val="1"/>
      <color rgb="FF000000"/>
      <sz val="21"/>
    </font>
    <font>
      <name val="SutonnyMJ"/>
      <family val="2"/>
      <b val="1"/>
      <color rgb="FF000000"/>
      <sz val="36"/>
      <u val="single"/>
    </font>
    <font>
      <name val="SutonnyMJ"/>
      <family val="2"/>
      <b val="1"/>
      <color rgb="FF000000"/>
      <sz val="10"/>
    </font>
    <font>
      <name val="SutonnyMJ"/>
      <family val="2"/>
      <color rgb="FF000000"/>
      <sz val="16"/>
    </font>
    <font>
      <name val="SutonnyMJ"/>
      <family val="2"/>
      <color rgb="FF000000"/>
      <sz val="5"/>
    </font>
    <font>
      <name val="SutonnyMJ"/>
      <family val="2"/>
      <color rgb="FF000000"/>
      <sz val="22"/>
    </font>
    <font>
      <name val="SutonnyMJ"/>
      <family val="2"/>
      <color rgb="FF000000"/>
      <sz val="22"/>
      <u val="single"/>
    </font>
    <font>
      <name val="SutonnyMJ"/>
      <family val="2"/>
      <color rgb="FF000000"/>
      <sz val="12"/>
    </font>
    <font>
      <name val="SutonnyMJ"/>
      <family val="2"/>
      <color rgb="FF000000"/>
      <sz val="17"/>
    </font>
    <font>
      <name val="SutonnyMJ"/>
      <family val="2"/>
      <b val="1"/>
      <color rgb="FF00b050"/>
      <sz val="24"/>
    </font>
    <font>
      <name val="SutonnyMJ"/>
      <family val="2"/>
      <color rgb="FF00b050"/>
      <sz val="14"/>
    </font>
    <font>
      <name val="SutonnyMJ"/>
      <family val="2"/>
      <color rgb="FF00b050"/>
      <sz val="16"/>
    </font>
    <font>
      <name val="Cambria"/>
      <family val="2"/>
      <b val="1"/>
      <i val="1"/>
      <color rgb="FF00b050"/>
      <sz val="10"/>
    </font>
    <font>
      <name val="Calibri"/>
      <family val="2"/>
      <i val="1"/>
      <color rgb="FF00b050"/>
      <sz val="10"/>
    </font>
    <font>
      <name val="SutonnyMJ"/>
      <family val="2"/>
      <color rgb="FF000000"/>
      <sz val="14"/>
    </font>
    <font>
      <name val="SutonnyMJ"/>
      <family val="2"/>
      <b val="1"/>
      <color rgb="FF000000"/>
      <sz val="30"/>
      <u val="single"/>
    </font>
    <font>
      <name val="Calibri"/>
      <family val="2"/>
      <color rgb="FF000000"/>
      <sz val="14"/>
    </font>
    <font>
      <name val="SutonnyMJ"/>
      <family val="2"/>
      <color rgb="FF000000"/>
      <sz val="9"/>
    </font>
    <font>
      <name val="Calibri"/>
      <family val="2"/>
      <color theme="1"/>
      <sz val="11"/>
    </font>
    <font>
      <name val="SutonnyMJ"/>
      <family val="2"/>
      <color rgb="FF000000"/>
      <sz val="18"/>
    </font>
    <font>
      <name val="SutonnyMJ"/>
      <family val="2"/>
      <i val="1"/>
      <color rgb="FF00b050"/>
      <sz val="10"/>
    </font>
    <font>
      <name val="SutonnyMJ"/>
      <family val="2"/>
      <color rgb="FF7f7f7f"/>
      <sz val="18"/>
    </font>
    <font>
      <name val="SutonnyMJ"/>
      <family val="2"/>
      <color rgb="FF7f7f7f"/>
      <sz val="16"/>
    </font>
    <font>
      <name val="SutonnyMJ"/>
      <family val="2"/>
      <color rgb="FF000000"/>
      <sz val="26"/>
    </font>
    <font>
      <name val="Times New Roman"/>
      <family val="2"/>
      <color rgb="FF000000"/>
      <sz val="16"/>
    </font>
    <font>
      <name val="SutonnyMJ"/>
      <family val="2"/>
      <color rgb="FF000000"/>
      <sz val="16"/>
      <u val="single"/>
    </font>
    <font>
      <name val="SutonnyOMJ"/>
      <family val="2"/>
      <color rgb="FF000000"/>
      <sz val="18"/>
    </font>
    <font>
      <name val="SutonnyOMJ"/>
      <family val="2"/>
      <color rgb="FF000000"/>
      <sz val="16"/>
      <u val="single"/>
    </font>
    <font>
      <name val="Calibri"/>
      <family val="2"/>
      <color rgb="FF000000"/>
      <sz val="16"/>
    </font>
    <font>
      <name val="Times New Roman"/>
      <family val="2"/>
      <color rgb="FF000000"/>
      <sz val="14"/>
    </font>
    <font>
      <name val="Times New Roman"/>
      <family val="2"/>
      <b val="1"/>
      <color rgb="FF000000"/>
      <sz val="14"/>
    </font>
    <font>
      <name val="Times New Roman"/>
      <family val="2"/>
      <b val="1"/>
      <color rgb="FF000000"/>
      <sz val="14"/>
      <u val="single"/>
    </font>
    <font>
      <name val="Times New Roman"/>
      <family val="2"/>
      <color rgb="FF000000"/>
      <sz val="12"/>
    </font>
    <font>
      <name val="Times New Roman"/>
      <family val="2"/>
      <color rgb="FF000000"/>
      <sz val="13"/>
    </font>
    <font>
      <name val="Times New Roman"/>
      <family val="2"/>
      <b val="1"/>
      <color rgb="FF000000"/>
      <sz val="18"/>
    </font>
    <font>
      <name val="Times New Roman"/>
      <family val="2"/>
      <b val="1"/>
      <color rgb="FF000000"/>
      <sz val="20"/>
      <u val="single"/>
    </font>
    <font>
      <name val="Times New Roman"/>
      <family val="2"/>
      <color rgb="FF000000"/>
      <sz val="9"/>
    </font>
    <font>
      <name val="Times New Roman"/>
      <family val="2"/>
      <color rgb="FF000000"/>
      <sz val="6"/>
    </font>
    <font>
      <name val="Times New Roman"/>
      <family val="2"/>
      <color rgb="FF000000"/>
      <sz val="11"/>
    </font>
    <font>
      <name val="Arial"/>
      <family val="2"/>
      <color rgb="FF000000"/>
      <sz val="13"/>
    </font>
    <font>
      <name val="SutonnyMJ"/>
      <family val="2"/>
      <b val="1"/>
      <color rgb="FF000000"/>
      <sz val="16"/>
    </font>
    <font>
      <name val="Times New Roman"/>
      <family val="2"/>
      <b val="1"/>
      <color rgb="FF000000"/>
      <sz val="16"/>
    </font>
    <font>
      <name val="SutonnyMJ"/>
      <family val="2"/>
      <color rgb="FF000000"/>
      <sz val="11"/>
    </font>
    <font>
      <name val="SutonnyMJ"/>
      <family val="2"/>
      <b val="1"/>
      <color rgb="FF000000"/>
      <sz val="14"/>
    </font>
    <font>
      <name val="SutonnyMJ"/>
      <family val="2"/>
      <color rgb="FF000000"/>
      <sz val="30"/>
      <u val="single"/>
    </font>
    <font>
      <name val="SutonnyMJ"/>
      <family val="2"/>
      <color rgb="FF000000"/>
      <sz val="8"/>
    </font>
    <font>
      <name val="SutonnyMJ"/>
      <family val="2"/>
      <color rgb="FF000000"/>
      <sz val="36"/>
      <u val="single"/>
    </font>
    <font>
      <name val="SutonnyMJ"/>
      <family val="2"/>
      <color rgb="FFff0000"/>
      <sz val="12"/>
    </font>
    <font>
      <name val="SutonnyMJ"/>
      <family val="2"/>
      <color theme="1"/>
      <sz val="12"/>
    </font>
    <font>
      <name val="SutonnyMJ"/>
      <family val="2"/>
      <b val="1"/>
      <color rgb="FF000000"/>
      <sz val="13"/>
    </font>
    <font>
      <name val="SutonnyMJ"/>
      <family val="2"/>
      <color rgb="FF000000"/>
      <sz val="13"/>
    </font>
    <font>
      <name val="SutonnyMJ"/>
      <family val="2"/>
      <color rgb="FF000000"/>
      <sz val="23"/>
      <u val="single"/>
    </font>
    <font>
      <name val="SutonnyMJ"/>
      <family val="2"/>
      <color rgb="FF000000"/>
      <sz val="12"/>
      <u val="single"/>
    </font>
    <font>
      <name val="SutonnyMJ"/>
      <family val="2"/>
      <color rgb="FF000000"/>
      <sz val="13"/>
      <u val="single"/>
    </font>
    <font>
      <name val="SutonnyMJ"/>
      <family val="2"/>
      <b val="1"/>
      <color rgb="FF7f7f7f"/>
      <sz val="13"/>
    </font>
    <font>
      <name val="Calibri"/>
      <family val="2"/>
      <i val="1"/>
      <color rgb="FF00b050"/>
      <sz val="11"/>
    </font>
    <font>
      <name val="SutonnyMJ"/>
      <family val="2"/>
      <b val="1"/>
      <i val="1"/>
      <color rgb="FF00b050"/>
      <sz val="14"/>
    </font>
    <font>
      <name val="SutonnyMJ"/>
      <family val="2"/>
      <b val="1"/>
      <i val="1"/>
      <color rgb="FF00b050"/>
      <sz val="16"/>
    </font>
    <font>
      <name val="SutonnyMJ"/>
      <family val="2"/>
      <b val="1"/>
      <color rgb="FF000000"/>
      <sz val="12"/>
    </font>
    <font>
      <name val="SutonnyMJ"/>
      <family val="2"/>
      <color rgb="FF000000"/>
      <sz val="14"/>
    </font>
    <font>
      <name val="SutonnyMJ"/>
      <family val="2"/>
      <b val="1"/>
      <color rgb="FF000000"/>
      <sz val="14"/>
    </font>
    <font>
      <name val="SutonnyMJ"/>
      <family val="2"/>
      <color rgb="FF0000ff"/>
      <sz val="12"/>
    </font>
    <font>
      <name val="Calibri"/>
      <family val="2"/>
      <color rgb="FF000000"/>
      <sz val="12"/>
    </font>
    <font>
      <name val="SutonnyMJ"/>
      <family val="2"/>
      <b val="1"/>
      <color rgb="FF000000"/>
      <sz val="14"/>
      <u val="single"/>
    </font>
    <font>
      <name val="SutonnyMJ"/>
      <family val="2"/>
      <b val="1"/>
      <color rgb="FF00b050"/>
      <sz val="16"/>
    </font>
    <font>
      <name val="SutonnyMJ"/>
      <family val="2"/>
      <b val="1"/>
      <color rgb="FF00b050"/>
      <sz val="26"/>
    </font>
    <font>
      <name val="SutonnyMJ"/>
      <family val="2"/>
      <b val="1"/>
      <color rgb="FF00b050"/>
      <sz val="12"/>
    </font>
    <font>
      <name val="SutonnyMJ"/>
      <family val="2"/>
      <color rgb="FF00b050"/>
      <sz val="12"/>
    </font>
    <font>
      <name val="Calibri"/>
      <family val="2"/>
      <color rgb="FF00b050"/>
      <sz val="11"/>
    </font>
    <font>
      <name val="SutonnyMJ"/>
      <family val="2"/>
      <color rgb="FF000000"/>
      <sz val="10"/>
    </font>
    <font>
      <name val="SutonnyMJ"/>
      <family val="2"/>
      <color rgb="FF000000"/>
      <sz val="6"/>
    </font>
    <font>
      <name val="SutonnyMJ"/>
      <family val="2"/>
      <b val="1"/>
      <color rgb="FF000000"/>
      <sz val="34"/>
    </font>
    <font>
      <name val="SutonnyMJ"/>
      <family val="2"/>
      <color rgb="FF003a00"/>
      <sz val="23"/>
    </font>
    <font>
      <name val="SutonnyMJ"/>
      <family val="2"/>
      <color rgb="FF003a00"/>
      <sz val="21"/>
    </font>
    <font>
      <name val="SutonnyMJ"/>
      <family val="2"/>
      <color rgb="FF003a00"/>
      <sz val="16"/>
    </font>
    <font>
      <name val="SutonnyMJ"/>
      <family val="2"/>
      <b val="1"/>
      <color rgb="FF000000"/>
      <sz val="22"/>
    </font>
    <font>
      <name val="SutonnyMJ"/>
      <family val="2"/>
      <b val="1"/>
      <color rgb="FF000000"/>
      <sz val="20"/>
    </font>
    <font>
      <name val="SutonnyMJ"/>
      <family val="2"/>
      <color rgb="FFc00000"/>
      <sz val="11"/>
    </font>
    <font>
      <name val="Calibri"/>
      <family val="2"/>
      <color rgb="FF0000ff"/>
      <sz val="11"/>
    </font>
    <font>
      <name val="Nikosh"/>
      <family val="2"/>
      <color rgb="FF000000"/>
      <sz val="12"/>
    </font>
    <font>
      <name val="SutonnyMJ"/>
      <family val="2"/>
      <color rgb="FFc00000"/>
      <sz val="12"/>
    </font>
    <font>
      <name val="Times New Roman"/>
      <family val="2"/>
      <color rgb="FF000000"/>
      <sz val="7"/>
    </font>
    <font>
      <name val="TonnyBanglaMJ"/>
      <family val="2"/>
      <b val="1"/>
      <color rgb="FF000000"/>
      <sz val="14"/>
    </font>
    <font>
      <name val="SulekhaT"/>
      <family val="2"/>
      <color rgb="FF000000"/>
      <sz val="11"/>
    </font>
    <font>
      <name val="SutonnyMJ"/>
      <family val="2"/>
      <b val="1"/>
      <color rgb="FF006600"/>
      <sz val="22"/>
    </font>
    <font>
      <name val="Calibri"/>
      <family val="2"/>
      <color rgb="FF000000"/>
      <sz val="10"/>
    </font>
    <font>
      <name val="SutonnyMJ"/>
      <family val="2"/>
      <b val="1"/>
      <color rgb="FF006600"/>
      <sz val="16"/>
    </font>
    <font>
      <name val="SutonnyMJ"/>
      <family val="2"/>
      <color rgb="FFffffff"/>
      <sz val="12"/>
    </font>
    <font>
      <name val="SutonnyMJ"/>
      <family val="2"/>
      <b val="1"/>
      <color rgb="FF000000"/>
      <sz val="9"/>
    </font>
    <font>
      <name val="SutonnyMJ"/>
      <family val="2"/>
      <color rgb="FF000000"/>
      <sz val="14"/>
      <u val="single"/>
    </font>
    <font>
      <name val="SutonnyMJ"/>
      <family val="2"/>
      <b val="1"/>
      <color rgb="FF000000"/>
      <sz val="12"/>
      <u val="single"/>
    </font>
    <font>
      <name val="SutonnyMJ"/>
      <family val="2"/>
      <color rgb="FF000000"/>
      <sz val="7"/>
    </font>
    <font>
      <name val="SutonnyMJ"/>
      <family val="2"/>
      <color theme="1"/>
      <sz val="11"/>
    </font>
    <font>
      <name val="Sitka Banner"/>
      <family val="2"/>
      <color rgb="FF000000"/>
      <sz val="11"/>
    </font>
    <font>
      <name val="SutonnyMJ"/>
      <family val="2"/>
      <color rgb="FF000000"/>
      <sz val="30"/>
    </font>
    <font>
      <name val="SutonnyMJ"/>
      <family val="2"/>
      <b val="1"/>
      <color theme="1"/>
      <sz val="20"/>
    </font>
    <font>
      <name val="SutonnyMJ"/>
      <family val="2"/>
      <color theme="1"/>
      <sz val="18"/>
    </font>
    <font>
      <name val="SutonnyMJ"/>
      <family val="2"/>
      <color rgb="FF000000"/>
      <sz val="23"/>
    </font>
    <font>
      <name val="SutonnyMJ"/>
      <family val="2"/>
      <color theme="1"/>
      <sz val="20"/>
    </font>
    <font>
      <name val="TonnyBanglaMJ"/>
      <family val="2"/>
      <b val="1"/>
      <color rgb="FF000000"/>
      <sz val="20"/>
      <u val="single"/>
    </font>
    <font>
      <name val="TonnyBanglaMJ"/>
      <family val="2"/>
      <b val="1"/>
      <color rgb="FF000000"/>
      <sz val="15"/>
      <u val="single"/>
    </font>
    <font>
      <name val="SutonnyMJ"/>
      <family val="2"/>
      <color theme="1"/>
      <sz val="23"/>
    </font>
    <font>
      <name val="TonnyBanglaMJ"/>
      <family val="2"/>
      <color rgb="FF000000"/>
      <sz val="14"/>
    </font>
    <font>
      <name val="SutonnyMJ"/>
      <family val="2"/>
      <b val="1"/>
      <color rgb="FF000000"/>
      <sz val="16"/>
      <u val="single"/>
    </font>
    <font>
      <name val="SutonnyMJ"/>
      <family val="2"/>
      <color theme="1"/>
      <sz val="14"/>
    </font>
    <font>
      <name val="SutonnyMJ"/>
      <family val="2"/>
      <b val="1"/>
      <color theme="1"/>
      <sz val="14"/>
      <u val="single"/>
    </font>
    <font>
      <name val="SutonnyMJ"/>
      <family val="2"/>
      <b val="1"/>
      <color rgb="FF006600"/>
      <sz val="24"/>
    </font>
    <font>
      <name val="Calibri"/>
      <family val="2"/>
      <color rgb="FF000000"/>
      <sz val="11"/>
    </font>
    <font>
      <name val="Calibri"/>
      <family val="2"/>
      <color rgb="FF000000"/>
      <sz val="9"/>
    </font>
    <font>
      <name val="Calibri"/>
      <family val="2"/>
      <color theme="1"/>
      <sz val="11"/>
    </font>
    <font>
      <name val="SutonnyMJ"/>
      <family val="2"/>
      <b val="1"/>
      <color rgb="FF000000"/>
      <sz val="13"/>
      <u val="single"/>
    </font>
    <font>
      <name val="SutonnyMJ"/>
      <family val="2"/>
      <color theme="1"/>
      <sz val="13"/>
    </font>
    <font>
      <name val="Nikosh"/>
      <family val="2"/>
      <color rgb="FF000000"/>
      <sz val="13"/>
    </font>
    <font>
      <name val="SutonnyMJ"/>
      <family val="2"/>
      <color rgb="FF0000ff"/>
      <sz val="13"/>
    </font>
    <font>
      <name val="SutonnyMJ"/>
      <family val="2"/>
      <color rgb="FFff0000"/>
      <sz val="13"/>
    </font>
    <font>
      <name val="SutonnyMJ"/>
      <family val="2"/>
      <color rgb="FFff0000"/>
      <sz val="11"/>
    </font>
    <font>
      <name val="Nikosh"/>
      <family val="2"/>
      <color rgb="FF0000ff"/>
      <sz val="13"/>
    </font>
    <font>
      <name val="SutonnyMJ"/>
      <family val="2"/>
      <color rgb="FF0000ff"/>
      <sz val="11"/>
    </font>
    <font>
      <name val="SutonnyMJ"/>
      <family val="2"/>
      <color rgb="FFa5a5a5"/>
      <sz val="13"/>
    </font>
    <font>
      <name val="Calibri"/>
      <family val="2"/>
      <b val="1"/>
      <color rgb="FF000000"/>
      <sz val="13"/>
    </font>
    <font>
      <name val="Calibri"/>
      <family val="2"/>
      <color rgb="FF000000"/>
      <sz val="13"/>
    </font>
    <font>
      <name val="SutonnyMJ"/>
      <family val="2"/>
      <b val="1"/>
      <color rgb="FF0000ff"/>
      <sz val="13"/>
    </font>
    <font>
      <name val="Nikosh"/>
      <family val="2"/>
      <color rgb="FF0000ff"/>
      <sz val="12"/>
    </font>
    <font>
      <name val="Cambria"/>
      <family val="2"/>
      <color rgb="FF000000"/>
      <sz val="12"/>
    </font>
    <font>
      <name val="Calibri"/>
      <family val="2"/>
      <b val="1"/>
      <color rgb="FF000000"/>
      <sz val="11"/>
    </font>
    <font>
      <name val="SutonnyMJ"/>
      <family val="2"/>
      <b val="1"/>
      <color rgb="FF006600"/>
      <sz val="14"/>
    </font>
    <font>
      <name val="ArhialkhanMJ"/>
      <family val="2"/>
      <color rgb="FF000000"/>
      <sz val="11"/>
    </font>
    <font>
      <name val="AdarshaLipiNormal"/>
      <family val="2"/>
      <color rgb="FF000000"/>
      <sz val="11"/>
    </font>
    <font>
      <name val="AdarshaLipiNormal"/>
      <family val="2"/>
      <color rgb="FF000000"/>
      <sz val="10"/>
    </font>
    <font>
      <name val="Times New Roman"/>
      <family val="2"/>
      <color rgb="FF000000"/>
      <sz val="10"/>
    </font>
    <font>
      <name val="Calibri"/>
      <family val="2"/>
      <color theme="1"/>
      <sz val="13"/>
    </font>
    <font>
      <name val="SutonnyMJ"/>
      <family val="2"/>
      <b val="1"/>
      <color rgb="FF000000"/>
      <sz val="14"/>
      <u val="single"/>
    </font>
    <font>
      <name val="SutonnyMJ"/>
      <family val="2"/>
      <b val="1"/>
      <color rgb="FF000000"/>
      <sz val="18"/>
      <u val="single"/>
    </font>
    <font>
      <name val="SutonnyMJ"/>
      <family val="2"/>
      <color rgb="FF808080"/>
      <sz val="77"/>
    </font>
    <font>
      <name val="SutonnyMJ"/>
      <family val="2"/>
      <color rgb="FF000000"/>
      <sz val="77"/>
    </font>
    <font>
      <name val="SutonnyMJ"/>
      <family val="2"/>
      <color rgb="FF7f7f7f"/>
      <sz val="22"/>
    </font>
    <font>
      <name val="SutonnyMJ"/>
      <family val="2"/>
      <b val="1"/>
      <color rgb="FF000000"/>
      <sz val="23"/>
    </font>
    <font>
      <name val="SutonnyMJ"/>
      <family val="2"/>
      <color rgb="FF7f7f7f"/>
      <sz val="23"/>
    </font>
    <font>
      <name val="SutonnyMJ"/>
      <family val="2"/>
      <b val="1"/>
      <color rgb="FF7f7f7f"/>
      <sz val="23"/>
    </font>
    <font>
      <name val="SutonnyMJ"/>
      <family val="2"/>
      <b val="1"/>
      <color rgb="FF7f7f7f"/>
      <sz val="20"/>
    </font>
    <font>
      <name val="SutonnyMJ"/>
      <family val="2"/>
      <b val="1"/>
      <color theme="1"/>
      <sz val="13"/>
    </font>
    <font>
      <name val="SutonnyMJ"/>
      <family val="2"/>
      <b val="1"/>
      <color rgb="FF000000"/>
      <sz val="15"/>
    </font>
    <font>
      <name val="Calibri"/>
      <family val="2"/>
      <color rgb="FFff0000"/>
      <sz val="11"/>
    </font>
    <font>
      <name val="Calibri"/>
      <family val="2"/>
      <color rgb="FFff0000"/>
      <sz val="14"/>
    </font>
    <font>
      <name val="SutonnyMJ"/>
      <family val="2"/>
      <color rgb="FF5a2781"/>
      <sz val="14"/>
    </font>
    <font>
      <name val="SutonnyMJ"/>
      <family val="2"/>
      <color rgb="FF5a2781"/>
      <sz val="12"/>
    </font>
    <font>
      <name val="SutonnyMJ"/>
      <family val="2"/>
      <b val="1"/>
      <color rgb="FF000000"/>
      <sz val="15"/>
      <u val="single"/>
    </font>
    <font>
      <name val="SutonnyMJ"/>
      <family val="2"/>
      <b val="1"/>
      <color rgb="FF0000ff"/>
      <sz val="15"/>
      <u val="single"/>
    </font>
    <font>
      <name val="SutonnyMJ"/>
      <family val="2"/>
      <color rgb="FFff0000"/>
      <sz val="11"/>
      <u val="single"/>
    </font>
    <font>
      <name val="SutonnyMJ"/>
      <family val="2"/>
      <color rgb="FFff0000"/>
      <sz val="12"/>
      <u val="single"/>
    </font>
    <font>
      <name val="SutonnyMJ"/>
      <family val="2"/>
      <b val="1"/>
      <i val="1"/>
      <color rgb="FF000000"/>
      <sz val="14"/>
    </font>
    <font>
      <name val="SutonnyMJ"/>
      <family val="2"/>
      <color rgb="FF0000ff"/>
      <sz val="14"/>
    </font>
    <font>
      <name val="SutonnyMJ"/>
      <family val="2"/>
      <color rgb="FFff0000"/>
      <sz val="14"/>
    </font>
    <font>
      <name val="NikoshBAN"/>
      <family val="2"/>
      <color rgb="FF000000"/>
      <sz val="14"/>
    </font>
    <font>
      <name val="NikoshBAN"/>
      <family val="2"/>
      <color rgb="FF0000ff"/>
      <sz val="14"/>
    </font>
    <font>
      <name val="Calibri"/>
      <family val="2"/>
      <b val="1"/>
      <color rgb="FF000000"/>
      <sz val="14"/>
    </font>
    <font>
      <name val="NikoshBAN"/>
      <family val="2"/>
      <color theme="1"/>
      <sz val="12"/>
    </font>
    <font>
      <name val="Calibri"/>
      <family val="2"/>
      <color theme="1"/>
      <sz val="14"/>
    </font>
    <font>
      <name val="NikoshBAN"/>
      <family val="2"/>
      <color theme="1"/>
      <sz val="11"/>
    </font>
    <font>
      <name val="SutonnyMJ"/>
      <family val="2"/>
      <color rgb="FF000000"/>
      <sz val="15"/>
    </font>
    <font>
      <name val="SutonnyMJ"/>
      <family val="2"/>
      <b val="1"/>
      <color rgb="FFff0000"/>
      <sz val="12"/>
    </font>
    <font>
      <name val="NikoshBAN"/>
      <family val="2"/>
      <color rgb="FF000000"/>
      <sz val="16"/>
    </font>
    <font>
      <name val="SutonnyMJ"/>
      <family val="2"/>
      <color rgb="FFff0000"/>
      <sz val="16"/>
    </font>
    <font>
      <name val="SutonnyMJ"/>
      <family val="2"/>
      <color rgb="FF006600"/>
      <sz val="14"/>
    </font>
    <font>
      <name val="Calibri"/>
      <family val="2"/>
      <color rgb="FF000000"/>
      <sz val="11"/>
      <u val="single"/>
    </font>
    <font>
      <name val="Times New Roman"/>
      <family val="2"/>
      <color theme="1"/>
      <sz val="12"/>
    </font>
    <font>
      <name val="SutonnyMJ"/>
      <family val="2"/>
      <b val="1"/>
      <color theme="1"/>
      <sz val="18"/>
    </font>
  </fonts>
  <fills count="21">
    <fill>
      <patternFill/>
    </fill>
    <fill>
      <patternFill patternType="gray125"/>
    </fill>
    <fill>
      <patternFill patternType="solid">
        <fgColor rgb="FFd9d9d9"/>
      </patternFill>
    </fill>
    <fill>
      <patternFill patternType="solid">
        <fgColor rgb="FFffff00"/>
      </patternFill>
    </fill>
    <fill>
      <patternFill patternType="solid">
        <fgColor rgb="FFf2f2f2"/>
      </patternFill>
    </fill>
    <fill>
      <patternFill patternType="solid">
        <fgColor rgb="FFffffff"/>
      </patternFill>
    </fill>
    <fill>
      <patternFill patternType="solid">
        <fgColor rgb="FFffc000"/>
      </patternFill>
    </fill>
    <fill>
      <patternFill patternType="solid">
        <fgColor rgb="FFd8d8d8"/>
      </patternFill>
    </fill>
    <fill>
      <patternFill patternType="solid">
        <fgColor rgb="FFc6d9f1"/>
      </patternFill>
    </fill>
    <fill>
      <patternFill patternType="solid">
        <fgColor rgb="FF00b050"/>
      </patternFill>
    </fill>
    <fill>
      <patternFill patternType="solid">
        <fgColor rgb="FFb9cde5"/>
      </patternFill>
    </fill>
    <fill>
      <patternFill patternType="solid">
        <fgColor rgb="FFfcd5b5"/>
      </patternFill>
    </fill>
    <fill>
      <patternFill patternType="solid">
        <fgColor rgb="FFc3d69b"/>
      </patternFill>
    </fill>
    <fill>
      <patternFill patternType="solid">
        <fgColor rgb="FFe6e0ec"/>
      </patternFill>
    </fill>
    <fill>
      <patternFill patternType="solid">
        <fgColor rgb="FFd7e4bd"/>
      </patternFill>
    </fill>
    <fill>
      <patternFill patternType="solid">
        <fgColor rgb="FFb7dee8"/>
      </patternFill>
    </fill>
    <fill>
      <patternFill patternType="solid">
        <fgColor rgb="FFf2dcdb"/>
      </patternFill>
    </fill>
    <fill>
      <patternFill patternType="solid">
        <fgColor rgb="FFddd9c3"/>
      </patternFill>
    </fill>
    <fill>
      <patternFill patternType="solid">
        <fgColor rgb="FFafffaf"/>
      </patternFill>
    </fill>
    <fill>
      <patternFill patternType="solid">
        <fgColor rgb="FF93cddd"/>
      </patternFill>
    </fill>
    <fill>
      <patternFill patternType="solid">
        <fgColor rgb="FF8eb4e3"/>
      </patternFill>
    </fill>
  </fills>
  <borders count="203">
    <border>
      <left/>
      <right/>
      <top/>
      <bottom/>
      <diagonal/>
    </border>
    <border>
      <left/>
      <right/>
      <top/>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style="thin">
        <color rgb="FF000000"/>
      </left>
      <right/>
      <top style="medium">
        <color rgb="FF000000"/>
      </top>
      <bottom style="medium">
        <color rgb="FF000000"/>
      </bottom>
      <diagonal/>
    </border>
    <border>
      <left/>
      <right style="thin">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style="thin">
        <color rgb="FF000000"/>
      </left>
      <right style="thin">
        <color rgb="FF000000"/>
      </right>
      <top style="thin">
        <color rgb="FF000000"/>
      </top>
      <bottom/>
      <diagonal/>
    </border>
    <border>
      <left style="thin">
        <color rgb="FF0000ff"/>
      </left>
      <right style="thin">
        <color rgb="FF817e00"/>
      </right>
      <top style="thin">
        <color rgb="FF0000ff"/>
      </top>
      <bottom style="thin">
        <color rgb="FF817e00"/>
      </bottom>
      <diagonal/>
    </border>
    <border>
      <left style="thin">
        <color rgb="FF817e00"/>
      </left>
      <right style="thin">
        <color rgb="FF817e00"/>
      </right>
      <top style="thin">
        <color rgb="FF0000ff"/>
      </top>
      <bottom style="thin">
        <color rgb="FF817e00"/>
      </bottom>
      <diagonal/>
    </border>
    <border>
      <left style="thin">
        <color rgb="FF817e00"/>
      </left>
      <right style="thin">
        <color rgb="FF0000ff"/>
      </right>
      <top style="thin">
        <color rgb="FF0000ff"/>
      </top>
      <bottom style="thin">
        <color rgb="FF817e00"/>
      </bottom>
      <diagonal/>
    </border>
    <border>
      <left style="thin">
        <color rgb="FF0000ff"/>
      </left>
      <right style="thin">
        <color rgb="FF817e00"/>
      </right>
      <top style="thin">
        <color rgb="FF817e00"/>
      </top>
      <bottom style="thin">
        <color rgb="FF817e00"/>
      </bottom>
      <diagonal/>
    </border>
    <border>
      <left style="thin">
        <color rgb="FF817e00"/>
      </left>
      <right style="thin">
        <color rgb="FF817e00"/>
      </right>
      <top style="thin">
        <color rgb="FF817e00"/>
      </top>
      <bottom style="thin">
        <color rgb="FF817e00"/>
      </bottom>
      <diagonal/>
    </border>
    <border>
      <left style="thin">
        <color rgb="FF817e00"/>
      </left>
      <right style="thin">
        <color rgb="FF0000ff"/>
      </right>
      <top style="thin">
        <color rgb="FF817e00"/>
      </top>
      <bottom style="thin">
        <color rgb="FF817e00"/>
      </bottom>
      <diagonal/>
    </border>
    <border>
      <left style="thin">
        <color rgb="FF0000ff"/>
      </left>
      <right style="thin">
        <color rgb="FF817e00"/>
      </right>
      <top style="thin">
        <color rgb="FF817e00"/>
      </top>
      <bottom style="thin">
        <color rgb="FF0000ff"/>
      </bottom>
      <diagonal/>
    </border>
    <border>
      <left style="thin">
        <color rgb="FF817e00"/>
      </left>
      <right style="thin">
        <color rgb="FF817e00"/>
      </right>
      <top style="thin">
        <color rgb="FF817e00"/>
      </top>
      <bottom style="thin">
        <color rgb="FF0000ff"/>
      </bottom>
      <diagonal/>
    </border>
    <border>
      <left style="thin">
        <color rgb="FF817e00"/>
      </left>
      <right style="thin">
        <color rgb="FF0000ff"/>
      </right>
      <top style="thin">
        <color rgb="FF817e00"/>
      </top>
      <bottom style="thin">
        <color rgb="FF0000ff"/>
      </bottom>
      <diagonal/>
    </border>
    <border>
      <left style="thin">
        <color rgb="FF0000ff"/>
      </left>
      <right style="thin">
        <color rgb="FF5bff5b"/>
      </right>
      <top style="thin">
        <color rgb="FF0000ff"/>
      </top>
      <bottom style="thin">
        <color rgb="FF5bff5b"/>
      </bottom>
      <diagonal/>
    </border>
    <border>
      <left style="thin">
        <color rgb="FF5bff5b"/>
      </left>
      <right style="thin">
        <color rgb="FF5bff5b"/>
      </right>
      <top style="thin">
        <color rgb="FF0000ff"/>
      </top>
      <bottom style="thin">
        <color rgb="FF5bff5b"/>
      </bottom>
      <diagonal/>
    </border>
    <border>
      <left style="thin">
        <color rgb="FF5bff5b"/>
      </left>
      <right style="thin">
        <color rgb="FF0000ff"/>
      </right>
      <top style="thin">
        <color rgb="FF0000ff"/>
      </top>
      <bottom style="thin">
        <color rgb="FF5bff5b"/>
      </bottom>
      <diagonal/>
    </border>
    <border>
      <left style="thin">
        <color rgb="FF0000ff"/>
      </left>
      <right style="thin">
        <color rgb="FF5bff5b"/>
      </right>
      <top style="thin">
        <color rgb="FF5bff5b"/>
      </top>
      <bottom style="thin">
        <color rgb="FF5bff5b"/>
      </bottom>
      <diagonal/>
    </border>
    <border>
      <left style="thin">
        <color rgb="FF5bff5b"/>
      </left>
      <right style="thin">
        <color rgb="FF5bff5b"/>
      </right>
      <top style="thin">
        <color rgb="FF5bff5b"/>
      </top>
      <bottom style="thin">
        <color rgb="FF5bff5b"/>
      </bottom>
      <diagonal/>
    </border>
    <border>
      <left style="thin">
        <color rgb="FF5bff5b"/>
      </left>
      <right style="thin">
        <color rgb="FF0000ff"/>
      </right>
      <top style="thin">
        <color rgb="FF5bff5b"/>
      </top>
      <bottom style="thin">
        <color rgb="FF5bff5b"/>
      </bottom>
      <diagonal/>
    </border>
    <border>
      <left style="thin">
        <color rgb="FF0000ff"/>
      </left>
      <right style="thin">
        <color rgb="FF5bff5b"/>
      </right>
      <top style="thin">
        <color rgb="FF5bff5b"/>
      </top>
      <bottom style="thin">
        <color rgb="FF0000ff"/>
      </bottom>
      <diagonal/>
    </border>
    <border>
      <left style="thin">
        <color rgb="FF5bff5b"/>
      </left>
      <right style="thin">
        <color rgb="FF5bff5b"/>
      </right>
      <top style="thin">
        <color rgb="FF5bff5b"/>
      </top>
      <bottom style="thin">
        <color rgb="FF0000ff"/>
      </bottom>
      <diagonal/>
    </border>
    <border>
      <left style="thin">
        <color rgb="FF5bff5b"/>
      </left>
      <right style="thin">
        <color rgb="FF0000ff"/>
      </right>
      <top style="thin">
        <color rgb="FF5bff5b"/>
      </top>
      <bottom style="thin">
        <color rgb="FF0000ff"/>
      </bottom>
      <diagonal/>
    </border>
    <border>
      <left style="thin">
        <color rgb="FFc6c6c6"/>
      </left>
      <right style="thin">
        <color rgb="FFc6c6c6"/>
      </right>
      <top style="thin">
        <color rgb="FFc6c6c6"/>
      </top>
      <bottom style="thin">
        <color rgb="FFc6c6c6"/>
      </bottom>
      <diagonal/>
    </border>
    <border>
      <left style="thin">
        <color rgb="FFc6c6c6"/>
      </left>
      <right style="thin">
        <color rgb="FFc6c6c6"/>
      </right>
      <top style="thin">
        <color rgb="FF000000"/>
      </top>
      <bottom style="thin">
        <color rgb="FFc6c6c6"/>
      </bottom>
      <diagonal/>
    </border>
    <border>
      <left style="thin">
        <color rgb="FF000000"/>
      </left>
      <right style="thin">
        <color rgb="FFc6c6c6"/>
      </right>
      <top style="thin">
        <color rgb="FF000000"/>
      </top>
      <bottom style="thin">
        <color rgb="FF000000"/>
      </bottom>
      <diagonal/>
    </border>
    <border>
      <left style="thin">
        <color rgb="FFc6c6c6"/>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a6a6a6"/>
      </bottom>
      <diagonal/>
    </border>
    <border>
      <left style="thin">
        <color rgb="FFa6a6a6"/>
      </left>
      <right style="thin">
        <color rgb="FF000000"/>
      </right>
      <top style="thin">
        <color rgb="FF000000"/>
      </top>
      <bottom style="thin">
        <color rgb="FFa6a6a6"/>
      </bottom>
      <diagonal/>
    </border>
    <border>
      <left style="thin">
        <color rgb="FF000000"/>
      </left>
      <right style="thin">
        <color rgb="FFa6a6a6"/>
      </right>
      <top style="thin">
        <color rgb="FFa6a6a6"/>
      </top>
      <bottom style="thin">
        <color rgb="FFa6a6a6"/>
      </bottom>
      <diagonal/>
    </border>
    <border>
      <left style="thin">
        <color rgb="FFa6a6a6"/>
      </left>
      <right style="thin">
        <color rgb="FFa6a6a6"/>
      </right>
      <top style="thin">
        <color rgb="FFa6a6a6"/>
      </top>
      <bottom style="thin">
        <color rgb="FFa6a6a6"/>
      </bottom>
      <diagonal/>
    </border>
    <border>
      <left style="thin">
        <color rgb="FFa6a6a6"/>
      </left>
      <right style="thin">
        <color rgb="FF000000"/>
      </right>
      <top style="thin">
        <color rgb="FFa6a6a6"/>
      </top>
      <bottom style="thin">
        <color rgb="FFa6a6a6"/>
      </bottom>
      <diagonal/>
    </border>
    <border>
      <left style="thin">
        <color rgb="FFa6a6a6"/>
      </left>
      <right/>
      <top style="thin">
        <color rgb="FFa6a6a6"/>
      </top>
      <bottom style="thin">
        <color rgb="FFa6a6a6"/>
      </bottom>
      <diagonal/>
    </border>
    <border>
      <left/>
      <right/>
      <top style="thin">
        <color rgb="FFa6a6a6"/>
      </top>
      <bottom style="thin">
        <color rgb="FFa6a6a6"/>
      </bottom>
      <diagonal/>
    </border>
    <border>
      <left/>
      <right style="thin">
        <color rgb="FF000000"/>
      </right>
      <top style="thin">
        <color rgb="FFa6a6a6"/>
      </top>
      <bottom style="thin">
        <color rgb="FFa6a6a6"/>
      </bottom>
      <diagonal/>
    </border>
    <border>
      <left style="thin">
        <color rgb="FFa6a6a6"/>
      </left>
      <right style="thin">
        <color rgb="FFa6a6a6"/>
      </right>
      <top style="thin">
        <color rgb="FF000000"/>
      </top>
      <bottom style="thin">
        <color rgb="FF000000"/>
      </bottom>
      <diagonal/>
    </border>
    <border>
      <left style="thin">
        <color rgb="FFa6a6a6"/>
      </left>
      <right/>
      <top style="thin">
        <color rgb="FF000000"/>
      </top>
      <bottom style="thin">
        <color rgb="FF000000"/>
      </bottom>
      <diagonal/>
    </border>
    <border>
      <left/>
      <right/>
      <top style="thin">
        <color rgb="FFa6a6a6"/>
      </top>
      <bottom style="thin">
        <color rgb="FF000000"/>
      </bottom>
      <diagonal/>
    </border>
    <border>
      <left style="thin">
        <color rgb="FF000000"/>
      </left>
      <right style="thin">
        <color rgb="FF000000"/>
      </right>
      <top/>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style="thin">
        <color rgb="FFc6c6c6"/>
      </right>
      <top style="thin">
        <color rgb="FF000000"/>
      </top>
      <bottom style="thin">
        <color rgb="FFc6c6c6"/>
      </bottom>
      <diagonal/>
    </border>
    <border>
      <left style="thin">
        <color rgb="FFc6c6c6"/>
      </left>
      <right style="thin">
        <color rgb="FF000000"/>
      </right>
      <top style="thin">
        <color rgb="FF000000"/>
      </top>
      <bottom style="thin">
        <color rgb="FFc6c6c6"/>
      </bottom>
      <diagonal/>
    </border>
    <border>
      <left style="thin">
        <color rgb="FF000000"/>
      </left>
      <right style="thin">
        <color rgb="FFc6c6c6"/>
      </right>
      <top style="thin">
        <color rgb="FFc6c6c6"/>
      </top>
      <bottom style="thin">
        <color rgb="FFc6c6c6"/>
      </bottom>
      <diagonal/>
    </border>
    <border>
      <left style="thin">
        <color rgb="FFc6c6c6"/>
      </left>
      <right style="thin">
        <color rgb="FF000000"/>
      </right>
      <top style="thin">
        <color rgb="FFc6c6c6"/>
      </top>
      <bottom style="thin">
        <color rgb="FFc6c6c6"/>
      </bottom>
      <diagonal/>
    </border>
    <border>
      <left style="thin">
        <color rgb="FFc6c6c6"/>
      </left>
      <right style="thin">
        <color rgb="FFc6c6c6"/>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c6c6c6"/>
      </bottom>
      <diagonal/>
    </border>
    <border>
      <left style="thin">
        <color rgb="FF000000"/>
      </left>
      <right style="thin">
        <color rgb="FFc6c6c6"/>
      </right>
      <top style="thin">
        <color rgb="FFc6c6c6"/>
      </top>
      <bottom style="thin">
        <color rgb="FF000000"/>
      </bottom>
      <diagonal/>
    </border>
    <border>
      <left style="thin">
        <color rgb="FFc6c6c6"/>
      </left>
      <right style="thin">
        <color rgb="FFc6c6c6"/>
      </right>
      <top style="thin">
        <color rgb="FFc6c6c6"/>
      </top>
      <bottom style="thin">
        <color rgb="FF000000"/>
      </bottom>
      <diagonal/>
    </border>
    <border>
      <left style="thin">
        <color rgb="FFc6c6c6"/>
      </left>
      <right style="thin">
        <color rgb="FF000000"/>
      </right>
      <top style="thin">
        <color rgb="FFc6c6c6"/>
      </top>
      <bottom style="thin">
        <color rgb="FF000000"/>
      </bottom>
      <diagonal/>
    </border>
    <border>
      <left style="thin">
        <color rgb="FF0000ff"/>
      </left>
      <right style="thin">
        <color rgb="FF92d050"/>
      </right>
      <top style="thin">
        <color rgb="FF0000ff"/>
      </top>
      <bottom style="thin">
        <color rgb="FF92d050"/>
      </bottom>
      <diagonal/>
    </border>
    <border>
      <left style="thin">
        <color rgb="FF92d050"/>
      </left>
      <right style="thin">
        <color rgb="FF92d050"/>
      </right>
      <top style="thin">
        <color rgb="FF0000ff"/>
      </top>
      <bottom style="thin">
        <color rgb="FF92d050"/>
      </bottom>
      <diagonal/>
    </border>
    <border>
      <left style="thin">
        <color rgb="FF92d050"/>
      </left>
      <right style="thin">
        <color rgb="FF0000ff"/>
      </right>
      <top style="thin">
        <color rgb="FF0000ff"/>
      </top>
      <bottom style="thin">
        <color rgb="FF92d050"/>
      </bottom>
      <diagonal/>
    </border>
    <border>
      <left style="thin">
        <color rgb="FF0000ff"/>
      </left>
      <right style="thin">
        <color rgb="FF92d050"/>
      </right>
      <top style="thin">
        <color rgb="FF92d050"/>
      </top>
      <bottom style="thin">
        <color rgb="FF92d050"/>
      </bottom>
      <diagonal/>
    </border>
    <border>
      <left style="thin">
        <color rgb="FF92d050"/>
      </left>
      <right style="thin">
        <color rgb="FF92d050"/>
      </right>
      <top style="thin">
        <color rgb="FF92d050"/>
      </top>
      <bottom style="thin">
        <color rgb="FF92d050"/>
      </bottom>
      <diagonal/>
    </border>
    <border>
      <left style="thin">
        <color rgb="FF92d050"/>
      </left>
      <right style="thin">
        <color rgb="FF0000ff"/>
      </right>
      <top style="thin">
        <color rgb="FF92d050"/>
      </top>
      <bottom style="thin">
        <color rgb="FF92d050"/>
      </bottom>
      <diagonal/>
    </border>
    <border>
      <left style="thin">
        <color rgb="FF0000ff"/>
      </left>
      <right style="thin">
        <color rgb="FF92d050"/>
      </right>
      <top style="thin">
        <color rgb="FF92d050"/>
      </top>
      <bottom style="thin">
        <color rgb="FF0000ff"/>
      </bottom>
      <diagonal/>
    </border>
    <border>
      <left style="thin">
        <color rgb="FF92d050"/>
      </left>
      <right style="thin">
        <color rgb="FF92d050"/>
      </right>
      <top style="thin">
        <color rgb="FF92d050"/>
      </top>
      <bottom style="thin">
        <color rgb="FF0000ff"/>
      </bottom>
      <diagonal/>
    </border>
    <border>
      <left style="thin">
        <color rgb="FF92d050"/>
      </left>
      <right style="thin">
        <color rgb="FF0000ff"/>
      </right>
      <top style="thin">
        <color rgb="FF92d050"/>
      </top>
      <bottom style="thin">
        <color rgb="FF0000ff"/>
      </bottom>
      <diagonal/>
    </border>
    <border>
      <left/>
      <right/>
      <top style="thin">
        <color rgb="FF000000"/>
      </top>
      <bottom style="thin">
        <color rgb="FF404040"/>
      </bottom>
      <diagonal/>
    </border>
    <border>
      <left/>
      <right style="thin">
        <color rgb="FF404040"/>
      </right>
      <top style="thin">
        <color rgb="FF000000"/>
      </top>
      <bottom style="thin">
        <color rgb="FF404040"/>
      </bottom>
      <diagonal/>
    </border>
    <border>
      <left style="thin">
        <color rgb="FF404040"/>
      </left>
      <right style="thin">
        <color rgb="FF404040"/>
      </right>
      <top/>
      <bottom style="thin">
        <color rgb="FF404040"/>
      </bottom>
      <diagonal/>
    </border>
    <border>
      <left style="thin">
        <color rgb="FF404040"/>
      </left>
      <right/>
      <top style="thin">
        <color rgb="FF000000"/>
      </top>
      <bottom style="thin">
        <color rgb="FF000000"/>
      </bottom>
      <diagonal/>
    </border>
    <border>
      <left/>
      <right style="thin">
        <color rgb="FF404040"/>
      </right>
      <top style="thin">
        <color rgb="FF000000"/>
      </top>
      <bottom style="thin">
        <color rgb="FF000000"/>
      </bottom>
      <diagonal/>
    </border>
    <border>
      <left style="thin">
        <color rgb="FF404040"/>
      </left>
      <right/>
      <top style="thin">
        <color rgb="FF000000"/>
      </top>
      <bottom style="thin">
        <color rgb="FF404040"/>
      </bottom>
      <diagonal/>
    </border>
    <border>
      <left style="thin">
        <color rgb="FF404040"/>
      </left>
      <right style="thin">
        <color rgb="FF404040"/>
      </right>
      <top style="thin">
        <color rgb="FF404040"/>
      </top>
      <bottom style="thin">
        <color rgb="FF404040"/>
      </bottom>
      <diagonal/>
    </border>
    <border>
      <left style="thin">
        <color rgb="FF000000"/>
      </left>
      <right/>
      <top style="thin">
        <color rgb="FF404040"/>
      </top>
      <bottom style="thin">
        <color rgb="FF404040"/>
      </bottom>
      <diagonal/>
    </border>
    <border>
      <left/>
      <right/>
      <top style="thin">
        <color rgb="FF404040"/>
      </top>
      <bottom style="thin">
        <color rgb="FF404040"/>
      </bottom>
      <diagonal/>
    </border>
    <border>
      <left/>
      <right style="thin">
        <color rgb="FF404040"/>
      </right>
      <top style="thin">
        <color rgb="FF404040"/>
      </top>
      <bottom style="thin">
        <color rgb="FF404040"/>
      </bottom>
      <diagonal/>
    </border>
    <border>
      <left style="thin">
        <color rgb="FF404040"/>
      </left>
      <right style="thin">
        <color rgb="FFc6c6c6"/>
      </right>
      <top style="thin">
        <color rgb="FF404040"/>
      </top>
      <bottom style="thin">
        <color rgb="FF404040"/>
      </bottom>
      <diagonal/>
    </border>
    <border>
      <left style="thin">
        <color rgb="FFc6c6c6"/>
      </left>
      <right style="thin">
        <color rgb="FFc6c6c6"/>
      </right>
      <top style="thin">
        <color rgb="FF404040"/>
      </top>
      <bottom style="thin">
        <color rgb="FF404040"/>
      </bottom>
      <diagonal/>
    </border>
    <border>
      <left style="thin">
        <color rgb="FFc6c6c6"/>
      </left>
      <right style="thin">
        <color rgb="FF404040"/>
      </right>
      <top style="thin">
        <color rgb="FF404040"/>
      </top>
      <bottom style="thin">
        <color rgb="FF404040"/>
      </bottom>
      <diagonal/>
    </border>
    <border>
      <left style="thin">
        <color rgb="FFc6c6c6"/>
      </left>
      <right style="thin">
        <color rgb="FFc6c6c6"/>
      </right>
      <top style="thin">
        <color rgb="FFc6c6c6"/>
      </top>
      <bottom style="dotted">
        <color rgb="FF000000"/>
      </bottom>
      <diagonal/>
    </border>
    <border>
      <left style="thin">
        <color rgb="FFdbeef4"/>
      </left>
      <right style="thin">
        <color rgb="FFdbeef4"/>
      </right>
      <top style="thin">
        <color rgb="FFdbeef4"/>
      </top>
      <bottom style="thin">
        <color rgb="FFdbeef4"/>
      </bottom>
      <diagonal/>
    </border>
    <border>
      <left style="thin">
        <color rgb="FFdbeef4"/>
      </left>
      <right/>
      <top style="thin">
        <color rgb="FFdbeef4"/>
      </top>
      <bottom style="thin">
        <color rgb="FFdbeef4"/>
      </bottom>
      <diagonal/>
    </border>
    <border>
      <left/>
      <right style="thin">
        <color rgb="FFdbeef4"/>
      </right>
      <top style="thin">
        <color rgb="FFdbeef4"/>
      </top>
      <bottom style="thin">
        <color rgb="FFdbeef4"/>
      </bottom>
      <diagonal/>
    </border>
    <border>
      <left/>
      <right/>
      <top/>
      <bottom style="dotted">
        <color rgb="FF000000"/>
      </bottom>
      <diagonal/>
    </border>
    <border>
      <left style="thin">
        <color rgb="FFc6c6c6"/>
      </left>
      <right style="thin">
        <color rgb="FFc6c6c6"/>
      </right>
      <top style="dotted">
        <color rgb="FF000000"/>
      </top>
      <bottom style="dotted">
        <color rgb="FF000000"/>
      </bottom>
      <diagonal/>
    </border>
    <border>
      <left/>
      <right/>
      <top style="dotted">
        <color rgb="FF000000"/>
      </top>
      <bottom style="dotted">
        <color rgb="FF000000"/>
      </bottom>
      <diagonal/>
    </border>
    <border>
      <left style="thin">
        <color rgb="FFc6c6c6"/>
      </left>
      <right style="thin">
        <color rgb="FF000000"/>
      </right>
      <top style="medium">
        <color rgb="FF000000"/>
      </top>
      <bottom style="thin">
        <color rgb="FF000000"/>
      </bottom>
      <diagonal/>
    </border>
    <border>
      <left style="medium">
        <color rgb="FF000000"/>
      </left>
      <right style="thin">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medium">
        <color rgb="FF000000"/>
      </left>
      <right style="thin">
        <color rgb="FFc6c6c6"/>
      </right>
      <top style="medium">
        <color rgb="FF000000"/>
      </top>
      <bottom style="medium">
        <color rgb="FF000000"/>
      </bottom>
      <diagonal/>
    </border>
    <border>
      <left style="thin">
        <color rgb="FFc6c6c6"/>
      </left>
      <right style="medium">
        <color rgb="FF000000"/>
      </right>
      <top style="medium">
        <color rgb="FF000000"/>
      </top>
      <bottom style="medium">
        <color rgb="FF000000"/>
      </bottom>
      <diagonal/>
    </border>
    <border>
      <left/>
      <right style="medium">
        <color rgb="FF000000"/>
      </right>
      <top/>
      <bottom/>
      <diagonal/>
    </border>
    <border>
      <left style="thin">
        <color rgb="FF000000"/>
      </left>
      <right style="thin">
        <color rgb="FFc6c6c6"/>
      </right>
      <top style="medium">
        <color rgb="FF000000"/>
      </top>
      <bottom style="medium">
        <color rgb="FF000000"/>
      </bottom>
      <diagonal/>
    </border>
    <border>
      <left style="thin">
        <color rgb="FFc6c6c6"/>
      </left>
      <right style="medium">
        <color rgb="FF000000"/>
      </right>
      <top style="thin">
        <color rgb="FF000000"/>
      </top>
      <bottom style="thin">
        <color rgb="FF000000"/>
      </bottom>
      <diagonal/>
    </border>
    <border>
      <left style="thin">
        <color rgb="FF000000"/>
      </left>
      <right style="medium">
        <color rgb="FF000000"/>
      </right>
      <top style="thin">
        <color rgb="FF000000"/>
      </top>
      <bottom style="thin">
        <color rgb="FFc6c6c6"/>
      </bottom>
      <diagonal/>
    </border>
    <border>
      <left style="medium">
        <color rgb="FF000000"/>
      </left>
      <right style="thin">
        <color rgb="FF000000"/>
      </right>
      <top/>
      <bottom/>
      <diagonal/>
    </border>
    <border>
      <left style="medium">
        <color rgb="FF000000"/>
      </left>
      <right style="thin">
        <color rgb="FF000000"/>
      </right>
      <top style="thin">
        <color rgb="FFc6c6c6"/>
      </top>
      <bottom style="thin">
        <color rgb="FF000000"/>
      </bottom>
      <diagonal/>
    </border>
    <border>
      <left style="thin">
        <color rgb="FFc6c6c6"/>
      </left>
      <right style="medium">
        <color rgb="FF000000"/>
      </right>
      <top style="thin">
        <color rgb="FF000000"/>
      </top>
      <bottom style="medium">
        <color rgb="FF000000"/>
      </bottom>
      <diagonal/>
    </border>
    <border>
      <left style="medium">
        <color rgb="FF000000"/>
      </left>
      <right style="thin">
        <color rgb="FF000000"/>
      </right>
      <top style="thin">
        <color rgb="FF000000"/>
      </top>
      <bottom style="thin">
        <color rgb="FFc6c6c6"/>
      </bottom>
      <diagonal/>
    </border>
    <border>
      <left style="thin">
        <color rgb="FF000000"/>
      </left>
      <right style="thin">
        <color rgb="FF000000"/>
      </right>
      <top style="thin">
        <color rgb="FFc6c6c6"/>
      </top>
      <bottom style="thin">
        <color rgb="FF000000"/>
      </bottom>
      <diagonal/>
    </border>
    <border>
      <left style="thin">
        <color rgb="FF000000"/>
      </left>
      <right style="medium">
        <color rgb="FF000000"/>
      </right>
      <top style="thin">
        <color rgb="FFc6c6c6"/>
      </top>
      <bottom style="medium">
        <color rgb="FF000000"/>
      </bottom>
      <diagonal/>
    </border>
    <border>
      <left style="medium">
        <color rgb="FF000000"/>
      </left>
      <right style="thin">
        <color rgb="FF000000"/>
      </right>
      <top style="thin">
        <color rgb="FFc6c6c6"/>
      </top>
      <bottom style="medium">
        <color rgb="FF000000"/>
      </bottom>
      <diagonal/>
    </border>
    <border>
      <left style="thin">
        <color rgb="FF000000"/>
      </left>
      <right style="thin">
        <color rgb="FF000000"/>
      </right>
      <top style="thin">
        <color rgb="FFc6c6c6"/>
      </top>
      <bottom style="medium">
        <color rgb="FF000000"/>
      </bottom>
      <diagonal/>
    </border>
    <border>
      <left style="thin">
        <color rgb="FFc6c6c6"/>
      </left>
      <right style="thin">
        <color rgb="FFc6c6c6"/>
      </right>
      <top style="medium">
        <color rgb="FF000000"/>
      </top>
      <bottom style="medium">
        <color rgb="FF000000"/>
      </bottom>
      <diagonal/>
    </border>
    <border>
      <left style="medium">
        <color rgb="FF000000"/>
      </left>
      <right style="thin">
        <color rgb="FFc6c6c6"/>
      </right>
      <top style="medium">
        <color rgb="FF000000"/>
      </top>
      <bottom style="thin">
        <color rgb="FFc6c6c6"/>
      </bottom>
      <diagonal/>
    </border>
    <border>
      <left style="thin">
        <color rgb="FFc6c6c6"/>
      </left>
      <right style="thin">
        <color rgb="FFc6c6c6"/>
      </right>
      <top style="medium">
        <color rgb="FF000000"/>
      </top>
      <bottom style="thin">
        <color rgb="FFc6c6c6"/>
      </bottom>
      <diagonal/>
    </border>
    <border>
      <left style="thin">
        <color rgb="FFc6c6c6"/>
      </left>
      <right style="medium">
        <color rgb="FF000000"/>
      </right>
      <top style="medium">
        <color rgb="FF000000"/>
      </top>
      <bottom style="thin">
        <color rgb="FFc6c6c6"/>
      </bottom>
      <diagonal/>
    </border>
    <border>
      <left style="medium">
        <color rgb="FF000000"/>
      </left>
      <right style="thin">
        <color rgb="FFc6c6c6"/>
      </right>
      <top style="thin">
        <color rgb="FFc6c6c6"/>
      </top>
      <bottom style="thin">
        <color rgb="FFc6c6c6"/>
      </bottom>
      <diagonal/>
    </border>
    <border>
      <left style="thin">
        <color rgb="FFc6c6c6"/>
      </left>
      <right style="medium">
        <color rgb="FF000000"/>
      </right>
      <top style="thin">
        <color rgb="FFc6c6c6"/>
      </top>
      <bottom style="thin">
        <color rgb="FFc6c6c6"/>
      </bottom>
      <diagonal/>
    </border>
    <border>
      <left style="medium">
        <color rgb="FF000000"/>
      </left>
      <right style="thin">
        <color rgb="FFc6c6c6"/>
      </right>
      <top style="thin">
        <color rgb="FFc6c6c6"/>
      </top>
      <bottom style="medium">
        <color rgb="FF000000"/>
      </bottom>
      <diagonal/>
    </border>
    <border>
      <left style="thin">
        <color rgb="FFc6c6c6"/>
      </left>
      <right style="thin">
        <color rgb="FFc6c6c6"/>
      </right>
      <top style="thin">
        <color rgb="FFc6c6c6"/>
      </top>
      <bottom style="medium">
        <color rgb="FF000000"/>
      </bottom>
      <diagonal/>
    </border>
    <border>
      <left style="thin">
        <color rgb="FFc6c6c6"/>
      </left>
      <right style="medium">
        <color rgb="FF000000"/>
      </right>
      <top style="thin">
        <color rgb="FFc6c6c6"/>
      </top>
      <bottom style="medium">
        <color rgb="FF000000"/>
      </bottom>
      <diagonal/>
    </border>
    <border>
      <left style="thin">
        <color rgb="FF0000ff"/>
      </left>
      <right style="thin">
        <color rgb="FF00b050"/>
      </right>
      <top style="thin">
        <color rgb="FF0000ff"/>
      </top>
      <bottom style="thin">
        <color rgb="FF00b050"/>
      </bottom>
      <diagonal/>
    </border>
    <border>
      <left style="thin">
        <color rgb="FF00b050"/>
      </left>
      <right style="thin">
        <color rgb="FF00b050"/>
      </right>
      <top style="thin">
        <color rgb="FF0000ff"/>
      </top>
      <bottom style="thin">
        <color rgb="FF00b050"/>
      </bottom>
      <diagonal/>
    </border>
    <border>
      <left style="thin">
        <color rgb="FF00b050"/>
      </left>
      <right style="thin">
        <color rgb="FF0000ff"/>
      </right>
      <top style="thin">
        <color rgb="FF0000ff"/>
      </top>
      <bottom style="thin">
        <color rgb="FF00b050"/>
      </bottom>
      <diagonal/>
    </border>
    <border>
      <left style="thin">
        <color rgb="FF0000ff"/>
      </left>
      <right style="thin">
        <color rgb="FF00b050"/>
      </right>
      <top style="thin">
        <color rgb="FF00b050"/>
      </top>
      <bottom style="thin">
        <color rgb="FF00b050"/>
      </bottom>
      <diagonal/>
    </border>
    <border>
      <left style="thin">
        <color rgb="FF00b050"/>
      </left>
      <right style="thin">
        <color rgb="FF00b050"/>
      </right>
      <top style="thin">
        <color rgb="FF00b050"/>
      </top>
      <bottom style="thin">
        <color rgb="FF00b050"/>
      </bottom>
      <diagonal/>
    </border>
    <border>
      <left style="thin">
        <color rgb="FF00b050"/>
      </left>
      <right style="thin">
        <color rgb="FF0000ff"/>
      </right>
      <top style="thin">
        <color rgb="FF00b050"/>
      </top>
      <bottom style="thin">
        <color rgb="FF00b050"/>
      </bottom>
      <diagonal/>
    </border>
    <border>
      <left/>
      <right/>
      <top style="thin">
        <color rgb="FFc6c6c6"/>
      </top>
      <bottom/>
      <diagonal/>
    </border>
    <border>
      <left/>
      <right style="thin">
        <color rgb="FFc6c6c6"/>
      </right>
      <top style="thin">
        <color rgb="FFc6c6c6"/>
      </top>
      <bottom/>
      <diagonal/>
    </border>
    <border>
      <left/>
      <right/>
      <top style="thin">
        <color rgb="FFc6c6c6"/>
      </top>
      <bottom style="thin">
        <color rgb="FFc6c6c6"/>
      </bottom>
      <diagonal/>
    </border>
    <border>
      <left/>
      <right style="thin">
        <color rgb="FFc6c6c6"/>
      </right>
      <top style="thin">
        <color rgb="FFc6c6c6"/>
      </top>
      <bottom style="thin">
        <color rgb="FFc6c6c6"/>
      </bottom>
      <diagonal/>
    </border>
    <border>
      <left style="thin">
        <color rgb="FFc6c6c6"/>
      </left>
      <right/>
      <top/>
      <bottom/>
      <diagonal/>
    </border>
    <border>
      <left/>
      <right style="thin">
        <color rgb="FFc6c6c6"/>
      </right>
      <top/>
      <bottom/>
      <diagonal/>
    </border>
    <border>
      <left style="thin">
        <color rgb="FFc6c6c6"/>
      </left>
      <right/>
      <top/>
      <bottom style="thin">
        <color rgb="FFc6c6c6"/>
      </bottom>
      <diagonal/>
    </border>
    <border>
      <left/>
      <right/>
      <top/>
      <bottom style="thin">
        <color rgb="FFc6c6c6"/>
      </bottom>
      <diagonal/>
    </border>
    <border>
      <left/>
      <right style="thin">
        <color rgb="FFc6c6c6"/>
      </right>
      <top/>
      <bottom style="thin">
        <color rgb="FFc6c6c6"/>
      </bottom>
      <diagonal/>
    </border>
    <border>
      <left/>
      <right style="thin">
        <color rgb="FFc6c6c6"/>
      </right>
      <top style="medium">
        <color rgb="FF000000"/>
      </top>
      <bottom/>
      <diagonal/>
    </border>
    <border>
      <left/>
      <right style="thin">
        <color rgb="FFc6c6c6"/>
      </right>
      <top style="medium">
        <color rgb="FF000000"/>
      </top>
      <bottom style="medium">
        <color rgb="FF000000"/>
      </bottom>
      <diagonal/>
    </border>
    <border>
      <left/>
      <right style="thin">
        <color rgb="FF000000"/>
      </right>
      <top style="medium">
        <color rgb="FF000000"/>
      </top>
      <bottom style="thin">
        <color rgb="FF000000"/>
      </bottom>
      <diagonal/>
    </border>
    <border>
      <left/>
      <right style="thin">
        <color rgb="FF000000"/>
      </right>
      <top style="thin">
        <color rgb="FF000000"/>
      </top>
      <bottom style="medium">
        <color rgb="FF000000"/>
      </bottom>
      <diagonal/>
    </border>
    <border>
      <left style="medium">
        <color rgb="FF000000"/>
      </left>
      <right/>
      <top/>
      <bottom/>
      <diagonal/>
    </border>
    <border>
      <left style="medium">
        <color rgb="FF000000"/>
      </left>
      <right/>
      <top/>
      <bottom style="thin">
        <color rgb="FFc6c6c6"/>
      </bottom>
      <diagonal/>
    </border>
    <border>
      <left/>
      <right/>
      <top style="medium">
        <color rgb="FF000000"/>
      </top>
      <bottom style="thin">
        <color rgb="FFc6c6c6"/>
      </bottom>
      <diagonal/>
    </border>
    <border>
      <left/>
      <right style="thin">
        <color rgb="FFc6c6c6"/>
      </right>
      <top style="medium">
        <color rgb="FF000000"/>
      </top>
      <bottom style="thin">
        <color rgb="FFc6c6c6"/>
      </bottom>
      <diagonal/>
    </border>
    <border>
      <left/>
      <right/>
      <top style="thin">
        <color rgb="FFc6c6c6"/>
      </top>
      <bottom style="medium">
        <color rgb="FF000000"/>
      </bottom>
      <diagonal/>
    </border>
    <border>
      <left/>
      <right style="thin">
        <color rgb="FFc6c6c6"/>
      </right>
      <top style="thin">
        <color rgb="FFc6c6c6"/>
      </top>
      <bottom style="medium">
        <color rgb="FF000000"/>
      </bottom>
      <diagonal/>
    </border>
    <border>
      <left/>
      <right/>
      <top style="thin">
        <color rgb="FFc6c6c6"/>
      </top>
      <bottom style="dotted">
        <color rgb="FF000000"/>
      </bottom>
      <diagonal/>
    </border>
    <border>
      <left/>
      <right style="thin">
        <color rgb="FFc6c6c6"/>
      </right>
      <top style="thin">
        <color rgb="FFc6c6c6"/>
      </top>
      <bottom style="dotted">
        <color rgb="FF000000"/>
      </bottom>
      <diagonal/>
    </border>
    <border>
      <left/>
      <right style="thin">
        <color rgb="FFc6c6c6"/>
      </right>
      <top style="thin">
        <color rgb="FF000000"/>
      </top>
      <bottom/>
      <diagonal/>
    </border>
    <border>
      <left/>
      <right style="thin">
        <color rgb="FFc6c6c6"/>
      </right>
      <top style="thin">
        <color rgb="FF000000"/>
      </top>
      <bottom style="thin">
        <color rgb="FF000000"/>
      </bottom>
      <diagonal/>
    </border>
    <border>
      <left style="medium">
        <color rgb="FF000000"/>
      </left>
      <right style="medium">
        <color rgb="FF000000"/>
      </right>
      <top style="medium">
        <color rgb="FF000000"/>
      </top>
      <bottom/>
      <diagonal/>
    </border>
    <border>
      <left/>
      <right/>
      <top style="thin">
        <color rgb="FFdbeef4"/>
      </top>
      <bottom/>
      <diagonal/>
    </border>
    <border>
      <left/>
      <right style="thin">
        <color rgb="FFdbeef4"/>
      </right>
      <top style="thin">
        <color rgb="FFdbeef4"/>
      </top>
      <bottom/>
      <diagonal/>
    </border>
    <border>
      <left/>
      <right/>
      <top style="thin">
        <color rgb="FFdbeef4"/>
      </top>
      <bottom style="thin">
        <color rgb="FFdbeef4"/>
      </bottom>
      <diagonal/>
    </border>
    <border>
      <left/>
      <right/>
      <top style="dotted">
        <color rgb="FF000000"/>
      </top>
      <bottom/>
      <diagonal/>
    </border>
    <border>
      <left/>
      <right style="thin">
        <color rgb="FFc6c6c6"/>
      </right>
      <top style="dotted">
        <color rgb="FF000000"/>
      </top>
      <bottom/>
      <diagonal/>
    </border>
    <border>
      <left/>
      <right style="thin">
        <color rgb="FFc6c6c6"/>
      </right>
      <top style="dotted">
        <color rgb="FF000000"/>
      </top>
      <bottom style="dotted">
        <color rgb="FF000000"/>
      </bottom>
      <diagonal/>
    </border>
    <border>
      <left/>
      <right style="thin">
        <color rgb="FFc6c6c6"/>
      </right>
      <top style="thin">
        <color rgb="FF000000"/>
      </top>
      <bottom style="thin">
        <color rgb="FFc6c6c6"/>
      </bottom>
      <diagonal/>
    </border>
    <border>
      <left/>
      <right style="thin">
        <color rgb="FFc6c6c6"/>
      </right>
      <top style="thin">
        <color rgb="FFc6c6c6"/>
      </top>
      <bottom style="thin">
        <color rgb="FF000000"/>
      </bottom>
      <diagonal/>
    </border>
    <border>
      <left/>
      <right style="thin">
        <color rgb="FF404040"/>
      </right>
      <top style="thin">
        <color rgb="FF000000"/>
      </top>
      <bottom/>
      <diagonal/>
    </border>
    <border>
      <left style="thin">
        <color rgb="FF404040"/>
      </left>
      <right style="thin">
        <color rgb="FF404040"/>
      </right>
      <top style="thin">
        <color rgb="FF000000"/>
      </top>
      <bottom style="thin">
        <color rgb="FF000000"/>
      </bottom>
      <diagonal/>
    </border>
    <border>
      <left style="thin">
        <color rgb="FF404040"/>
      </left>
      <right style="thin">
        <color rgb="FF404040"/>
      </right>
      <top style="thin">
        <color rgb="FF000000"/>
      </top>
      <bottom style="thin">
        <color rgb="FF404040"/>
      </bottom>
      <diagonal/>
    </border>
    <border>
      <left/>
      <right/>
      <top style="thin">
        <color rgb="FF404040"/>
      </top>
      <bottom/>
      <diagonal/>
    </border>
    <border>
      <left/>
      <right style="thin">
        <color rgb="FF404040"/>
      </right>
      <top style="thin">
        <color rgb="FF404040"/>
      </top>
      <bottom/>
      <diagonal/>
    </border>
    <border>
      <left/>
      <right style="thin">
        <color rgb="FF404040"/>
      </right>
      <top/>
      <bottom/>
      <diagonal/>
    </border>
    <border>
      <left/>
      <right style="thin">
        <color rgb="FF404040"/>
      </right>
      <top/>
      <bottom style="thin">
        <color rgb="FF404040"/>
      </bottom>
      <diagonal/>
    </border>
    <border>
      <left style="thin">
        <color rgb="FF000000"/>
      </left>
      <right style="thin">
        <color rgb="FF404040"/>
      </right>
      <top style="thin">
        <color rgb="FF404040"/>
      </top>
      <bottom style="thin">
        <color rgb="FF404040"/>
      </bottom>
      <diagonal/>
    </border>
    <border>
      <left/>
      <right/>
      <top/>
      <bottom style="thin">
        <color rgb="FF404040"/>
      </bottom>
      <diagonal/>
    </border>
    <border>
      <left/>
      <right style="thin">
        <color rgb="FFc6c6c6"/>
      </right>
      <top style="thin">
        <color rgb="FF404040"/>
      </top>
      <bottom/>
      <diagonal/>
    </border>
    <border>
      <left/>
      <right style="thin">
        <color rgb="FFc6c6c6"/>
      </right>
      <top style="thin">
        <color rgb="FF404040"/>
      </top>
      <bottom style="thin">
        <color rgb="FF404040"/>
      </bottom>
      <diagonal/>
    </border>
    <border>
      <left/>
      <right/>
      <top style="thin">
        <color rgb="FFc6c6c6"/>
      </top>
      <bottom style="thin">
        <color rgb="FF000000"/>
      </bottom>
      <diagonal/>
    </border>
    <border>
      <left/>
      <right/>
      <top style="thin">
        <color rgb="FF000000"/>
      </top>
      <bottom style="thin">
        <color rgb="FFc6c6c6"/>
      </bottom>
      <diagonal/>
    </border>
    <border>
      <left style="thin">
        <color rgb="FF0000ff"/>
      </left>
      <right/>
      <top/>
      <bottom/>
      <diagonal/>
    </border>
    <border>
      <left style="thin">
        <color rgb="FF0000ff"/>
      </left>
      <right style="thin">
        <color rgb="FF92d050"/>
      </right>
      <top/>
      <bottom/>
      <diagonal/>
    </border>
    <border>
      <left style="thin">
        <color rgb="FF0000ff"/>
      </left>
      <right style="thin">
        <color rgb="FF92d050"/>
      </right>
      <top/>
      <bottom style="thin">
        <color rgb="FF92d050"/>
      </bottom>
      <diagonal/>
    </border>
    <border>
      <left/>
      <right style="thin">
        <color rgb="FF000000"/>
      </right>
      <top style="thin">
        <color rgb="FF000000"/>
      </top>
      <bottom style="thin">
        <color rgb="FFc6c6c6"/>
      </bottom>
      <diagonal/>
    </border>
    <border>
      <left style="thin">
        <color rgb="FF000000"/>
      </left>
      <right/>
      <top/>
      <bottom style="thin">
        <color rgb="FFc6c6c6"/>
      </bottom>
      <diagonal/>
    </border>
    <border>
      <left style="medium">
        <color rgb="FF000000"/>
      </left>
      <right style="medium">
        <color rgb="FF000000"/>
      </right>
      <top/>
      <bottom style="medium">
        <color rgb="FF000000"/>
      </bottom>
      <diagonal/>
    </border>
    <border>
      <left/>
      <right/>
      <top style="thin">
        <color rgb="FF000000"/>
      </top>
      <bottom style="thin">
        <color rgb="FFa6a6a6"/>
      </bottom>
      <diagonal/>
    </border>
    <border>
      <left/>
      <right style="thin">
        <color rgb="FF000000"/>
      </right>
      <top style="thin">
        <color rgb="FF000000"/>
      </top>
      <bottom style="thin">
        <color rgb="FFa6a6a6"/>
      </bottom>
      <diagonal/>
    </border>
    <border>
      <left/>
      <right/>
      <top style="thin">
        <color rgb="FFa6a6a6"/>
      </top>
      <bottom/>
      <diagonal/>
    </border>
    <border>
      <left/>
      <right style="thin">
        <color rgb="FFa6a6a6"/>
      </right>
      <top style="thin">
        <color rgb="FFa6a6a6"/>
      </top>
      <bottom/>
      <diagonal/>
    </border>
    <border>
      <left/>
      <right style="thin">
        <color rgb="FFa6a6a6"/>
      </right>
      <top style="thin">
        <color rgb="FFa6a6a6"/>
      </top>
      <bottom style="thin">
        <color rgb="FFa6a6a6"/>
      </bottom>
      <diagonal/>
    </border>
    <border>
      <left/>
      <right style="thin">
        <color rgb="FF000000"/>
      </right>
      <top style="thin">
        <color rgb="FFa6a6a6"/>
      </top>
      <bottom/>
      <diagonal/>
    </border>
    <border>
      <left/>
      <right style="thin">
        <color rgb="FFa6a6a6"/>
      </right>
      <top style="thin">
        <color rgb="FF000000"/>
      </top>
      <bottom/>
      <diagonal/>
    </border>
    <border>
      <left/>
      <right style="thin">
        <color rgb="FFa6a6a6"/>
      </right>
      <top style="thin">
        <color rgb="FF000000"/>
      </top>
      <bottom style="thin">
        <color rgb="FF000000"/>
      </bottom>
      <diagonal/>
    </border>
    <border>
      <left style="thin">
        <color rgb="FFa6a6a6"/>
      </left>
      <right style="thin">
        <color rgb="FF000000"/>
      </right>
      <top style="thin">
        <color rgb="FF000000"/>
      </top>
      <bottom style="thin">
        <color rgb="FF000000"/>
      </bottom>
      <diagonal/>
    </border>
    <border>
      <left style="medium">
        <color rgb="FF000000"/>
      </left>
      <right style="thin">
        <color rgb="FF000000"/>
      </right>
      <top style="medium">
        <color rgb="FF000000"/>
      </top>
      <bottom/>
      <diagonal/>
    </border>
    <border>
      <left style="thin">
        <color rgb="FF000000"/>
      </left>
      <right style="medium">
        <color rgb="FF000000"/>
      </right>
      <top style="medium">
        <color rgb="FF000000"/>
      </top>
      <bottom style="medium">
        <color rgb="FF000000"/>
      </bottom>
      <diagonal/>
    </border>
  </borders>
  <cellStyleXfs count="1">
    <xf numFmtId="0" fontId="0" fillId="0" borderId="1"/>
  </cellStyleXfs>
  <cellXfs count="2773">
    <xf numFmtId="0" fontId="0" fillId="0" borderId="0" pivotButton="0" quotePrefix="0" xfId="0"/>
    <xf numFmtId="0" fontId="1" fillId="0" borderId="1" applyAlignment="1" pivotButton="0" quotePrefix="0" xfId="0">
      <alignment horizontal="center"/>
    </xf>
    <xf numFmtId="0" fontId="0" fillId="0" borderId="0" applyAlignment="1" pivotButton="0" quotePrefix="0" xfId="0">
      <alignment horizontal="general"/>
    </xf>
    <xf numFmtId="0" fontId="0" fillId="0" borderId="0" applyAlignment="1" pivotButton="0" quotePrefix="0" xfId="0">
      <alignment horizontal="left"/>
    </xf>
    <xf numFmtId="3" fontId="0" fillId="0" borderId="0" applyAlignment="1" pivotButton="0" quotePrefix="0" xfId="0">
      <alignment horizontal="left"/>
    </xf>
    <xf numFmtId="4" fontId="0" fillId="0" borderId="0" applyAlignment="1" pivotButton="0" quotePrefix="0" xfId="0">
      <alignment horizontal="left"/>
    </xf>
    <xf numFmtId="3" fontId="1" fillId="0" borderId="1" applyAlignment="1" pivotButton="0" quotePrefix="0" xfId="0">
      <alignment horizontal="center"/>
    </xf>
    <xf numFmtId="4" fontId="1" fillId="0" borderId="1" applyAlignment="1" pivotButton="0" quotePrefix="0" xfId="0">
      <alignment horizontal="center"/>
    </xf>
    <xf numFmtId="0" fontId="2" fillId="0" borderId="1" applyAlignment="1" pivotButton="0" quotePrefix="0" xfId="0">
      <alignment horizontal="center"/>
    </xf>
    <xf numFmtId="0" fontId="2" fillId="0" borderId="1" applyAlignment="1" pivotButton="0" quotePrefix="0" xfId="0">
      <alignment horizontal="center"/>
    </xf>
    <xf numFmtId="3" fontId="2" fillId="0" borderId="1" applyAlignment="1" pivotButton="0" quotePrefix="0" xfId="0">
      <alignment horizontal="center"/>
    </xf>
    <xf numFmtId="4" fontId="2" fillId="0" borderId="1" applyAlignment="1" pivotButton="0" quotePrefix="0" xfId="0">
      <alignment horizontal="center"/>
    </xf>
    <xf numFmtId="0" fontId="3" fillId="0" borderId="1" applyAlignment="1" pivotButton="0" quotePrefix="0" xfId="0">
      <alignment horizontal="center"/>
    </xf>
    <xf numFmtId="0" fontId="4" fillId="0" borderId="1" applyAlignment="1" pivotButton="0" quotePrefix="0" xfId="0">
      <alignment horizontal="center"/>
    </xf>
    <xf numFmtId="0" fontId="5" fillId="0" borderId="1" applyAlignment="1" pivotButton="0" quotePrefix="0" xfId="0">
      <alignment horizontal="center"/>
    </xf>
    <xf numFmtId="3" fontId="5" fillId="0" borderId="1" applyAlignment="1" pivotButton="0" quotePrefix="0" xfId="0">
      <alignment horizontal="center"/>
    </xf>
    <xf numFmtId="4" fontId="5" fillId="0" borderId="1" applyAlignment="1" pivotButton="0" quotePrefix="0" xfId="0">
      <alignment horizontal="center"/>
    </xf>
    <xf numFmtId="0" fontId="6" fillId="0" borderId="1" applyAlignment="1" pivotButton="0" quotePrefix="0" xfId="0">
      <alignment horizontal="justify"/>
    </xf>
    <xf numFmtId="0" fontId="0" fillId="0" borderId="0" applyAlignment="1" pivotButton="0" quotePrefix="0" xfId="0">
      <alignment wrapText="1"/>
    </xf>
    <xf numFmtId="0" fontId="7" fillId="0" borderId="1" applyAlignment="1" pivotButton="0" quotePrefix="0" xfId="0">
      <alignment horizontal="justify" wrapText="1"/>
    </xf>
    <xf numFmtId="3" fontId="7" fillId="0" borderId="1" applyAlignment="1" pivotButton="0" quotePrefix="0" xfId="0">
      <alignment horizontal="justify" wrapText="1"/>
    </xf>
    <xf numFmtId="4" fontId="7" fillId="0" borderId="1" applyAlignment="1" pivotButton="0" quotePrefix="0" xfId="0">
      <alignment horizontal="justify" wrapText="1"/>
    </xf>
    <xf numFmtId="0" fontId="8" fillId="0" borderId="1" applyAlignment="1" pivotButton="0" quotePrefix="0" xfId="0">
      <alignment horizontal="justify"/>
    </xf>
    <xf numFmtId="0" fontId="9" fillId="0" borderId="1" applyAlignment="1" pivotButton="0" quotePrefix="0" xfId="0">
      <alignment horizontal="center"/>
    </xf>
    <xf numFmtId="0" fontId="9" fillId="0" borderId="1" applyAlignment="1" pivotButton="0" quotePrefix="0" xfId="0">
      <alignment horizontal="left"/>
    </xf>
    <xf numFmtId="0" fontId="10" fillId="0" borderId="1" applyAlignment="1" pivotButton="0" quotePrefix="0" xfId="0">
      <alignment horizontal="center"/>
    </xf>
    <xf numFmtId="3" fontId="10" fillId="0" borderId="1" applyAlignment="1" pivotButton="0" quotePrefix="0" xfId="0">
      <alignment horizontal="center"/>
    </xf>
    <xf numFmtId="4" fontId="10" fillId="0" borderId="1" applyAlignment="1" pivotButton="0" quotePrefix="0" xfId="0">
      <alignment horizontal="center"/>
    </xf>
    <xf numFmtId="0" fontId="11" fillId="2" borderId="2" applyAlignment="1" pivotButton="0" quotePrefix="0" xfId="0">
      <alignment horizontal="center" wrapText="1"/>
    </xf>
    <xf numFmtId="0" fontId="11" fillId="2" borderId="3" applyAlignment="1" pivotButton="0" quotePrefix="0" xfId="0">
      <alignment horizontal="center" wrapText="1"/>
    </xf>
    <xf numFmtId="3" fontId="11" fillId="2" borderId="3" applyAlignment="1" pivotButton="0" quotePrefix="0" xfId="0">
      <alignment horizontal="center" wrapText="1"/>
    </xf>
    <xf numFmtId="4" fontId="11" fillId="2" borderId="3" applyAlignment="1" pivotButton="0" quotePrefix="0" xfId="0">
      <alignment horizontal="center" wrapText="1"/>
    </xf>
    <xf numFmtId="0" fontId="11" fillId="2" borderId="4" applyAlignment="1" pivotButton="0" quotePrefix="0" xfId="0">
      <alignment horizontal="center" wrapText="1"/>
    </xf>
    <xf numFmtId="0" fontId="11" fillId="0" borderId="5" applyAlignment="1" pivotButton="0" quotePrefix="0" xfId="0">
      <alignment horizontal="center" wrapText="1"/>
    </xf>
    <xf numFmtId="0" fontId="11" fillId="0" borderId="6" applyAlignment="1" pivotButton="0" quotePrefix="0" xfId="0">
      <alignment horizontal="center" wrapText="1"/>
    </xf>
    <xf numFmtId="0" fontId="11" fillId="0" borderId="6" applyAlignment="1" pivotButton="0" quotePrefix="0" xfId="0">
      <alignment horizontal="center" wrapText="1"/>
    </xf>
    <xf numFmtId="3" fontId="11" fillId="0" borderId="6" applyAlignment="1" pivotButton="0" quotePrefix="0" xfId="0">
      <alignment horizontal="center" wrapText="1"/>
    </xf>
    <xf numFmtId="0" fontId="11" fillId="0" borderId="6" applyAlignment="1" pivotButton="0" quotePrefix="0" xfId="0">
      <alignment horizontal="center" vertical="top" wrapText="1"/>
    </xf>
    <xf numFmtId="0" fontId="11" fillId="0" borderId="7" applyAlignment="1" pivotButton="0" quotePrefix="0" xfId="0">
      <alignment horizontal="center" wrapText="1"/>
    </xf>
    <xf numFmtId="0" fontId="11" fillId="0" borderId="5" applyAlignment="1" pivotButton="0" quotePrefix="0" xfId="0">
      <alignment horizontal="center" wrapText="1"/>
    </xf>
    <xf numFmtId="0" fontId="11" fillId="0" borderId="8" applyAlignment="1" pivotButton="0" quotePrefix="0" xfId="0">
      <alignment horizontal="center" wrapText="1"/>
    </xf>
    <xf numFmtId="0" fontId="11" fillId="0" borderId="9" applyAlignment="1" pivotButton="0" quotePrefix="0" xfId="0">
      <alignment horizontal="center" wrapText="1"/>
    </xf>
    <xf numFmtId="3" fontId="11" fillId="0" borderId="9" applyAlignment="1" pivotButton="0" quotePrefix="0" xfId="0">
      <alignment horizontal="center" wrapText="1"/>
    </xf>
    <xf numFmtId="0" fontId="11" fillId="0" borderId="10" applyAlignment="1" pivotButton="0" quotePrefix="0" xfId="0">
      <alignment horizontal="center" wrapText="1"/>
    </xf>
    <xf numFmtId="0" fontId="11" fillId="0" borderId="11" applyAlignment="1" pivotButton="0" quotePrefix="0" xfId="0">
      <alignment horizontal="right" wrapText="1"/>
    </xf>
    <xf numFmtId="0" fontId="11" fillId="0" borderId="12" applyAlignment="1" pivotButton="0" quotePrefix="0" xfId="0">
      <alignment horizontal="right" wrapText="1"/>
    </xf>
    <xf numFmtId="3" fontId="11" fillId="0" borderId="12" applyAlignment="1" pivotButton="0" quotePrefix="0" xfId="0">
      <alignment horizontal="right" wrapText="1"/>
    </xf>
    <xf numFmtId="0" fontId="11" fillId="0" borderId="13" applyAlignment="1" pivotButton="0" quotePrefix="0" xfId="0">
      <alignment horizontal="right" wrapText="1"/>
    </xf>
    <xf numFmtId="4" fontId="11" fillId="0" borderId="14" applyAlignment="1" pivotButton="0" quotePrefix="0" xfId="0">
      <alignment horizontal="center" wrapText="1"/>
    </xf>
    <xf numFmtId="4" fontId="11" fillId="0" borderId="15" applyAlignment="1" pivotButton="0" quotePrefix="0" xfId="0">
      <alignment horizontal="center" wrapText="1"/>
    </xf>
    <xf numFmtId="0" fontId="11" fillId="0" borderId="14" applyAlignment="1" pivotButton="0" quotePrefix="0" xfId="0">
      <alignment horizontal="left" wrapText="1"/>
    </xf>
    <xf numFmtId="4" fontId="11" fillId="0" borderId="16" applyAlignment="1" pivotButton="0" quotePrefix="0" xfId="0">
      <alignment horizontal="left" wrapText="1"/>
    </xf>
    <xf numFmtId="0" fontId="12" fillId="0" borderId="1" applyAlignment="1" pivotButton="0" quotePrefix="0" xfId="0">
      <alignment horizontal="left" wrapText="1"/>
    </xf>
    <xf numFmtId="3" fontId="12" fillId="0" borderId="1" applyAlignment="1" pivotButton="0" quotePrefix="0" xfId="0">
      <alignment horizontal="left" wrapText="1"/>
    </xf>
    <xf numFmtId="4" fontId="12" fillId="0" borderId="1" applyAlignment="1" pivotButton="0" quotePrefix="0" xfId="0">
      <alignment horizontal="left" wrapText="1"/>
    </xf>
    <xf numFmtId="0" fontId="12" fillId="0" borderId="1" applyAlignment="1" pivotButton="0" quotePrefix="0" xfId="0">
      <alignment horizontal="left"/>
    </xf>
    <xf numFmtId="3" fontId="12" fillId="0" borderId="1" applyAlignment="1" pivotButton="0" quotePrefix="0" xfId="0">
      <alignment horizontal="left"/>
    </xf>
    <xf numFmtId="4" fontId="12" fillId="0" borderId="1" applyAlignment="1" pivotButton="0" quotePrefix="0" xfId="0">
      <alignment horizontal="left"/>
    </xf>
    <xf numFmtId="0" fontId="7" fillId="0" borderId="1" applyAlignment="1" pivotButton="0" quotePrefix="0" xfId="0">
      <alignment horizontal="left"/>
    </xf>
    <xf numFmtId="3" fontId="7" fillId="0" borderId="1" applyAlignment="1" pivotButton="0" quotePrefix="0" xfId="0">
      <alignment horizontal="center"/>
    </xf>
    <xf numFmtId="0" fontId="7" fillId="0" borderId="1" applyAlignment="1" pivotButton="0" quotePrefix="0" xfId="0">
      <alignment horizontal="center"/>
    </xf>
    <xf numFmtId="0" fontId="11" fillId="0" borderId="1" applyAlignment="1" pivotButton="0" quotePrefix="0" xfId="0">
      <alignment horizontal="left"/>
    </xf>
    <xf numFmtId="0" fontId="7" fillId="0" borderId="1" applyAlignment="1" pivotButton="0" quotePrefix="0" xfId="0">
      <alignment horizontal="left"/>
    </xf>
    <xf numFmtId="0" fontId="0" fillId="0" borderId="0" applyAlignment="1" pivotButton="0" quotePrefix="0" xfId="0">
      <alignment horizontal="left"/>
    </xf>
    <xf numFmtId="0" fontId="0" fillId="0" borderId="0" applyAlignment="1" pivotButton="0" quotePrefix="0" xfId="0">
      <alignment horizontal="general"/>
    </xf>
    <xf numFmtId="3" fontId="0" fillId="0" borderId="0" applyAlignment="1" pivotButton="0" quotePrefix="0" xfId="0">
      <alignment horizontal="left"/>
    </xf>
    <xf numFmtId="4" fontId="0" fillId="0" borderId="0" applyAlignment="1" pivotButton="0" quotePrefix="0" xfId="0">
      <alignment horizontal="left"/>
    </xf>
    <xf numFmtId="0" fontId="13" fillId="0" borderId="1" applyAlignment="1" pivotButton="0" quotePrefix="0" xfId="0">
      <alignment horizontal="center" wrapText="1"/>
    </xf>
    <xf numFmtId="0" fontId="0" fillId="0" borderId="0" applyAlignment="1" pivotButton="0" quotePrefix="0" xfId="0">
      <alignment horizontal="general" wrapText="1"/>
    </xf>
    <xf numFmtId="0" fontId="13" fillId="0" borderId="1" applyAlignment="1" pivotButton="0" quotePrefix="0" xfId="0">
      <alignment horizontal="left" wrapText="1"/>
    </xf>
    <xf numFmtId="0" fontId="14" fillId="0" borderId="1" applyAlignment="1" pivotButton="0" quotePrefix="0" xfId="0">
      <alignment horizontal="center" wrapText="1"/>
    </xf>
    <xf numFmtId="0" fontId="15" fillId="0" borderId="1" applyAlignment="1" pivotButton="0" quotePrefix="0" xfId="0">
      <alignment horizontal="left" wrapText="1"/>
    </xf>
    <xf numFmtId="0" fontId="16" fillId="0" borderId="1" applyAlignment="1" pivotButton="0" quotePrefix="0" xfId="0">
      <alignment horizontal="center" wrapText="1"/>
    </xf>
    <xf numFmtId="0" fontId="16" fillId="0" borderId="1" applyAlignment="1" pivotButton="0" quotePrefix="0" xfId="0">
      <alignment horizontal="left" wrapText="1"/>
    </xf>
    <xf numFmtId="0" fontId="17" fillId="0" borderId="1" applyAlignment="1" pivotButton="0" quotePrefix="0" xfId="0">
      <alignment horizontal="center" wrapText="1"/>
    </xf>
    <xf numFmtId="0" fontId="17" fillId="0" borderId="1" applyAlignment="1" pivotButton="0" quotePrefix="0" xfId="0">
      <alignment horizontal="left" wrapText="1"/>
    </xf>
    <xf numFmtId="0" fontId="11" fillId="0" borderId="1" applyAlignment="1" pivotButton="0" quotePrefix="0" xfId="0">
      <alignment horizontal="left" wrapText="1"/>
    </xf>
    <xf numFmtId="14" fontId="11" fillId="0" borderId="1" applyAlignment="1" pivotButton="0" quotePrefix="0" xfId="0">
      <alignment horizontal="center" wrapText="1"/>
    </xf>
    <xf numFmtId="14" fontId="11" fillId="0" borderId="1" applyAlignment="1" pivotButton="0" quotePrefix="0" xfId="0">
      <alignment horizontal="left" wrapText="1"/>
    </xf>
    <xf numFmtId="14" fontId="11" fillId="0" borderId="1" applyAlignment="1" pivotButton="0" quotePrefix="0" xfId="0">
      <alignment horizontal="center"/>
    </xf>
    <xf numFmtId="14" fontId="11" fillId="0" borderId="1" applyAlignment="1" pivotButton="0" quotePrefix="0" xfId="0">
      <alignment horizontal="left"/>
    </xf>
    <xf numFmtId="14" fontId="7" fillId="0" borderId="1" applyAlignment="1" pivotButton="0" quotePrefix="0" xfId="0">
      <alignment horizontal="center"/>
    </xf>
    <xf numFmtId="14" fontId="7" fillId="0" borderId="1" applyAlignment="1" pivotButton="0" quotePrefix="0" xfId="0">
      <alignment horizontal="left"/>
    </xf>
    <xf numFmtId="0" fontId="7" fillId="0" borderId="1" applyAlignment="1" pivotButton="0" quotePrefix="0" xfId="0">
      <alignment horizontal="left" wrapText="1"/>
    </xf>
    <xf numFmtId="0" fontId="18" fillId="0" borderId="1" applyAlignment="1" pivotButton="0" quotePrefix="0" xfId="0">
      <alignment horizontal="left" wrapText="1"/>
    </xf>
    <xf numFmtId="0" fontId="18" fillId="0" borderId="1" applyAlignment="1" pivotButton="0" quotePrefix="0" xfId="0">
      <alignment horizontal="left"/>
    </xf>
    <xf numFmtId="0" fontId="19" fillId="0" borderId="1" applyAlignment="1" pivotButton="0" quotePrefix="0" xfId="0">
      <alignment horizontal="center"/>
    </xf>
    <xf numFmtId="14" fontId="18" fillId="0" borderId="1" applyAlignment="1" pivotButton="0" quotePrefix="0" xfId="0">
      <alignment horizontal="center"/>
    </xf>
    <xf numFmtId="14" fontId="18" fillId="0" borderId="1" applyAlignment="1" pivotButton="0" quotePrefix="0" xfId="0">
      <alignment horizontal="left"/>
    </xf>
    <xf numFmtId="0" fontId="7" fillId="0" borderId="1" applyAlignment="1" pivotButton="0" quotePrefix="0" xfId="0">
      <alignment horizontal="left" vertical="top" wrapText="1"/>
    </xf>
    <xf numFmtId="14" fontId="7" fillId="0" borderId="1" applyAlignment="1" pivotButton="0" quotePrefix="0" xfId="0">
      <alignment horizontal="center" wrapText="1"/>
    </xf>
    <xf numFmtId="14" fontId="7" fillId="0" borderId="1" applyAlignment="1" pivotButton="0" quotePrefix="0" xfId="0">
      <alignment horizontal="left" wrapText="1"/>
    </xf>
    <xf numFmtId="0" fontId="0" fillId="0" borderId="0" applyAlignment="1" pivotButton="0" quotePrefix="0" xfId="0">
      <alignment horizontal="left" wrapText="1"/>
    </xf>
    <xf numFmtId="14" fontId="18" fillId="0" borderId="1" applyAlignment="1" pivotButton="0" quotePrefix="0" xfId="0">
      <alignment horizontal="center" wrapText="1"/>
    </xf>
    <xf numFmtId="14" fontId="18" fillId="0" borderId="1" applyAlignment="1" pivotButton="0" quotePrefix="0" xfId="0">
      <alignment horizontal="left" wrapText="1"/>
    </xf>
    <xf numFmtId="0" fontId="18" fillId="0" borderId="1" applyAlignment="1" pivotButton="0" quotePrefix="0" xfId="0">
      <alignment horizontal="center"/>
    </xf>
    <xf numFmtId="0" fontId="20" fillId="0" borderId="1" applyAlignment="1" pivotButton="0" quotePrefix="0" xfId="0">
      <alignment horizontal="left"/>
    </xf>
    <xf numFmtId="0" fontId="21" fillId="0" borderId="1" applyAlignment="1" pivotButton="0" quotePrefix="0" xfId="0">
      <alignment horizontal="center"/>
    </xf>
    <xf numFmtId="0" fontId="22" fillId="0" borderId="1" applyAlignment="1" pivotButton="0" quotePrefix="0" xfId="0">
      <alignment horizontal="left"/>
    </xf>
    <xf numFmtId="0" fontId="21" fillId="0" borderId="1" applyAlignment="1" pivotButton="0" quotePrefix="0" xfId="0">
      <alignment horizontal="left"/>
    </xf>
    <xf numFmtId="0" fontId="11" fillId="0" borderId="1" applyAlignment="1" pivotButton="0" quotePrefix="0" xfId="0">
      <alignment horizontal="right" wrapText="1"/>
    </xf>
    <xf numFmtId="0" fontId="23" fillId="0" borderId="1" applyAlignment="1" pivotButton="0" quotePrefix="0" xfId="0">
      <alignment horizontal="left" vertical="top" wrapText="1"/>
    </xf>
    <xf numFmtId="0" fontId="23" fillId="0" borderId="1" applyAlignment="1" pivotButton="0" quotePrefix="0" xfId="0">
      <alignment horizontal="left"/>
    </xf>
    <xf numFmtId="0" fontId="0" fillId="0" borderId="0" applyAlignment="1" pivotButton="0" quotePrefix="0" xfId="0">
      <alignment horizontal="general" wrapText="1"/>
    </xf>
    <xf numFmtId="0" fontId="0" fillId="0" borderId="0" applyAlignment="1" pivotButton="0" quotePrefix="0" xfId="0">
      <alignment horizontal="justify"/>
    </xf>
    <xf numFmtId="0" fontId="0" fillId="0" borderId="0" applyAlignment="1" pivotButton="0" quotePrefix="0" xfId="0">
      <alignment horizontal="justify" wrapText="1"/>
    </xf>
    <xf numFmtId="0" fontId="7" fillId="0" borderId="1" applyAlignment="1" pivotButton="0" quotePrefix="0" xfId="0">
      <alignment horizontal="justify" vertical="top" wrapText="1"/>
    </xf>
    <xf numFmtId="0" fontId="7" fillId="0" borderId="1" applyAlignment="1" pivotButton="0" quotePrefix="0" xfId="0">
      <alignment horizontal="justify"/>
    </xf>
    <xf numFmtId="0" fontId="0" fillId="0" borderId="0" applyAlignment="1" pivotButton="0" quotePrefix="0" xfId="0">
      <alignment horizontal="justify"/>
    </xf>
    <xf numFmtId="0" fontId="24" fillId="0" borderId="1" applyAlignment="1" pivotButton="0" quotePrefix="0" xfId="0">
      <alignment horizontal="left"/>
    </xf>
    <xf numFmtId="3" fontId="24" fillId="0" borderId="1" applyAlignment="1" pivotButton="0" quotePrefix="0" xfId="0">
      <alignment horizontal="left"/>
    </xf>
    <xf numFmtId="3" fontId="11" fillId="0" borderId="1" applyAlignment="1" pivotButton="0" quotePrefix="0" xfId="0">
      <alignment horizontal="left"/>
    </xf>
    <xf numFmtId="0" fontId="1" fillId="0" borderId="1" applyAlignment="1" pivotButton="0" quotePrefix="0" xfId="0">
      <alignment horizontal="left"/>
    </xf>
    <xf numFmtId="3" fontId="1" fillId="0" borderId="1" applyAlignment="1" pivotButton="0" quotePrefix="0" xfId="0">
      <alignment horizontal="left"/>
    </xf>
    <xf numFmtId="0" fontId="25" fillId="0" borderId="1" applyAlignment="1" pivotButton="0" quotePrefix="0" xfId="0">
      <alignment horizontal="left"/>
    </xf>
    <xf numFmtId="3" fontId="25" fillId="0" borderId="1" applyAlignment="1" pivotButton="0" quotePrefix="0" xfId="0">
      <alignment horizontal="left"/>
    </xf>
    <xf numFmtId="0" fontId="26" fillId="0" borderId="1" applyAlignment="1" pivotButton="0" quotePrefix="0" xfId="0">
      <alignment horizontal="left"/>
    </xf>
    <xf numFmtId="3" fontId="26" fillId="0" borderId="1" applyAlignment="1" pivotButton="0" quotePrefix="0" xfId="0">
      <alignment horizontal="left"/>
    </xf>
    <xf numFmtId="0" fontId="27" fillId="0" borderId="1" applyAlignment="1" pivotButton="0" quotePrefix="0" xfId="0">
      <alignment horizontal="left"/>
    </xf>
    <xf numFmtId="3" fontId="27" fillId="0" borderId="1" applyAlignment="1" pivotButton="0" quotePrefix="0" xfId="0">
      <alignment horizontal="left"/>
    </xf>
    <xf numFmtId="0" fontId="27" fillId="0" borderId="1" applyAlignment="1" pivotButton="0" quotePrefix="0" xfId="0">
      <alignment horizontal="center"/>
    </xf>
    <xf numFmtId="3" fontId="27" fillId="0" borderId="1" applyAlignment="1" pivotButton="0" quotePrefix="0" xfId="0">
      <alignment horizontal="center"/>
    </xf>
    <xf numFmtId="0" fontId="28" fillId="0" borderId="1" applyAlignment="1" pivotButton="0" quotePrefix="0" xfId="0">
      <alignment horizontal="left"/>
    </xf>
    <xf numFmtId="0" fontId="29" fillId="0" borderId="1" applyAlignment="1" pivotButton="0" quotePrefix="0" xfId="0">
      <alignment horizontal="left"/>
    </xf>
    <xf numFmtId="0" fontId="23" fillId="0" borderId="1" applyAlignment="1" pivotButton="0" quotePrefix="0" xfId="0">
      <alignment horizontal="left" wrapText="1"/>
    </xf>
    <xf numFmtId="3" fontId="23" fillId="0" borderId="1" applyAlignment="1" pivotButton="0" quotePrefix="0" xfId="0">
      <alignment horizontal="left" wrapText="1"/>
    </xf>
    <xf numFmtId="3" fontId="0" fillId="0" borderId="0" applyAlignment="1" pivotButton="0" quotePrefix="0" xfId="0">
      <alignment horizontal="general"/>
    </xf>
    <xf numFmtId="3" fontId="7" fillId="0" borderId="1" applyAlignment="1" pivotButton="0" quotePrefix="0" xfId="0">
      <alignment horizontal="left" wrapText="1"/>
    </xf>
    <xf numFmtId="0" fontId="30" fillId="0" borderId="1" applyAlignment="1" pivotButton="0" quotePrefix="0" xfId="0">
      <alignment horizontal="left" wrapText="1"/>
    </xf>
    <xf numFmtId="0" fontId="31" fillId="0" borderId="1" applyAlignment="1" pivotButton="0" quotePrefix="0" xfId="0">
      <alignment horizontal="left"/>
    </xf>
    <xf numFmtId="0" fontId="32" fillId="0" borderId="1" applyAlignment="1" pivotButton="0" quotePrefix="0" xfId="0">
      <alignment horizontal="left"/>
    </xf>
    <xf numFmtId="3" fontId="31" fillId="0" borderId="1" applyAlignment="1" pivotButton="0" quotePrefix="0" xfId="0">
      <alignment horizontal="left"/>
    </xf>
    <xf numFmtId="3" fontId="7" fillId="0" borderId="1" applyAlignment="1" pivotButton="0" quotePrefix="0" xfId="0">
      <alignment horizontal="left"/>
    </xf>
    <xf numFmtId="3" fontId="7" fillId="0" borderId="1" applyAlignment="1" pivotButton="0" quotePrefix="0" xfId="0">
      <alignment horizontal="right"/>
    </xf>
    <xf numFmtId="0" fontId="7" fillId="0" borderId="1" applyAlignment="1" pivotButton="0" quotePrefix="0" xfId="0">
      <alignment horizontal="right"/>
    </xf>
    <xf numFmtId="3" fontId="18" fillId="0" borderId="1" applyAlignment="1" pivotButton="0" quotePrefix="0" xfId="0">
      <alignment horizontal="left"/>
    </xf>
    <xf numFmtId="3" fontId="0" fillId="0" borderId="0" applyAlignment="1" pivotButton="0" quotePrefix="0" xfId="0">
      <alignment horizontal="general"/>
    </xf>
    <xf numFmtId="3" fontId="33" fillId="0" borderId="1" applyAlignment="1" pivotButton="0" quotePrefix="0" xfId="0">
      <alignment horizontal="left"/>
    </xf>
    <xf numFmtId="0" fontId="34" fillId="0" borderId="1" applyAlignment="1" pivotButton="0" quotePrefix="0" xfId="0">
      <alignment horizontal="left"/>
    </xf>
    <xf numFmtId="0" fontId="33" fillId="0" borderId="1" applyAlignment="1" pivotButton="0" quotePrefix="0" xfId="0">
      <alignment horizontal="left" wrapText="1"/>
    </xf>
    <xf numFmtId="0" fontId="33" fillId="0" borderId="1" applyAlignment="1" pivotButton="0" quotePrefix="0" xfId="0">
      <alignment horizontal="left"/>
    </xf>
    <xf numFmtId="0" fontId="35" fillId="0" borderId="1" applyAlignment="1" pivotButton="0" quotePrefix="0" xfId="0">
      <alignment horizontal="left"/>
    </xf>
    <xf numFmtId="3" fontId="33" fillId="0" borderId="1" applyAlignment="1" pivotButton="0" quotePrefix="0" xfId="0">
      <alignment horizontal="left" vertical="top" wrapText="1"/>
    </xf>
    <xf numFmtId="3" fontId="33" fillId="0" borderId="1" applyAlignment="1" pivotButton="0" quotePrefix="0" xfId="0">
      <alignment horizontal="left" wrapText="1"/>
    </xf>
    <xf numFmtId="3" fontId="33" fillId="0" borderId="1" applyAlignment="1" pivotButton="0" quotePrefix="0" xfId="0">
      <alignment horizontal="justify"/>
    </xf>
    <xf numFmtId="0" fontId="33" fillId="0" borderId="1" applyAlignment="1" pivotButton="0" quotePrefix="0" xfId="0">
      <alignment horizontal="justify"/>
    </xf>
    <xf numFmtId="3" fontId="33" fillId="0" borderId="1" applyAlignment="1" pivotButton="0" quotePrefix="0" xfId="0">
      <alignment horizontal="center"/>
    </xf>
    <xf numFmtId="0" fontId="36" fillId="0" borderId="1" applyAlignment="1" pivotButton="0" quotePrefix="0" xfId="0">
      <alignment horizontal="left"/>
    </xf>
    <xf numFmtId="3" fontId="36" fillId="0" borderId="1" applyAlignment="1" pivotButton="0" quotePrefix="0" xfId="0">
      <alignment horizontal="left" wrapText="1"/>
    </xf>
    <xf numFmtId="0" fontId="36" fillId="0" borderId="1" applyAlignment="1" pivotButton="0" quotePrefix="0" xfId="0">
      <alignment horizontal="left" wrapText="1"/>
    </xf>
    <xf numFmtId="0" fontId="37" fillId="0" borderId="1" applyAlignment="1" pivotButton="0" quotePrefix="0" xfId="0">
      <alignment horizontal="justify"/>
    </xf>
    <xf numFmtId="0" fontId="36" fillId="0" borderId="1" applyAlignment="1" pivotButton="0" quotePrefix="0" xfId="0">
      <alignment horizontal="right"/>
    </xf>
    <xf numFmtId="0" fontId="38" fillId="0" borderId="1" applyAlignment="1" pivotButton="0" quotePrefix="0" xfId="0">
      <alignment horizontal="center"/>
    </xf>
    <xf numFmtId="0" fontId="39" fillId="0" borderId="1" applyAlignment="1" pivotButton="0" quotePrefix="0" xfId="0">
      <alignment horizontal="center"/>
    </xf>
    <xf numFmtId="0" fontId="40" fillId="0" borderId="1" applyAlignment="1" pivotButton="0" quotePrefix="0" xfId="0">
      <alignment horizontal="left"/>
    </xf>
    <xf numFmtId="0" fontId="33" fillId="0" borderId="1" applyAlignment="1" pivotButton="0" quotePrefix="0" xfId="0">
      <alignment horizontal="left"/>
    </xf>
    <xf numFmtId="0" fontId="33" fillId="0" borderId="1" applyAlignment="1" pivotButton="0" quotePrefix="0" xfId="0">
      <alignment horizontal="left" vertical="top" wrapText="1"/>
    </xf>
    <xf numFmtId="0" fontId="33" fillId="0" borderId="1" applyAlignment="1" pivotButton="0" quotePrefix="0" xfId="0">
      <alignment horizontal="left" vertical="top" wrapText="1"/>
    </xf>
    <xf numFmtId="0" fontId="33" fillId="0" borderId="1" applyAlignment="1" pivotButton="0" quotePrefix="0" xfId="0">
      <alignment horizontal="center"/>
    </xf>
    <xf numFmtId="0" fontId="41" fillId="0" borderId="1" applyAlignment="1" pivotButton="0" quotePrefix="0" xfId="0">
      <alignment horizontal="left"/>
    </xf>
    <xf numFmtId="0" fontId="33" fillId="0" borderId="1" applyAlignment="1" pivotButton="0" quotePrefix="0" xfId="0">
      <alignment horizontal="right"/>
    </xf>
    <xf numFmtId="0" fontId="42" fillId="0" borderId="1" applyAlignment="1" pivotButton="0" quotePrefix="0" xfId="0">
      <alignment horizontal="left"/>
    </xf>
    <xf numFmtId="0" fontId="43" fillId="0" borderId="1" applyAlignment="1" pivotButton="0" quotePrefix="0" xfId="0">
      <alignment horizontal="right"/>
    </xf>
    <xf numFmtId="0" fontId="44" fillId="0" borderId="1" applyAlignment="1" pivotButton="0" quotePrefix="0" xfId="0">
      <alignment horizontal="center"/>
    </xf>
    <xf numFmtId="0" fontId="45" fillId="0" borderId="1" applyAlignment="1" pivotButton="0" quotePrefix="0" xfId="0">
      <alignment horizontal="center"/>
    </xf>
    <xf numFmtId="0" fontId="46" fillId="0" borderId="1" applyAlignment="1" pivotButton="0" quotePrefix="0" xfId="0">
      <alignment horizontal="left" vertical="top" wrapText="1"/>
    </xf>
    <xf numFmtId="0" fontId="46" fillId="0" borderId="1" applyAlignment="1" pivotButton="0" quotePrefix="0" xfId="0">
      <alignment horizontal="right" wrapText="1"/>
    </xf>
    <xf numFmtId="0" fontId="46" fillId="0" borderId="1" applyAlignment="1" pivotButton="0" quotePrefix="0" xfId="0">
      <alignment horizontal="left" wrapText="1"/>
    </xf>
    <xf numFmtId="0" fontId="18" fillId="0" borderId="1" applyAlignment="1" pivotButton="0" quotePrefix="0" xfId="0">
      <alignment horizontal="right" wrapText="1"/>
    </xf>
    <xf numFmtId="0" fontId="47" fillId="0" borderId="1" applyAlignment="1" pivotButton="0" quotePrefix="0" xfId="0">
      <alignment horizontal="left"/>
    </xf>
    <xf numFmtId="0" fontId="18" fillId="0" borderId="1" applyAlignment="1" pivotButton="0" quotePrefix="0" xfId="0">
      <alignment horizontal="justify" wrapText="1"/>
    </xf>
    <xf numFmtId="0" fontId="18" fillId="0" borderId="1" applyAlignment="1" pivotButton="0" quotePrefix="0" xfId="0">
      <alignment horizontal="justify"/>
    </xf>
    <xf numFmtId="0" fontId="14" fillId="0" borderId="1" applyAlignment="1" pivotButton="0" quotePrefix="0" xfId="0">
      <alignment horizontal="center" wrapText="1"/>
    </xf>
    <xf numFmtId="0" fontId="16" fillId="0" borderId="1" applyAlignment="1" pivotButton="0" quotePrefix="0" xfId="0">
      <alignment horizontal="center" wrapText="1"/>
    </xf>
    <xf numFmtId="0" fontId="17" fillId="0" borderId="17" applyAlignment="1" pivotButton="0" quotePrefix="0" xfId="0">
      <alignment horizontal="center" wrapText="1"/>
    </xf>
    <xf numFmtId="0" fontId="17" fillId="0" borderId="17" applyAlignment="1" pivotButton="0" quotePrefix="0" xfId="0">
      <alignment horizontal="center" wrapText="1"/>
    </xf>
    <xf numFmtId="0" fontId="11" fillId="0" borderId="18" applyAlignment="1" pivotButton="0" quotePrefix="0" xfId="0">
      <alignment horizontal="left"/>
    </xf>
    <xf numFmtId="0" fontId="11" fillId="0" borderId="19" applyAlignment="1" pivotButton="0" quotePrefix="0" xfId="0">
      <alignment horizontal="left"/>
    </xf>
    <xf numFmtId="0" fontId="11" fillId="0" borderId="19" applyAlignment="1" pivotButton="0" quotePrefix="0" xfId="0">
      <alignment horizontal="left" wrapText="1"/>
    </xf>
    <xf numFmtId="14" fontId="11" fillId="0" borderId="19" applyAlignment="1" pivotButton="0" quotePrefix="0" xfId="0">
      <alignment horizontal="center" wrapText="1"/>
    </xf>
    <xf numFmtId="14" fontId="11" fillId="0" borderId="20" applyAlignment="1" pivotButton="0" quotePrefix="0" xfId="0">
      <alignment horizontal="left" wrapText="1"/>
    </xf>
    <xf numFmtId="0" fontId="48" fillId="0" borderId="1" applyAlignment="1" pivotButton="0" quotePrefix="0" xfId="0">
      <alignment horizontal="center"/>
    </xf>
    <xf numFmtId="0" fontId="18" fillId="0" borderId="1" applyAlignment="1" pivotButton="0" quotePrefix="0" xfId="0">
      <alignment horizontal="justify" vertical="top" wrapText="1"/>
    </xf>
    <xf numFmtId="0" fontId="7" fillId="0" borderId="1" applyAlignment="1" pivotButton="0" quotePrefix="0" xfId="0">
      <alignment horizontal="right" wrapText="1"/>
    </xf>
    <xf numFmtId="0" fontId="7" fillId="0" borderId="1" applyAlignment="1" pivotButton="0" quotePrefix="0" xfId="0">
      <alignment horizontal="center"/>
    </xf>
    <xf numFmtId="0" fontId="49" fillId="0" borderId="1" applyAlignment="1" pivotButton="0" quotePrefix="0" xfId="0">
      <alignment horizontal="center"/>
    </xf>
    <xf numFmtId="0" fontId="22" fillId="0" borderId="1" applyAlignment="1" pivotButton="0" quotePrefix="0" xfId="0">
      <alignment horizontal="right"/>
    </xf>
    <xf numFmtId="0" fontId="0" fillId="0" borderId="0" applyAlignment="1" pivotButton="0" quotePrefix="0" xfId="0">
      <alignment horizontal="right"/>
    </xf>
    <xf numFmtId="3" fontId="0" fillId="0" borderId="0" applyAlignment="1" pivotButton="0" quotePrefix="0" xfId="0">
      <alignment horizontal="general" wrapText="1"/>
    </xf>
    <xf numFmtId="3" fontId="16" fillId="0" borderId="1" applyAlignment="1" pivotButton="0" quotePrefix="0" xfId="0">
      <alignment horizontal="left" wrapText="1"/>
    </xf>
    <xf numFmtId="3" fontId="17" fillId="0" borderId="1" applyAlignment="1" pivotButton="0" quotePrefix="0" xfId="0">
      <alignment horizontal="left" wrapText="1"/>
    </xf>
    <xf numFmtId="0" fontId="1" fillId="0" borderId="1" applyAlignment="1" pivotButton="0" quotePrefix="0" xfId="0">
      <alignment horizontal="center"/>
    </xf>
    <xf numFmtId="0" fontId="25" fillId="0" borderId="1" applyAlignment="1" pivotButton="0" quotePrefix="0" xfId="0">
      <alignment horizontal="center"/>
    </xf>
    <xf numFmtId="0" fontId="25" fillId="0" borderId="1" applyAlignment="1" pivotButton="0" quotePrefix="0" xfId="0">
      <alignment horizontal="center"/>
    </xf>
    <xf numFmtId="0" fontId="26" fillId="0" borderId="1" applyAlignment="1" pivotButton="0" quotePrefix="0" xfId="0">
      <alignment horizontal="center"/>
    </xf>
    <xf numFmtId="0" fontId="26" fillId="0" borderId="1" applyAlignment="1" pivotButton="0" quotePrefix="0" xfId="0">
      <alignment horizontal="center"/>
    </xf>
    <xf numFmtId="0" fontId="50" fillId="0" borderId="1" applyAlignment="1" pivotButton="0" quotePrefix="0" xfId="0">
      <alignment horizontal="center"/>
    </xf>
    <xf numFmtId="0" fontId="18" fillId="0" borderId="1" applyAlignment="1" pivotButton="0" quotePrefix="0" xfId="0">
      <alignment horizontal="justify"/>
    </xf>
    <xf numFmtId="3" fontId="11" fillId="0" borderId="1" applyAlignment="1" pivotButton="0" quotePrefix="0" xfId="0">
      <alignment horizontal="left" wrapText="1"/>
    </xf>
    <xf numFmtId="0" fontId="18" fillId="0" borderId="1" applyAlignment="1" pivotButton="0" quotePrefix="0" xfId="0">
      <alignment horizontal="left" wrapText="1"/>
    </xf>
    <xf numFmtId="0" fontId="11" fillId="0" borderId="21" applyAlignment="1" pivotButton="0" quotePrefix="0" xfId="0">
      <alignment horizontal="left"/>
    </xf>
    <xf numFmtId="164" fontId="51" fillId="0" borderId="22" applyAlignment="1" pivotButton="0" quotePrefix="0" xfId="0">
      <alignment horizontal="center"/>
    </xf>
    <xf numFmtId="0" fontId="11" fillId="0" borderId="22" applyAlignment="1" pivotButton="0" quotePrefix="0" xfId="0">
      <alignment horizontal="left"/>
    </xf>
    <xf numFmtId="3" fontId="11" fillId="0" borderId="22" applyAlignment="1" pivotButton="0" quotePrefix="0" xfId="0">
      <alignment horizontal="left" wrapText="1"/>
    </xf>
    <xf numFmtId="3" fontId="11" fillId="0" borderId="22" applyAlignment="1" pivotButton="0" quotePrefix="0" xfId="0">
      <alignment horizontal="right" wrapText="1"/>
    </xf>
    <xf numFmtId="3" fontId="11" fillId="0" borderId="16" applyAlignment="1" pivotButton="0" quotePrefix="0" xfId="0">
      <alignment horizontal="right" wrapText="1"/>
    </xf>
    <xf numFmtId="0" fontId="18" fillId="0" borderId="1" applyAlignment="1" pivotButton="0" quotePrefix="0" xfId="0">
      <alignment horizontal="justify" wrapText="1"/>
    </xf>
    <xf numFmtId="0" fontId="52" fillId="0" borderId="22" applyAlignment="1" pivotButton="0" quotePrefix="0" xfId="0">
      <alignment horizontal="center" wrapText="1"/>
    </xf>
    <xf numFmtId="3" fontId="52" fillId="0" borderId="16" applyAlignment="1" pivotButton="0" quotePrefix="0" xfId="0">
      <alignment horizontal="center" wrapText="1"/>
    </xf>
    <xf numFmtId="0" fontId="11" fillId="0" borderId="11" applyAlignment="1" pivotButton="0" quotePrefix="0" xfId="0">
      <alignment horizontal="left" wrapText="1"/>
    </xf>
    <xf numFmtId="3" fontId="51" fillId="0" borderId="12" applyAlignment="1" pivotButton="0" quotePrefix="0" xfId="0">
      <alignment horizontal="right" wrapText="1"/>
    </xf>
    <xf numFmtId="0" fontId="11" fillId="0" borderId="12" applyAlignment="1" pivotButton="0" quotePrefix="0" xfId="0">
      <alignment horizontal="left"/>
    </xf>
    <xf numFmtId="3" fontId="11" fillId="0" borderId="23" applyAlignment="1" pivotButton="0" quotePrefix="0" xfId="0">
      <alignment horizontal="center" vertical="top" wrapText="1"/>
    </xf>
    <xf numFmtId="0" fontId="11" fillId="0" borderId="24" applyAlignment="1" pivotButton="0" quotePrefix="0" xfId="0">
      <alignment horizontal="left" wrapText="1"/>
    </xf>
    <xf numFmtId="3" fontId="51" fillId="0" borderId="25" applyAlignment="1" pivotButton="0" quotePrefix="0" xfId="0">
      <alignment horizontal="right" wrapText="1"/>
    </xf>
    <xf numFmtId="0" fontId="11" fillId="0" borderId="25" applyAlignment="1" pivotButton="0" quotePrefix="0" xfId="0">
      <alignment horizontal="left"/>
    </xf>
    <xf numFmtId="3" fontId="11" fillId="0" borderId="25" applyAlignment="1" pivotButton="0" quotePrefix="0" xfId="0">
      <alignment horizontal="right" wrapText="1"/>
    </xf>
    <xf numFmtId="3" fontId="11" fillId="0" borderId="26" applyAlignment="1" pivotButton="0" quotePrefix="0" xfId="0">
      <alignment horizontal="center" wrapText="1"/>
    </xf>
    <xf numFmtId="0" fontId="0" fillId="0" borderId="0" applyAlignment="1" pivotButton="0" quotePrefix="0" xfId="0">
      <alignment horizontal="right"/>
    </xf>
    <xf numFmtId="0" fontId="18" fillId="0" borderId="1" applyAlignment="1" pivotButton="0" quotePrefix="0" xfId="0">
      <alignment horizontal="center"/>
    </xf>
    <xf numFmtId="0" fontId="0" fillId="0" borderId="0" applyAlignment="1" pivotButton="0" quotePrefix="0" xfId="0">
      <alignment horizontal="right" wrapText="1"/>
    </xf>
    <xf numFmtId="0" fontId="18" fillId="0" borderId="1" applyAlignment="1" pivotButton="0" quotePrefix="0" xfId="0">
      <alignment horizontal="center" wrapText="1"/>
    </xf>
    <xf numFmtId="0" fontId="18" fillId="0" borderId="1" applyAlignment="1" pivotButton="0" quotePrefix="0" xfId="0">
      <alignment horizontal="center" wrapText="1"/>
    </xf>
    <xf numFmtId="0" fontId="18" fillId="0" borderId="27" applyAlignment="1" pivotButton="0" quotePrefix="0" xfId="0">
      <alignment horizontal="center"/>
    </xf>
    <xf numFmtId="3" fontId="18" fillId="0" borderId="1" applyAlignment="1" pivotButton="0" quotePrefix="0" xfId="0">
      <alignment horizontal="center" wrapText="1"/>
    </xf>
    <xf numFmtId="3" fontId="0" fillId="0" borderId="0" applyAlignment="1" pivotButton="0" quotePrefix="0" xfId="0">
      <alignment horizontal="general" wrapText="1"/>
    </xf>
    <xf numFmtId="3" fontId="13" fillId="0" borderId="1" applyAlignment="1" pivotButton="0" quotePrefix="0" xfId="0">
      <alignment horizontal="center" wrapText="1"/>
    </xf>
    <xf numFmtId="165" fontId="13" fillId="0" borderId="1" applyAlignment="1" pivotButton="0" quotePrefix="0" xfId="0">
      <alignment horizontal="center" wrapText="1"/>
    </xf>
    <xf numFmtId="4" fontId="13" fillId="0" borderId="1" applyAlignment="1" pivotButton="0" quotePrefix="0" xfId="0">
      <alignment horizontal="center" wrapText="1"/>
    </xf>
    <xf numFmtId="3" fontId="14" fillId="0" borderId="1" applyAlignment="1" pivotButton="0" quotePrefix="0" xfId="0">
      <alignment horizontal="center" wrapText="1"/>
    </xf>
    <xf numFmtId="165" fontId="14" fillId="0" borderId="1" applyAlignment="1" pivotButton="0" quotePrefix="0" xfId="0">
      <alignment horizontal="center" wrapText="1"/>
    </xf>
    <xf numFmtId="4" fontId="14" fillId="0" borderId="1" applyAlignment="1" pivotButton="0" quotePrefix="0" xfId="0">
      <alignment horizontal="center" wrapText="1"/>
    </xf>
    <xf numFmtId="0" fontId="14" fillId="0" borderId="1" applyAlignment="1" pivotButton="0" quotePrefix="0" xfId="0">
      <alignment horizontal="left" wrapText="1"/>
    </xf>
    <xf numFmtId="3" fontId="16" fillId="0" borderId="1" applyAlignment="1" pivotButton="0" quotePrefix="0" xfId="0">
      <alignment horizontal="center" wrapText="1"/>
    </xf>
    <xf numFmtId="165" fontId="16" fillId="0" borderId="1" applyAlignment="1" pivotButton="0" quotePrefix="0" xfId="0">
      <alignment horizontal="center" wrapText="1"/>
    </xf>
    <xf numFmtId="4" fontId="16" fillId="0" borderId="1" applyAlignment="1" pivotButton="0" quotePrefix="0" xfId="0">
      <alignment horizontal="center" wrapText="1"/>
    </xf>
    <xf numFmtId="3" fontId="17" fillId="0" borderId="1" applyAlignment="1" pivotButton="0" quotePrefix="0" xfId="0">
      <alignment horizontal="center" wrapText="1"/>
    </xf>
    <xf numFmtId="165" fontId="17" fillId="0" borderId="1" applyAlignment="1" pivotButton="0" quotePrefix="0" xfId="0">
      <alignment horizontal="center" wrapText="1"/>
    </xf>
    <xf numFmtId="4" fontId="17" fillId="0" borderId="1" applyAlignment="1" pivotButton="0" quotePrefix="0" xfId="0">
      <alignment horizontal="center" wrapText="1"/>
    </xf>
    <xf numFmtId="0" fontId="53" fillId="0" borderId="1" applyAlignment="1" pivotButton="0" quotePrefix="0" xfId="0">
      <alignment horizontal="left"/>
    </xf>
    <xf numFmtId="165" fontId="0" fillId="0" borderId="0" applyAlignment="1" pivotButton="0" quotePrefix="0" xfId="0">
      <alignment horizontal="general"/>
    </xf>
    <xf numFmtId="4" fontId="11" fillId="0" borderId="1" applyAlignment="1" pivotButton="0" quotePrefix="0" xfId="0">
      <alignment horizontal="right" wrapText="1"/>
    </xf>
    <xf numFmtId="165" fontId="1" fillId="0" borderId="1" applyAlignment="1" pivotButton="0" quotePrefix="0" xfId="0">
      <alignment horizontal="center"/>
    </xf>
    <xf numFmtId="0" fontId="54" fillId="0" borderId="1" applyAlignment="1" pivotButton="0" quotePrefix="0" xfId="0">
      <alignment horizontal="right"/>
    </xf>
    <xf numFmtId="3" fontId="26" fillId="0" borderId="1" applyAlignment="1" pivotButton="0" quotePrefix="0" xfId="0">
      <alignment horizontal="center"/>
    </xf>
    <xf numFmtId="165" fontId="26" fillId="0" borderId="1" applyAlignment="1" pivotButton="0" quotePrefix="0" xfId="0">
      <alignment horizontal="center"/>
    </xf>
    <xf numFmtId="4" fontId="26" fillId="0" borderId="1" applyAlignment="1" pivotButton="0" quotePrefix="0" xfId="0">
      <alignment horizontal="center"/>
    </xf>
    <xf numFmtId="3" fontId="22" fillId="0" borderId="1" applyAlignment="1" pivotButton="0" quotePrefix="0" xfId="0">
      <alignment horizontal="left"/>
    </xf>
    <xf numFmtId="165" fontId="22" fillId="0" borderId="1" applyAlignment="1" pivotButton="0" quotePrefix="0" xfId="0">
      <alignment horizontal="left"/>
    </xf>
    <xf numFmtId="4" fontId="22" fillId="0" borderId="1" applyAlignment="1" pivotButton="0" quotePrefix="0" xfId="0">
      <alignment horizontal="left"/>
    </xf>
    <xf numFmtId="0" fontId="55" fillId="0" borderId="1" applyAlignment="1" pivotButton="0" quotePrefix="0" xfId="0">
      <alignment horizontal="center"/>
    </xf>
    <xf numFmtId="3" fontId="55" fillId="0" borderId="1" applyAlignment="1" pivotButton="0" quotePrefix="0" xfId="0">
      <alignment horizontal="center"/>
    </xf>
    <xf numFmtId="165" fontId="55" fillId="0" borderId="1" applyAlignment="1" pivotButton="0" quotePrefix="0" xfId="0">
      <alignment horizontal="center"/>
    </xf>
    <xf numFmtId="4" fontId="55" fillId="0" borderId="1" applyAlignment="1" pivotButton="0" quotePrefix="0" xfId="0">
      <alignment horizontal="center"/>
    </xf>
    <xf numFmtId="3" fontId="56" fillId="0" borderId="1" applyAlignment="1" pivotButton="0" quotePrefix="0" xfId="0">
      <alignment horizontal="left"/>
    </xf>
    <xf numFmtId="0" fontId="56" fillId="0" borderId="1" applyAlignment="1" pivotButton="0" quotePrefix="0" xfId="0">
      <alignment horizontal="left"/>
    </xf>
    <xf numFmtId="165" fontId="56" fillId="0" borderId="1" applyAlignment="1" pivotButton="0" quotePrefix="0" xfId="0">
      <alignment horizontal="left"/>
    </xf>
    <xf numFmtId="4" fontId="56" fillId="0" borderId="1" applyAlignment="1" pivotButton="0" quotePrefix="0" xfId="0">
      <alignment horizontal="left"/>
    </xf>
    <xf numFmtId="3" fontId="53" fillId="0" borderId="1" applyAlignment="1" pivotButton="0" quotePrefix="0" xfId="0">
      <alignment horizontal="left"/>
    </xf>
    <xf numFmtId="0" fontId="57" fillId="0" borderId="1" applyAlignment="1" pivotButton="0" quotePrefix="0" xfId="0">
      <alignment horizontal="center"/>
    </xf>
    <xf numFmtId="165" fontId="57" fillId="0" borderId="1" applyAlignment="1" pivotButton="0" quotePrefix="0" xfId="0">
      <alignment horizontal="center"/>
    </xf>
    <xf numFmtId="4" fontId="57" fillId="0" borderId="1" applyAlignment="1" pivotButton="0" quotePrefix="0" xfId="0">
      <alignment horizontal="center"/>
    </xf>
    <xf numFmtId="3" fontId="54" fillId="0" borderId="6" applyAlignment="1" pivotButton="0" quotePrefix="0" xfId="0">
      <alignment horizontal="center" wrapText="1"/>
    </xf>
    <xf numFmtId="0" fontId="54" fillId="0" borderId="6" applyAlignment="1" pivotButton="0" quotePrefix="0" xfId="0">
      <alignment horizontal="center" wrapText="1"/>
    </xf>
    <xf numFmtId="165" fontId="54" fillId="0" borderId="6" applyAlignment="1" pivotButton="0" quotePrefix="0" xfId="0">
      <alignment horizontal="center" wrapText="1"/>
    </xf>
    <xf numFmtId="4" fontId="54" fillId="0" borderId="6" applyAlignment="1" pivotButton="0" quotePrefix="0" xfId="0">
      <alignment horizontal="center" wrapText="1"/>
    </xf>
    <xf numFmtId="3" fontId="54" fillId="0" borderId="6" applyAlignment="1" pivotButton="0" quotePrefix="0" xfId="0">
      <alignment horizontal="right" wrapText="1"/>
    </xf>
    <xf numFmtId="0" fontId="54" fillId="0" borderId="6" applyAlignment="1" pivotButton="0" quotePrefix="0" xfId="0">
      <alignment horizontal="left" wrapText="1"/>
    </xf>
    <xf numFmtId="165" fontId="54" fillId="0" borderId="6" applyAlignment="1" pivotButton="0" quotePrefix="0" xfId="0">
      <alignment horizontal="right" wrapText="1"/>
    </xf>
    <xf numFmtId="4" fontId="54" fillId="0" borderId="6" applyAlignment="1" pivotButton="0" quotePrefix="0" xfId="0">
      <alignment horizontal="right" wrapText="1"/>
    </xf>
    <xf numFmtId="0" fontId="54" fillId="3" borderId="6" applyAlignment="1" pivotButton="0" quotePrefix="0" xfId="0">
      <alignment horizontal="left" wrapText="1"/>
    </xf>
    <xf numFmtId="165" fontId="54" fillId="3" borderId="6" applyAlignment="1" pivotButton="0" quotePrefix="0" xfId="0">
      <alignment horizontal="left" wrapText="1"/>
    </xf>
    <xf numFmtId="4" fontId="54" fillId="3" borderId="6" applyAlignment="1" pivotButton="0" quotePrefix="0" xfId="0">
      <alignment horizontal="right" wrapText="1"/>
    </xf>
    <xf numFmtId="3" fontId="54" fillId="0" borderId="18" applyAlignment="1" pivotButton="0" quotePrefix="0" xfId="0">
      <alignment horizontal="center" wrapText="1"/>
    </xf>
    <xf numFmtId="0" fontId="54" fillId="0" borderId="19" applyAlignment="1" pivotButton="0" quotePrefix="0" xfId="0">
      <alignment horizontal="center" wrapText="1"/>
    </xf>
    <xf numFmtId="0" fontId="54" fillId="0" borderId="20" applyAlignment="1" pivotButton="0" quotePrefix="0" xfId="0">
      <alignment horizontal="center" wrapText="1"/>
    </xf>
    <xf numFmtId="0" fontId="54" fillId="0" borderId="18" applyAlignment="1" pivotButton="0" quotePrefix="0" xfId="0">
      <alignment horizontal="left"/>
    </xf>
    <xf numFmtId="0" fontId="54" fillId="0" borderId="20" applyAlignment="1" pivotButton="0" quotePrefix="0" xfId="0">
      <alignment horizontal="left"/>
    </xf>
    <xf numFmtId="165" fontId="54" fillId="0" borderId="6" applyAlignment="1" pivotButton="0" quotePrefix="0" xfId="0">
      <alignment horizontal="left" wrapText="1"/>
    </xf>
    <xf numFmtId="4" fontId="54" fillId="0" borderId="18" applyAlignment="1" pivotButton="0" quotePrefix="0" xfId="0">
      <alignment horizontal="right" wrapText="1"/>
    </xf>
    <xf numFmtId="4" fontId="54" fillId="0" borderId="20" applyAlignment="1" pivotButton="0" quotePrefix="0" xfId="0">
      <alignment horizontal="right" wrapText="1"/>
    </xf>
    <xf numFmtId="3" fontId="58" fillId="0" borderId="1" applyAlignment="1" pivotButton="0" quotePrefix="0" xfId="0">
      <alignment horizontal="left"/>
    </xf>
    <xf numFmtId="0" fontId="58" fillId="0" borderId="1" applyAlignment="1" pivotButton="0" quotePrefix="0" xfId="0">
      <alignment horizontal="left"/>
    </xf>
    <xf numFmtId="165" fontId="58" fillId="0" borderId="1" applyAlignment="1" pivotButton="0" quotePrefix="0" xfId="0">
      <alignment horizontal="left"/>
    </xf>
    <xf numFmtId="4" fontId="58" fillId="0" borderId="1" applyAlignment="1" pivotButton="0" quotePrefix="0" xfId="0">
      <alignment horizontal="left"/>
    </xf>
    <xf numFmtId="0" fontId="54" fillId="0" borderId="1" applyAlignment="1" pivotButton="0" quotePrefix="0" xfId="0">
      <alignment horizontal="left"/>
    </xf>
    <xf numFmtId="0" fontId="54" fillId="0" borderId="6" applyAlignment="1" pivotButton="0" quotePrefix="0" xfId="0">
      <alignment horizontal="center"/>
    </xf>
    <xf numFmtId="0" fontId="54" fillId="3" borderId="6" applyAlignment="1" pivotButton="0" quotePrefix="0" xfId="0">
      <alignment horizontal="center" wrapText="1"/>
    </xf>
    <xf numFmtId="165" fontId="54" fillId="3" borderId="6" applyAlignment="1" pivotButton="0" quotePrefix="0" xfId="0">
      <alignment horizontal="center" wrapText="1"/>
    </xf>
    <xf numFmtId="4" fontId="54" fillId="3" borderId="6" applyAlignment="1" pivotButton="0" quotePrefix="0" xfId="0">
      <alignment horizontal="center" wrapText="1"/>
    </xf>
    <xf numFmtId="3" fontId="54" fillId="0" borderId="6" applyAlignment="1" pivotButton="0" quotePrefix="0" xfId="0">
      <alignment horizontal="left" wrapText="1"/>
    </xf>
    <xf numFmtId="165" fontId="54" fillId="0" borderId="6" applyAlignment="1" pivotButton="0" quotePrefix="0" xfId="0">
      <alignment horizontal="center"/>
    </xf>
    <xf numFmtId="165" fontId="46" fillId="0" borderId="1" applyAlignment="1" pivotButton="0" quotePrefix="0" xfId="0">
      <alignment horizontal="left"/>
    </xf>
    <xf numFmtId="4" fontId="46" fillId="0" borderId="1" applyAlignment="1" pivotButton="0" quotePrefix="0" xfId="0">
      <alignment horizontal="left"/>
    </xf>
    <xf numFmtId="0" fontId="11" fillId="0" borderId="1" applyAlignment="1" pivotButton="0" quotePrefix="0" xfId="0">
      <alignment horizontal="center" wrapText="1"/>
    </xf>
    <xf numFmtId="0" fontId="54" fillId="0" borderId="1" applyAlignment="1" pivotButton="0" quotePrefix="0" xfId="0">
      <alignment horizontal="left"/>
    </xf>
    <xf numFmtId="165" fontId="54" fillId="0" borderId="1" applyAlignment="1" pivotButton="0" quotePrefix="0" xfId="0">
      <alignment horizontal="left"/>
    </xf>
    <xf numFmtId="4" fontId="54" fillId="0" borderId="1" applyAlignment="1" pivotButton="0" quotePrefix="0" xfId="0">
      <alignment horizontal="left"/>
    </xf>
    <xf numFmtId="0" fontId="46" fillId="0" borderId="1" applyAlignment="1" pivotButton="0" quotePrefix="0" xfId="0">
      <alignment horizontal="left"/>
    </xf>
    <xf numFmtId="4" fontId="0" fillId="0" borderId="0" applyAlignment="1" pivotButton="0" quotePrefix="0" xfId="0">
      <alignment horizontal="general"/>
    </xf>
    <xf numFmtId="165" fontId="18" fillId="0" borderId="1" applyAlignment="1" pivotButton="0" quotePrefix="0" xfId="0">
      <alignment horizontal="center" wrapText="1"/>
    </xf>
    <xf numFmtId="4" fontId="18" fillId="0" borderId="1" applyAlignment="1" pivotButton="0" quotePrefix="0" xfId="0">
      <alignment horizontal="center" wrapText="1"/>
    </xf>
    <xf numFmtId="3" fontId="18" fillId="0" borderId="1" applyAlignment="1" pivotButton="0" quotePrefix="0" xfId="0">
      <alignment horizontal="center"/>
    </xf>
    <xf numFmtId="165" fontId="18" fillId="0" borderId="1" applyAlignment="1" pivotButton="0" quotePrefix="0" xfId="0">
      <alignment horizontal="left"/>
    </xf>
    <xf numFmtId="4" fontId="18" fillId="0" borderId="1" applyAlignment="1" pivotButton="0" quotePrefix="0" xfId="0">
      <alignment horizontal="center"/>
    </xf>
    <xf numFmtId="0" fontId="11" fillId="0" borderId="1" applyAlignment="1" pivotButton="0" quotePrefix="0" xfId="0">
      <alignment horizontal="center"/>
    </xf>
    <xf numFmtId="3" fontId="11" fillId="0" borderId="1" applyAlignment="1" pivotButton="0" quotePrefix="0" xfId="0">
      <alignment horizontal="center"/>
    </xf>
    <xf numFmtId="165" fontId="0" fillId="0" borderId="0" applyAlignment="1" pivotButton="0" quotePrefix="0" xfId="0">
      <alignment horizontal="general"/>
    </xf>
    <xf numFmtId="4" fontId="0" fillId="0" borderId="0" applyAlignment="1" pivotButton="0" quotePrefix="0" xfId="0">
      <alignment horizontal="general"/>
    </xf>
    <xf numFmtId="0" fontId="18" fillId="0" borderId="18" applyAlignment="1" pivotButton="0" quotePrefix="0" xfId="0">
      <alignment horizontal="left"/>
    </xf>
    <xf numFmtId="0" fontId="18" fillId="0" borderId="19" applyAlignment="1" pivotButton="0" quotePrefix="0" xfId="0">
      <alignment horizontal="left"/>
    </xf>
    <xf numFmtId="0" fontId="18" fillId="0" borderId="19" applyAlignment="1" pivotButton="0" quotePrefix="0" xfId="0">
      <alignment horizontal="left" wrapText="1"/>
    </xf>
    <xf numFmtId="14" fontId="18" fillId="0" borderId="19" applyAlignment="1" pivotButton="0" quotePrefix="0" xfId="0">
      <alignment horizontal="center" wrapText="1"/>
    </xf>
    <xf numFmtId="14" fontId="18" fillId="0" borderId="20" applyAlignment="1" pivotButton="0" quotePrefix="0" xfId="0">
      <alignment horizontal="left" wrapText="1"/>
    </xf>
    <xf numFmtId="0" fontId="7" fillId="0" borderId="1" applyAlignment="1" pivotButton="0" quotePrefix="0" xfId="0">
      <alignment horizontal="justify" vertical="top" wrapText="1"/>
    </xf>
    <xf numFmtId="0" fontId="54" fillId="0" borderId="1" applyAlignment="1" pivotButton="0" quotePrefix="0" xfId="0">
      <alignment horizontal="left" wrapText="1"/>
    </xf>
    <xf numFmtId="0" fontId="54" fillId="0" borderId="1" applyAlignment="1" pivotButton="0" quotePrefix="0" xfId="0">
      <alignment horizontal="right" wrapText="1"/>
    </xf>
    <xf numFmtId="0" fontId="46" fillId="0" borderId="1" applyAlignment="1" pivotButton="0" quotePrefix="0" xfId="0">
      <alignment horizontal="center"/>
    </xf>
    <xf numFmtId="166" fontId="13" fillId="0" borderId="1" applyAlignment="1" pivotButton="0" quotePrefix="0" xfId="0">
      <alignment horizontal="center" wrapText="1"/>
    </xf>
    <xf numFmtId="166" fontId="14" fillId="0" borderId="1" applyAlignment="1" pivotButton="0" quotePrefix="0" xfId="0">
      <alignment horizontal="center" wrapText="1"/>
    </xf>
    <xf numFmtId="166" fontId="16" fillId="0" borderId="1" applyAlignment="1" pivotButton="0" quotePrefix="0" xfId="0">
      <alignment horizontal="center" wrapText="1"/>
    </xf>
    <xf numFmtId="166" fontId="59" fillId="0" borderId="17" applyAlignment="1" pivotButton="0" quotePrefix="0" xfId="0">
      <alignment horizontal="center" wrapText="1"/>
    </xf>
    <xf numFmtId="0" fontId="59" fillId="0" borderId="17" applyAlignment="1" pivotButton="0" quotePrefix="0" xfId="0">
      <alignment horizontal="center" wrapText="1"/>
    </xf>
    <xf numFmtId="166" fontId="60" fillId="0" borderId="19" applyAlignment="1" pivotButton="0" quotePrefix="0" xfId="0">
      <alignment horizontal="center" wrapText="1"/>
    </xf>
    <xf numFmtId="0" fontId="60" fillId="0" borderId="19" applyAlignment="1" pivotButton="0" quotePrefix="0" xfId="0">
      <alignment horizontal="center" wrapText="1"/>
    </xf>
    <xf numFmtId="166" fontId="61" fillId="0" borderId="19" applyAlignment="1" pivotButton="0" quotePrefix="0" xfId="0">
      <alignment horizontal="center" wrapText="1"/>
    </xf>
    <xf numFmtId="0" fontId="61" fillId="0" borderId="19" applyAlignment="1" pivotButton="0" quotePrefix="0" xfId="0">
      <alignment horizontal="center" wrapText="1"/>
    </xf>
    <xf numFmtId="166" fontId="62" fillId="0" borderId="6" applyAlignment="1" pivotButton="0" quotePrefix="0" xfId="0">
      <alignment horizontal="center" vertical="top" wrapText="1"/>
    </xf>
    <xf numFmtId="0" fontId="62" fillId="0" borderId="6" applyAlignment="1" pivotButton="0" quotePrefix="0" xfId="0">
      <alignment horizontal="center" wrapText="1"/>
    </xf>
    <xf numFmtId="166" fontId="62" fillId="0" borderId="28" applyAlignment="1" pivotButton="0" quotePrefix="0" xfId="0">
      <alignment horizontal="center" wrapText="1"/>
    </xf>
    <xf numFmtId="0" fontId="11" fillId="0" borderId="28" applyAlignment="1" pivotButton="0" quotePrefix="0" xfId="0">
      <alignment horizontal="center" wrapText="1"/>
    </xf>
    <xf numFmtId="0" fontId="62" fillId="0" borderId="28" applyAlignment="1" pivotButton="0" quotePrefix="0" xfId="0">
      <alignment horizontal="center" wrapText="1"/>
    </xf>
    <xf numFmtId="166" fontId="63" fillId="0" borderId="29" applyAlignment="1" pivotButton="0" quotePrefix="0" xfId="0">
      <alignment horizontal="center" wrapText="1"/>
    </xf>
    <xf numFmtId="0" fontId="11" fillId="0" borderId="30" applyAlignment="1" pivotButton="0" quotePrefix="0" xfId="0">
      <alignment horizontal="left" wrapText="1"/>
    </xf>
    <xf numFmtId="0" fontId="64" fillId="0" borderId="30" applyAlignment="1" pivotButton="0" quotePrefix="0" xfId="0">
      <alignment horizontal="left" wrapText="1"/>
    </xf>
    <xf numFmtId="0" fontId="22" fillId="0" borderId="31" applyAlignment="1" pivotButton="0" quotePrefix="0" xfId="0">
      <alignment horizontal="left"/>
    </xf>
    <xf numFmtId="166" fontId="63" fillId="0" borderId="32" applyAlignment="1" pivotButton="0" quotePrefix="0" xfId="0">
      <alignment horizontal="center" wrapText="1"/>
    </xf>
    <xf numFmtId="0" fontId="65" fillId="0" borderId="33" applyAlignment="1" pivotButton="0" quotePrefix="0" xfId="0">
      <alignment horizontal="left" wrapText="1"/>
    </xf>
    <xf numFmtId="0" fontId="64" fillId="0" borderId="33" applyAlignment="1" pivotButton="0" quotePrefix="0" xfId="0">
      <alignment horizontal="left" wrapText="1"/>
    </xf>
    <xf numFmtId="0" fontId="63" fillId="0" borderId="34" applyAlignment="1" pivotButton="0" quotePrefix="0" xfId="0">
      <alignment horizontal="center" wrapText="1"/>
    </xf>
    <xf numFmtId="0" fontId="11" fillId="0" borderId="33" applyAlignment="1" pivotButton="0" quotePrefix="0" xfId="0">
      <alignment horizontal="left" wrapText="1"/>
    </xf>
    <xf numFmtId="0" fontId="22" fillId="0" borderId="34" applyAlignment="1" pivotButton="0" quotePrefix="0" xfId="0">
      <alignment horizontal="left"/>
    </xf>
    <xf numFmtId="0" fontId="63" fillId="0" borderId="34" applyAlignment="1" pivotButton="0" quotePrefix="0" xfId="0">
      <alignment horizontal="left" wrapText="1"/>
    </xf>
    <xf numFmtId="0" fontId="66" fillId="0" borderId="33" applyAlignment="1" pivotButton="0" quotePrefix="0" xfId="0">
      <alignment horizontal="left" wrapText="1"/>
    </xf>
    <xf numFmtId="166" fontId="63" fillId="0" borderId="35" applyAlignment="1" pivotButton="0" quotePrefix="0" xfId="0">
      <alignment horizontal="center" wrapText="1"/>
    </xf>
    <xf numFmtId="0" fontId="66" fillId="0" borderId="36" applyAlignment="1" pivotButton="0" quotePrefix="0" xfId="0">
      <alignment horizontal="left" wrapText="1"/>
    </xf>
    <xf numFmtId="0" fontId="64" fillId="0" borderId="36" applyAlignment="1" pivotButton="0" quotePrefix="0" xfId="0">
      <alignment horizontal="left" wrapText="1"/>
    </xf>
    <xf numFmtId="0" fontId="63" fillId="0" borderId="37" applyAlignment="1" pivotButton="0" quotePrefix="0" xfId="0">
      <alignment horizontal="left" wrapText="1"/>
    </xf>
    <xf numFmtId="166" fontId="0" fillId="0" borderId="0" applyAlignment="1" pivotButton="0" quotePrefix="0" xfId="0">
      <alignment horizontal="general"/>
    </xf>
    <xf numFmtId="0" fontId="0" fillId="0" borderId="0" applyAlignment="1" pivotButton="0" quotePrefix="0" xfId="0">
      <alignment horizontal="center"/>
    </xf>
    <xf numFmtId="166" fontId="64" fillId="0" borderId="1" applyAlignment="1" pivotButton="0" quotePrefix="0" xfId="0">
      <alignment horizontal="left"/>
    </xf>
    <xf numFmtId="0" fontId="64" fillId="0" borderId="1" applyAlignment="1" pivotButton="0" quotePrefix="0" xfId="0">
      <alignment horizontal="left" wrapText="1"/>
    </xf>
    <xf numFmtId="0" fontId="67" fillId="0" borderId="1" applyAlignment="1" pivotButton="0" quotePrefix="0" xfId="0">
      <alignment horizontal="center"/>
    </xf>
    <xf numFmtId="166" fontId="0" fillId="0" borderId="0" applyAlignment="1" pivotButton="0" quotePrefix="0" xfId="0">
      <alignment horizontal="general"/>
    </xf>
    <xf numFmtId="0" fontId="0" fillId="0" borderId="0" applyAlignment="1" pivotButton="0" quotePrefix="0" xfId="0">
      <alignment horizontal="center"/>
    </xf>
    <xf numFmtId="166" fontId="68" fillId="0" borderId="19" applyAlignment="1" pivotButton="0" quotePrefix="0" xfId="0">
      <alignment horizontal="center" wrapText="1"/>
    </xf>
    <xf numFmtId="0" fontId="68" fillId="0" borderId="19" applyAlignment="1" pivotButton="0" quotePrefix="0" xfId="0">
      <alignment horizontal="center" wrapText="1"/>
    </xf>
    <xf numFmtId="166" fontId="63" fillId="0" borderId="38" applyAlignment="1" pivotButton="0" quotePrefix="0" xfId="0">
      <alignment horizontal="center" wrapText="1"/>
    </xf>
    <xf numFmtId="0" fontId="11" fillId="0" borderId="39" applyAlignment="1" pivotButton="0" quotePrefix="0" xfId="0">
      <alignment horizontal="left" wrapText="1"/>
    </xf>
    <xf numFmtId="0" fontId="22" fillId="0" borderId="39" applyAlignment="1" pivotButton="0" quotePrefix="0" xfId="0">
      <alignment horizontal="left"/>
    </xf>
    <xf numFmtId="0" fontId="63" fillId="0" borderId="40" applyAlignment="1" pivotButton="0" quotePrefix="0" xfId="0">
      <alignment horizontal="center" wrapText="1"/>
    </xf>
    <xf numFmtId="166" fontId="63" fillId="0" borderId="41" applyAlignment="1" pivotButton="0" quotePrefix="0" xfId="0">
      <alignment horizontal="center" wrapText="1"/>
    </xf>
    <xf numFmtId="0" fontId="65" fillId="0" borderId="42" applyAlignment="1" pivotButton="0" quotePrefix="0" xfId="0">
      <alignment horizontal="left" wrapText="1"/>
    </xf>
    <xf numFmtId="0" fontId="22" fillId="0" borderId="42" applyAlignment="1" pivotButton="0" quotePrefix="0" xfId="0">
      <alignment horizontal="left"/>
    </xf>
    <xf numFmtId="0" fontId="63" fillId="0" borderId="43" applyAlignment="1" pivotButton="0" quotePrefix="0" xfId="0">
      <alignment horizontal="center" wrapText="1"/>
    </xf>
    <xf numFmtId="0" fontId="11" fillId="0" borderId="42" applyAlignment="1" pivotButton="0" quotePrefix="0" xfId="0">
      <alignment horizontal="left" wrapText="1"/>
    </xf>
    <xf numFmtId="0" fontId="63" fillId="0" borderId="43" applyAlignment="1" pivotButton="0" quotePrefix="0" xfId="0">
      <alignment horizontal="left" wrapText="1"/>
    </xf>
    <xf numFmtId="0" fontId="22" fillId="0" borderId="43" applyAlignment="1" pivotButton="0" quotePrefix="0" xfId="0">
      <alignment horizontal="left"/>
    </xf>
    <xf numFmtId="166" fontId="63" fillId="0" borderId="44" applyAlignment="1" pivotButton="0" quotePrefix="0" xfId="0">
      <alignment horizontal="center" wrapText="1"/>
    </xf>
    <xf numFmtId="0" fontId="66" fillId="0" borderId="45" applyAlignment="1" pivotButton="0" quotePrefix="0" xfId="0">
      <alignment horizontal="left" wrapText="1"/>
    </xf>
    <xf numFmtId="0" fontId="64" fillId="0" borderId="45" applyAlignment="1" pivotButton="0" quotePrefix="0" xfId="0">
      <alignment horizontal="left" wrapText="1"/>
    </xf>
    <xf numFmtId="0" fontId="63" fillId="0" borderId="46" applyAlignment="1" pivotButton="0" quotePrefix="0" xfId="0">
      <alignment horizontal="left" wrapText="1"/>
    </xf>
    <xf numFmtId="166" fontId="63" fillId="0" borderId="1" applyAlignment="1" pivotButton="0" quotePrefix="0" xfId="0">
      <alignment horizontal="center" wrapText="1"/>
    </xf>
    <xf numFmtId="0" fontId="0" fillId="0" borderId="0" applyAlignment="1" pivotButton="0" quotePrefix="0" xfId="0">
      <alignment horizontal="center" wrapText="1"/>
    </xf>
    <xf numFmtId="166" fontId="0" fillId="0" borderId="0" applyAlignment="1" pivotButton="0" quotePrefix="0" xfId="0">
      <alignment horizontal="left"/>
    </xf>
    <xf numFmtId="0" fontId="0" fillId="0" borderId="0" applyAlignment="1" pivotButton="0" quotePrefix="0" xfId="0">
      <alignment horizontal="left" wrapText="1"/>
    </xf>
    <xf numFmtId="0" fontId="13" fillId="0" borderId="1" applyAlignment="1" pivotButton="0" quotePrefix="0" xfId="0">
      <alignment horizontal="left"/>
    </xf>
    <xf numFmtId="0" fontId="69" fillId="3" borderId="47" applyAlignment="1" pivotButton="0" quotePrefix="0" xfId="0">
      <alignment horizontal="center" vertical="top"/>
    </xf>
    <xf numFmtId="0" fontId="69" fillId="3" borderId="47" applyAlignment="1" pivotButton="0" quotePrefix="0" xfId="0">
      <alignment horizontal="center"/>
    </xf>
    <xf numFmtId="0" fontId="13" fillId="0" borderId="1" applyAlignment="1" pivotButton="0" quotePrefix="0" xfId="0">
      <alignment horizontal="center"/>
    </xf>
    <xf numFmtId="0" fontId="70" fillId="0" borderId="1" applyAlignment="1" pivotButton="0" quotePrefix="0" xfId="0">
      <alignment horizontal="center"/>
    </xf>
    <xf numFmtId="0" fontId="14" fillId="0" borderId="1" applyAlignment="1" pivotButton="0" quotePrefix="0" xfId="0">
      <alignment horizontal="left"/>
    </xf>
    <xf numFmtId="0" fontId="14" fillId="0" borderId="1" applyAlignment="1" pivotButton="0" quotePrefix="0" xfId="0">
      <alignment horizontal="center"/>
    </xf>
    <xf numFmtId="0" fontId="71" fillId="0" borderId="1" applyAlignment="1" pivotButton="0" quotePrefix="0" xfId="0">
      <alignment horizontal="center"/>
    </xf>
    <xf numFmtId="0" fontId="16" fillId="0" borderId="1" applyAlignment="1" pivotButton="0" quotePrefix="0" xfId="0">
      <alignment horizontal="left"/>
    </xf>
    <xf numFmtId="0" fontId="15" fillId="0" borderId="1" applyAlignment="1" pivotButton="0" quotePrefix="0" xfId="0">
      <alignment horizontal="center"/>
    </xf>
    <xf numFmtId="0" fontId="15" fillId="0" borderId="1" applyAlignment="1" pivotButton="0" quotePrefix="0" xfId="0">
      <alignment horizontal="center"/>
    </xf>
    <xf numFmtId="0" fontId="16" fillId="0" borderId="1" applyAlignment="1" pivotButton="0" quotePrefix="0" xfId="0">
      <alignment horizontal="center"/>
    </xf>
    <xf numFmtId="0" fontId="59" fillId="0" borderId="1" applyAlignment="1" pivotButton="0" quotePrefix="0" xfId="0">
      <alignment horizontal="center"/>
    </xf>
    <xf numFmtId="0" fontId="59" fillId="0" borderId="1" applyAlignment="1" pivotButton="0" quotePrefix="0" xfId="0">
      <alignment horizontal="center"/>
    </xf>
    <xf numFmtId="0" fontId="72" fillId="0" borderId="17" applyAlignment="1" pivotButton="0" quotePrefix="0" xfId="0">
      <alignment horizontal="center"/>
    </xf>
    <xf numFmtId="0" fontId="72" fillId="0" borderId="17" applyAlignment="1" pivotButton="0" quotePrefix="0" xfId="0">
      <alignment horizontal="center"/>
    </xf>
    <xf numFmtId="0" fontId="22" fillId="0" borderId="18" applyAlignment="1" pivotButton="0" quotePrefix="0" xfId="0">
      <alignment horizontal="left"/>
    </xf>
    <xf numFmtId="0" fontId="53" fillId="0" borderId="19" applyAlignment="1" pivotButton="0" quotePrefix="0" xfId="0">
      <alignment horizontal="left"/>
    </xf>
    <xf numFmtId="0" fontId="22" fillId="0" borderId="19" applyAlignment="1" pivotButton="0" quotePrefix="0" xfId="0">
      <alignment horizontal="left"/>
    </xf>
    <xf numFmtId="0" fontId="53" fillId="0" borderId="19" applyAlignment="1" pivotButton="0" quotePrefix="0" xfId="0">
      <alignment horizontal="left"/>
    </xf>
    <xf numFmtId="0" fontId="11" fillId="0" borderId="19" applyAlignment="1" pivotButton="0" quotePrefix="0" xfId="0">
      <alignment horizontal="right" wrapText="1"/>
    </xf>
    <xf numFmtId="14" fontId="11" fillId="0" borderId="19" applyAlignment="1" pivotButton="0" quotePrefix="0" xfId="0">
      <alignment horizontal="left" wrapText="1"/>
    </xf>
    <xf numFmtId="0" fontId="62" fillId="3" borderId="47" applyAlignment="1" pivotButton="0" quotePrefix="0" xfId="0">
      <alignment horizontal="center"/>
    </xf>
    <xf numFmtId="0" fontId="54" fillId="0" borderId="1" applyAlignment="1" pivotButton="0" quotePrefix="0" xfId="0">
      <alignment horizontal="left" wrapText="1"/>
    </xf>
    <xf numFmtId="0" fontId="54" fillId="3" borderId="47" applyAlignment="1" pivotButton="0" quotePrefix="0" xfId="0">
      <alignment horizontal="center"/>
    </xf>
    <xf numFmtId="0" fontId="11" fillId="0" borderId="1" applyAlignment="1" pivotButton="0" quotePrefix="0" xfId="0">
      <alignment horizontal="justify" vertical="top" wrapText="1"/>
    </xf>
    <xf numFmtId="0" fontId="11" fillId="0" borderId="1" applyAlignment="1" pivotButton="0" quotePrefix="0" xfId="0">
      <alignment horizontal="justify" wrapText="1"/>
    </xf>
    <xf numFmtId="0" fontId="11" fillId="0" borderId="1" applyAlignment="1" pivotButton="0" quotePrefix="0" xfId="0">
      <alignment horizontal="justify"/>
    </xf>
    <xf numFmtId="0" fontId="73" fillId="0" borderId="1" applyAlignment="1" pivotButton="0" quotePrefix="0" xfId="0">
      <alignment horizontal="right"/>
    </xf>
    <xf numFmtId="0" fontId="74" fillId="0" borderId="1" applyAlignment="1" pivotButton="0" quotePrefix="0" xfId="0">
      <alignment horizontal="justify"/>
    </xf>
    <xf numFmtId="0" fontId="15" fillId="0" borderId="1" applyAlignment="1" pivotButton="0" quotePrefix="0" xfId="0">
      <alignment horizontal="center" wrapText="1"/>
    </xf>
    <xf numFmtId="0" fontId="15" fillId="0" borderId="1" applyAlignment="1" pivotButton="0" quotePrefix="0" xfId="0">
      <alignment horizontal="center" wrapText="1"/>
    </xf>
    <xf numFmtId="0" fontId="75" fillId="0" borderId="1" applyAlignment="1" pivotButton="0" quotePrefix="0" xfId="0">
      <alignment horizontal="center"/>
    </xf>
    <xf numFmtId="0" fontId="75" fillId="0" borderId="1" applyAlignment="1" pivotButton="0" quotePrefix="0" xfId="0">
      <alignment horizontal="center"/>
    </xf>
    <xf numFmtId="0" fontId="76" fillId="0" borderId="1" applyAlignment="1" pivotButton="0" quotePrefix="0" xfId="0">
      <alignment horizontal="center"/>
    </xf>
    <xf numFmtId="0" fontId="76" fillId="0" borderId="1" applyAlignment="1" pivotButton="0" quotePrefix="0" xfId="0">
      <alignment horizontal="center"/>
    </xf>
    <xf numFmtId="0" fontId="77" fillId="0" borderId="1" applyAlignment="1" pivotButton="0" quotePrefix="0" xfId="0">
      <alignment horizontal="center"/>
    </xf>
    <xf numFmtId="0" fontId="77" fillId="0" borderId="1" applyAlignment="1" pivotButton="0" quotePrefix="0" xfId="0">
      <alignment horizontal="center"/>
    </xf>
    <xf numFmtId="0" fontId="78" fillId="0" borderId="1" applyAlignment="1" pivotButton="0" quotePrefix="0" xfId="0">
      <alignment horizontal="center"/>
    </xf>
    <xf numFmtId="0" fontId="78" fillId="0" borderId="1" applyAlignment="1" pivotButton="0" quotePrefix="0" xfId="0">
      <alignment horizontal="center"/>
    </xf>
    <xf numFmtId="0" fontId="79" fillId="0" borderId="1" applyAlignment="1" pivotButton="0" quotePrefix="0" xfId="0">
      <alignment horizontal="center"/>
    </xf>
    <xf numFmtId="0" fontId="79" fillId="0" borderId="1" applyAlignment="1" pivotButton="0" quotePrefix="0" xfId="0">
      <alignment horizontal="center"/>
    </xf>
    <xf numFmtId="0" fontId="80" fillId="0" borderId="1" applyAlignment="1" pivotButton="0" quotePrefix="0" xfId="0">
      <alignment horizontal="left"/>
    </xf>
    <xf numFmtId="0" fontId="13" fillId="0" borderId="1" applyAlignment="1" pivotButton="0" quotePrefix="0" xfId="0">
      <alignment horizontal="center" wrapText="1"/>
    </xf>
    <xf numFmtId="3" fontId="13" fillId="0" borderId="1" applyAlignment="1" pivotButton="0" quotePrefix="0" xfId="0">
      <alignment horizontal="left" wrapText="1"/>
    </xf>
    <xf numFmtId="0" fontId="13" fillId="3" borderId="47" applyAlignment="1" pivotButton="0" quotePrefix="0" xfId="0">
      <alignment horizontal="left" wrapText="1"/>
    </xf>
    <xf numFmtId="0" fontId="13" fillId="3" borderId="47" applyAlignment="1" pivotButton="0" quotePrefix="0" xfId="0">
      <alignment horizontal="center" vertical="top" wrapText="1"/>
    </xf>
    <xf numFmtId="0" fontId="13" fillId="3" borderId="47" applyAlignment="1" pivotButton="0" quotePrefix="0" xfId="0">
      <alignment horizontal="center" wrapText="1"/>
    </xf>
    <xf numFmtId="3" fontId="13" fillId="3" borderId="47" applyAlignment="1" pivotButton="0" quotePrefix="0" xfId="0">
      <alignment horizontal="center" wrapText="1"/>
    </xf>
    <xf numFmtId="1" fontId="13" fillId="3" borderId="47" applyAlignment="1" pivotButton="0" quotePrefix="0" xfId="0">
      <alignment horizontal="center" wrapText="1"/>
    </xf>
    <xf numFmtId="3" fontId="70" fillId="0" borderId="1" applyAlignment="1" pivotButton="0" quotePrefix="0" xfId="0">
      <alignment horizontal="center"/>
    </xf>
    <xf numFmtId="14" fontId="70" fillId="0" borderId="1" applyAlignment="1" pivotButton="0" quotePrefix="0" xfId="0">
      <alignment horizontal="center"/>
    </xf>
    <xf numFmtId="167" fontId="70" fillId="0" borderId="1" applyAlignment="1" pivotButton="0" quotePrefix="0" xfId="0">
      <alignment horizontal="center"/>
    </xf>
    <xf numFmtId="1" fontId="13" fillId="0" borderId="1" applyAlignment="1" pivotButton="0" quotePrefix="0" xfId="0">
      <alignment horizontal="left" wrapText="1"/>
    </xf>
    <xf numFmtId="3" fontId="14" fillId="0" borderId="1" applyAlignment="1" pivotButton="0" quotePrefix="0" xfId="0">
      <alignment horizontal="left" wrapText="1"/>
    </xf>
    <xf numFmtId="3" fontId="71" fillId="0" borderId="1" applyAlignment="1" pivotButton="0" quotePrefix="0" xfId="0">
      <alignment horizontal="center"/>
    </xf>
    <xf numFmtId="14" fontId="71" fillId="0" borderId="1" applyAlignment="1" pivotButton="0" quotePrefix="0" xfId="0">
      <alignment horizontal="center"/>
    </xf>
    <xf numFmtId="167" fontId="71" fillId="0" borderId="1" applyAlignment="1" pivotButton="0" quotePrefix="0" xfId="0">
      <alignment horizontal="center"/>
    </xf>
    <xf numFmtId="1" fontId="14" fillId="0" borderId="1" applyAlignment="1" pivotButton="0" quotePrefix="0" xfId="0">
      <alignment horizontal="left" wrapText="1"/>
    </xf>
    <xf numFmtId="0" fontId="15" fillId="3" borderId="47" applyAlignment="1" pivotButton="0" quotePrefix="0" xfId="0">
      <alignment horizontal="left" wrapText="1"/>
    </xf>
    <xf numFmtId="0" fontId="15" fillId="3" borderId="47" applyAlignment="1" pivotButton="0" quotePrefix="0" xfId="0">
      <alignment horizontal="center" wrapText="1"/>
    </xf>
    <xf numFmtId="0" fontId="15" fillId="3" borderId="47" applyAlignment="1" pivotButton="0" quotePrefix="0" xfId="0">
      <alignment horizontal="center" wrapText="1"/>
    </xf>
    <xf numFmtId="3" fontId="15" fillId="3" borderId="47" applyAlignment="1" pivotButton="0" quotePrefix="0" xfId="0">
      <alignment horizontal="center" wrapText="1"/>
    </xf>
    <xf numFmtId="1" fontId="15" fillId="3" borderId="47" applyAlignment="1" pivotButton="0" quotePrefix="0" xfId="0">
      <alignment horizontal="center" wrapText="1"/>
    </xf>
    <xf numFmtId="3" fontId="59" fillId="0" borderId="1" applyAlignment="1" pivotButton="0" quotePrefix="0" xfId="0">
      <alignment horizontal="center"/>
    </xf>
    <xf numFmtId="14" fontId="59" fillId="0" borderId="1" applyAlignment="1" pivotButton="0" quotePrefix="0" xfId="0">
      <alignment horizontal="center"/>
    </xf>
    <xf numFmtId="167" fontId="59" fillId="0" borderId="1" applyAlignment="1" pivotButton="0" quotePrefix="0" xfId="0">
      <alignment horizontal="center"/>
    </xf>
    <xf numFmtId="1" fontId="16" fillId="0" borderId="1" applyAlignment="1" pivotButton="0" quotePrefix="0" xfId="0">
      <alignment horizontal="left" wrapText="1"/>
    </xf>
    <xf numFmtId="0" fontId="22" fillId="0" borderId="1" applyAlignment="1" pivotButton="0" quotePrefix="0" xfId="0">
      <alignment horizontal="center"/>
    </xf>
    <xf numFmtId="0" fontId="22" fillId="0" borderId="1" applyAlignment="1" pivotButton="0" quotePrefix="0" xfId="0">
      <alignment horizontal="center"/>
    </xf>
    <xf numFmtId="3" fontId="22" fillId="0" borderId="1" applyAlignment="1" pivotButton="0" quotePrefix="0" xfId="0">
      <alignment horizontal="center"/>
    </xf>
    <xf numFmtId="1" fontId="22" fillId="0" borderId="1" applyAlignment="1" pivotButton="0" quotePrefix="0" xfId="0">
      <alignment horizontal="center"/>
    </xf>
    <xf numFmtId="14" fontId="22" fillId="0" borderId="1" applyAlignment="1" pivotButton="0" quotePrefix="0" xfId="0">
      <alignment horizontal="center"/>
    </xf>
    <xf numFmtId="167" fontId="22" fillId="0" borderId="1" applyAlignment="1" pivotButton="0" quotePrefix="0" xfId="0">
      <alignment horizontal="center"/>
    </xf>
    <xf numFmtId="1" fontId="17" fillId="0" borderId="1" applyAlignment="1" pivotButton="0" quotePrefix="0" xfId="0">
      <alignment horizontal="left" wrapText="1"/>
    </xf>
    <xf numFmtId="0" fontId="11" fillId="0" borderId="27" applyAlignment="1" pivotButton="0" quotePrefix="0" xfId="0">
      <alignment horizontal="left"/>
    </xf>
    <xf numFmtId="0" fontId="11" fillId="0" borderId="27" applyAlignment="1" pivotButton="0" quotePrefix="0" xfId="0">
      <alignment horizontal="left"/>
    </xf>
    <xf numFmtId="3" fontId="11" fillId="0" borderId="27" applyAlignment="1" pivotButton="0" quotePrefix="0" xfId="0">
      <alignment horizontal="left"/>
    </xf>
    <xf numFmtId="1" fontId="11" fillId="0" borderId="27" applyAlignment="1" pivotButton="0" quotePrefix="0" xfId="0">
      <alignment horizontal="left"/>
    </xf>
    <xf numFmtId="0" fontId="11" fillId="0" borderId="27" applyAlignment="1" pivotButton="0" quotePrefix="0" xfId="0">
      <alignment horizontal="left" wrapText="1"/>
    </xf>
    <xf numFmtId="3" fontId="11" fillId="0" borderId="27" applyAlignment="1" pivotButton="0" quotePrefix="0" xfId="0">
      <alignment horizontal="right" wrapText="1"/>
    </xf>
    <xf numFmtId="0" fontId="11" fillId="0" borderId="27" applyAlignment="1" pivotButton="0" quotePrefix="0" xfId="0">
      <alignment horizontal="right" wrapText="1"/>
    </xf>
    <xf numFmtId="14" fontId="51" fillId="3" borderId="48" applyAlignment="1" pivotButton="0" quotePrefix="0" xfId="0">
      <alignment horizontal="center" wrapText="1"/>
    </xf>
    <xf numFmtId="0" fontId="81" fillId="0" borderId="1" applyAlignment="1" pivotButton="0" quotePrefix="0" xfId="0">
      <alignment horizontal="left"/>
    </xf>
    <xf numFmtId="1" fontId="0" fillId="0" borderId="0" applyAlignment="1" pivotButton="0" quotePrefix="0" xfId="0">
      <alignment horizontal="general"/>
    </xf>
    <xf numFmtId="0" fontId="82" fillId="3" borderId="49" applyAlignment="1" pivotButton="0" quotePrefix="0" xfId="0">
      <alignment horizontal="center"/>
    </xf>
    <xf numFmtId="0" fontId="82" fillId="3" borderId="50" applyAlignment="1" pivotButton="0" quotePrefix="0" xfId="0">
      <alignment horizontal="center"/>
    </xf>
    <xf numFmtId="1" fontId="11" fillId="0" borderId="1" applyAlignment="1" pivotButton="0" quotePrefix="0" xfId="0">
      <alignment horizontal="left"/>
    </xf>
    <xf numFmtId="0" fontId="18" fillId="0" borderId="1" applyAlignment="1" pivotButton="0" quotePrefix="0" xfId="0">
      <alignment horizontal="right"/>
    </xf>
    <xf numFmtId="3" fontId="18" fillId="0" borderId="1" applyAlignment="1" pivotButton="0" quotePrefix="0" xfId="0">
      <alignment horizontal="right"/>
    </xf>
    <xf numFmtId="1" fontId="18" fillId="0" borderId="1" applyAlignment="1" pivotButton="0" quotePrefix="0" xfId="0">
      <alignment horizontal="right"/>
    </xf>
    <xf numFmtId="1" fontId="18" fillId="0" borderId="1" applyAlignment="1" pivotButton="0" quotePrefix="0" xfId="0">
      <alignment horizontal="left"/>
    </xf>
    <xf numFmtId="167" fontId="18" fillId="0" borderId="1" applyAlignment="1" pivotButton="0" quotePrefix="0" xfId="0">
      <alignment horizontal="left"/>
    </xf>
    <xf numFmtId="1" fontId="11" fillId="0" borderId="1" applyAlignment="1" pivotButton="0" quotePrefix="0" xfId="0">
      <alignment horizontal="center"/>
    </xf>
    <xf numFmtId="167" fontId="11" fillId="0" borderId="1" applyAlignment="1" pivotButton="0" quotePrefix="0" xfId="0">
      <alignment horizontal="center"/>
    </xf>
    <xf numFmtId="1" fontId="0" fillId="0" borderId="0" applyAlignment="1" pivotButton="0" quotePrefix="0" xfId="0">
      <alignment horizontal="left"/>
    </xf>
    <xf numFmtId="14" fontId="0" fillId="0" borderId="0" applyAlignment="1" pivotButton="0" quotePrefix="0" xfId="0">
      <alignment horizontal="general"/>
    </xf>
    <xf numFmtId="167" fontId="0" fillId="0" borderId="0" applyAlignment="1" pivotButton="0" quotePrefix="0" xfId="0">
      <alignment horizontal="general"/>
    </xf>
    <xf numFmtId="0" fontId="54" fillId="0" borderId="1" applyAlignment="1" pivotButton="0" quotePrefix="0" xfId="0">
      <alignment horizontal="left" vertical="top" wrapText="1"/>
    </xf>
    <xf numFmtId="3" fontId="54" fillId="0" borderId="1" applyAlignment="1" pivotButton="0" quotePrefix="0" xfId="0">
      <alignment horizontal="left" wrapText="1"/>
    </xf>
    <xf numFmtId="1" fontId="54" fillId="0" borderId="1" applyAlignment="1" pivotButton="0" quotePrefix="0" xfId="0">
      <alignment horizontal="left" wrapText="1"/>
    </xf>
    <xf numFmtId="14" fontId="54" fillId="0" borderId="1" applyAlignment="1" pivotButton="0" quotePrefix="0" xfId="0">
      <alignment horizontal="left" wrapText="1"/>
    </xf>
    <xf numFmtId="167" fontId="54" fillId="0" borderId="1" applyAlignment="1" pivotButton="0" quotePrefix="0" xfId="0">
      <alignment horizontal="left" wrapText="1"/>
    </xf>
    <xf numFmtId="1" fontId="0" fillId="0" borderId="0" applyAlignment="1" pivotButton="0" quotePrefix="0" xfId="0">
      <alignment horizontal="general" wrapText="1"/>
    </xf>
    <xf numFmtId="0" fontId="11" fillId="0" borderId="1" applyAlignment="1" pivotButton="0" quotePrefix="0" xfId="0">
      <alignment horizontal="right"/>
    </xf>
    <xf numFmtId="3" fontId="11" fillId="0" borderId="1" applyAlignment="1" pivotButton="0" quotePrefix="0" xfId="0">
      <alignment horizontal="right"/>
    </xf>
    <xf numFmtId="167" fontId="11" fillId="0" borderId="1" applyAlignment="1" pivotButton="0" quotePrefix="0" xfId="0">
      <alignment horizontal="left"/>
    </xf>
    <xf numFmtId="1" fontId="7" fillId="0" borderId="1" applyAlignment="1" pivotButton="0" quotePrefix="0" xfId="0">
      <alignment horizontal="right"/>
    </xf>
    <xf numFmtId="1" fontId="7" fillId="0" borderId="1" applyAlignment="1" pivotButton="0" quotePrefix="0" xfId="0">
      <alignment horizontal="left"/>
    </xf>
    <xf numFmtId="167" fontId="7" fillId="0" borderId="1" applyAlignment="1" pivotButton="0" quotePrefix="0" xfId="0">
      <alignment horizontal="left"/>
    </xf>
    <xf numFmtId="167" fontId="7" fillId="0" borderId="1" applyAlignment="1" pivotButton="0" quotePrefix="0" xfId="0">
      <alignment horizontal="center"/>
    </xf>
    <xf numFmtId="3" fontId="11" fillId="0" borderId="1" applyAlignment="1" pivotButton="0" quotePrefix="0" xfId="0">
      <alignment horizontal="justify" wrapText="1"/>
    </xf>
    <xf numFmtId="1" fontId="11" fillId="0" borderId="1" applyAlignment="1" pivotButton="0" quotePrefix="0" xfId="0">
      <alignment horizontal="justify" wrapText="1"/>
    </xf>
    <xf numFmtId="14" fontId="11" fillId="0" borderId="1" applyAlignment="1" pivotButton="0" quotePrefix="0" xfId="0">
      <alignment horizontal="justify" wrapText="1"/>
    </xf>
    <xf numFmtId="167" fontId="11" fillId="0" borderId="1" applyAlignment="1" pivotButton="0" quotePrefix="0" xfId="0">
      <alignment horizontal="justify" wrapText="1"/>
    </xf>
    <xf numFmtId="0" fontId="83" fillId="0" borderId="1" applyAlignment="1" pivotButton="0" quotePrefix="0" xfId="0">
      <alignment horizontal="left"/>
    </xf>
    <xf numFmtId="0" fontId="11" fillId="0" borderId="1" applyAlignment="1" pivotButton="0" quotePrefix="0" xfId="0">
      <alignment horizontal="justify" vertical="top" wrapText="1"/>
    </xf>
    <xf numFmtId="0" fontId="84" fillId="0" borderId="6" applyAlignment="1" pivotButton="0" quotePrefix="0" xfId="0">
      <alignment horizontal="center"/>
    </xf>
    <xf numFmtId="1" fontId="65" fillId="0" borderId="6" applyAlignment="1" pivotButton="0" quotePrefix="0" xfId="0">
      <alignment horizontal="center"/>
    </xf>
    <xf numFmtId="1" fontId="11" fillId="3" borderId="47" applyAlignment="1" pivotButton="0" quotePrefix="0" xfId="0">
      <alignment horizontal="left"/>
    </xf>
    <xf numFmtId="0" fontId="11" fillId="3" borderId="47" applyAlignment="1" pivotButton="0" quotePrefix="0" xfId="0">
      <alignment horizontal="left"/>
    </xf>
    <xf numFmtId="3" fontId="11" fillId="3" borderId="47" applyAlignment="1" pivotButton="0" quotePrefix="0" xfId="0">
      <alignment horizontal="left"/>
    </xf>
    <xf numFmtId="14" fontId="11" fillId="3" borderId="47" applyAlignment="1" pivotButton="0" quotePrefix="0" xfId="0">
      <alignment horizontal="left"/>
    </xf>
    <xf numFmtId="167" fontId="11" fillId="3" borderId="47" applyAlignment="1" pivotButton="0" quotePrefix="0" xfId="0">
      <alignment horizontal="left"/>
    </xf>
    <xf numFmtId="0" fontId="85" fillId="0" borderId="1" applyAlignment="1" pivotButton="0" quotePrefix="0" xfId="0">
      <alignment horizontal="left" wrapText="1"/>
    </xf>
    <xf numFmtId="3" fontId="85" fillId="0" borderId="1" applyAlignment="1" pivotButton="0" quotePrefix="0" xfId="0">
      <alignment horizontal="left" wrapText="1"/>
    </xf>
    <xf numFmtId="1" fontId="11" fillId="0" borderId="1" applyAlignment="1" pivotButton="0" quotePrefix="0" xfId="0">
      <alignment horizontal="right"/>
    </xf>
    <xf numFmtId="0" fontId="11" fillId="0" borderId="1" applyAlignment="1" pivotButton="0" quotePrefix="0" xfId="0">
      <alignment horizontal="center" vertical="top"/>
    </xf>
    <xf numFmtId="3" fontId="86" fillId="0" borderId="6" applyAlignment="1" pivotButton="0" quotePrefix="0" xfId="0">
      <alignment horizontal="center" vertical="top" wrapText="1"/>
    </xf>
    <xf numFmtId="0" fontId="86" fillId="0" borderId="6" applyAlignment="1" pivotButton="0" quotePrefix="0" xfId="0">
      <alignment horizontal="center" wrapText="1"/>
    </xf>
    <xf numFmtId="3" fontId="86" fillId="0" borderId="6" applyAlignment="1" pivotButton="0" quotePrefix="0" xfId="0">
      <alignment horizontal="center" wrapText="1"/>
    </xf>
    <xf numFmtId="1" fontId="86" fillId="0" borderId="6" applyAlignment="1" pivotButton="0" quotePrefix="0" xfId="0">
      <alignment horizontal="center" wrapText="1"/>
    </xf>
    <xf numFmtId="14" fontId="86" fillId="0" borderId="6" applyAlignment="1" pivotButton="0" quotePrefix="0" xfId="0">
      <alignment horizontal="center" wrapText="1"/>
    </xf>
    <xf numFmtId="167" fontId="86" fillId="0" borderId="6" applyAlignment="1" pivotButton="0" quotePrefix="0" xfId="0">
      <alignment horizontal="center" vertical="top" wrapText="1"/>
    </xf>
    <xf numFmtId="167" fontId="86" fillId="0" borderId="6" applyAlignment="1" pivotButton="0" quotePrefix="0" xfId="0">
      <alignment horizontal="center" wrapText="1"/>
    </xf>
    <xf numFmtId="3" fontId="18" fillId="0" borderId="6" applyAlignment="1" pivotButton="0" quotePrefix="0" xfId="0">
      <alignment horizontal="center" wrapText="1"/>
    </xf>
    <xf numFmtId="0" fontId="18" fillId="0" borderId="6" applyAlignment="1" pivotButton="0" quotePrefix="0" xfId="0">
      <alignment horizontal="center" wrapText="1"/>
    </xf>
    <xf numFmtId="3" fontId="11" fillId="0" borderId="6" applyAlignment="1" pivotButton="0" quotePrefix="0" xfId="0">
      <alignment horizontal="center"/>
    </xf>
    <xf numFmtId="1" fontId="11" fillId="0" borderId="6" applyAlignment="1" pivotButton="0" quotePrefix="0" xfId="0">
      <alignment horizontal="center"/>
    </xf>
    <xf numFmtId="0" fontId="11" fillId="0" borderId="6" applyAlignment="1" pivotButton="0" quotePrefix="0" xfId="0">
      <alignment horizontal="center"/>
    </xf>
    <xf numFmtId="14" fontId="11" fillId="0" borderId="6" applyAlignment="1" pivotButton="0" quotePrefix="0" xfId="0">
      <alignment horizontal="center"/>
    </xf>
    <xf numFmtId="167" fontId="11" fillId="0" borderId="6" applyAlignment="1" pivotButton="0" quotePrefix="0" xfId="0">
      <alignment horizontal="center"/>
    </xf>
    <xf numFmtId="1" fontId="11" fillId="0" borderId="6" applyAlignment="1" pivotButton="0" quotePrefix="0" xfId="0">
      <alignment horizontal="center" wrapText="1"/>
    </xf>
    <xf numFmtId="14" fontId="11" fillId="0" borderId="6" applyAlignment="1" pivotButton="0" quotePrefix="0" xfId="0">
      <alignment horizontal="center" wrapText="1"/>
    </xf>
    <xf numFmtId="1" fontId="62" fillId="0" borderId="1" applyAlignment="1" pivotButton="0" quotePrefix="0" xfId="0">
      <alignment horizontal="justify" wrapText="1"/>
    </xf>
    <xf numFmtId="0" fontId="62" fillId="0" borderId="1" applyAlignment="1" pivotButton="0" quotePrefix="0" xfId="0">
      <alignment horizontal="justify"/>
    </xf>
    <xf numFmtId="3" fontId="62" fillId="0" borderId="1" applyAlignment="1" pivotButton="0" quotePrefix="0" xfId="0">
      <alignment horizontal="justify"/>
    </xf>
    <xf numFmtId="1" fontId="62" fillId="0" borderId="1" applyAlignment="1" pivotButton="0" quotePrefix="0" xfId="0">
      <alignment horizontal="justify"/>
    </xf>
    <xf numFmtId="14" fontId="62" fillId="0" borderId="1" applyAlignment="1" pivotButton="0" quotePrefix="0" xfId="0">
      <alignment horizontal="justify"/>
    </xf>
    <xf numFmtId="167" fontId="62" fillId="0" borderId="1" applyAlignment="1" pivotButton="0" quotePrefix="0" xfId="0">
      <alignment horizontal="justify"/>
    </xf>
    <xf numFmtId="0" fontId="62" fillId="0" borderId="1" applyAlignment="1" pivotButton="0" quotePrefix="0" xfId="0">
      <alignment horizontal="justify" wrapText="1"/>
    </xf>
    <xf numFmtId="3" fontId="62" fillId="0" borderId="1" applyAlignment="1" pivotButton="0" quotePrefix="0" xfId="0">
      <alignment horizontal="justify" wrapText="1"/>
    </xf>
    <xf numFmtId="14" fontId="62" fillId="0" borderId="1" applyAlignment="1" pivotButton="0" quotePrefix="0" xfId="0">
      <alignment horizontal="justify" wrapText="1"/>
    </xf>
    <xf numFmtId="167" fontId="62" fillId="0" borderId="1" applyAlignment="1" pivotButton="0" quotePrefix="0" xfId="0">
      <alignment horizontal="justify" wrapText="1"/>
    </xf>
    <xf numFmtId="1" fontId="11" fillId="0" borderId="1" applyAlignment="1" pivotButton="0" quotePrefix="0" xfId="0">
      <alignment horizontal="left" wrapText="1"/>
    </xf>
    <xf numFmtId="167" fontId="11" fillId="0" borderId="1" applyAlignment="1" pivotButton="0" quotePrefix="0" xfId="0">
      <alignment horizontal="left" wrapText="1"/>
    </xf>
    <xf numFmtId="0" fontId="62" fillId="0" borderId="1" applyAlignment="1" pivotButton="0" quotePrefix="0" xfId="0">
      <alignment horizontal="justify" vertical="top" wrapText="1"/>
    </xf>
    <xf numFmtId="1" fontId="22" fillId="0" borderId="1" applyAlignment="1" pivotButton="0" quotePrefix="0" xfId="0">
      <alignment horizontal="left"/>
    </xf>
    <xf numFmtId="3" fontId="54" fillId="0" borderId="1" applyAlignment="1" pivotButton="0" quotePrefix="0" xfId="0">
      <alignment horizontal="center" wrapText="1"/>
    </xf>
    <xf numFmtId="0" fontId="54" fillId="0" borderId="1" applyAlignment="1" pivotButton="0" quotePrefix="0" xfId="0">
      <alignment horizontal="center" wrapText="1"/>
    </xf>
    <xf numFmtId="14" fontId="54" fillId="0" borderId="1" applyAlignment="1" pivotButton="0" quotePrefix="0" xfId="0">
      <alignment horizontal="center" wrapText="1"/>
    </xf>
    <xf numFmtId="167" fontId="54" fillId="0" borderId="1" applyAlignment="1" pivotButton="0" quotePrefix="0" xfId="0">
      <alignment horizontal="center" wrapText="1"/>
    </xf>
    <xf numFmtId="0" fontId="62" fillId="0" borderId="27" applyAlignment="1" pivotButton="0" quotePrefix="0" xfId="0">
      <alignment horizontal="center"/>
    </xf>
    <xf numFmtId="3" fontId="62" fillId="0" borderId="27" applyAlignment="1" pivotButton="0" quotePrefix="0" xfId="0">
      <alignment horizontal="center"/>
    </xf>
    <xf numFmtId="0" fontId="22" fillId="0" borderId="1" applyAlignment="1" pivotButton="0" quotePrefix="0" xfId="0">
      <alignment horizontal="left" wrapText="1"/>
    </xf>
    <xf numFmtId="3" fontId="22" fillId="0" borderId="1" applyAlignment="1" pivotButton="0" quotePrefix="0" xfId="0">
      <alignment horizontal="left" wrapText="1"/>
    </xf>
    <xf numFmtId="1" fontId="0" fillId="0" borderId="0" applyAlignment="1" pivotButton="0" quotePrefix="0" xfId="0">
      <alignment horizontal="left"/>
    </xf>
    <xf numFmtId="14" fontId="0" fillId="0" borderId="0" applyAlignment="1" pivotButton="0" quotePrefix="0" xfId="0">
      <alignment horizontal="general"/>
    </xf>
    <xf numFmtId="167" fontId="0" fillId="0" borderId="0" applyAlignment="1" pivotButton="0" quotePrefix="0" xfId="0">
      <alignment horizontal="general"/>
    </xf>
    <xf numFmtId="1" fontId="0" fillId="0" borderId="0" applyAlignment="1" pivotButton="0" quotePrefix="0" xfId="0">
      <alignment horizontal="general"/>
    </xf>
    <xf numFmtId="0" fontId="87" fillId="0" borderId="1" applyAlignment="1" pivotButton="0" quotePrefix="0" xfId="0">
      <alignment horizontal="left" wrapText="1"/>
    </xf>
    <xf numFmtId="4" fontId="23" fillId="0" borderId="1" applyAlignment="1" pivotButton="0" quotePrefix="0" xfId="0">
      <alignment horizontal="left" wrapText="1"/>
    </xf>
    <xf numFmtId="0" fontId="80" fillId="0" borderId="1" applyAlignment="1" pivotButton="0" quotePrefix="0" xfId="0">
      <alignment horizontal="left" wrapText="1"/>
    </xf>
    <xf numFmtId="0" fontId="88" fillId="0" borderId="1" applyAlignment="1" pivotButton="0" quotePrefix="0" xfId="0">
      <alignment horizontal="center" vertical="top" wrapText="1"/>
    </xf>
    <xf numFmtId="0" fontId="88" fillId="0" borderId="1" applyAlignment="1" pivotButton="0" quotePrefix="0" xfId="0">
      <alignment horizontal="center" wrapText="1"/>
    </xf>
    <xf numFmtId="0" fontId="46" fillId="0" borderId="1" applyAlignment="1" pivotButton="0" quotePrefix="0" xfId="0">
      <alignment horizontal="center" wrapText="1"/>
    </xf>
    <xf numFmtId="4" fontId="46" fillId="0" borderId="1" applyAlignment="1" pivotButton="0" quotePrefix="0" xfId="0">
      <alignment horizontal="center" wrapText="1"/>
    </xf>
    <xf numFmtId="3" fontId="46" fillId="0" borderId="1" applyAlignment="1" pivotButton="0" quotePrefix="0" xfId="0">
      <alignment horizontal="center" wrapText="1"/>
    </xf>
    <xf numFmtId="164" fontId="46" fillId="0" borderId="1" applyAlignment="1" pivotButton="0" quotePrefix="0" xfId="0">
      <alignment horizontal="center" wrapText="1"/>
    </xf>
    <xf numFmtId="4" fontId="0" fillId="0" borderId="0" applyAlignment="1" pivotButton="0" quotePrefix="0" xfId="0">
      <alignment horizontal="general" wrapText="1"/>
    </xf>
    <xf numFmtId="0" fontId="89" fillId="0" borderId="1" applyAlignment="1" pivotButton="0" quotePrefix="0" xfId="0">
      <alignment horizontal="left" wrapText="1"/>
    </xf>
    <xf numFmtId="0" fontId="89" fillId="0" borderId="1" applyAlignment="1" pivotButton="0" quotePrefix="0" xfId="0">
      <alignment horizontal="center" wrapText="1"/>
    </xf>
    <xf numFmtId="4" fontId="89" fillId="0" borderId="1" applyAlignment="1" pivotButton="0" quotePrefix="0" xfId="0">
      <alignment horizontal="center" wrapText="1"/>
    </xf>
    <xf numFmtId="3" fontId="89" fillId="0" borderId="1" applyAlignment="1" pivotButton="0" quotePrefix="0" xfId="0">
      <alignment horizontal="center" wrapText="1"/>
    </xf>
    <xf numFmtId="164" fontId="89" fillId="0" borderId="1" applyAlignment="1" pivotButton="0" quotePrefix="0" xfId="0">
      <alignment horizontal="center" wrapText="1"/>
    </xf>
    <xf numFmtId="4" fontId="18" fillId="0" borderId="1" applyAlignment="1" pivotButton="0" quotePrefix="0" xfId="0">
      <alignment horizontal="left" wrapText="1"/>
    </xf>
    <xf numFmtId="0" fontId="44" fillId="0" borderId="1" applyAlignment="1" pivotButton="0" quotePrefix="0" xfId="0">
      <alignment horizontal="left" wrapText="1"/>
    </xf>
    <xf numFmtId="0" fontId="90" fillId="0" borderId="1" applyAlignment="1" pivotButton="0" quotePrefix="0" xfId="0">
      <alignment horizontal="center" vertical="top" wrapText="1"/>
    </xf>
    <xf numFmtId="0" fontId="90" fillId="0" borderId="1" applyAlignment="1" pivotButton="0" quotePrefix="0" xfId="0">
      <alignment horizontal="center" wrapText="1"/>
    </xf>
    <xf numFmtId="0" fontId="89" fillId="0" borderId="1" applyAlignment="1" pivotButton="0" quotePrefix="0" xfId="0">
      <alignment horizontal="center" wrapText="1"/>
    </xf>
    <xf numFmtId="0" fontId="90" fillId="0" borderId="17" applyAlignment="1" pivotButton="0" quotePrefix="0" xfId="0">
      <alignment horizontal="center" wrapText="1"/>
    </xf>
    <xf numFmtId="0" fontId="20" fillId="0" borderId="1" applyAlignment="1" pivotButton="0" quotePrefix="0" xfId="0">
      <alignment horizontal="left" wrapText="1"/>
    </xf>
    <xf numFmtId="0" fontId="20" fillId="0" borderId="1" applyAlignment="1" pivotButton="0" quotePrefix="0" xfId="0">
      <alignment horizontal="center" wrapText="1"/>
    </xf>
    <xf numFmtId="0" fontId="20" fillId="0" borderId="1" applyAlignment="1" pivotButton="0" quotePrefix="0" xfId="0">
      <alignment horizontal="center" wrapText="1"/>
    </xf>
    <xf numFmtId="4" fontId="20" fillId="0" borderId="1" applyAlignment="1" pivotButton="0" quotePrefix="0" xfId="0">
      <alignment horizontal="center" wrapText="1"/>
    </xf>
    <xf numFmtId="3" fontId="20" fillId="0" borderId="1" applyAlignment="1" pivotButton="0" quotePrefix="0" xfId="0">
      <alignment horizontal="center" wrapText="1"/>
    </xf>
    <xf numFmtId="164" fontId="20" fillId="0" borderId="1" applyAlignment="1" pivotButton="0" quotePrefix="0" xfId="0">
      <alignment horizontal="center" wrapText="1"/>
    </xf>
    <xf numFmtId="4" fontId="11" fillId="0" borderId="19" applyAlignment="1" pivotButton="0" quotePrefix="0" xfId="0">
      <alignment horizontal="left"/>
    </xf>
    <xf numFmtId="14" fontId="91" fillId="0" borderId="19" applyAlignment="1" pivotButton="0" quotePrefix="0" xfId="0">
      <alignment horizontal="left"/>
    </xf>
    <xf numFmtId="164" fontId="92" fillId="0" borderId="19" applyAlignment="1" pivotButton="0" quotePrefix="0" xfId="0">
      <alignment horizontal="right"/>
    </xf>
    <xf numFmtId="0" fontId="92" fillId="0" borderId="19" applyAlignment="1" pivotButton="0" quotePrefix="0" xfId="0">
      <alignment horizontal="right"/>
    </xf>
    <xf numFmtId="0" fontId="92" fillId="0" borderId="20" applyAlignment="1" pivotButton="0" quotePrefix="0" xfId="0">
      <alignment horizontal="right"/>
    </xf>
    <xf numFmtId="4" fontId="11" fillId="0" borderId="1" applyAlignment="1" pivotButton="0" quotePrefix="0" xfId="0">
      <alignment horizontal="left"/>
    </xf>
    <xf numFmtId="164" fontId="62" fillId="0" borderId="1" applyAlignment="1" pivotButton="0" quotePrefix="0" xfId="0">
      <alignment horizontal="left"/>
    </xf>
    <xf numFmtId="0" fontId="93" fillId="0" borderId="1" applyAlignment="1" pivotButton="0" quotePrefix="0" xfId="0">
      <alignment horizontal="center"/>
    </xf>
    <xf numFmtId="4" fontId="93" fillId="0" borderId="1" applyAlignment="1" pivotButton="0" quotePrefix="0" xfId="0">
      <alignment horizontal="center"/>
    </xf>
    <xf numFmtId="3" fontId="93" fillId="0" borderId="1" applyAlignment="1" pivotButton="0" quotePrefix="0" xfId="0">
      <alignment horizontal="center"/>
    </xf>
    <xf numFmtId="164" fontId="93" fillId="0" borderId="1" applyAlignment="1" pivotButton="0" quotePrefix="0" xfId="0">
      <alignment horizontal="center"/>
    </xf>
    <xf numFmtId="0" fontId="94" fillId="0" borderId="17" applyAlignment="1" pivotButton="0" quotePrefix="0" xfId="0">
      <alignment horizontal="center"/>
    </xf>
    <xf numFmtId="4" fontId="94" fillId="0" borderId="17" applyAlignment="1" pivotButton="0" quotePrefix="0" xfId="0">
      <alignment horizontal="center"/>
    </xf>
    <xf numFmtId="3" fontId="94" fillId="0" borderId="17" applyAlignment="1" pivotButton="0" quotePrefix="0" xfId="0">
      <alignment horizontal="center"/>
    </xf>
    <xf numFmtId="164" fontId="94" fillId="0" borderId="17" applyAlignment="1" pivotButton="0" quotePrefix="0" xfId="0">
      <alignment horizontal="center"/>
    </xf>
    <xf numFmtId="164" fontId="0" fillId="0" borderId="0" applyAlignment="1" pivotButton="0" quotePrefix="0" xfId="0">
      <alignment horizontal="general"/>
    </xf>
    <xf numFmtId="0" fontId="11" fillId="0" borderId="1" applyAlignment="1" pivotButton="0" quotePrefix="0" xfId="0">
      <alignment horizontal="justify" wrapText="1"/>
    </xf>
    <xf numFmtId="0" fontId="65" fillId="3" borderId="47" applyAlignment="1" pivotButton="0" quotePrefix="0" xfId="0">
      <alignment horizontal="justify" vertical="top" wrapText="1"/>
    </xf>
    <xf numFmtId="0" fontId="65" fillId="3" borderId="47" applyAlignment="1" pivotButton="0" quotePrefix="0" xfId="0">
      <alignment horizontal="justify" wrapText="1"/>
    </xf>
    <xf numFmtId="4" fontId="65" fillId="3" borderId="47" applyAlignment="1" pivotButton="0" quotePrefix="0" xfId="0">
      <alignment horizontal="justify" wrapText="1"/>
    </xf>
    <xf numFmtId="3" fontId="65" fillId="3" borderId="47" applyAlignment="1" pivotButton="0" quotePrefix="0" xfId="0">
      <alignment horizontal="justify" wrapText="1"/>
    </xf>
    <xf numFmtId="164" fontId="65" fillId="3" borderId="47" applyAlignment="1" pivotButton="0" quotePrefix="0" xfId="0">
      <alignment horizontal="justify" wrapText="1"/>
    </xf>
    <xf numFmtId="4" fontId="46" fillId="0" borderId="18" applyAlignment="1" pivotButton="0" quotePrefix="0" xfId="0">
      <alignment horizontal="center"/>
    </xf>
    <xf numFmtId="0" fontId="46" fillId="0" borderId="20" applyAlignment="1" pivotButton="0" quotePrefix="0" xfId="0">
      <alignment horizontal="center"/>
    </xf>
    <xf numFmtId="14" fontId="52" fillId="0" borderId="1" applyAlignment="1" pivotButton="0" quotePrefix="0" xfId="0">
      <alignment horizontal="center"/>
    </xf>
    <xf numFmtId="164" fontId="52" fillId="0" borderId="1" applyAlignment="1" pivotButton="0" quotePrefix="0" xfId="0">
      <alignment horizontal="center"/>
    </xf>
    <xf numFmtId="0" fontId="52" fillId="0" borderId="1" applyAlignment="1" pivotButton="0" quotePrefix="0" xfId="0">
      <alignment horizontal="center"/>
    </xf>
    <xf numFmtId="0" fontId="11" fillId="0" borderId="1" applyAlignment="1" pivotButton="0" quotePrefix="0" xfId="0">
      <alignment horizontal="left"/>
    </xf>
    <xf numFmtId="164" fontId="11" fillId="0" borderId="1" applyAlignment="1" pivotButton="0" quotePrefix="0" xfId="0">
      <alignment horizontal="left"/>
    </xf>
    <xf numFmtId="164" fontId="11" fillId="0" borderId="1" applyAlignment="1" pivotButton="0" quotePrefix="0" xfId="0">
      <alignment horizontal="right"/>
    </xf>
    <xf numFmtId="0" fontId="11" fillId="0" borderId="1" applyAlignment="1" pivotButton="0" quotePrefix="0" xfId="0">
      <alignment horizontal="center"/>
    </xf>
    <xf numFmtId="0" fontId="52" fillId="0" borderId="1" applyAlignment="1" pivotButton="0" quotePrefix="0" xfId="0">
      <alignment horizontal="left"/>
    </xf>
    <xf numFmtId="4" fontId="52" fillId="0" borderId="1" applyAlignment="1" pivotButton="0" quotePrefix="0" xfId="0">
      <alignment horizontal="right"/>
    </xf>
    <xf numFmtId="3" fontId="52" fillId="0" borderId="1" applyAlignment="1" pivotButton="0" quotePrefix="0" xfId="0">
      <alignment horizontal="right"/>
    </xf>
    <xf numFmtId="3" fontId="46" fillId="0" borderId="1" applyAlignment="1" pivotButton="0" quotePrefix="0" xfId="0">
      <alignment horizontal="left"/>
    </xf>
    <xf numFmtId="0" fontId="95" fillId="0" borderId="1" applyAlignment="1" pivotButton="0" quotePrefix="0" xfId="0">
      <alignment horizontal="left"/>
    </xf>
    <xf numFmtId="0" fontId="11" fillId="3" borderId="47" applyAlignment="1" pivotButton="0" quotePrefix="0" xfId="0">
      <alignment horizontal="justify" vertical="top"/>
    </xf>
    <xf numFmtId="0" fontId="11" fillId="3" borderId="47" applyAlignment="1" pivotButton="0" quotePrefix="0" xfId="0">
      <alignment horizontal="justify"/>
    </xf>
    <xf numFmtId="4" fontId="11" fillId="3" borderId="47" applyAlignment="1" pivotButton="0" quotePrefix="0" xfId="0">
      <alignment horizontal="justify"/>
    </xf>
    <xf numFmtId="3" fontId="11" fillId="3" borderId="47" applyAlignment="1" pivotButton="0" quotePrefix="0" xfId="0">
      <alignment horizontal="justify"/>
    </xf>
    <xf numFmtId="164" fontId="11" fillId="3" borderId="47" applyAlignment="1" pivotButton="0" quotePrefix="0" xfId="0">
      <alignment horizontal="justify"/>
    </xf>
    <xf numFmtId="0" fontId="46" fillId="0" borderId="1" applyAlignment="1" pivotButton="0" quotePrefix="0" xfId="0">
      <alignment horizontal="left"/>
    </xf>
    <xf numFmtId="0" fontId="65" fillId="0" borderId="1" applyAlignment="1" pivotButton="0" quotePrefix="0" xfId="0">
      <alignment horizontal="left"/>
    </xf>
    <xf numFmtId="0" fontId="65" fillId="3" borderId="47" applyAlignment="1" pivotButton="0" quotePrefix="0" xfId="0">
      <alignment horizontal="left"/>
    </xf>
    <xf numFmtId="4" fontId="65" fillId="3" borderId="47" applyAlignment="1" pivotButton="0" quotePrefix="0" xfId="0">
      <alignment horizontal="left"/>
    </xf>
    <xf numFmtId="3" fontId="65" fillId="3" borderId="47" applyAlignment="1" pivotButton="0" quotePrefix="0" xfId="0">
      <alignment horizontal="left"/>
    </xf>
    <xf numFmtId="164" fontId="65" fillId="3" borderId="47" applyAlignment="1" pivotButton="0" quotePrefix="0" xfId="0">
      <alignment horizontal="left"/>
    </xf>
    <xf numFmtId="0" fontId="11" fillId="0" borderId="51" applyAlignment="1" pivotButton="0" quotePrefix="0" xfId="0">
      <alignment horizontal="center"/>
    </xf>
    <xf numFmtId="0" fontId="11" fillId="0" borderId="52" applyAlignment="1" pivotButton="0" quotePrefix="0" xfId="0">
      <alignment horizontal="center"/>
    </xf>
    <xf numFmtId="4" fontId="11" fillId="0" borderId="52" applyAlignment="1" pivotButton="0" quotePrefix="0" xfId="0">
      <alignment horizontal="center"/>
    </xf>
    <xf numFmtId="3" fontId="11" fillId="0" borderId="52" applyAlignment="1" pivotButton="0" quotePrefix="0" xfId="0">
      <alignment horizontal="center"/>
    </xf>
    <xf numFmtId="164" fontId="11" fillId="0" borderId="52" applyAlignment="1" pivotButton="0" quotePrefix="0" xfId="0">
      <alignment horizontal="center"/>
    </xf>
    <xf numFmtId="0" fontId="52" fillId="0" borderId="53" applyAlignment="1" pivotButton="0" quotePrefix="0" xfId="0">
      <alignment horizontal="center" wrapText="1"/>
    </xf>
    <xf numFmtId="0" fontId="52" fillId="0" borderId="54" applyAlignment="1" pivotButton="0" quotePrefix="0" xfId="0">
      <alignment horizontal="center" wrapText="1"/>
    </xf>
    <xf numFmtId="4" fontId="52" fillId="0" borderId="54" applyAlignment="1" pivotButton="0" quotePrefix="0" xfId="0">
      <alignment horizontal="center"/>
    </xf>
    <xf numFmtId="4" fontId="52" fillId="0" borderId="54" applyAlignment="1" pivotButton="0" quotePrefix="0" xfId="0">
      <alignment horizontal="center" wrapText="1"/>
    </xf>
    <xf numFmtId="4" fontId="96" fillId="0" borderId="54" applyAlignment="1" pivotButton="0" quotePrefix="0" xfId="0">
      <alignment horizontal="center"/>
    </xf>
    <xf numFmtId="4" fontId="96" fillId="0" borderId="55" applyAlignment="1" pivotButton="0" quotePrefix="0" xfId="0">
      <alignment horizontal="center"/>
    </xf>
    <xf numFmtId="0" fontId="97" fillId="0" borderId="1" applyAlignment="1" pivotButton="0" quotePrefix="0" xfId="0">
      <alignment horizontal="left"/>
    </xf>
    <xf numFmtId="0" fontId="65" fillId="0" borderId="54" applyAlignment="1" pivotButton="0" quotePrefix="0" xfId="0">
      <alignment horizontal="center" wrapText="1"/>
    </xf>
    <xf numFmtId="4" fontId="96" fillId="0" borderId="56" applyAlignment="1" pivotButton="0" quotePrefix="0" xfId="0">
      <alignment horizontal="center"/>
    </xf>
    <xf numFmtId="4" fontId="96" fillId="0" borderId="57" applyAlignment="1" pivotButton="0" quotePrefix="0" xfId="0">
      <alignment horizontal="center"/>
    </xf>
    <xf numFmtId="4" fontId="96" fillId="0" borderId="58" applyAlignment="1" pivotButton="0" quotePrefix="0" xfId="0">
      <alignment horizontal="center"/>
    </xf>
    <xf numFmtId="4" fontId="65" fillId="0" borderId="59" applyAlignment="1" pivotButton="0" quotePrefix="0" xfId="0">
      <alignment horizontal="center" wrapText="1"/>
    </xf>
    <xf numFmtId="0" fontId="65" fillId="0" borderId="59" applyAlignment="1" pivotButton="0" quotePrefix="0" xfId="0">
      <alignment horizontal="center" wrapText="1"/>
    </xf>
    <xf numFmtId="4" fontId="96" fillId="0" borderId="60" applyAlignment="1" pivotButton="0" quotePrefix="0" xfId="0">
      <alignment horizontal="center"/>
    </xf>
    <xf numFmtId="4" fontId="96" fillId="0" borderId="61" applyAlignment="1" pivotButton="0" quotePrefix="0" xfId="0">
      <alignment horizontal="center"/>
    </xf>
    <xf numFmtId="4" fontId="96" fillId="0" borderId="20" applyAlignment="1" pivotButton="0" quotePrefix="0" xfId="0">
      <alignment horizontal="center"/>
    </xf>
    <xf numFmtId="4" fontId="11" fillId="0" borderId="1" applyAlignment="1" pivotButton="0" quotePrefix="0" xfId="0">
      <alignment horizontal="justify" wrapText="1"/>
    </xf>
    <xf numFmtId="0" fontId="65" fillId="0" borderId="1" applyAlignment="1" pivotButton="0" quotePrefix="0" xfId="0">
      <alignment horizontal="center"/>
    </xf>
    <xf numFmtId="4" fontId="65" fillId="0" borderId="1" applyAlignment="1" pivotButton="0" quotePrefix="0" xfId="0">
      <alignment horizontal="left"/>
    </xf>
    <xf numFmtId="3" fontId="65" fillId="0" borderId="1" applyAlignment="1" pivotButton="0" quotePrefix="0" xfId="0">
      <alignment horizontal="left"/>
    </xf>
    <xf numFmtId="164" fontId="65" fillId="0" borderId="1" applyAlignment="1" pivotButton="0" quotePrefix="0" xfId="0">
      <alignment horizontal="left"/>
    </xf>
    <xf numFmtId="14" fontId="65" fillId="0" borderId="1" applyAlignment="1" pivotButton="0" quotePrefix="0" xfId="0">
      <alignment horizontal="left"/>
    </xf>
    <xf numFmtId="0" fontId="62" fillId="0" borderId="6" applyAlignment="1" pivotButton="0" quotePrefix="0" xfId="0">
      <alignment horizontal="center"/>
    </xf>
    <xf numFmtId="4" fontId="62" fillId="0" borderId="6" applyAlignment="1" pivotButton="0" quotePrefix="0" xfId="0">
      <alignment horizontal="center"/>
    </xf>
    <xf numFmtId="3" fontId="62" fillId="0" borderId="6" applyAlignment="1" pivotButton="0" quotePrefix="0" xfId="0">
      <alignment horizontal="center"/>
    </xf>
    <xf numFmtId="164" fontId="62" fillId="0" borderId="6" applyAlignment="1" pivotButton="0" quotePrefix="0" xfId="0">
      <alignment horizontal="center"/>
    </xf>
    <xf numFmtId="4" fontId="11" fillId="0" borderId="6" applyAlignment="1" pivotButton="0" quotePrefix="0" xfId="0">
      <alignment horizontal="center"/>
    </xf>
    <xf numFmtId="0" fontId="11" fillId="0" borderId="6" applyAlignment="1" pivotButton="0" quotePrefix="0" xfId="0">
      <alignment horizontal="left"/>
    </xf>
    <xf numFmtId="0" fontId="46" fillId="0" borderId="6" applyAlignment="1" pivotButton="0" quotePrefix="0" xfId="0">
      <alignment horizontal="left"/>
    </xf>
    <xf numFmtId="4" fontId="46" fillId="0" borderId="6" applyAlignment="1" pivotButton="0" quotePrefix="0" xfId="0">
      <alignment horizontal="left"/>
    </xf>
    <xf numFmtId="3" fontId="46" fillId="0" borderId="6" applyAlignment="1" pivotButton="0" quotePrefix="0" xfId="0">
      <alignment horizontal="left"/>
    </xf>
    <xf numFmtId="164" fontId="46" fillId="0" borderId="6" applyAlignment="1" pivotButton="0" quotePrefix="0" xfId="0">
      <alignment horizontal="left"/>
    </xf>
    <xf numFmtId="164" fontId="11" fillId="0" borderId="1" applyAlignment="1" pivotButton="0" quotePrefix="0" xfId="0">
      <alignment horizontal="justify" wrapText="1"/>
    </xf>
    <xf numFmtId="0" fontId="11" fillId="0" borderId="1" applyAlignment="1" pivotButton="0" quotePrefix="0" xfId="0">
      <alignment horizontal="center" vertical="top" wrapText="1"/>
    </xf>
    <xf numFmtId="4" fontId="11" fillId="0" borderId="1" applyAlignment="1" pivotButton="0" quotePrefix="0" xfId="0">
      <alignment horizontal="center" wrapText="1"/>
    </xf>
    <xf numFmtId="0" fontId="62" fillId="0" borderId="1" applyAlignment="1" pivotButton="0" quotePrefix="0" xfId="0">
      <alignment horizontal="left"/>
    </xf>
    <xf numFmtId="4" fontId="11" fillId="0" borderId="1" applyAlignment="1" pivotButton="0" quotePrefix="0" xfId="0">
      <alignment horizontal="center"/>
    </xf>
    <xf numFmtId="164" fontId="11" fillId="0" borderId="1" applyAlignment="1" pivotButton="0" quotePrefix="0" xfId="0">
      <alignment horizontal="center"/>
    </xf>
    <xf numFmtId="164" fontId="0" fillId="0" borderId="0" applyAlignment="1" pivotButton="0" quotePrefix="0" xfId="0">
      <alignment horizontal="general"/>
    </xf>
    <xf numFmtId="0" fontId="98" fillId="0" borderId="1" applyAlignment="1" pivotButton="0" quotePrefix="0" xfId="0">
      <alignment horizontal="center"/>
    </xf>
    <xf numFmtId="0" fontId="44" fillId="0" borderId="1" applyAlignment="1" pivotButton="0" quotePrefix="0" xfId="0">
      <alignment horizontal="center"/>
    </xf>
    <xf numFmtId="0" fontId="44" fillId="0" borderId="1" applyAlignment="1" pivotButton="0" quotePrefix="0" xfId="0">
      <alignment horizontal="left"/>
    </xf>
    <xf numFmtId="0" fontId="44" fillId="0" borderId="62" applyAlignment="1" pivotButton="0" quotePrefix="0" xfId="0">
      <alignment horizontal="left"/>
    </xf>
    <xf numFmtId="0" fontId="44" fillId="0" borderId="63" applyAlignment="1" pivotButton="0" quotePrefix="0" xfId="0">
      <alignment horizontal="center" vertical="top" wrapText="1"/>
    </xf>
    <xf numFmtId="0" fontId="44" fillId="0" borderId="27" applyAlignment="1" pivotButton="0" quotePrefix="0" xfId="0">
      <alignment horizontal="center" wrapText="1"/>
    </xf>
    <xf numFmtId="0" fontId="44" fillId="0" borderId="62" applyAlignment="1" pivotButton="0" quotePrefix="0" xfId="0">
      <alignment horizontal="left" wrapText="1"/>
    </xf>
    <xf numFmtId="0" fontId="44" fillId="0" borderId="64" applyAlignment="1" pivotButton="0" quotePrefix="0" xfId="0">
      <alignment horizontal="left"/>
    </xf>
    <xf numFmtId="0" fontId="44" fillId="0" borderId="65" applyAlignment="1" pivotButton="0" quotePrefix="0" xfId="0">
      <alignment horizontal="center" wrapText="1"/>
    </xf>
    <xf numFmtId="0" fontId="44" fillId="0" borderId="17" applyAlignment="1" pivotButton="0" quotePrefix="0" xfId="0">
      <alignment horizontal="center" wrapText="1"/>
    </xf>
    <xf numFmtId="0" fontId="22" fillId="0" borderId="64" applyAlignment="1" pivotButton="0" quotePrefix="0" xfId="0">
      <alignment horizontal="left"/>
    </xf>
    <xf numFmtId="0" fontId="22" fillId="0" borderId="62" applyAlignment="1" pivotButton="0" quotePrefix="0" xfId="0">
      <alignment horizontal="left"/>
    </xf>
    <xf numFmtId="0" fontId="22" fillId="0" borderId="66" applyAlignment="1" pivotButton="0" quotePrefix="0" xfId="0">
      <alignment horizontal="left"/>
    </xf>
    <xf numFmtId="0" fontId="22" fillId="0" borderId="65" applyAlignment="1" pivotButton="0" quotePrefix="0" xfId="0">
      <alignment horizontal="left"/>
    </xf>
    <xf numFmtId="0" fontId="2" fillId="0" borderId="11" applyAlignment="1" pivotButton="0" quotePrefix="0" xfId="0">
      <alignment horizontal="center"/>
    </xf>
    <xf numFmtId="0" fontId="2" fillId="0" borderId="12" applyAlignment="1" pivotButton="0" quotePrefix="0" xfId="0">
      <alignment horizontal="center"/>
    </xf>
    <xf numFmtId="0" fontId="2" fillId="0" borderId="23" applyAlignment="1" pivotButton="0" quotePrefix="0" xfId="0">
      <alignment horizontal="center"/>
    </xf>
    <xf numFmtId="0" fontId="73" fillId="0" borderId="1" applyAlignment="1" pivotButton="0" quotePrefix="0" xfId="0">
      <alignment horizontal="center"/>
    </xf>
    <xf numFmtId="0" fontId="18" fillId="0" borderId="24" applyAlignment="1" pivotButton="0" quotePrefix="0" xfId="0">
      <alignment horizontal="center"/>
    </xf>
    <xf numFmtId="0" fontId="18" fillId="0" borderId="25" applyAlignment="1" pivotButton="0" quotePrefix="0" xfId="0">
      <alignment horizontal="center"/>
    </xf>
    <xf numFmtId="0" fontId="18" fillId="0" borderId="26" applyAlignment="1" pivotButton="0" quotePrefix="0" xfId="0">
      <alignment horizontal="center"/>
    </xf>
    <xf numFmtId="0" fontId="44" fillId="0" borderId="62" applyAlignment="1" pivotButton="0" quotePrefix="0" xfId="0">
      <alignment horizontal="center"/>
    </xf>
    <xf numFmtId="0" fontId="44" fillId="0" borderId="63" applyAlignment="1" pivotButton="0" quotePrefix="0" xfId="0">
      <alignment horizontal="center" vertical="top" wrapText="1"/>
    </xf>
    <xf numFmtId="0" fontId="44" fillId="0" borderId="67" applyAlignment="1" pivotButton="0" quotePrefix="0" xfId="0">
      <alignment horizontal="center" wrapText="1"/>
    </xf>
    <xf numFmtId="0" fontId="44" fillId="0" borderId="68" applyAlignment="1" pivotButton="0" quotePrefix="0" xfId="0">
      <alignment horizontal="center" wrapText="1"/>
    </xf>
    <xf numFmtId="168" fontId="27" fillId="0" borderId="1" applyAlignment="1" pivotButton="0" quotePrefix="0" xfId="0">
      <alignment horizontal="left"/>
    </xf>
    <xf numFmtId="168" fontId="2" fillId="0" borderId="1" applyAlignment="1" pivotButton="0" quotePrefix="0" xfId="0">
      <alignment horizontal="center"/>
    </xf>
    <xf numFmtId="0" fontId="99" fillId="0" borderId="1" applyAlignment="1" pivotButton="0" quotePrefix="0" xfId="0">
      <alignment horizontal="center" wrapText="1"/>
    </xf>
    <xf numFmtId="3" fontId="99" fillId="0" borderId="1" applyAlignment="1" pivotButton="0" quotePrefix="0" xfId="0">
      <alignment horizontal="center" wrapText="1"/>
    </xf>
    <xf numFmtId="0" fontId="99" fillId="0" borderId="1" applyAlignment="1" pivotButton="0" quotePrefix="0" xfId="0">
      <alignment horizontal="center" wrapText="1"/>
    </xf>
    <xf numFmtId="168" fontId="99" fillId="0" borderId="1" applyAlignment="1" pivotButton="0" quotePrefix="0" xfId="0">
      <alignment horizontal="center" wrapText="1"/>
    </xf>
    <xf numFmtId="0" fontId="100" fillId="0" borderId="1" applyAlignment="1" pivotButton="0" quotePrefix="0" xfId="0">
      <alignment horizontal="center"/>
    </xf>
    <xf numFmtId="3" fontId="100" fillId="0" borderId="1" applyAlignment="1" pivotButton="0" quotePrefix="0" xfId="0">
      <alignment horizontal="center"/>
    </xf>
    <xf numFmtId="168" fontId="100" fillId="0" borderId="1" applyAlignment="1" pivotButton="0" quotePrefix="0" xfId="0">
      <alignment horizontal="center"/>
    </xf>
    <xf numFmtId="0" fontId="101" fillId="0" borderId="1" applyAlignment="1" pivotButton="0" quotePrefix="0" xfId="0">
      <alignment horizontal="center"/>
    </xf>
    <xf numFmtId="168" fontId="0" fillId="0" borderId="0" applyAlignment="1" pivotButton="0" quotePrefix="0" xfId="0">
      <alignment horizontal="general"/>
    </xf>
    <xf numFmtId="0" fontId="102" fillId="0" borderId="1" applyAlignment="1" pivotButton="0" quotePrefix="0" xfId="0">
      <alignment horizontal="center"/>
    </xf>
    <xf numFmtId="3" fontId="102" fillId="0" borderId="1" applyAlignment="1" pivotButton="0" quotePrefix="0" xfId="0">
      <alignment horizontal="center"/>
    </xf>
    <xf numFmtId="168" fontId="102" fillId="0" borderId="1" applyAlignment="1" pivotButton="0" quotePrefix="0" xfId="0">
      <alignment horizontal="center"/>
    </xf>
    <xf numFmtId="0" fontId="103" fillId="0" borderId="1" applyAlignment="1" pivotButton="0" quotePrefix="0" xfId="0">
      <alignment horizontal="center"/>
    </xf>
    <xf numFmtId="3" fontId="103" fillId="0" borderId="1" applyAlignment="1" pivotButton="0" quotePrefix="0" xfId="0">
      <alignment horizontal="center"/>
    </xf>
    <xf numFmtId="168" fontId="103" fillId="0" borderId="1" applyAlignment="1" pivotButton="0" quotePrefix="0" xfId="0">
      <alignment horizontal="center"/>
    </xf>
    <xf numFmtId="0" fontId="104" fillId="0" borderId="1" applyAlignment="1" pivotButton="0" quotePrefix="0" xfId="0">
      <alignment horizontal="left"/>
    </xf>
    <xf numFmtId="3" fontId="105" fillId="0" borderId="1" applyAlignment="1" pivotButton="0" quotePrefix="0" xfId="0">
      <alignment horizontal="center"/>
    </xf>
    <xf numFmtId="0" fontId="105" fillId="0" borderId="1" applyAlignment="1" pivotButton="0" quotePrefix="0" xfId="0">
      <alignment horizontal="center"/>
    </xf>
    <xf numFmtId="168" fontId="105" fillId="0" borderId="1" applyAlignment="1" pivotButton="0" quotePrefix="0" xfId="0">
      <alignment horizontal="center"/>
    </xf>
    <xf numFmtId="0" fontId="86" fillId="0" borderId="6" applyAlignment="1" pivotButton="0" quotePrefix="0" xfId="0">
      <alignment horizontal="center" vertical="top" wrapText="1"/>
    </xf>
    <xf numFmtId="3" fontId="86" fillId="0" borderId="18" applyAlignment="1" pivotButton="0" quotePrefix="0" xfId="0">
      <alignment horizontal="center" wrapText="1"/>
    </xf>
    <xf numFmtId="0" fontId="86" fillId="0" borderId="19" applyAlignment="1" pivotButton="0" quotePrefix="0" xfId="0">
      <alignment horizontal="center" wrapText="1"/>
    </xf>
    <xf numFmtId="0" fontId="86" fillId="0" borderId="20" applyAlignment="1" pivotButton="0" quotePrefix="0" xfId="0">
      <alignment horizontal="center" wrapText="1"/>
    </xf>
    <xf numFmtId="168" fontId="86" fillId="0" borderId="6" applyAlignment="1" pivotButton="0" quotePrefix="0" xfId="0">
      <alignment horizontal="center" vertical="top" wrapText="1"/>
    </xf>
    <xf numFmtId="168" fontId="86" fillId="0" borderId="6" applyAlignment="1" pivotButton="0" quotePrefix="0" xfId="0">
      <alignment horizontal="center" wrapText="1"/>
    </xf>
    <xf numFmtId="0" fontId="18" fillId="0" borderId="6" applyAlignment="1" pivotButton="0" quotePrefix="0" xfId="0">
      <alignment horizontal="center" wrapText="1"/>
    </xf>
    <xf numFmtId="3" fontId="18" fillId="0" borderId="6" applyAlignment="1" pivotButton="0" quotePrefix="0" xfId="0">
      <alignment horizontal="right" wrapText="1"/>
    </xf>
    <xf numFmtId="3" fontId="106" fillId="0" borderId="6" applyAlignment="1" pivotButton="0" quotePrefix="0" xfId="0">
      <alignment horizontal="center" wrapText="1"/>
    </xf>
    <xf numFmtId="0" fontId="106" fillId="0" borderId="6" applyAlignment="1" pivotButton="0" quotePrefix="0" xfId="0">
      <alignment horizontal="center" wrapText="1"/>
    </xf>
    <xf numFmtId="3" fontId="106" fillId="0" borderId="18" applyAlignment="1" pivotButton="0" quotePrefix="0" xfId="0">
      <alignment horizontal="center" wrapText="1"/>
    </xf>
    <xf numFmtId="0" fontId="106" fillId="0" borderId="20" applyAlignment="1" pivotButton="0" quotePrefix="0" xfId="0">
      <alignment horizontal="center" wrapText="1"/>
    </xf>
    <xf numFmtId="168" fontId="106" fillId="0" borderId="6" applyAlignment="1" pivotButton="0" quotePrefix="0" xfId="0">
      <alignment horizontal="center" wrapText="1"/>
    </xf>
    <xf numFmtId="3" fontId="18" fillId="0" borderId="6" applyAlignment="1" pivotButton="0" quotePrefix="0" xfId="0">
      <alignment horizontal="left" wrapText="1"/>
    </xf>
    <xf numFmtId="0" fontId="86" fillId="0" borderId="6" applyAlignment="1" pivotButton="0" quotePrefix="0" xfId="0">
      <alignment horizontal="right" wrapText="1"/>
    </xf>
    <xf numFmtId="3" fontId="86" fillId="0" borderId="6" applyAlignment="1" pivotButton="0" quotePrefix="0" xfId="0">
      <alignment horizontal="right" wrapText="1"/>
    </xf>
    <xf numFmtId="0" fontId="107" fillId="0" borderId="1" applyAlignment="1" pivotButton="0" quotePrefix="0" xfId="0">
      <alignment horizontal="center" wrapText="1"/>
    </xf>
    <xf numFmtId="3" fontId="107" fillId="0" borderId="1" applyAlignment="1" pivotButton="0" quotePrefix="0" xfId="0">
      <alignment horizontal="center" wrapText="1"/>
    </xf>
    <xf numFmtId="168" fontId="107" fillId="0" borderId="1" applyAlignment="1" pivotButton="0" quotePrefix="0" xfId="0">
      <alignment horizontal="center" wrapText="1"/>
    </xf>
    <xf numFmtId="0" fontId="108" fillId="0" borderId="1" applyAlignment="1" pivotButton="0" quotePrefix="0" xfId="0">
      <alignment horizontal="left" vertical="top" wrapText="1"/>
    </xf>
    <xf numFmtId="3" fontId="108" fillId="0" borderId="1" applyAlignment="1" pivotButton="0" quotePrefix="0" xfId="0">
      <alignment horizontal="left" wrapText="1"/>
    </xf>
    <xf numFmtId="0" fontId="108" fillId="0" borderId="1" applyAlignment="1" pivotButton="0" quotePrefix="0" xfId="0">
      <alignment horizontal="left" wrapText="1"/>
    </xf>
    <xf numFmtId="168" fontId="108" fillId="0" borderId="1" applyAlignment="1" pivotButton="0" quotePrefix="0" xfId="0">
      <alignment horizontal="left" wrapText="1"/>
    </xf>
    <xf numFmtId="0" fontId="108" fillId="0" borderId="1" applyAlignment="1" pivotButton="0" quotePrefix="0" xfId="0">
      <alignment horizontal="left" wrapText="1"/>
    </xf>
    <xf numFmtId="0" fontId="109" fillId="0" borderId="1" applyAlignment="1" pivotButton="0" quotePrefix="0" xfId="0">
      <alignment horizontal="left" wrapText="1"/>
    </xf>
    <xf numFmtId="3" fontId="109" fillId="0" borderId="1" applyAlignment="1" pivotButton="0" quotePrefix="0" xfId="0">
      <alignment horizontal="left" wrapText="1"/>
    </xf>
    <xf numFmtId="0" fontId="109" fillId="0" borderId="1" applyAlignment="1" pivotButton="0" quotePrefix="0" xfId="0">
      <alignment horizontal="left" wrapText="1"/>
    </xf>
    <xf numFmtId="168" fontId="109" fillId="0" borderId="1" applyAlignment="1" pivotButton="0" quotePrefix="0" xfId="0">
      <alignment horizontal="left" wrapText="1"/>
    </xf>
    <xf numFmtId="0" fontId="18" fillId="0" borderId="27" applyAlignment="1" pivotButton="0" quotePrefix="0" xfId="0">
      <alignment horizontal="center" wrapText="1"/>
    </xf>
    <xf numFmtId="3" fontId="18" fillId="0" borderId="27" applyAlignment="1" pivotButton="0" quotePrefix="0" xfId="0">
      <alignment horizontal="center" wrapText="1"/>
    </xf>
    <xf numFmtId="3" fontId="54" fillId="0" borderId="27" applyAlignment="1" pivotButton="0" quotePrefix="0" xfId="0">
      <alignment horizontal="center" wrapText="1"/>
    </xf>
    <xf numFmtId="0" fontId="54" fillId="0" borderId="27" applyAlignment="1" pivotButton="0" quotePrefix="0" xfId="0">
      <alignment horizontal="center" wrapText="1"/>
    </xf>
    <xf numFmtId="168" fontId="54" fillId="0" borderId="27" applyAlignment="1" pivotButton="0" quotePrefix="0" xfId="0">
      <alignment horizontal="center" wrapText="1"/>
    </xf>
    <xf numFmtId="0" fontId="53" fillId="0" borderId="1" applyAlignment="1" pivotButton="0" quotePrefix="0" xfId="0">
      <alignment horizontal="center"/>
    </xf>
    <xf numFmtId="0" fontId="53" fillId="0" borderId="1" applyAlignment="1" pivotButton="0" quotePrefix="0" xfId="0">
      <alignment horizontal="center"/>
    </xf>
    <xf numFmtId="3" fontId="53" fillId="0" borderId="1" applyAlignment="1" pivotButton="0" quotePrefix="0" xfId="0">
      <alignment horizontal="center"/>
    </xf>
    <xf numFmtId="3" fontId="18" fillId="0" borderId="1" applyAlignment="1" pivotButton="0" quotePrefix="0" xfId="0">
      <alignment horizontal="left" wrapText="1"/>
    </xf>
    <xf numFmtId="168" fontId="53" fillId="0" borderId="1" applyAlignment="1" pivotButton="0" quotePrefix="0" xfId="0">
      <alignment horizontal="center"/>
    </xf>
    <xf numFmtId="168" fontId="0" fillId="0" borderId="0" applyAlignment="1" pivotButton="0" quotePrefix="0" xfId="0">
      <alignment horizontal="general"/>
    </xf>
    <xf numFmtId="165" fontId="80" fillId="0" borderId="1" applyAlignment="1" pivotButton="0" quotePrefix="0" xfId="0">
      <alignment horizontal="left" wrapText="1"/>
    </xf>
    <xf numFmtId="4" fontId="110" fillId="0" borderId="1" applyAlignment="1" pivotButton="0" quotePrefix="0" xfId="0">
      <alignment horizontal="center" vertical="top" wrapText="1"/>
    </xf>
    <xf numFmtId="4" fontId="110" fillId="0" borderId="1" applyAlignment="1" pivotButton="0" quotePrefix="0" xfId="0">
      <alignment horizontal="center" wrapText="1"/>
    </xf>
    <xf numFmtId="3" fontId="110" fillId="0" borderId="1" applyAlignment="1" pivotButton="0" quotePrefix="0" xfId="0">
      <alignment horizontal="center" wrapText="1"/>
    </xf>
    <xf numFmtId="0" fontId="110" fillId="0" borderId="1" applyAlignment="1" pivotButton="0" quotePrefix="0" xfId="0">
      <alignment horizontal="center" wrapText="1"/>
    </xf>
    <xf numFmtId="4" fontId="110" fillId="0" borderId="1" applyAlignment="1" pivotButton="0" quotePrefix="0" xfId="0">
      <alignment horizontal="left" wrapText="1"/>
    </xf>
    <xf numFmtId="9" fontId="46" fillId="0" borderId="1" applyAlignment="1" pivotButton="0" quotePrefix="0" xfId="0">
      <alignment horizontal="center" wrapText="1"/>
    </xf>
    <xf numFmtId="4" fontId="46" fillId="0" borderId="1" applyAlignment="1" pivotButton="0" quotePrefix="0" xfId="0">
      <alignment horizontal="left" wrapText="1"/>
    </xf>
    <xf numFmtId="3" fontId="46" fillId="0" borderId="1" applyAlignment="1" pivotButton="0" quotePrefix="0" xfId="0">
      <alignment horizontal="left" wrapText="1"/>
    </xf>
    <xf numFmtId="3" fontId="80" fillId="0" borderId="1" applyAlignment="1" pivotButton="0" quotePrefix="0" xfId="0">
      <alignment horizontal="left" wrapText="1"/>
    </xf>
    <xf numFmtId="0" fontId="111" fillId="0" borderId="1" applyAlignment="1" pivotButton="0" quotePrefix="0" xfId="0">
      <alignment horizontal="center" wrapText="1"/>
    </xf>
    <xf numFmtId="4" fontId="111" fillId="0" borderId="1" applyAlignment="1" pivotButton="0" quotePrefix="0" xfId="0">
      <alignment horizontal="center" wrapText="1"/>
    </xf>
    <xf numFmtId="9" fontId="111" fillId="0" borderId="1" applyAlignment="1" pivotButton="0" quotePrefix="0" xfId="0">
      <alignment horizontal="center" wrapText="1"/>
    </xf>
    <xf numFmtId="4" fontId="111" fillId="0" borderId="1" applyAlignment="1" pivotButton="0" quotePrefix="0" xfId="0">
      <alignment horizontal="left" wrapText="1"/>
    </xf>
    <xf numFmtId="3" fontId="111" fillId="0" borderId="1" applyAlignment="1" pivotButton="0" quotePrefix="0" xfId="0">
      <alignment horizontal="left" wrapText="1"/>
    </xf>
    <xf numFmtId="0" fontId="111" fillId="0" borderId="1" applyAlignment="1" pivotButton="0" quotePrefix="0" xfId="0">
      <alignment horizontal="left" wrapText="1"/>
    </xf>
    <xf numFmtId="165" fontId="44" fillId="0" borderId="1" applyAlignment="1" pivotButton="0" quotePrefix="0" xfId="0">
      <alignment horizontal="left" wrapText="1"/>
    </xf>
    <xf numFmtId="4" fontId="90" fillId="0" borderId="1" applyAlignment="1" pivotButton="0" quotePrefix="0" xfId="0">
      <alignment horizontal="center" vertical="top" wrapText="1"/>
    </xf>
    <xf numFmtId="4" fontId="90" fillId="0" borderId="1" applyAlignment="1" pivotButton="0" quotePrefix="0" xfId="0">
      <alignment horizontal="center" wrapText="1"/>
    </xf>
    <xf numFmtId="3" fontId="90" fillId="0" borderId="1" applyAlignment="1" pivotButton="0" quotePrefix="0" xfId="0">
      <alignment horizontal="center" wrapText="1"/>
    </xf>
    <xf numFmtId="4" fontId="90" fillId="0" borderId="1" applyAlignment="1" pivotButton="0" quotePrefix="0" xfId="0">
      <alignment horizontal="left" wrapText="1"/>
    </xf>
    <xf numFmtId="3" fontId="44" fillId="0" borderId="1" applyAlignment="1" pivotButton="0" quotePrefix="0" xfId="0">
      <alignment horizontal="left" wrapText="1"/>
    </xf>
    <xf numFmtId="4" fontId="112" fillId="0" borderId="1" applyAlignment="1" pivotButton="0" quotePrefix="0" xfId="0">
      <alignment horizontal="right"/>
    </xf>
    <xf numFmtId="0" fontId="112" fillId="0" borderId="1" applyAlignment="1" pivotButton="0" quotePrefix="0" xfId="0">
      <alignment horizontal="right"/>
    </xf>
    <xf numFmtId="9" fontId="112" fillId="0" borderId="1" applyAlignment="1" pivotButton="0" quotePrefix="0" xfId="0">
      <alignment horizontal="right"/>
    </xf>
    <xf numFmtId="4" fontId="20" fillId="0" borderId="1" applyAlignment="1" pivotButton="0" quotePrefix="0" xfId="0">
      <alignment horizontal="left"/>
    </xf>
    <xf numFmtId="0" fontId="54" fillId="0" borderId="27" applyAlignment="1" pivotButton="0" quotePrefix="0" xfId="0">
      <alignment horizontal="left"/>
    </xf>
    <xf numFmtId="4" fontId="54" fillId="0" borderId="27" applyAlignment="1" pivotButton="0" quotePrefix="0" xfId="0">
      <alignment horizontal="left"/>
    </xf>
    <xf numFmtId="3" fontId="54" fillId="0" borderId="27" applyAlignment="1" pivotButton="0" quotePrefix="0" xfId="0">
      <alignment horizontal="left"/>
    </xf>
    <xf numFmtId="165" fontId="54" fillId="0" borderId="27" applyAlignment="1" pivotButton="0" quotePrefix="0" xfId="0">
      <alignment horizontal="left"/>
    </xf>
    <xf numFmtId="0" fontId="54" fillId="0" borderId="27" applyAlignment="1" pivotButton="0" quotePrefix="0" xfId="0">
      <alignment horizontal="right"/>
    </xf>
    <xf numFmtId="4" fontId="54" fillId="0" borderId="27" applyAlignment="1" pivotButton="0" quotePrefix="0" xfId="0">
      <alignment horizontal="right"/>
    </xf>
    <xf numFmtId="14" fontId="54" fillId="0" borderId="27" applyAlignment="1" pivotButton="0" quotePrefix="0" xfId="0">
      <alignment horizontal="center"/>
    </xf>
    <xf numFmtId="14" fontId="11" fillId="0" borderId="27" applyAlignment="1" pivotButton="0" quotePrefix="0" xfId="0">
      <alignment horizontal="left" wrapText="1"/>
    </xf>
    <xf numFmtId="3" fontId="113" fillId="0" borderId="1" applyAlignment="1" pivotButton="0" quotePrefix="0" xfId="0">
      <alignment horizontal="left"/>
    </xf>
    <xf numFmtId="0" fontId="113" fillId="0" borderId="1" applyAlignment="1" pivotButton="0" quotePrefix="0" xfId="0">
      <alignment horizontal="left"/>
    </xf>
    <xf numFmtId="169" fontId="54" fillId="0" borderId="1" applyAlignment="1" pivotButton="0" quotePrefix="0" xfId="0">
      <alignment horizontal="center"/>
    </xf>
    <xf numFmtId="9" fontId="0" fillId="0" borderId="0" applyAlignment="1" pivotButton="0" quotePrefix="0" xfId="0">
      <alignment horizontal="general"/>
    </xf>
    <xf numFmtId="0" fontId="54" fillId="0" borderId="1" applyAlignment="1" pivotButton="0" quotePrefix="0" xfId="0">
      <alignment horizontal="center"/>
    </xf>
    <xf numFmtId="4" fontId="54" fillId="0" borderId="1" applyAlignment="1" pivotButton="0" quotePrefix="0" xfId="0">
      <alignment horizontal="center"/>
    </xf>
    <xf numFmtId="0" fontId="54" fillId="0" borderId="1" applyAlignment="1" pivotButton="0" quotePrefix="0" xfId="0">
      <alignment horizontal="center"/>
    </xf>
    <xf numFmtId="3" fontId="54" fillId="0" borderId="1" applyAlignment="1" pivotButton="0" quotePrefix="0" xfId="0">
      <alignment horizontal="center"/>
    </xf>
    <xf numFmtId="165" fontId="54" fillId="0" borderId="1" applyAlignment="1" pivotButton="0" quotePrefix="0" xfId="0">
      <alignment horizontal="center"/>
    </xf>
    <xf numFmtId="9" fontId="54" fillId="0" borderId="1" applyAlignment="1" pivotButton="0" quotePrefix="0" xfId="0">
      <alignment horizontal="center"/>
    </xf>
    <xf numFmtId="0" fontId="53" fillId="0" borderId="1" applyAlignment="1" pivotButton="0" quotePrefix="0" xfId="0">
      <alignment horizontal="left" vertical="top"/>
    </xf>
    <xf numFmtId="0" fontId="114" fillId="0" borderId="1" applyAlignment="1" pivotButton="0" quotePrefix="0" xfId="0">
      <alignment horizontal="justify"/>
    </xf>
    <xf numFmtId="4" fontId="114" fillId="0" borderId="1" applyAlignment="1" pivotButton="0" quotePrefix="0" xfId="0">
      <alignment horizontal="justify"/>
    </xf>
    <xf numFmtId="3" fontId="114" fillId="0" borderId="1" applyAlignment="1" pivotButton="0" quotePrefix="0" xfId="0">
      <alignment horizontal="justify"/>
    </xf>
    <xf numFmtId="165" fontId="114" fillId="0" borderId="1" applyAlignment="1" pivotButton="0" quotePrefix="0" xfId="0">
      <alignment horizontal="justify"/>
    </xf>
    <xf numFmtId="9" fontId="114" fillId="0" borderId="1" applyAlignment="1" pivotButton="0" quotePrefix="0" xfId="0">
      <alignment horizontal="justify"/>
    </xf>
    <xf numFmtId="0" fontId="54" fillId="0" borderId="1" applyAlignment="1" pivotButton="0" quotePrefix="0" xfId="0">
      <alignment horizontal="left" vertical="top"/>
    </xf>
    <xf numFmtId="4" fontId="54" fillId="0" borderId="1" applyAlignment="1" pivotButton="0" quotePrefix="0" xfId="0">
      <alignment horizontal="left" vertical="top" wrapText="1"/>
    </xf>
    <xf numFmtId="4" fontId="54" fillId="0" borderId="1" applyAlignment="1" pivotButton="0" quotePrefix="0" xfId="0">
      <alignment horizontal="left" wrapText="1"/>
    </xf>
    <xf numFmtId="165" fontId="54" fillId="0" borderId="1" applyAlignment="1" pivotButton="0" quotePrefix="0" xfId="0">
      <alignment horizontal="left" wrapText="1"/>
    </xf>
    <xf numFmtId="3" fontId="54" fillId="0" borderId="1" applyAlignment="1" pivotButton="0" quotePrefix="0" xfId="0">
      <alignment horizontal="left"/>
    </xf>
    <xf numFmtId="9" fontId="54" fillId="0" borderId="1" applyAlignment="1" pivotButton="0" quotePrefix="0" xfId="0">
      <alignment horizontal="left"/>
    </xf>
    <xf numFmtId="9" fontId="11" fillId="0" borderId="1" applyAlignment="1" pivotButton="0" quotePrefix="0" xfId="0">
      <alignment horizontal="left"/>
    </xf>
    <xf numFmtId="9" fontId="54" fillId="0" borderId="1" applyAlignment="1" pivotButton="0" quotePrefix="0" xfId="0">
      <alignment horizontal="left" wrapText="1"/>
    </xf>
    <xf numFmtId="3" fontId="54" fillId="3" borderId="47" applyAlignment="1" pivotButton="0" quotePrefix="0" xfId="0">
      <alignment horizontal="left"/>
    </xf>
    <xf numFmtId="4" fontId="54" fillId="3" borderId="47" applyAlignment="1" pivotButton="0" quotePrefix="0" xfId="0">
      <alignment horizontal="left"/>
    </xf>
    <xf numFmtId="0" fontId="54" fillId="3" borderId="47" applyAlignment="1" pivotButton="0" quotePrefix="0" xfId="0">
      <alignment horizontal="left"/>
    </xf>
    <xf numFmtId="9" fontId="54" fillId="3" borderId="47" applyAlignment="1" pivotButton="0" quotePrefix="0" xfId="0">
      <alignment horizontal="left"/>
    </xf>
    <xf numFmtId="3" fontId="115" fillId="4" borderId="47" applyAlignment="1" pivotButton="0" quotePrefix="0" xfId="0">
      <alignment horizontal="left"/>
    </xf>
    <xf numFmtId="4" fontId="115" fillId="4" borderId="47" applyAlignment="1" pivotButton="0" quotePrefix="0" xfId="0">
      <alignment horizontal="left"/>
    </xf>
    <xf numFmtId="0" fontId="115" fillId="4" borderId="47" applyAlignment="1" pivotButton="0" quotePrefix="0" xfId="0">
      <alignment horizontal="left"/>
    </xf>
    <xf numFmtId="9" fontId="115" fillId="4" borderId="47" applyAlignment="1" pivotButton="0" quotePrefix="0" xfId="0">
      <alignment horizontal="left"/>
    </xf>
    <xf numFmtId="14" fontId="54" fillId="3" borderId="47" applyAlignment="1" pivotButton="0" quotePrefix="0" xfId="0">
      <alignment horizontal="left"/>
    </xf>
    <xf numFmtId="14" fontId="54" fillId="0" borderId="1" applyAlignment="1" pivotButton="0" quotePrefix="0" xfId="0">
      <alignment horizontal="left"/>
    </xf>
    <xf numFmtId="4" fontId="46" fillId="0" borderId="1" applyAlignment="1" pivotButton="0" quotePrefix="0" xfId="0">
      <alignment horizontal="right"/>
    </xf>
    <xf numFmtId="9" fontId="46" fillId="0" borderId="1" applyAlignment="1" pivotButton="0" quotePrefix="0" xfId="0">
      <alignment horizontal="right"/>
    </xf>
    <xf numFmtId="0" fontId="46" fillId="0" borderId="1" applyAlignment="1" pivotButton="0" quotePrefix="0" xfId="0">
      <alignment horizontal="right"/>
    </xf>
    <xf numFmtId="4" fontId="11" fillId="0" borderId="63" applyAlignment="1" pivotButton="0" quotePrefix="0" xfId="0">
      <alignment horizontal="center" wrapText="1"/>
    </xf>
    <xf numFmtId="0" fontId="11" fillId="0" borderId="63" applyAlignment="1" pivotButton="0" quotePrefix="0" xfId="0">
      <alignment horizontal="center"/>
    </xf>
    <xf numFmtId="0" fontId="11" fillId="0" borderId="27" applyAlignment="1" pivotButton="0" quotePrefix="0" xfId="0">
      <alignment horizontal="center"/>
    </xf>
    <xf numFmtId="4" fontId="11" fillId="0" borderId="27" applyAlignment="1" pivotButton="0" quotePrefix="0" xfId="0">
      <alignment horizontal="center"/>
    </xf>
    <xf numFmtId="3" fontId="11" fillId="0" borderId="67" applyAlignment="1" pivotButton="0" quotePrefix="0" xfId="0">
      <alignment horizontal="center"/>
    </xf>
    <xf numFmtId="165" fontId="11" fillId="0" borderId="27" applyAlignment="1" pivotButton="0" quotePrefix="0" xfId="0">
      <alignment horizontal="center"/>
    </xf>
    <xf numFmtId="3" fontId="11" fillId="0" borderId="63" applyAlignment="1" pivotButton="0" quotePrefix="0" xfId="0">
      <alignment horizontal="center" wrapText="1"/>
    </xf>
    <xf numFmtId="4" fontId="11" fillId="0" borderId="27" applyAlignment="1" pivotButton="0" quotePrefix="0" xfId="0">
      <alignment horizontal="center" wrapText="1"/>
    </xf>
    <xf numFmtId="4" fontId="11" fillId="0" borderId="67" applyAlignment="1" pivotButton="0" quotePrefix="0" xfId="0">
      <alignment horizontal="center" wrapText="1"/>
    </xf>
    <xf numFmtId="3" fontId="11" fillId="0" borderId="63" applyAlignment="1" pivotButton="0" quotePrefix="0" xfId="0">
      <alignment horizontal="center"/>
    </xf>
    <xf numFmtId="3" fontId="11" fillId="0" borderId="27" applyAlignment="1" pivotButton="0" quotePrefix="0" xfId="0">
      <alignment horizontal="center"/>
    </xf>
    <xf numFmtId="4" fontId="11" fillId="0" borderId="67" applyAlignment="1" pivotButton="0" quotePrefix="0" xfId="0">
      <alignment horizontal="center"/>
    </xf>
    <xf numFmtId="0" fontId="11" fillId="0" borderId="63" applyAlignment="1" pivotButton="0" quotePrefix="0" xfId="0">
      <alignment horizontal="center" wrapText="1"/>
    </xf>
    <xf numFmtId="0" fontId="11" fillId="0" borderId="27" applyAlignment="1" pivotButton="0" quotePrefix="0" xfId="0">
      <alignment horizontal="center" wrapText="1"/>
    </xf>
    <xf numFmtId="9" fontId="11" fillId="0" borderId="27" applyAlignment="1" pivotButton="0" quotePrefix="0" xfId="0">
      <alignment horizontal="center" wrapText="1"/>
    </xf>
    <xf numFmtId="0" fontId="11" fillId="0" borderId="67" applyAlignment="1" pivotButton="0" quotePrefix="0" xfId="0">
      <alignment horizontal="center" wrapText="1"/>
    </xf>
    <xf numFmtId="4" fontId="11" fillId="0" borderId="64" applyAlignment="1" pivotButton="0" quotePrefix="0" xfId="0">
      <alignment horizontal="center" wrapText="1"/>
    </xf>
    <xf numFmtId="0" fontId="11" fillId="0" borderId="64" applyAlignment="1" pivotButton="0" quotePrefix="0" xfId="0">
      <alignment horizontal="center"/>
    </xf>
    <xf numFmtId="3" fontId="11" fillId="0" borderId="66" applyAlignment="1" pivotButton="0" quotePrefix="0" xfId="0">
      <alignment horizontal="center"/>
    </xf>
    <xf numFmtId="165" fontId="11" fillId="0" borderId="1" applyAlignment="1" pivotButton="0" quotePrefix="0" xfId="0">
      <alignment horizontal="center"/>
    </xf>
    <xf numFmtId="3" fontId="73" fillId="0" borderId="65" applyAlignment="1" pivotButton="0" quotePrefix="0" xfId="0">
      <alignment horizontal="center" wrapText="1"/>
    </xf>
    <xf numFmtId="4" fontId="73" fillId="0" borderId="17" applyAlignment="1" pivotButton="0" quotePrefix="0" xfId="0">
      <alignment horizontal="center" wrapText="1"/>
    </xf>
    <xf numFmtId="4" fontId="73" fillId="0" borderId="68" applyAlignment="1" pivotButton="0" quotePrefix="0" xfId="0">
      <alignment horizontal="center" wrapText="1"/>
    </xf>
    <xf numFmtId="3" fontId="11" fillId="0" borderId="65" applyAlignment="1" pivotButton="0" quotePrefix="0" xfId="0">
      <alignment horizontal="center"/>
    </xf>
    <xf numFmtId="3" fontId="11" fillId="0" borderId="17" applyAlignment="1" pivotButton="0" quotePrefix="0" xfId="0">
      <alignment horizontal="center"/>
    </xf>
    <xf numFmtId="4" fontId="11" fillId="0" borderId="68" applyAlignment="1" pivotButton="0" quotePrefix="0" xfId="0">
      <alignment horizontal="center"/>
    </xf>
    <xf numFmtId="0" fontId="11" fillId="0" borderId="65" applyAlignment="1" pivotButton="0" quotePrefix="0" xfId="0">
      <alignment horizontal="center" wrapText="1"/>
    </xf>
    <xf numFmtId="4" fontId="11" fillId="0" borderId="17" applyAlignment="1" pivotButton="0" quotePrefix="0" xfId="0">
      <alignment horizontal="center" wrapText="1"/>
    </xf>
    <xf numFmtId="0" fontId="11" fillId="0" borderId="17" applyAlignment="1" pivotButton="0" quotePrefix="0" xfId="0">
      <alignment horizontal="center" wrapText="1"/>
    </xf>
    <xf numFmtId="4" fontId="11" fillId="0" borderId="68" applyAlignment="1" pivotButton="0" quotePrefix="0" xfId="0">
      <alignment horizontal="center" wrapText="1"/>
    </xf>
    <xf numFmtId="4" fontId="11" fillId="0" borderId="65" applyAlignment="1" pivotButton="0" quotePrefix="0" xfId="0">
      <alignment horizontal="center" wrapText="1"/>
    </xf>
    <xf numFmtId="9" fontId="11" fillId="0" borderId="17" applyAlignment="1" pivotButton="0" quotePrefix="0" xfId="0">
      <alignment horizontal="center" wrapText="1"/>
    </xf>
    <xf numFmtId="0" fontId="11" fillId="0" borderId="68" applyAlignment="1" pivotButton="0" quotePrefix="0" xfId="0">
      <alignment horizontal="center" wrapText="1"/>
    </xf>
    <xf numFmtId="165" fontId="11" fillId="0" borderId="6" applyAlignment="1" pivotButton="0" quotePrefix="0" xfId="0">
      <alignment horizontal="center"/>
    </xf>
    <xf numFmtId="9" fontId="11" fillId="0" borderId="6" applyAlignment="1" pivotButton="0" quotePrefix="0" xfId="0">
      <alignment horizontal="center"/>
    </xf>
    <xf numFmtId="4" fontId="113" fillId="0" borderId="1" applyAlignment="1" pivotButton="0" quotePrefix="0" xfId="0">
      <alignment horizontal="left"/>
    </xf>
    <xf numFmtId="165" fontId="113" fillId="0" borderId="1" applyAlignment="1" pivotButton="0" quotePrefix="0" xfId="0">
      <alignment horizontal="left"/>
    </xf>
    <xf numFmtId="9" fontId="113" fillId="0" borderId="1" applyAlignment="1" pivotButton="0" quotePrefix="0" xfId="0">
      <alignment horizontal="left"/>
    </xf>
    <xf numFmtId="4" fontId="54" fillId="0" borderId="63" applyAlignment="1" pivotButton="0" quotePrefix="0" xfId="0">
      <alignment horizontal="center"/>
    </xf>
    <xf numFmtId="0" fontId="54" fillId="0" borderId="27" applyAlignment="1" pivotButton="0" quotePrefix="0" xfId="0">
      <alignment horizontal="center"/>
    </xf>
    <xf numFmtId="4" fontId="54" fillId="0" borderId="67" applyAlignment="1" pivotButton="0" quotePrefix="0" xfId="0">
      <alignment horizontal="center"/>
    </xf>
    <xf numFmtId="3" fontId="54" fillId="0" borderId="63" applyAlignment="1" pivotButton="0" quotePrefix="0" xfId="0">
      <alignment horizontal="center"/>
    </xf>
    <xf numFmtId="165" fontId="54" fillId="0" borderId="27" applyAlignment="1" pivotButton="0" quotePrefix="0" xfId="0">
      <alignment horizontal="center"/>
    </xf>
    <xf numFmtId="4" fontId="54" fillId="0" borderId="27" applyAlignment="1" pivotButton="0" quotePrefix="0" xfId="0">
      <alignment horizontal="center"/>
    </xf>
    <xf numFmtId="4" fontId="46" fillId="0" borderId="63" applyAlignment="1" pivotButton="0" quotePrefix="0" xfId="0">
      <alignment horizontal="left"/>
    </xf>
    <xf numFmtId="4" fontId="46" fillId="0" borderId="27" applyAlignment="1" pivotButton="0" quotePrefix="0" xfId="0">
      <alignment horizontal="left"/>
    </xf>
    <xf numFmtId="3" fontId="46" fillId="0" borderId="27" applyAlignment="1" pivotButton="0" quotePrefix="0" xfId="0">
      <alignment horizontal="left"/>
    </xf>
    <xf numFmtId="4" fontId="46" fillId="0" borderId="67" applyAlignment="1" pivotButton="0" quotePrefix="0" xfId="0">
      <alignment horizontal="left"/>
    </xf>
    <xf numFmtId="3" fontId="54" fillId="0" borderId="27" applyAlignment="1" pivotButton="0" quotePrefix="0" xfId="0">
      <alignment horizontal="center"/>
    </xf>
    <xf numFmtId="0" fontId="54" fillId="0" borderId="18" applyAlignment="1" pivotButton="0" quotePrefix="0" xfId="0">
      <alignment horizontal="center"/>
    </xf>
    <xf numFmtId="4" fontId="54" fillId="0" borderId="19" applyAlignment="1" pivotButton="0" quotePrefix="0" xfId="0">
      <alignment horizontal="center"/>
    </xf>
    <xf numFmtId="9" fontId="54" fillId="0" borderId="19" applyAlignment="1" pivotButton="0" quotePrefix="0" xfId="0">
      <alignment horizontal="center"/>
    </xf>
    <xf numFmtId="0" fontId="54" fillId="0" borderId="20" applyAlignment="1" pivotButton="0" quotePrefix="0" xfId="0">
      <alignment horizontal="center"/>
    </xf>
    <xf numFmtId="4" fontId="54" fillId="0" borderId="65" applyAlignment="1" pivotButton="0" quotePrefix="0" xfId="0">
      <alignment horizontal="center"/>
    </xf>
    <xf numFmtId="0" fontId="54" fillId="0" borderId="17" applyAlignment="1" pivotButton="0" quotePrefix="0" xfId="0">
      <alignment horizontal="center"/>
    </xf>
    <xf numFmtId="4" fontId="54" fillId="0" borderId="68" applyAlignment="1" pivotButton="0" quotePrefix="0" xfId="0">
      <alignment horizontal="center"/>
    </xf>
    <xf numFmtId="3" fontId="116" fillId="0" borderId="65" applyAlignment="1" pivotButton="0" quotePrefix="0" xfId="0">
      <alignment horizontal="center"/>
    </xf>
    <xf numFmtId="165" fontId="116" fillId="0" borderId="17" applyAlignment="1" pivotButton="0" quotePrefix="0" xfId="0">
      <alignment horizontal="center"/>
    </xf>
    <xf numFmtId="4" fontId="116" fillId="0" borderId="17" applyAlignment="1" pivotButton="0" quotePrefix="0" xfId="0">
      <alignment horizontal="center"/>
    </xf>
    <xf numFmtId="4" fontId="116" fillId="0" borderId="68" applyAlignment="1" pivotButton="0" quotePrefix="0" xfId="0">
      <alignment horizontal="center"/>
    </xf>
    <xf numFmtId="4" fontId="46" fillId="0" borderId="65" applyAlignment="1" pivotButton="0" quotePrefix="0" xfId="0">
      <alignment horizontal="left"/>
    </xf>
    <xf numFmtId="4" fontId="46" fillId="0" borderId="17" applyAlignment="1" pivotButton="0" quotePrefix="0" xfId="0">
      <alignment horizontal="left"/>
    </xf>
    <xf numFmtId="3" fontId="46" fillId="0" borderId="17" applyAlignment="1" pivotButton="0" quotePrefix="0" xfId="0">
      <alignment horizontal="left"/>
    </xf>
    <xf numFmtId="4" fontId="46" fillId="0" borderId="68" applyAlignment="1" pivotButton="0" quotePrefix="0" xfId="0">
      <alignment horizontal="left"/>
    </xf>
    <xf numFmtId="3" fontId="54" fillId="0" borderId="65" applyAlignment="1" pivotButton="0" quotePrefix="0" xfId="0">
      <alignment horizontal="center"/>
    </xf>
    <xf numFmtId="3" fontId="54" fillId="0" borderId="17" applyAlignment="1" pivotButton="0" quotePrefix="0" xfId="0">
      <alignment horizontal="center"/>
    </xf>
    <xf numFmtId="4" fontId="54" fillId="0" borderId="17" applyAlignment="1" pivotButton="0" quotePrefix="0" xfId="0">
      <alignment horizontal="center"/>
    </xf>
    <xf numFmtId="0" fontId="54" fillId="0" borderId="65" applyAlignment="1" pivotButton="0" quotePrefix="0" xfId="0">
      <alignment horizontal="center"/>
    </xf>
    <xf numFmtId="9" fontId="54" fillId="0" borderId="17" applyAlignment="1" pivotButton="0" quotePrefix="0" xfId="0">
      <alignment horizontal="center"/>
    </xf>
    <xf numFmtId="0" fontId="54" fillId="0" borderId="68" applyAlignment="1" pivotButton="0" quotePrefix="0" xfId="0">
      <alignment horizontal="center"/>
    </xf>
    <xf numFmtId="4" fontId="116" fillId="3" borderId="6" applyAlignment="1" pivotButton="0" quotePrefix="0" xfId="0">
      <alignment horizontal="center"/>
    </xf>
    <xf numFmtId="0" fontId="116" fillId="3" borderId="6" applyAlignment="1" pivotButton="0" quotePrefix="0" xfId="0">
      <alignment horizontal="center"/>
    </xf>
    <xf numFmtId="3" fontId="115" fillId="3" borderId="6" applyAlignment="1" pivotButton="0" quotePrefix="0" xfId="0">
      <alignment horizontal="center"/>
    </xf>
    <xf numFmtId="165" fontId="115" fillId="3" borderId="6" applyAlignment="1" pivotButton="0" quotePrefix="0" xfId="0">
      <alignment horizontal="center"/>
    </xf>
    <xf numFmtId="4" fontId="115" fillId="3" borderId="6" applyAlignment="1" pivotButton="0" quotePrefix="0" xfId="0">
      <alignment horizontal="center"/>
    </xf>
    <xf numFmtId="0" fontId="115" fillId="3" borderId="6" applyAlignment="1" pivotButton="0" quotePrefix="0" xfId="0">
      <alignment horizontal="center"/>
    </xf>
    <xf numFmtId="0" fontId="117" fillId="3" borderId="6" applyAlignment="1" pivotButton="0" quotePrefix="0" xfId="0">
      <alignment horizontal="center" wrapText="1"/>
    </xf>
    <xf numFmtId="4" fontId="117" fillId="3" borderId="6" applyAlignment="1" pivotButton="0" quotePrefix="0" xfId="0">
      <alignment horizontal="center" wrapText="1"/>
    </xf>
    <xf numFmtId="1" fontId="117" fillId="3" borderId="6" applyAlignment="1" pivotButton="0" quotePrefix="0" xfId="0">
      <alignment horizontal="center"/>
    </xf>
    <xf numFmtId="3" fontId="54" fillId="0" borderId="1" applyAlignment="1" pivotButton="0" quotePrefix="0" xfId="0">
      <alignment horizontal="right"/>
    </xf>
    <xf numFmtId="4" fontId="54" fillId="0" borderId="1" applyAlignment="1" pivotButton="0" quotePrefix="0" xfId="0">
      <alignment horizontal="right"/>
    </xf>
    <xf numFmtId="9" fontId="54" fillId="0" borderId="1" applyAlignment="1" pivotButton="0" quotePrefix="0" xfId="0">
      <alignment horizontal="right"/>
    </xf>
    <xf numFmtId="4" fontId="54" fillId="0" borderId="63" applyAlignment="1" pivotButton="0" quotePrefix="0" xfId="0">
      <alignment horizontal="left"/>
    </xf>
    <xf numFmtId="0" fontId="54" fillId="0" borderId="6" applyAlignment="1" pivotButton="0" quotePrefix="0" xfId="0">
      <alignment horizontal="center" vertical="top"/>
    </xf>
    <xf numFmtId="4" fontId="54" fillId="0" borderId="6" applyAlignment="1" pivotButton="0" quotePrefix="0" xfId="0">
      <alignment horizontal="center"/>
    </xf>
    <xf numFmtId="3" fontId="54" fillId="0" borderId="6" applyAlignment="1" pivotButton="0" quotePrefix="0" xfId="0">
      <alignment horizontal="center"/>
    </xf>
    <xf numFmtId="4" fontId="11" fillId="0" borderId="63" applyAlignment="1" pivotButton="0" quotePrefix="0" xfId="0">
      <alignment horizontal="center" vertical="top" wrapText="1"/>
    </xf>
    <xf numFmtId="4" fontId="54" fillId="0" borderId="63" applyAlignment="1" pivotButton="0" quotePrefix="0" xfId="0">
      <alignment horizontal="center" vertical="top"/>
    </xf>
    <xf numFmtId="0" fontId="54" fillId="0" borderId="67" applyAlignment="1" pivotButton="0" quotePrefix="0" xfId="0">
      <alignment horizontal="center"/>
    </xf>
    <xf numFmtId="4" fontId="54" fillId="0" borderId="63" applyAlignment="1" pivotButton="0" quotePrefix="0" xfId="0">
      <alignment horizontal="center" vertical="top" wrapText="1"/>
    </xf>
    <xf numFmtId="0" fontId="54" fillId="0" borderId="67" applyAlignment="1" pivotButton="0" quotePrefix="0" xfId="0">
      <alignment horizontal="center" wrapText="1"/>
    </xf>
    <xf numFmtId="4" fontId="54" fillId="0" borderId="27" applyAlignment="1" pivotButton="0" quotePrefix="0" xfId="0">
      <alignment horizontal="center" wrapText="1"/>
    </xf>
    <xf numFmtId="4" fontId="54" fillId="0" borderId="67" applyAlignment="1" pivotButton="0" quotePrefix="0" xfId="0">
      <alignment horizontal="center" wrapText="1"/>
    </xf>
    <xf numFmtId="9" fontId="54" fillId="0" borderId="63" applyAlignment="1" pivotButton="0" quotePrefix="0" xfId="0">
      <alignment horizontal="center"/>
    </xf>
    <xf numFmtId="4" fontId="54" fillId="0" borderId="65" applyAlignment="1" pivotButton="0" quotePrefix="0" xfId="0">
      <alignment horizontal="left"/>
    </xf>
    <xf numFmtId="4" fontId="11" fillId="0" borderId="65" applyAlignment="1" pivotButton="0" quotePrefix="0" xfId="0">
      <alignment horizontal="center"/>
    </xf>
    <xf numFmtId="4" fontId="54" fillId="0" borderId="65" applyAlignment="1" pivotButton="0" quotePrefix="0" xfId="0">
      <alignment horizontal="center" wrapText="1"/>
    </xf>
    <xf numFmtId="0" fontId="54" fillId="0" borderId="68" applyAlignment="1" pivotButton="0" quotePrefix="0" xfId="0">
      <alignment horizontal="center" wrapText="1"/>
    </xf>
    <xf numFmtId="4" fontId="54" fillId="0" borderId="17" applyAlignment="1" pivotButton="0" quotePrefix="0" xfId="0">
      <alignment horizontal="center" wrapText="1"/>
    </xf>
    <xf numFmtId="4" fontId="54" fillId="0" borderId="68" applyAlignment="1" pivotButton="0" quotePrefix="0" xfId="0">
      <alignment horizontal="center" wrapText="1"/>
    </xf>
    <xf numFmtId="9" fontId="54" fillId="0" borderId="65" applyAlignment="1" pivotButton="0" quotePrefix="0" xfId="0">
      <alignment horizontal="center"/>
    </xf>
    <xf numFmtId="0" fontId="53" fillId="0" borderId="1" applyAlignment="1" pivotButton="0" quotePrefix="0" xfId="0">
      <alignment horizontal="left" wrapText="1"/>
    </xf>
    <xf numFmtId="3" fontId="54" fillId="0" borderId="6" applyAlignment="1" pivotButton="0" quotePrefix="0" xfId="0">
      <alignment horizontal="center" vertical="top" wrapText="1"/>
    </xf>
    <xf numFmtId="0" fontId="11" fillId="0" borderId="63" applyAlignment="1" pivotButton="0" quotePrefix="0" xfId="0">
      <alignment horizontal="left" wrapText="1"/>
    </xf>
    <xf numFmtId="4" fontId="11" fillId="0" borderId="27" applyAlignment="1" pivotButton="0" quotePrefix="0" xfId="0">
      <alignment horizontal="left" wrapText="1"/>
    </xf>
    <xf numFmtId="3" fontId="11" fillId="0" borderId="27" applyAlignment="1" pivotButton="0" quotePrefix="0" xfId="0">
      <alignment horizontal="left" wrapText="1"/>
    </xf>
    <xf numFmtId="165" fontId="11" fillId="0" borderId="27" applyAlignment="1" pivotButton="0" quotePrefix="0" xfId="0">
      <alignment horizontal="left" wrapText="1"/>
    </xf>
    <xf numFmtId="4" fontId="11" fillId="0" borderId="67" applyAlignment="1" pivotButton="0" quotePrefix="0" xfId="0">
      <alignment horizontal="left" wrapText="1"/>
    </xf>
    <xf numFmtId="3" fontId="46" fillId="5" borderId="69" applyAlignment="1" pivotButton="0" quotePrefix="0" xfId="0">
      <alignment horizontal="center" vertical="top" wrapText="1"/>
    </xf>
    <xf numFmtId="4" fontId="46" fillId="5" borderId="70" applyAlignment="1" pivotButton="0" quotePrefix="0" xfId="0">
      <alignment horizontal="center" wrapText="1"/>
    </xf>
    <xf numFmtId="4" fontId="11" fillId="0" borderId="63" applyAlignment="1" pivotButton="0" quotePrefix="0" xfId="0">
      <alignment horizontal="left" vertical="top" wrapText="1"/>
    </xf>
    <xf numFmtId="0" fontId="11" fillId="0" borderId="67" applyAlignment="1" pivotButton="0" quotePrefix="0" xfId="0">
      <alignment horizontal="left" wrapText="1"/>
    </xf>
    <xf numFmtId="4" fontId="118" fillId="3" borderId="69" applyAlignment="1" pivotButton="0" quotePrefix="0" xfId="0">
      <alignment horizontal="center" vertical="top" wrapText="1"/>
    </xf>
    <xf numFmtId="0" fontId="118" fillId="3" borderId="70" applyAlignment="1" pivotButton="0" quotePrefix="0" xfId="0">
      <alignment horizontal="center" wrapText="1"/>
    </xf>
    <xf numFmtId="3" fontId="54" fillId="3" borderId="69" applyAlignment="1" pivotButton="0" quotePrefix="0" xfId="0">
      <alignment horizontal="center" vertical="top" wrapText="1"/>
    </xf>
    <xf numFmtId="4" fontId="54" fillId="3" borderId="48" applyAlignment="1" pivotButton="0" quotePrefix="0" xfId="0">
      <alignment horizontal="center" wrapText="1"/>
    </xf>
    <xf numFmtId="4" fontId="54" fillId="3" borderId="70" applyAlignment="1" pivotButton="0" quotePrefix="0" xfId="0">
      <alignment horizontal="center" wrapText="1"/>
    </xf>
    <xf numFmtId="9" fontId="54" fillId="3" borderId="69" applyAlignment="1" pivotButton="0" quotePrefix="0" xfId="0">
      <alignment horizontal="center" vertical="top" wrapText="1"/>
    </xf>
    <xf numFmtId="0" fontId="54" fillId="3" borderId="70" applyAlignment="1" pivotButton="0" quotePrefix="0" xfId="0">
      <alignment horizontal="center" wrapText="1"/>
    </xf>
    <xf numFmtId="4" fontId="54" fillId="0" borderId="28" applyAlignment="1" pivotButton="0" quotePrefix="0" xfId="0">
      <alignment horizontal="center" wrapText="1"/>
    </xf>
    <xf numFmtId="0" fontId="11" fillId="0" borderId="64" applyAlignment="1" pivotButton="0" quotePrefix="0" xfId="0">
      <alignment horizontal="left" wrapText="1"/>
    </xf>
    <xf numFmtId="4" fontId="11" fillId="0" borderId="1" applyAlignment="1" pivotButton="0" quotePrefix="0" xfId="0">
      <alignment horizontal="left" wrapText="1"/>
    </xf>
    <xf numFmtId="165" fontId="11" fillId="0" borderId="1" applyAlignment="1" pivotButton="0" quotePrefix="0" xfId="0">
      <alignment horizontal="left" wrapText="1"/>
    </xf>
    <xf numFmtId="4" fontId="11" fillId="0" borderId="66" applyAlignment="1" pivotButton="0" quotePrefix="0" xfId="0">
      <alignment horizontal="left" wrapText="1"/>
    </xf>
    <xf numFmtId="4" fontId="46" fillId="5" borderId="71" applyAlignment="1" pivotButton="0" quotePrefix="0" xfId="0">
      <alignment horizontal="center" wrapText="1"/>
    </xf>
    <xf numFmtId="4" fontId="46" fillId="5" borderId="72" applyAlignment="1" pivotButton="0" quotePrefix="0" xfId="0">
      <alignment horizontal="center" wrapText="1"/>
    </xf>
    <xf numFmtId="4" fontId="11" fillId="0" borderId="64" applyAlignment="1" pivotButton="0" quotePrefix="0" xfId="0">
      <alignment horizontal="left" wrapText="1"/>
    </xf>
    <xf numFmtId="0" fontId="11" fillId="0" borderId="66" applyAlignment="1" pivotButton="0" quotePrefix="0" xfId="0">
      <alignment horizontal="left" wrapText="1"/>
    </xf>
    <xf numFmtId="4" fontId="118" fillId="3" borderId="71" applyAlignment="1" pivotButton="0" quotePrefix="0" xfId="0">
      <alignment horizontal="center" wrapText="1"/>
    </xf>
    <xf numFmtId="0" fontId="118" fillId="3" borderId="72" applyAlignment="1" pivotButton="0" quotePrefix="0" xfId="0">
      <alignment horizontal="center" wrapText="1"/>
    </xf>
    <xf numFmtId="4" fontId="54" fillId="3" borderId="71" applyAlignment="1" pivotButton="0" quotePrefix="0" xfId="0">
      <alignment horizontal="center" wrapText="1"/>
    </xf>
    <xf numFmtId="4" fontId="54" fillId="3" borderId="47" applyAlignment="1" pivotButton="0" quotePrefix="0" xfId="0">
      <alignment horizontal="center" wrapText="1"/>
    </xf>
    <xf numFmtId="4" fontId="54" fillId="3" borderId="72" applyAlignment="1" pivotButton="0" quotePrefix="0" xfId="0">
      <alignment horizontal="center" wrapText="1"/>
    </xf>
    <xf numFmtId="9" fontId="54" fillId="3" borderId="71" applyAlignment="1" pivotButton="0" quotePrefix="0" xfId="0">
      <alignment horizontal="center" wrapText="1"/>
    </xf>
    <xf numFmtId="0" fontId="54" fillId="3" borderId="72" applyAlignment="1" pivotButton="0" quotePrefix="0" xfId="0">
      <alignment horizontal="center" wrapText="1"/>
    </xf>
    <xf numFmtId="4" fontId="54" fillId="0" borderId="27" applyAlignment="1" pivotButton="0" quotePrefix="0" xfId="0">
      <alignment horizontal="center" vertical="top" wrapText="1"/>
    </xf>
    <xf numFmtId="3" fontId="11" fillId="0" borderId="27" applyAlignment="1" pivotButton="0" quotePrefix="0" xfId="0">
      <alignment horizontal="center" wrapText="1"/>
    </xf>
    <xf numFmtId="165" fontId="11" fillId="0" borderId="27" applyAlignment="1" pivotButton="0" quotePrefix="0" xfId="0">
      <alignment horizontal="center" wrapText="1"/>
    </xf>
    <xf numFmtId="4" fontId="46" fillId="5" borderId="48" applyAlignment="1" pivotButton="0" quotePrefix="0" xfId="0">
      <alignment horizontal="center" vertical="top" wrapText="1"/>
    </xf>
    <xf numFmtId="4" fontId="46" fillId="5" borderId="48" applyAlignment="1" pivotButton="0" quotePrefix="0" xfId="0">
      <alignment horizontal="center" wrapText="1"/>
    </xf>
    <xf numFmtId="4" fontId="11" fillId="0" borderId="27" applyAlignment="1" pivotButton="0" quotePrefix="0" xfId="0">
      <alignment horizontal="center" vertical="top" wrapText="1"/>
    </xf>
    <xf numFmtId="4" fontId="117" fillId="5" borderId="48" applyAlignment="1" pivotButton="0" quotePrefix="0" xfId="0">
      <alignment horizontal="center" vertical="top" wrapText="1"/>
    </xf>
    <xf numFmtId="0" fontId="117" fillId="5" borderId="48" applyAlignment="1" pivotButton="0" quotePrefix="0" xfId="0">
      <alignment horizontal="center" wrapText="1"/>
    </xf>
    <xf numFmtId="4" fontId="54" fillId="5" borderId="48" applyAlignment="1" pivotButton="0" quotePrefix="0" xfId="0">
      <alignment horizontal="center" vertical="top" wrapText="1"/>
    </xf>
    <xf numFmtId="4" fontId="54" fillId="5" borderId="48" applyAlignment="1" pivotButton="0" quotePrefix="0" xfId="0">
      <alignment horizontal="center" wrapText="1"/>
    </xf>
    <xf numFmtId="9" fontId="54" fillId="5" borderId="48" applyAlignment="1" pivotButton="0" quotePrefix="0" xfId="0">
      <alignment horizontal="center" vertical="top" wrapText="1"/>
    </xf>
    <xf numFmtId="0" fontId="54" fillId="5" borderId="48" applyAlignment="1" pivotButton="0" quotePrefix="0" xfId="0">
      <alignment horizontal="center" wrapText="1"/>
    </xf>
    <xf numFmtId="4" fontId="54" fillId="0" borderId="1" applyAlignment="1" pivotButton="0" quotePrefix="0" xfId="0">
      <alignment horizontal="center" wrapText="1"/>
    </xf>
    <xf numFmtId="165" fontId="54" fillId="0" borderId="1" applyAlignment="1" pivotButton="0" quotePrefix="0" xfId="0">
      <alignment horizontal="center" wrapText="1"/>
    </xf>
    <xf numFmtId="4" fontId="46" fillId="5" borderId="47" applyAlignment="1" pivotButton="0" quotePrefix="0" xfId="0">
      <alignment horizontal="center" wrapText="1"/>
    </xf>
    <xf numFmtId="3" fontId="11" fillId="0" borderId="1" applyAlignment="1" pivotButton="0" quotePrefix="0" xfId="0">
      <alignment horizontal="center" wrapText="1"/>
    </xf>
    <xf numFmtId="4" fontId="117" fillId="5" borderId="47" applyAlignment="1" pivotButton="0" quotePrefix="0" xfId="0">
      <alignment horizontal="center" wrapText="1"/>
    </xf>
    <xf numFmtId="0" fontId="117" fillId="5" borderId="47" applyAlignment="1" pivotButton="0" quotePrefix="0" xfId="0">
      <alignment horizontal="center" wrapText="1"/>
    </xf>
    <xf numFmtId="4" fontId="54" fillId="5" borderId="47" applyAlignment="1" pivotButton="0" quotePrefix="0" xfId="0">
      <alignment horizontal="center" wrapText="1"/>
    </xf>
    <xf numFmtId="9" fontId="54" fillId="5" borderId="47" applyAlignment="1" pivotButton="0" quotePrefix="0" xfId="0">
      <alignment horizontal="center" wrapText="1"/>
    </xf>
    <xf numFmtId="0" fontId="54" fillId="5" borderId="47" applyAlignment="1" pivotButton="0" quotePrefix="0" xfId="0">
      <alignment horizontal="center" wrapText="1"/>
    </xf>
    <xf numFmtId="4" fontId="54" fillId="0" borderId="1" applyAlignment="1" pivotButton="0" quotePrefix="0" xfId="0">
      <alignment horizontal="left" vertical="top"/>
    </xf>
    <xf numFmtId="3" fontId="54" fillId="0" borderId="1" applyAlignment="1" pivotButton="0" quotePrefix="0" xfId="0">
      <alignment horizontal="left" vertical="top"/>
    </xf>
    <xf numFmtId="3" fontId="54" fillId="0" borderId="1" applyAlignment="1" pivotButton="0" quotePrefix="0" xfId="0">
      <alignment horizontal="left" vertical="top" wrapText="1"/>
    </xf>
    <xf numFmtId="4" fontId="119" fillId="0" borderId="1" applyAlignment="1" pivotButton="0" quotePrefix="0" xfId="0">
      <alignment horizontal="center"/>
    </xf>
    <xf numFmtId="3" fontId="119" fillId="0" borderId="66" applyAlignment="1" pivotButton="0" quotePrefix="0" xfId="0">
      <alignment horizontal="center"/>
    </xf>
    <xf numFmtId="3" fontId="117" fillId="0" borderId="6" applyAlignment="1" pivotButton="0" quotePrefix="0" xfId="0">
      <alignment horizontal="right"/>
    </xf>
    <xf numFmtId="3" fontId="115" fillId="0" borderId="1" applyAlignment="1" pivotButton="0" quotePrefix="0" xfId="0">
      <alignment horizontal="left"/>
    </xf>
    <xf numFmtId="0" fontId="54" fillId="0" borderId="1" applyAlignment="1" pivotButton="0" quotePrefix="0" xfId="0">
      <alignment horizontal="justify"/>
    </xf>
    <xf numFmtId="9" fontId="54" fillId="0" borderId="6" applyAlignment="1" pivotButton="0" quotePrefix="0" xfId="0">
      <alignment horizontal="center"/>
    </xf>
    <xf numFmtId="4" fontId="117" fillId="3" borderId="49" applyAlignment="1" pivotButton="0" quotePrefix="0" xfId="0">
      <alignment horizontal="left"/>
    </xf>
    <xf numFmtId="0" fontId="117" fillId="3" borderId="73" applyAlignment="1" pivotButton="0" quotePrefix="0" xfId="0">
      <alignment horizontal="left"/>
    </xf>
    <xf numFmtId="0" fontId="117" fillId="3" borderId="50" applyAlignment="1" pivotButton="0" quotePrefix="0" xfId="0">
      <alignment horizontal="left"/>
    </xf>
    <xf numFmtId="4" fontId="115" fillId="3" borderId="6" applyAlignment="1" pivotButton="0" quotePrefix="0" xfId="0">
      <alignment horizontal="right"/>
    </xf>
    <xf numFmtId="4" fontId="120" fillId="6" borderId="6" applyAlignment="1" pivotButton="0" quotePrefix="0" xfId="0">
      <alignment horizontal="left"/>
    </xf>
    <xf numFmtId="3" fontId="120" fillId="6" borderId="6" applyAlignment="1" pivotButton="0" quotePrefix="0" xfId="0">
      <alignment horizontal="left"/>
    </xf>
    <xf numFmtId="3" fontId="117" fillId="3" borderId="6" applyAlignment="1" pivotButton="0" quotePrefix="0" xfId="0">
      <alignment horizontal="left"/>
    </xf>
    <xf numFmtId="4" fontId="117" fillId="3" borderId="6" applyAlignment="1" pivotButton="0" quotePrefix="0" xfId="0">
      <alignment horizontal="right"/>
    </xf>
    <xf numFmtId="4" fontId="117" fillId="0" borderId="6" applyAlignment="1" pivotButton="0" quotePrefix="0" xfId="0">
      <alignment horizontal="right"/>
    </xf>
    <xf numFmtId="4" fontId="111" fillId="0" borderId="1" applyAlignment="1" pivotButton="0" quotePrefix="0" xfId="0">
      <alignment horizontal="right"/>
    </xf>
    <xf numFmtId="4" fontId="54" fillId="0" borderId="1" applyAlignment="1" pivotButton="0" quotePrefix="0" xfId="0">
      <alignment horizontal="justify"/>
    </xf>
    <xf numFmtId="3" fontId="54" fillId="0" borderId="1" applyAlignment="1" pivotButton="0" quotePrefix="0" xfId="0">
      <alignment horizontal="justify"/>
    </xf>
    <xf numFmtId="165" fontId="54" fillId="0" borderId="1" applyAlignment="1" pivotButton="0" quotePrefix="0" xfId="0">
      <alignment horizontal="justify"/>
    </xf>
    <xf numFmtId="9" fontId="46" fillId="0" borderId="1" applyAlignment="1" pivotButton="0" quotePrefix="0" xfId="0">
      <alignment horizontal="left"/>
    </xf>
    <xf numFmtId="4" fontId="115" fillId="0" borderId="6" applyAlignment="1" pivotButton="0" quotePrefix="0" xfId="0">
      <alignment horizontal="center"/>
    </xf>
    <xf numFmtId="3" fontId="115" fillId="0" borderId="6" applyAlignment="1" pivotButton="0" quotePrefix="0" xfId="0">
      <alignment horizontal="center"/>
    </xf>
    <xf numFmtId="4" fontId="52" fillId="0" borderId="6" applyAlignment="1" pivotButton="0" quotePrefix="0" xfId="0">
      <alignment horizontal="center"/>
    </xf>
    <xf numFmtId="4" fontId="116" fillId="0" borderId="1" applyAlignment="1" pivotButton="0" quotePrefix="0" xfId="0">
      <alignment horizontal="left"/>
    </xf>
    <xf numFmtId="3" fontId="117" fillId="0" borderId="6" applyAlignment="1" pivotButton="0" quotePrefix="0" xfId="0">
      <alignment horizontal="center"/>
    </xf>
    <xf numFmtId="3" fontId="117" fillId="3" borderId="47" applyAlignment="1" pivotButton="0" quotePrefix="0" xfId="0">
      <alignment horizontal="center"/>
    </xf>
    <xf numFmtId="4" fontId="117" fillId="3" borderId="47" applyAlignment="1" pivotButton="0" quotePrefix="0" xfId="0">
      <alignment horizontal="center"/>
    </xf>
    <xf numFmtId="0" fontId="117" fillId="3" borderId="47" applyAlignment="1" pivotButton="0" quotePrefix="0" xfId="0">
      <alignment horizontal="center"/>
    </xf>
    <xf numFmtId="4" fontId="54" fillId="0" borderId="6" applyAlignment="1" pivotButton="0" quotePrefix="0" xfId="0">
      <alignment horizontal="center" vertical="top" wrapText="1"/>
    </xf>
    <xf numFmtId="0" fontId="54" fillId="0" borderId="6" applyAlignment="1" pivotButton="0" quotePrefix="0" xfId="0">
      <alignment horizontal="center" vertical="top" wrapText="1"/>
    </xf>
    <xf numFmtId="165" fontId="54" fillId="0" borderId="6" applyAlignment="1" pivotButton="0" quotePrefix="0" xfId="0">
      <alignment horizontal="center" vertical="top" wrapText="1"/>
    </xf>
    <xf numFmtId="9" fontId="54" fillId="0" borderId="6" applyAlignment="1" pivotButton="0" quotePrefix="0" xfId="0">
      <alignment horizontal="center" vertical="top" wrapText="1"/>
    </xf>
    <xf numFmtId="4" fontId="54" fillId="0" borderId="6" applyAlignment="1" pivotButton="0" quotePrefix="0" xfId="0">
      <alignment horizontal="center" vertical="top"/>
    </xf>
    <xf numFmtId="9" fontId="54" fillId="0" borderId="6" applyAlignment="1" pivotButton="0" quotePrefix="0" xfId="0">
      <alignment horizontal="center" wrapText="1"/>
    </xf>
    <xf numFmtId="14" fontId="121" fillId="3" borderId="6" applyAlignment="1" pivotButton="0" quotePrefix="0" xfId="0">
      <alignment horizontal="center"/>
    </xf>
    <xf numFmtId="4" fontId="117" fillId="3" borderId="6" applyAlignment="1" pivotButton="0" quotePrefix="0" xfId="0">
      <alignment horizontal="center"/>
    </xf>
    <xf numFmtId="3" fontId="117" fillId="3" borderId="6" applyAlignment="1" pivotButton="0" quotePrefix="0" xfId="0">
      <alignment horizontal="center"/>
    </xf>
    <xf numFmtId="4" fontId="54" fillId="3" borderId="6" applyAlignment="1" pivotButton="0" quotePrefix="0" xfId="0">
      <alignment horizontal="center"/>
    </xf>
    <xf numFmtId="0" fontId="54" fillId="3" borderId="6" applyAlignment="1" pivotButton="0" quotePrefix="0" xfId="0">
      <alignment horizontal="center"/>
    </xf>
    <xf numFmtId="9" fontId="54" fillId="3" borderId="6" applyAlignment="1" pivotButton="0" quotePrefix="0" xfId="0">
      <alignment horizontal="center"/>
    </xf>
    <xf numFmtId="0" fontId="117" fillId="3" borderId="6" applyAlignment="1" pivotButton="0" quotePrefix="0" xfId="0">
      <alignment horizontal="center"/>
    </xf>
    <xf numFmtId="165" fontId="117" fillId="3" borderId="6" applyAlignment="1" pivotButton="0" quotePrefix="0" xfId="0">
      <alignment horizontal="center"/>
    </xf>
    <xf numFmtId="9" fontId="117" fillId="3" borderId="6" applyAlignment="1" pivotButton="0" quotePrefix="0" xfId="0">
      <alignment horizontal="center"/>
    </xf>
    <xf numFmtId="3" fontId="122" fillId="0" borderId="1" applyAlignment="1" pivotButton="0" quotePrefix="0" xfId="0">
      <alignment horizontal="left"/>
    </xf>
    <xf numFmtId="3" fontId="117" fillId="0" borderId="1" applyAlignment="1" pivotButton="0" quotePrefix="0" xfId="0">
      <alignment horizontal="left"/>
    </xf>
    <xf numFmtId="4" fontId="117" fillId="0" borderId="1" applyAlignment="1" pivotButton="0" quotePrefix="0" xfId="0">
      <alignment horizontal="left"/>
    </xf>
    <xf numFmtId="0" fontId="117" fillId="0" borderId="1" applyAlignment="1" pivotButton="0" quotePrefix="0" xfId="0">
      <alignment horizontal="left"/>
    </xf>
    <xf numFmtId="9" fontId="117" fillId="0" borderId="1" applyAlignment="1" pivotButton="0" quotePrefix="0" xfId="0">
      <alignment horizontal="left"/>
    </xf>
    <xf numFmtId="4" fontId="54" fillId="0" borderId="66" applyAlignment="1" pivotButton="0" quotePrefix="0" xfId="0">
      <alignment horizontal="left"/>
    </xf>
    <xf numFmtId="0" fontId="54" fillId="0" borderId="62" applyAlignment="1" pivotButton="0" quotePrefix="0" xfId="0">
      <alignment horizontal="left"/>
    </xf>
    <xf numFmtId="4" fontId="54" fillId="0" borderId="62" applyAlignment="1" pivotButton="0" quotePrefix="0" xfId="0">
      <alignment horizontal="left"/>
    </xf>
    <xf numFmtId="3" fontId="54" fillId="0" borderId="62" applyAlignment="1" pivotButton="0" quotePrefix="0" xfId="0">
      <alignment horizontal="left"/>
    </xf>
    <xf numFmtId="165" fontId="54" fillId="0" borderId="62" applyAlignment="1" pivotButton="0" quotePrefix="0" xfId="0">
      <alignment horizontal="left"/>
    </xf>
    <xf numFmtId="4" fontId="54" fillId="0" borderId="64" applyAlignment="1" pivotButton="0" quotePrefix="0" xfId="0">
      <alignment horizontal="left"/>
    </xf>
    <xf numFmtId="4" fontId="117" fillId="0" borderId="6" applyAlignment="1" pivotButton="0" quotePrefix="0" xfId="0">
      <alignment horizontal="center"/>
    </xf>
    <xf numFmtId="0" fontId="117" fillId="0" borderId="6" applyAlignment="1" pivotButton="0" quotePrefix="0" xfId="0">
      <alignment horizontal="center"/>
    </xf>
    <xf numFmtId="165" fontId="117" fillId="0" borderId="6" applyAlignment="1" pivotButton="0" quotePrefix="0" xfId="0">
      <alignment horizontal="center"/>
    </xf>
    <xf numFmtId="4" fontId="65" fillId="0" borderId="6" applyAlignment="1" pivotButton="0" quotePrefix="0" xfId="0">
      <alignment horizontal="center"/>
    </xf>
    <xf numFmtId="0" fontId="65" fillId="0" borderId="6" applyAlignment="1" pivotButton="0" quotePrefix="0" xfId="0">
      <alignment horizontal="center"/>
    </xf>
    <xf numFmtId="9" fontId="65" fillId="0" borderId="6" applyAlignment="1" pivotButton="0" quotePrefix="0" xfId="0">
      <alignment horizontal="center"/>
    </xf>
    <xf numFmtId="0" fontId="53" fillId="0" borderId="1" applyAlignment="1" pivotButton="0" quotePrefix="0" xfId="0">
      <alignment horizontal="justify"/>
    </xf>
    <xf numFmtId="3" fontId="54" fillId="0" borderId="17" applyAlignment="1" pivotButton="0" quotePrefix="0" xfId="0">
      <alignment horizontal="left" vertical="top"/>
    </xf>
    <xf numFmtId="4" fontId="73" fillId="0" borderId="1" applyAlignment="1" pivotButton="0" quotePrefix="0" xfId="0">
      <alignment horizontal="left"/>
    </xf>
    <xf numFmtId="0" fontId="73" fillId="0" borderId="1" applyAlignment="1" pivotButton="0" quotePrefix="0" xfId="0">
      <alignment horizontal="left"/>
    </xf>
    <xf numFmtId="3" fontId="73" fillId="0" borderId="1" applyAlignment="1" pivotButton="0" quotePrefix="0" xfId="0">
      <alignment horizontal="left"/>
    </xf>
    <xf numFmtId="165" fontId="73" fillId="0" borderId="1" applyAlignment="1" pivotButton="0" quotePrefix="0" xfId="0">
      <alignment horizontal="left"/>
    </xf>
    <xf numFmtId="3" fontId="46" fillId="0" borderId="1" applyAlignment="1" pivotButton="0" quotePrefix="0" xfId="0">
      <alignment horizontal="right"/>
    </xf>
    <xf numFmtId="0" fontId="54" fillId="0" borderId="66" applyAlignment="1" pivotButton="0" quotePrefix="0" xfId="0">
      <alignment horizontal="left"/>
    </xf>
    <xf numFmtId="4" fontId="54" fillId="0" borderId="74" applyAlignment="1" pivotButton="0" quotePrefix="0" xfId="0">
      <alignment horizontal="center"/>
    </xf>
    <xf numFmtId="0" fontId="54" fillId="0" borderId="74" applyAlignment="1" pivotButton="0" quotePrefix="0" xfId="0">
      <alignment horizontal="center"/>
    </xf>
    <xf numFmtId="3" fontId="54" fillId="0" borderId="74" applyAlignment="1" pivotButton="0" quotePrefix="0" xfId="0">
      <alignment horizontal="center"/>
    </xf>
    <xf numFmtId="165" fontId="54" fillId="0" borderId="74" applyAlignment="1" pivotButton="0" quotePrefix="0" xfId="0">
      <alignment horizontal="center"/>
    </xf>
    <xf numFmtId="9" fontId="54" fillId="0" borderId="74" applyAlignment="1" pivotButton="0" quotePrefix="0" xfId="0">
      <alignment horizontal="center"/>
    </xf>
    <xf numFmtId="3" fontId="54" fillId="0" borderId="1" applyAlignment="1" pivotButton="0" quotePrefix="0" xfId="0">
      <alignment horizontal="center" vertical="top"/>
    </xf>
    <xf numFmtId="4" fontId="46" fillId="0" borderId="1" applyAlignment="1" pivotButton="0" quotePrefix="0" xfId="0">
      <alignment horizontal="center"/>
    </xf>
    <xf numFmtId="9" fontId="46" fillId="0" borderId="1" applyAlignment="1" pivotButton="0" quotePrefix="0" xfId="0">
      <alignment horizontal="center"/>
    </xf>
    <xf numFmtId="3" fontId="11" fillId="0" borderId="19" applyAlignment="1" pivotButton="0" quotePrefix="0" xfId="0">
      <alignment horizontal="left"/>
    </xf>
    <xf numFmtId="165" fontId="11" fillId="0" borderId="20" applyAlignment="1" pivotButton="0" quotePrefix="0" xfId="0">
      <alignment horizontal="left"/>
    </xf>
    <xf numFmtId="0" fontId="54" fillId="0" borderId="6" applyAlignment="1" pivotButton="0" quotePrefix="0" xfId="0">
      <alignment horizontal="left"/>
    </xf>
    <xf numFmtId="4" fontId="54" fillId="0" borderId="6" applyAlignment="1" pivotButton="0" quotePrefix="0" xfId="0">
      <alignment horizontal="left"/>
    </xf>
    <xf numFmtId="3" fontId="54" fillId="0" borderId="6" applyAlignment="1" pivotButton="0" quotePrefix="0" xfId="0">
      <alignment horizontal="left"/>
    </xf>
    <xf numFmtId="165" fontId="54" fillId="0" borderId="6" applyAlignment="1" pivotButton="0" quotePrefix="0" xfId="0">
      <alignment horizontal="left"/>
    </xf>
    <xf numFmtId="165" fontId="11" fillId="0" borderId="1" applyAlignment="1" pivotButton="0" quotePrefix="0" xfId="0">
      <alignment horizontal="left"/>
    </xf>
    <xf numFmtId="0" fontId="53" fillId="0" borderId="66" applyAlignment="1" pivotButton="0" quotePrefix="0" xfId="0">
      <alignment horizontal="left"/>
    </xf>
    <xf numFmtId="0" fontId="54" fillId="0" borderId="19" applyAlignment="1" pivotButton="0" quotePrefix="0" xfId="0">
      <alignment horizontal="center"/>
    </xf>
    <xf numFmtId="3" fontId="54" fillId="0" borderId="19" applyAlignment="1" pivotButton="0" quotePrefix="0" xfId="0">
      <alignment horizontal="center"/>
    </xf>
    <xf numFmtId="165" fontId="54" fillId="0" borderId="19" applyAlignment="1" pivotButton="0" quotePrefix="0" xfId="0">
      <alignment horizontal="center"/>
    </xf>
    <xf numFmtId="4" fontId="53" fillId="0" borderId="6" applyAlignment="1" pivotButton="0" quotePrefix="0" xfId="0">
      <alignment horizontal="right"/>
    </xf>
    <xf numFmtId="3" fontId="53" fillId="0" borderId="6" applyAlignment="1" pivotButton="0" quotePrefix="0" xfId="0">
      <alignment horizontal="right"/>
    </xf>
    <xf numFmtId="4" fontId="53" fillId="0" borderId="6" applyAlignment="1" pivotButton="0" quotePrefix="0" xfId="0">
      <alignment horizontal="center"/>
    </xf>
    <xf numFmtId="0" fontId="53" fillId="0" borderId="6" applyAlignment="1" pivotButton="0" quotePrefix="0" xfId="0">
      <alignment horizontal="center"/>
    </xf>
    <xf numFmtId="0" fontId="123" fillId="3" borderId="6" applyAlignment="1" pivotButton="0" quotePrefix="0" xfId="0">
      <alignment horizontal="center"/>
    </xf>
    <xf numFmtId="4" fontId="123" fillId="3" borderId="6" applyAlignment="1" pivotButton="0" quotePrefix="0" xfId="0">
      <alignment horizontal="center"/>
    </xf>
    <xf numFmtId="9" fontId="53" fillId="0" borderId="6" applyAlignment="1" pivotButton="0" quotePrefix="0" xfId="0">
      <alignment horizontal="center"/>
    </xf>
    <xf numFmtId="4" fontId="54" fillId="0" borderId="6" applyAlignment="1" pivotButton="0" quotePrefix="0" xfId="0">
      <alignment horizontal="right"/>
    </xf>
    <xf numFmtId="3" fontId="54" fillId="0" borderId="6" applyAlignment="1" pivotButton="0" quotePrefix="0" xfId="0">
      <alignment horizontal="right"/>
    </xf>
    <xf numFmtId="0" fontId="53" fillId="3" borderId="49" applyAlignment="1" pivotButton="0" quotePrefix="0" xfId="0">
      <alignment horizontal="center"/>
    </xf>
    <xf numFmtId="4" fontId="53" fillId="3" borderId="73" applyAlignment="1" pivotButton="0" quotePrefix="0" xfId="0">
      <alignment horizontal="center"/>
    </xf>
    <xf numFmtId="4" fontId="53" fillId="3" borderId="50" applyAlignment="1" pivotButton="0" quotePrefix="0" xfId="0">
      <alignment horizontal="center"/>
    </xf>
    <xf numFmtId="0" fontId="53" fillId="3" borderId="6" applyAlignment="1" pivotButton="0" quotePrefix="0" xfId="0">
      <alignment horizontal="center"/>
    </xf>
    <xf numFmtId="4" fontId="53" fillId="3" borderId="6" applyAlignment="1" pivotButton="0" quotePrefix="0" xfId="0">
      <alignment horizontal="center"/>
    </xf>
    <xf numFmtId="4" fontId="46" fillId="0" borderId="6" applyAlignment="1" pivotButton="0" quotePrefix="0" xfId="0">
      <alignment horizontal="center" wrapText="1"/>
    </xf>
    <xf numFmtId="3" fontId="46" fillId="0" borderId="6" applyAlignment="1" pivotButton="0" quotePrefix="0" xfId="0">
      <alignment horizontal="center" wrapText="1"/>
    </xf>
    <xf numFmtId="9" fontId="124" fillId="0" borderId="6" applyAlignment="1" pivotButton="0" quotePrefix="0" xfId="0">
      <alignment horizontal="center"/>
    </xf>
    <xf numFmtId="0" fontId="124" fillId="0" borderId="6" applyAlignment="1" pivotButton="0" quotePrefix="0" xfId="0">
      <alignment horizontal="center"/>
    </xf>
    <xf numFmtId="4" fontId="53" fillId="0" borderId="1" applyAlignment="1" pivotButton="0" quotePrefix="0" xfId="0">
      <alignment horizontal="left"/>
    </xf>
    <xf numFmtId="165" fontId="53" fillId="0" borderId="1" applyAlignment="1" pivotButton="0" quotePrefix="0" xfId="0">
      <alignment horizontal="left"/>
    </xf>
    <xf numFmtId="3" fontId="125" fillId="3" borderId="47" applyAlignment="1" pivotButton="0" quotePrefix="0" xfId="0">
      <alignment horizontal="left" wrapText="1"/>
    </xf>
    <xf numFmtId="4" fontId="117" fillId="3" borderId="47" applyAlignment="1" pivotButton="0" quotePrefix="0" xfId="0">
      <alignment horizontal="left" wrapText="1"/>
    </xf>
    <xf numFmtId="0" fontId="117" fillId="3" borderId="47" applyAlignment="1" pivotButton="0" quotePrefix="0" xfId="0">
      <alignment horizontal="left" wrapText="1"/>
    </xf>
    <xf numFmtId="9" fontId="117" fillId="3" borderId="47" applyAlignment="1" pivotButton="0" quotePrefix="0" xfId="0">
      <alignment horizontal="left" wrapText="1"/>
    </xf>
    <xf numFmtId="4" fontId="53" fillId="0" borderId="1" applyAlignment="1" pivotButton="0" quotePrefix="0" xfId="0">
      <alignment horizontal="justify"/>
    </xf>
    <xf numFmtId="3" fontId="53" fillId="0" borderId="1" applyAlignment="1" pivotButton="0" quotePrefix="0" xfId="0">
      <alignment horizontal="justify"/>
    </xf>
    <xf numFmtId="165" fontId="53" fillId="0" borderId="1" applyAlignment="1" pivotButton="0" quotePrefix="0" xfId="0">
      <alignment horizontal="justify"/>
    </xf>
    <xf numFmtId="9" fontId="54" fillId="0" borderId="1" applyAlignment="1" pivotButton="0" quotePrefix="0" xfId="0">
      <alignment horizontal="justify"/>
    </xf>
    <xf numFmtId="3" fontId="126" fillId="0" borderId="1" applyAlignment="1" pivotButton="0" quotePrefix="0" xfId="0">
      <alignment horizontal="left"/>
    </xf>
    <xf numFmtId="3" fontId="117" fillId="3" borderId="47" applyAlignment="1" pivotButton="0" quotePrefix="0" xfId="0">
      <alignment horizontal="justify"/>
    </xf>
    <xf numFmtId="4" fontId="117" fillId="3" borderId="47" applyAlignment="1" pivotButton="0" quotePrefix="0" xfId="0">
      <alignment horizontal="justify"/>
    </xf>
    <xf numFmtId="0" fontId="117" fillId="3" borderId="47" applyAlignment="1" pivotButton="0" quotePrefix="0" xfId="0">
      <alignment horizontal="justify"/>
    </xf>
    <xf numFmtId="9" fontId="117" fillId="3" borderId="47" applyAlignment="1" pivotButton="0" quotePrefix="0" xfId="0">
      <alignment horizontal="justify"/>
    </xf>
    <xf numFmtId="3" fontId="52" fillId="4" borderId="47" applyAlignment="1" pivotButton="0" quotePrefix="0" xfId="0">
      <alignment horizontal="justify"/>
    </xf>
    <xf numFmtId="1" fontId="52" fillId="4" borderId="47" applyAlignment="1" pivotButton="0" quotePrefix="0" xfId="0">
      <alignment horizontal="justify"/>
    </xf>
    <xf numFmtId="3" fontId="54" fillId="3" borderId="47" applyAlignment="1" pivotButton="0" quotePrefix="0" xfId="0">
      <alignment horizontal="justify"/>
    </xf>
    <xf numFmtId="4" fontId="54" fillId="3" borderId="47" applyAlignment="1" pivotButton="0" quotePrefix="0" xfId="0">
      <alignment horizontal="justify"/>
    </xf>
    <xf numFmtId="0" fontId="54" fillId="3" borderId="47" applyAlignment="1" pivotButton="0" quotePrefix="0" xfId="0">
      <alignment horizontal="justify"/>
    </xf>
    <xf numFmtId="9" fontId="54" fillId="3" borderId="47" applyAlignment="1" pivotButton="0" quotePrefix="0" xfId="0">
      <alignment horizontal="justify"/>
    </xf>
    <xf numFmtId="3" fontId="118" fillId="3" borderId="47" applyAlignment="1" pivotButton="0" quotePrefix="0" xfId="0">
      <alignment horizontal="justify"/>
    </xf>
    <xf numFmtId="4" fontId="118" fillId="3" borderId="47" applyAlignment="1" pivotButton="0" quotePrefix="0" xfId="0">
      <alignment horizontal="justify"/>
    </xf>
    <xf numFmtId="0" fontId="118" fillId="3" borderId="47" applyAlignment="1" pivotButton="0" quotePrefix="0" xfId="0">
      <alignment horizontal="justify"/>
    </xf>
    <xf numFmtId="9" fontId="118" fillId="3" borderId="47" applyAlignment="1" pivotButton="0" quotePrefix="0" xfId="0">
      <alignment horizontal="justify"/>
    </xf>
    <xf numFmtId="0" fontId="53" fillId="0" borderId="1" applyAlignment="1" pivotButton="0" quotePrefix="0" xfId="0">
      <alignment horizontal="justify"/>
    </xf>
    <xf numFmtId="0" fontId="54" fillId="0" borderId="66" applyAlignment="1" pivotButton="0" quotePrefix="0" xfId="0">
      <alignment horizontal="left" vertical="top"/>
    </xf>
    <xf numFmtId="4" fontId="11" fillId="0" borderId="6" applyAlignment="1" pivotButton="0" quotePrefix="0" xfId="0">
      <alignment horizontal="center" vertical="top" wrapText="1"/>
    </xf>
    <xf numFmtId="4" fontId="11" fillId="0" borderId="6" applyAlignment="1" pivotButton="0" quotePrefix="0" xfId="0">
      <alignment horizontal="center" wrapText="1"/>
    </xf>
    <xf numFmtId="165" fontId="11" fillId="0" borderId="6" applyAlignment="1" pivotButton="0" quotePrefix="0" xfId="0">
      <alignment horizontal="center" vertical="top" wrapText="1"/>
    </xf>
    <xf numFmtId="4" fontId="11" fillId="0" borderId="6" applyAlignment="1" pivotButton="0" quotePrefix="0" xfId="0">
      <alignment horizontal="center" vertical="top"/>
    </xf>
    <xf numFmtId="165" fontId="11" fillId="0" borderId="6" applyAlignment="1" pivotButton="0" quotePrefix="0" xfId="0">
      <alignment horizontal="center" wrapText="1"/>
    </xf>
    <xf numFmtId="4" fontId="127" fillId="0" borderId="6" applyAlignment="1" pivotButton="0" quotePrefix="0" xfId="0">
      <alignment horizontal="center"/>
    </xf>
    <xf numFmtId="4" fontId="46" fillId="0" borderId="18" applyAlignment="1" pivotButton="0" quotePrefix="0" xfId="0">
      <alignment horizontal="left" wrapText="1"/>
    </xf>
    <xf numFmtId="0" fontId="46" fillId="0" borderId="19" applyAlignment="1" pivotButton="0" quotePrefix="0" xfId="0">
      <alignment horizontal="left" wrapText="1"/>
    </xf>
    <xf numFmtId="4" fontId="46" fillId="0" borderId="19" applyAlignment="1" pivotButton="0" quotePrefix="0" xfId="0">
      <alignment horizontal="left" wrapText="1"/>
    </xf>
    <xf numFmtId="3" fontId="46" fillId="0" borderId="20" applyAlignment="1" pivotButton="0" quotePrefix="0" xfId="0">
      <alignment horizontal="left" wrapText="1"/>
    </xf>
    <xf numFmtId="165" fontId="6" fillId="0" borderId="6" applyAlignment="1" pivotButton="0" quotePrefix="0" xfId="0">
      <alignment horizontal="left"/>
    </xf>
    <xf numFmtId="4" fontId="46" fillId="0" borderId="18" applyAlignment="1" pivotButton="0" quotePrefix="0" xfId="0">
      <alignment horizontal="center" wrapText="1"/>
    </xf>
    <xf numFmtId="4" fontId="46" fillId="0" borderId="19" applyAlignment="1" pivotButton="0" quotePrefix="0" xfId="0">
      <alignment horizontal="center" wrapText="1"/>
    </xf>
    <xf numFmtId="4" fontId="46" fillId="0" borderId="20" applyAlignment="1" pivotButton="0" quotePrefix="0" xfId="0">
      <alignment horizontal="center" wrapText="1"/>
    </xf>
    <xf numFmtId="4" fontId="46" fillId="0" borderId="6" applyAlignment="1" pivotButton="0" quotePrefix="0" xfId="0">
      <alignment horizontal="right"/>
    </xf>
    <xf numFmtId="4" fontId="11" fillId="0" borderId="6" applyAlignment="1" pivotButton="0" quotePrefix="0" xfId="0">
      <alignment horizontal="left"/>
    </xf>
    <xf numFmtId="4" fontId="47" fillId="0" borderId="63" applyAlignment="1" pivotButton="0" quotePrefix="0" xfId="0">
      <alignment horizontal="center" vertical="top"/>
    </xf>
    <xf numFmtId="4" fontId="47" fillId="0" borderId="27" applyAlignment="1" pivotButton="0" quotePrefix="0" xfId="0">
      <alignment horizontal="center"/>
    </xf>
    <xf numFmtId="4" fontId="47" fillId="0" borderId="67" applyAlignment="1" pivotButton="0" quotePrefix="0" xfId="0">
      <alignment horizontal="center"/>
    </xf>
    <xf numFmtId="9" fontId="11" fillId="0" borderId="63" applyAlignment="1" pivotButton="0" quotePrefix="0" xfId="0">
      <alignment horizontal="center" vertical="top"/>
    </xf>
    <xf numFmtId="164" fontId="11" fillId="0" borderId="67" applyAlignment="1" pivotButton="0" quotePrefix="0" xfId="0">
      <alignment horizontal="center"/>
    </xf>
    <xf numFmtId="3" fontId="120" fillId="0" borderId="1" applyAlignment="1" pivotButton="0" quotePrefix="0" xfId="0">
      <alignment horizontal="left"/>
    </xf>
    <xf numFmtId="3" fontId="46" fillId="0" borderId="18" applyAlignment="1" pivotButton="0" quotePrefix="0" xfId="0">
      <alignment horizontal="center" wrapText="1"/>
    </xf>
    <xf numFmtId="3" fontId="46" fillId="0" borderId="19" applyAlignment="1" pivotButton="0" quotePrefix="0" xfId="0">
      <alignment horizontal="center" wrapText="1"/>
    </xf>
    <xf numFmtId="3" fontId="46" fillId="0" borderId="20" applyAlignment="1" pivotButton="0" quotePrefix="0" xfId="0">
      <alignment horizontal="center" wrapText="1"/>
    </xf>
    <xf numFmtId="3" fontId="46" fillId="0" borderId="6" applyAlignment="1" pivotButton="0" quotePrefix="0" xfId="0">
      <alignment horizontal="right"/>
    </xf>
    <xf numFmtId="3" fontId="11" fillId="0" borderId="6" applyAlignment="1" pivotButton="0" quotePrefix="0" xfId="0">
      <alignment horizontal="left"/>
    </xf>
    <xf numFmtId="4" fontId="47" fillId="0" borderId="64" applyAlignment="1" pivotButton="0" quotePrefix="0" xfId="0">
      <alignment horizontal="center"/>
    </xf>
    <xf numFmtId="4" fontId="47" fillId="0" borderId="1" applyAlignment="1" pivotButton="0" quotePrefix="0" xfId="0">
      <alignment horizontal="center"/>
    </xf>
    <xf numFmtId="4" fontId="47" fillId="0" borderId="66" applyAlignment="1" pivotButton="0" quotePrefix="0" xfId="0">
      <alignment horizontal="center"/>
    </xf>
    <xf numFmtId="164" fontId="11" fillId="0" borderId="64" applyAlignment="1" pivotButton="0" quotePrefix="0" xfId="0">
      <alignment horizontal="center"/>
    </xf>
    <xf numFmtId="164" fontId="11" fillId="0" borderId="66" applyAlignment="1" pivotButton="0" quotePrefix="0" xfId="0">
      <alignment horizontal="center"/>
    </xf>
    <xf numFmtId="3" fontId="116" fillId="0" borderId="1" applyAlignment="1" pivotButton="0" quotePrefix="0" xfId="0">
      <alignment horizontal="left"/>
    </xf>
    <xf numFmtId="4" fontId="11" fillId="0" borderId="18" applyAlignment="1" pivotButton="0" quotePrefix="0" xfId="0">
      <alignment horizontal="left"/>
    </xf>
    <xf numFmtId="4" fontId="11" fillId="0" borderId="20" applyAlignment="1" pivotButton="0" quotePrefix="0" xfId="0">
      <alignment horizontal="left"/>
    </xf>
    <xf numFmtId="3" fontId="46" fillId="0" borderId="18" applyAlignment="1" pivotButton="0" quotePrefix="0" xfId="0">
      <alignment horizontal="right"/>
    </xf>
    <xf numFmtId="3" fontId="46" fillId="0" borderId="19" applyAlignment="1" pivotButton="0" quotePrefix="0" xfId="0">
      <alignment horizontal="right"/>
    </xf>
    <xf numFmtId="3" fontId="46" fillId="0" borderId="20" applyAlignment="1" pivotButton="0" quotePrefix="0" xfId="0">
      <alignment horizontal="right"/>
    </xf>
    <xf numFmtId="4" fontId="11" fillId="0" borderId="18" applyAlignment="1" pivotButton="0" quotePrefix="0" xfId="0">
      <alignment horizontal="center"/>
    </xf>
    <xf numFmtId="4" fontId="11" fillId="0" borderId="20" applyAlignment="1" pivotButton="0" quotePrefix="0" xfId="0">
      <alignment horizontal="center"/>
    </xf>
    <xf numFmtId="3" fontId="11" fillId="0" borderId="18" applyAlignment="1" pivotButton="0" quotePrefix="0" xfId="0">
      <alignment horizontal="left"/>
    </xf>
    <xf numFmtId="3" fontId="11" fillId="0" borderId="20" applyAlignment="1" pivotButton="0" quotePrefix="0" xfId="0">
      <alignment horizontal="left"/>
    </xf>
    <xf numFmtId="165" fontId="6" fillId="0" borderId="6" applyAlignment="1" pivotButton="0" quotePrefix="0" xfId="0">
      <alignment horizontal="center"/>
    </xf>
    <xf numFmtId="4" fontId="54" fillId="0" borderId="18" applyAlignment="1" pivotButton="0" quotePrefix="0" xfId="0">
      <alignment horizontal="center"/>
    </xf>
    <xf numFmtId="4" fontId="54" fillId="0" borderId="20" applyAlignment="1" pivotButton="0" quotePrefix="0" xfId="0">
      <alignment horizontal="center"/>
    </xf>
    <xf numFmtId="4" fontId="46" fillId="0" borderId="6" applyAlignment="1" pivotButton="0" quotePrefix="0" xfId="0">
      <alignment horizontal="center"/>
    </xf>
    <xf numFmtId="4" fontId="47" fillId="0" borderId="6" applyAlignment="1" pivotButton="0" quotePrefix="0" xfId="0">
      <alignment horizontal="center"/>
    </xf>
    <xf numFmtId="9" fontId="54" fillId="0" borderId="18" applyAlignment="1" pivotButton="0" quotePrefix="0" xfId="0">
      <alignment horizontal="center"/>
    </xf>
    <xf numFmtId="4" fontId="53" fillId="0" borderId="1" applyAlignment="1" pivotButton="0" quotePrefix="0" xfId="0">
      <alignment horizontal="center"/>
    </xf>
    <xf numFmtId="3" fontId="6" fillId="0" borderId="1" applyAlignment="1" pivotButton="0" quotePrefix="0" xfId="0">
      <alignment horizontal="center"/>
    </xf>
    <xf numFmtId="3" fontId="62" fillId="0" borderId="1" applyAlignment="1" pivotButton="0" quotePrefix="0" xfId="0">
      <alignment horizontal="center"/>
    </xf>
    <xf numFmtId="4" fontId="62" fillId="0" borderId="1" applyAlignment="1" pivotButton="0" quotePrefix="0" xfId="0">
      <alignment horizontal="center"/>
    </xf>
    <xf numFmtId="9" fontId="53" fillId="0" borderId="1" applyAlignment="1" pivotButton="0" quotePrefix="0" xfId="0">
      <alignment horizontal="center"/>
    </xf>
    <xf numFmtId="165" fontId="54" fillId="0" borderId="17" applyAlignment="1" pivotButton="0" quotePrefix="0" xfId="0">
      <alignment horizontal="center"/>
    </xf>
    <xf numFmtId="4" fontId="53" fillId="0" borderId="74" applyAlignment="1" pivotButton="0" quotePrefix="0" xfId="0">
      <alignment horizontal="center"/>
    </xf>
    <xf numFmtId="0" fontId="53" fillId="0" borderId="74" applyAlignment="1" pivotButton="0" quotePrefix="0" xfId="0">
      <alignment horizontal="center"/>
    </xf>
    <xf numFmtId="3" fontId="53" fillId="0" borderId="74" applyAlignment="1" pivotButton="0" quotePrefix="0" xfId="0">
      <alignment horizontal="center"/>
    </xf>
    <xf numFmtId="165" fontId="53" fillId="0" borderId="74" applyAlignment="1" pivotButton="0" quotePrefix="0" xfId="0">
      <alignment horizontal="center"/>
    </xf>
    <xf numFmtId="9" fontId="53" fillId="0" borderId="74" applyAlignment="1" pivotButton="0" quotePrefix="0" xfId="0">
      <alignment horizontal="center"/>
    </xf>
    <xf numFmtId="3" fontId="54" fillId="4" borderId="6" applyAlignment="1" pivotButton="0" quotePrefix="0" xfId="0">
      <alignment horizontal="center"/>
    </xf>
    <xf numFmtId="3" fontId="118" fillId="3" borderId="6" applyAlignment="1" pivotButton="0" quotePrefix="0" xfId="0">
      <alignment horizontal="center"/>
    </xf>
    <xf numFmtId="3" fontId="54" fillId="3" borderId="6" applyAlignment="1" pivotButton="0" quotePrefix="0" xfId="0">
      <alignment horizontal="center"/>
    </xf>
    <xf numFmtId="4" fontId="54" fillId="0" borderId="18" applyAlignment="1" pivotButton="0" quotePrefix="0" xfId="0">
      <alignment horizontal="left"/>
    </xf>
    <xf numFmtId="0" fontId="54" fillId="0" borderId="19" applyAlignment="1" pivotButton="0" quotePrefix="0" xfId="0">
      <alignment horizontal="left"/>
    </xf>
    <xf numFmtId="4" fontId="54" fillId="0" borderId="19" applyAlignment="1" pivotButton="0" quotePrefix="0" xfId="0">
      <alignment horizontal="left"/>
    </xf>
    <xf numFmtId="3" fontId="54" fillId="0" borderId="19" applyAlignment="1" pivotButton="0" quotePrefix="0" xfId="0">
      <alignment horizontal="left"/>
    </xf>
    <xf numFmtId="165" fontId="54" fillId="0" borderId="19" applyAlignment="1" pivotButton="0" quotePrefix="0" xfId="0">
      <alignment horizontal="left"/>
    </xf>
    <xf numFmtId="4" fontId="54" fillId="0" borderId="20" applyAlignment="1" pivotButton="0" quotePrefix="0" xfId="0">
      <alignment horizontal="left"/>
    </xf>
    <xf numFmtId="4" fontId="53" fillId="0" borderId="18" applyAlignment="1" pivotButton="0" quotePrefix="0" xfId="0">
      <alignment horizontal="left"/>
    </xf>
    <xf numFmtId="4" fontId="53" fillId="0" borderId="19" applyAlignment="1" pivotButton="0" quotePrefix="0" xfId="0">
      <alignment horizontal="left"/>
    </xf>
    <xf numFmtId="3" fontId="53" fillId="0" borderId="19" applyAlignment="1" pivotButton="0" quotePrefix="0" xfId="0">
      <alignment horizontal="left"/>
    </xf>
    <xf numFmtId="165" fontId="53" fillId="0" borderId="19" applyAlignment="1" pivotButton="0" quotePrefix="0" xfId="0">
      <alignment horizontal="left"/>
    </xf>
    <xf numFmtId="4" fontId="53" fillId="0" borderId="20" applyAlignment="1" pivotButton="0" quotePrefix="0" xfId="0">
      <alignment horizontal="left"/>
    </xf>
    <xf numFmtId="164" fontId="53" fillId="0" borderId="6" applyAlignment="1" pivotButton="0" quotePrefix="0" xfId="0">
      <alignment horizontal="center"/>
    </xf>
    <xf numFmtId="3" fontId="53" fillId="0" borderId="6" applyAlignment="1" pivotButton="0" quotePrefix="0" xfId="0">
      <alignment horizontal="center"/>
    </xf>
    <xf numFmtId="164" fontId="54" fillId="0" borderId="6" applyAlignment="1" pivotButton="0" quotePrefix="0" xfId="0">
      <alignment horizontal="center"/>
    </xf>
    <xf numFmtId="0" fontId="11" fillId="0" borderId="1" applyAlignment="1" pivotButton="0" quotePrefix="0" xfId="0">
      <alignment horizontal="justify" vertical="top"/>
    </xf>
    <xf numFmtId="4" fontId="66" fillId="0" borderId="1" applyAlignment="1" pivotButton="0" quotePrefix="0" xfId="0">
      <alignment horizontal="justify"/>
    </xf>
    <xf numFmtId="0" fontId="66" fillId="0" borderId="1" applyAlignment="1" pivotButton="0" quotePrefix="0" xfId="0">
      <alignment horizontal="justify"/>
    </xf>
    <xf numFmtId="3" fontId="66" fillId="0" borderId="1" applyAlignment="1" pivotButton="0" quotePrefix="0" xfId="0">
      <alignment horizontal="justify"/>
    </xf>
    <xf numFmtId="165" fontId="66" fillId="0" borderId="1" applyAlignment="1" pivotButton="0" quotePrefix="0" xfId="0">
      <alignment horizontal="justify"/>
    </xf>
    <xf numFmtId="9" fontId="66" fillId="0" borderId="1" applyAlignment="1" pivotButton="0" quotePrefix="0" xfId="0">
      <alignment horizontal="justify"/>
    </xf>
    <xf numFmtId="9" fontId="54" fillId="0" borderId="27" applyAlignment="1" pivotButton="0" quotePrefix="0" xfId="0">
      <alignment horizontal="center"/>
    </xf>
    <xf numFmtId="3" fontId="57" fillId="0" borderId="1" applyAlignment="1" pivotButton="0" quotePrefix="0" xfId="0">
      <alignment horizontal="center"/>
    </xf>
    <xf numFmtId="9" fontId="57" fillId="0" borderId="1" applyAlignment="1" pivotButton="0" quotePrefix="0" xfId="0">
      <alignment horizontal="center"/>
    </xf>
    <xf numFmtId="0" fontId="54" fillId="0" borderId="1" applyAlignment="1" pivotButton="0" quotePrefix="0" xfId="0">
      <alignment horizontal="justify" vertical="top" wrapText="1"/>
    </xf>
    <xf numFmtId="4" fontId="54" fillId="0" borderId="1" applyAlignment="1" pivotButton="0" quotePrefix="0" xfId="0">
      <alignment horizontal="justify" wrapText="1"/>
    </xf>
    <xf numFmtId="0" fontId="54" fillId="0" borderId="1" applyAlignment="1" pivotButton="0" quotePrefix="0" xfId="0">
      <alignment horizontal="justify" wrapText="1"/>
    </xf>
    <xf numFmtId="3" fontId="54" fillId="0" borderId="1" applyAlignment="1" pivotButton="0" quotePrefix="0" xfId="0">
      <alignment horizontal="justify" wrapText="1"/>
    </xf>
    <xf numFmtId="165" fontId="54" fillId="0" borderId="1" applyAlignment="1" pivotButton="0" quotePrefix="0" xfId="0">
      <alignment horizontal="justify" wrapText="1"/>
    </xf>
    <xf numFmtId="9" fontId="54" fillId="0" borderId="1" applyAlignment="1" pivotButton="0" quotePrefix="0" xfId="0">
      <alignment horizontal="justify" wrapText="1"/>
    </xf>
    <xf numFmtId="0" fontId="114" fillId="0" borderId="1" applyAlignment="1" pivotButton="0" quotePrefix="0" xfId="0">
      <alignment horizontal="left"/>
    </xf>
    <xf numFmtId="0" fontId="128" fillId="0" borderId="1" applyAlignment="1" pivotButton="0" quotePrefix="0" xfId="0">
      <alignment horizontal="left"/>
    </xf>
    <xf numFmtId="9" fontId="0" fillId="0" borderId="0" applyAlignment="1" pivotButton="0" quotePrefix="0" xfId="0">
      <alignment horizontal="general"/>
    </xf>
    <xf numFmtId="168" fontId="0" fillId="0" borderId="0" applyAlignment="1" pivotButton="0" quotePrefix="0" xfId="0">
      <alignment horizontal="center"/>
    </xf>
    <xf numFmtId="3" fontId="0" fillId="0" borderId="0" applyAlignment="1" pivotButton="0" quotePrefix="0" xfId="0">
      <alignment horizontal="center"/>
    </xf>
    <xf numFmtId="168" fontId="18" fillId="0" borderId="1" applyAlignment="1" pivotButton="0" quotePrefix="0" xfId="0">
      <alignment horizontal="center"/>
    </xf>
    <xf numFmtId="164" fontId="18" fillId="0" borderId="1" applyAlignment="1" pivotButton="0" quotePrefix="0" xfId="0">
      <alignment horizontal="center"/>
    </xf>
    <xf numFmtId="168" fontId="90" fillId="0" borderId="1" applyAlignment="1" pivotButton="0" quotePrefix="0" xfId="0">
      <alignment horizontal="center" wrapText="1"/>
    </xf>
    <xf numFmtId="0" fontId="90" fillId="0" borderId="1" applyAlignment="1" pivotButton="0" quotePrefix="0" xfId="0">
      <alignment horizontal="left" wrapText="1"/>
    </xf>
    <xf numFmtId="164" fontId="80" fillId="0" borderId="1" applyAlignment="1" pivotButton="0" quotePrefix="0" xfId="0">
      <alignment horizontal="center" wrapText="1"/>
    </xf>
    <xf numFmtId="0" fontId="80" fillId="0" borderId="1" applyAlignment="1" pivotButton="0" quotePrefix="0" xfId="0">
      <alignment horizontal="center" wrapText="1"/>
    </xf>
    <xf numFmtId="0" fontId="129" fillId="0" borderId="1" applyAlignment="1" pivotButton="0" quotePrefix="0" xfId="0">
      <alignment horizontal="center" vertical="top" wrapText="1"/>
    </xf>
    <xf numFmtId="0" fontId="129" fillId="0" borderId="1" applyAlignment="1" pivotButton="0" quotePrefix="0" xfId="0">
      <alignment horizontal="center" wrapText="1"/>
    </xf>
    <xf numFmtId="168" fontId="129" fillId="0" borderId="1" applyAlignment="1" pivotButton="0" quotePrefix="0" xfId="0">
      <alignment horizontal="center" wrapText="1"/>
    </xf>
    <xf numFmtId="3" fontId="129" fillId="0" borderId="1" applyAlignment="1" pivotButton="0" quotePrefix="0" xfId="0">
      <alignment horizontal="center" wrapText="1"/>
    </xf>
    <xf numFmtId="164" fontId="44" fillId="0" borderId="1" applyAlignment="1" pivotButton="0" quotePrefix="0" xfId="0">
      <alignment horizontal="center" wrapText="1"/>
    </xf>
    <xf numFmtId="0" fontId="44" fillId="0" borderId="1" applyAlignment="1" pivotButton="0" quotePrefix="0" xfId="0">
      <alignment horizontal="center" wrapText="1"/>
    </xf>
    <xf numFmtId="3" fontId="111" fillId="0" borderId="1" applyAlignment="1" pivotButton="0" quotePrefix="0" xfId="0">
      <alignment horizontal="center" wrapText="1"/>
    </xf>
    <xf numFmtId="0" fontId="87" fillId="0" borderId="25" applyAlignment="1" pivotButton="0" quotePrefix="0" xfId="0">
      <alignment horizontal="left" wrapText="1"/>
    </xf>
    <xf numFmtId="0" fontId="111" fillId="0" borderId="25" applyAlignment="1" pivotButton="0" quotePrefix="0" xfId="0">
      <alignment horizontal="left" wrapText="1"/>
    </xf>
    <xf numFmtId="0" fontId="18" fillId="0" borderId="25" applyAlignment="1" pivotButton="0" quotePrefix="0" xfId="0">
      <alignment horizontal="left" wrapText="1"/>
    </xf>
    <xf numFmtId="0" fontId="111" fillId="0" borderId="25" applyAlignment="1" pivotButton="0" quotePrefix="0" xfId="0">
      <alignment horizontal="left"/>
    </xf>
    <xf numFmtId="0" fontId="44" fillId="0" borderId="25" applyAlignment="1" pivotButton="0" quotePrefix="0" xfId="0">
      <alignment horizontal="left" wrapText="1"/>
    </xf>
    <xf numFmtId="0" fontId="129" fillId="0" borderId="25" applyAlignment="1" pivotButton="0" quotePrefix="0" xfId="0">
      <alignment horizontal="center" wrapText="1"/>
    </xf>
    <xf numFmtId="168" fontId="129" fillId="0" borderId="25" applyAlignment="1" pivotButton="0" quotePrefix="0" xfId="0">
      <alignment horizontal="center" wrapText="1"/>
    </xf>
    <xf numFmtId="3" fontId="129" fillId="0" borderId="25" applyAlignment="1" pivotButton="0" quotePrefix="0" xfId="0">
      <alignment horizontal="center" wrapText="1"/>
    </xf>
    <xf numFmtId="164" fontId="111" fillId="0" borderId="25" applyAlignment="1" pivotButton="0" quotePrefix="0" xfId="0">
      <alignment horizontal="center"/>
    </xf>
    <xf numFmtId="0" fontId="111" fillId="0" borderId="25" applyAlignment="1" pivotButton="0" quotePrefix="0" xfId="0">
      <alignment horizontal="center"/>
    </xf>
    <xf numFmtId="3" fontId="111" fillId="0" borderId="25" applyAlignment="1" pivotButton="0" quotePrefix="0" xfId="0">
      <alignment horizontal="center"/>
    </xf>
    <xf numFmtId="0" fontId="18" fillId="0" borderId="12" applyAlignment="1" pivotButton="0" quotePrefix="0" xfId="0">
      <alignment horizontal="center" vertical="top"/>
    </xf>
    <xf numFmtId="0" fontId="18" fillId="0" borderId="12" applyAlignment="1" pivotButton="0" quotePrefix="0" xfId="0">
      <alignment horizontal="center"/>
    </xf>
    <xf numFmtId="168" fontId="18" fillId="0" borderId="12" applyAlignment="1" pivotButton="0" quotePrefix="0" xfId="0">
      <alignment horizontal="center"/>
    </xf>
    <xf numFmtId="3" fontId="18" fillId="0" borderId="12" applyAlignment="1" pivotButton="0" quotePrefix="0" xfId="0">
      <alignment horizontal="center"/>
    </xf>
    <xf numFmtId="164" fontId="18" fillId="0" borderId="12" applyAlignment="1" pivotButton="0" quotePrefix="0" xfId="0">
      <alignment horizontal="center"/>
    </xf>
    <xf numFmtId="168" fontId="54" fillId="0" borderId="1" applyAlignment="1" pivotButton="0" quotePrefix="0" xfId="0">
      <alignment horizontal="center"/>
    </xf>
    <xf numFmtId="164" fontId="54" fillId="0" borderId="1" applyAlignment="1" pivotButton="0" quotePrefix="0" xfId="0">
      <alignment horizontal="center"/>
    </xf>
    <xf numFmtId="0" fontId="130" fillId="0" borderId="1" applyAlignment="1" pivotButton="0" quotePrefix="0" xfId="0">
      <alignment horizontal="left"/>
    </xf>
    <xf numFmtId="0" fontId="54" fillId="0" borderId="63" applyAlignment="1" pivotButton="0" quotePrefix="0" xfId="0">
      <alignment horizontal="left" vertical="top" wrapText="1"/>
    </xf>
    <xf numFmtId="0" fontId="54" fillId="0" borderId="63" applyAlignment="1" pivotButton="0" quotePrefix="0" xfId="0">
      <alignment horizontal="center" vertical="top" wrapText="1"/>
    </xf>
    <xf numFmtId="0" fontId="54" fillId="0" borderId="27" applyAlignment="1" pivotButton="0" quotePrefix="0" xfId="0">
      <alignment horizontal="left"/>
    </xf>
    <xf numFmtId="0" fontId="111" fillId="0" borderId="27" applyAlignment="1" pivotButton="0" quotePrefix="0" xfId="0">
      <alignment horizontal="left"/>
    </xf>
    <xf numFmtId="168" fontId="54" fillId="0" borderId="27" applyAlignment="1" pivotButton="0" quotePrefix="0" xfId="0">
      <alignment horizontal="left"/>
    </xf>
    <xf numFmtId="3" fontId="54" fillId="0" borderId="67" applyAlignment="1" pivotButton="0" quotePrefix="0" xfId="0">
      <alignment horizontal="left"/>
    </xf>
    <xf numFmtId="3" fontId="131" fillId="0" borderId="1" applyAlignment="1" pivotButton="0" quotePrefix="0" xfId="0">
      <alignment horizontal="left"/>
    </xf>
    <xf numFmtId="0" fontId="111" fillId="0" borderId="1" applyAlignment="1" pivotButton="0" quotePrefix="0" xfId="0">
      <alignment horizontal="left"/>
    </xf>
    <xf numFmtId="168" fontId="111" fillId="0" borderId="1" applyAlignment="1" pivotButton="0" quotePrefix="0" xfId="0">
      <alignment horizontal="left"/>
    </xf>
    <xf numFmtId="0" fontId="54" fillId="0" borderId="64" applyAlignment="1" pivotButton="0" quotePrefix="0" xfId="0">
      <alignment horizontal="left" wrapText="1"/>
    </xf>
    <xf numFmtId="0" fontId="54" fillId="0" borderId="64" applyAlignment="1" pivotButton="0" quotePrefix="0" xfId="0">
      <alignment horizontal="center" wrapText="1"/>
    </xf>
    <xf numFmtId="168" fontId="54" fillId="0" borderId="1" applyAlignment="1" pivotButton="0" quotePrefix="0" xfId="0">
      <alignment horizontal="left"/>
    </xf>
    <xf numFmtId="3" fontId="54" fillId="0" borderId="66" applyAlignment="1" pivotButton="0" quotePrefix="0" xfId="0">
      <alignment horizontal="left"/>
    </xf>
    <xf numFmtId="0" fontId="124" fillId="0" borderId="64" applyAlignment="1" pivotButton="0" quotePrefix="0" xfId="0">
      <alignment horizontal="left"/>
    </xf>
    <xf numFmtId="0" fontId="54" fillId="0" borderId="64" applyAlignment="1" pivotButton="0" quotePrefix="0" xfId="0">
      <alignment horizontal="left" vertical="top" wrapText="1"/>
    </xf>
    <xf numFmtId="0" fontId="54" fillId="0" borderId="1" applyAlignment="1" pivotButton="0" quotePrefix="0" xfId="0">
      <alignment horizontal="center" vertical="top" wrapText="1"/>
    </xf>
    <xf numFmtId="168" fontId="54" fillId="0" borderId="1" applyAlignment="1" pivotButton="0" quotePrefix="0" xfId="0">
      <alignment horizontal="left" wrapText="1"/>
    </xf>
    <xf numFmtId="164" fontId="54" fillId="0" borderId="1" applyAlignment="1" pivotButton="0" quotePrefix="0" xfId="0">
      <alignment horizontal="left" wrapText="1"/>
    </xf>
    <xf numFmtId="0" fontId="54" fillId="0" borderId="66" applyAlignment="1" pivotButton="0" quotePrefix="0" xfId="0">
      <alignment horizontal="left" wrapText="1"/>
    </xf>
    <xf numFmtId="0" fontId="124" fillId="0" borderId="65" applyAlignment="1" pivotButton="0" quotePrefix="0" xfId="0">
      <alignment horizontal="left"/>
    </xf>
    <xf numFmtId="0" fontId="54" fillId="0" borderId="65" applyAlignment="1" pivotButton="0" quotePrefix="0" xfId="0">
      <alignment horizontal="left" wrapText="1"/>
    </xf>
    <xf numFmtId="0" fontId="54" fillId="0" borderId="17" applyAlignment="1" pivotButton="0" quotePrefix="0" xfId="0">
      <alignment horizontal="center" wrapText="1"/>
    </xf>
    <xf numFmtId="0" fontId="111" fillId="0" borderId="17" applyAlignment="1" pivotButton="0" quotePrefix="0" xfId="0">
      <alignment horizontal="center"/>
    </xf>
    <xf numFmtId="0" fontId="54" fillId="0" borderId="17" applyAlignment="1" pivotButton="0" quotePrefix="0" xfId="0">
      <alignment horizontal="left"/>
    </xf>
    <xf numFmtId="168" fontId="54" fillId="0" borderId="17" applyAlignment="1" pivotButton="0" quotePrefix="0" xfId="0">
      <alignment horizontal="left"/>
    </xf>
    <xf numFmtId="0" fontId="54" fillId="0" borderId="17" applyAlignment="1" pivotButton="0" quotePrefix="0" xfId="0">
      <alignment horizontal="left" wrapText="1"/>
    </xf>
    <xf numFmtId="0" fontId="54" fillId="0" borderId="17" applyAlignment="1" pivotButton="0" quotePrefix="0" xfId="0">
      <alignment horizontal="left" wrapText="1"/>
    </xf>
    <xf numFmtId="168" fontId="54" fillId="0" borderId="17" applyAlignment="1" pivotButton="0" quotePrefix="0" xfId="0">
      <alignment horizontal="left" wrapText="1"/>
    </xf>
    <xf numFmtId="3" fontId="54" fillId="0" borderId="17" applyAlignment="1" pivotButton="0" quotePrefix="0" xfId="0">
      <alignment horizontal="left" wrapText="1"/>
    </xf>
    <xf numFmtId="164" fontId="54" fillId="0" borderId="17" applyAlignment="1" pivotButton="0" quotePrefix="0" xfId="0">
      <alignment horizontal="left" wrapText="1"/>
    </xf>
    <xf numFmtId="0" fontId="54" fillId="0" borderId="68" applyAlignment="1" pivotButton="0" quotePrefix="0" xfId="0">
      <alignment horizontal="left" wrapText="1"/>
    </xf>
    <xf numFmtId="0" fontId="54" fillId="0" borderId="18" applyAlignment="1" pivotButton="0" quotePrefix="0" xfId="0">
      <alignment horizontal="left" wrapText="1"/>
    </xf>
    <xf numFmtId="0" fontId="54" fillId="0" borderId="19" applyAlignment="1" pivotButton="0" quotePrefix="0" xfId="0">
      <alignment horizontal="left" wrapText="1"/>
    </xf>
    <xf numFmtId="0" fontId="54" fillId="0" borderId="20" applyAlignment="1" pivotButton="0" quotePrefix="0" xfId="0">
      <alignment horizontal="left" wrapText="1"/>
    </xf>
    <xf numFmtId="168" fontId="54" fillId="0" borderId="74" applyAlignment="1" pivotButton="0" quotePrefix="0" xfId="0">
      <alignment horizontal="center" wrapText="1"/>
    </xf>
    <xf numFmtId="0" fontId="54" fillId="0" borderId="18" applyAlignment="1" pivotButton="0" quotePrefix="0" xfId="0">
      <alignment horizontal="center" wrapText="1"/>
    </xf>
    <xf numFmtId="168" fontId="54" fillId="0" borderId="19" applyAlignment="1" pivotButton="0" quotePrefix="0" xfId="0">
      <alignment horizontal="center" wrapText="1"/>
    </xf>
    <xf numFmtId="3" fontId="54" fillId="0" borderId="19" applyAlignment="1" pivotButton="0" quotePrefix="0" xfId="0">
      <alignment horizontal="center" wrapText="1"/>
    </xf>
    <xf numFmtId="164" fontId="54" fillId="0" borderId="19" applyAlignment="1" pivotButton="0" quotePrefix="0" xfId="0">
      <alignment horizontal="center" wrapText="1"/>
    </xf>
    <xf numFmtId="168" fontId="0" fillId="0" borderId="0" applyAlignment="1" pivotButton="0" quotePrefix="0" xfId="0">
      <alignment horizontal="general" wrapText="1"/>
    </xf>
    <xf numFmtId="0" fontId="54" fillId="0" borderId="18" applyAlignment="1" pivotButton="0" quotePrefix="0" xfId="0">
      <alignment horizontal="justify" wrapText="1"/>
    </xf>
    <xf numFmtId="0" fontId="54" fillId="0" borderId="19" applyAlignment="1" pivotButton="0" quotePrefix="0" xfId="0">
      <alignment horizontal="justify" wrapText="1"/>
    </xf>
    <xf numFmtId="168" fontId="54" fillId="0" borderId="6" applyAlignment="1" pivotButton="0" quotePrefix="0" xfId="0">
      <alignment horizontal="center" wrapText="1"/>
    </xf>
    <xf numFmtId="0" fontId="7" fillId="4" borderId="49" applyAlignment="1" pivotButton="0" quotePrefix="0" xfId="0">
      <alignment horizontal="center" wrapText="1"/>
    </xf>
    <xf numFmtId="0" fontId="7" fillId="4" borderId="73" applyAlignment="1" pivotButton="0" quotePrefix="0" xfId="0">
      <alignment horizontal="center" wrapText="1"/>
    </xf>
    <xf numFmtId="168" fontId="7" fillId="4" borderId="73" applyAlignment="1" pivotButton="0" quotePrefix="0" xfId="0">
      <alignment horizontal="center" wrapText="1"/>
    </xf>
    <xf numFmtId="3" fontId="7" fillId="4" borderId="73" applyAlignment="1" pivotButton="0" quotePrefix="0" xfId="0">
      <alignment horizontal="center" wrapText="1"/>
    </xf>
    <xf numFmtId="164" fontId="7" fillId="4" borderId="73" applyAlignment="1" pivotButton="0" quotePrefix="0" xfId="0">
      <alignment horizontal="center" wrapText="1"/>
    </xf>
    <xf numFmtId="0" fontId="7" fillId="4" borderId="50" applyAlignment="1" pivotButton="0" quotePrefix="0" xfId="0">
      <alignment horizontal="center" wrapText="1"/>
    </xf>
    <xf numFmtId="168" fontId="54" fillId="0" borderId="19" applyAlignment="1" pivotButton="0" quotePrefix="0" xfId="0">
      <alignment horizontal="left" wrapText="1"/>
    </xf>
    <xf numFmtId="3" fontId="54" fillId="0" borderId="19" applyAlignment="1" pivotButton="0" quotePrefix="0" xfId="0">
      <alignment horizontal="left" wrapText="1"/>
    </xf>
    <xf numFmtId="164" fontId="54" fillId="0" borderId="19" applyAlignment="1" pivotButton="0" quotePrefix="0" xfId="0">
      <alignment horizontal="left" wrapText="1"/>
    </xf>
    <xf numFmtId="0" fontId="73" fillId="7" borderId="75" applyAlignment="1" pivotButton="0" quotePrefix="0" xfId="0">
      <alignment horizontal="center" wrapText="1"/>
    </xf>
    <xf numFmtId="0" fontId="73" fillId="7" borderId="49" applyAlignment="1" pivotButton="0" quotePrefix="0" xfId="0">
      <alignment horizontal="center" wrapText="1"/>
    </xf>
    <xf numFmtId="0" fontId="73" fillId="7" borderId="73" applyAlignment="1" pivotButton="0" quotePrefix="0" xfId="0">
      <alignment horizontal="center" wrapText="1"/>
    </xf>
    <xf numFmtId="0" fontId="73" fillId="7" borderId="50" applyAlignment="1" pivotButton="0" quotePrefix="0" xfId="0">
      <alignment horizontal="center" wrapText="1"/>
    </xf>
    <xf numFmtId="168" fontId="73" fillId="7" borderId="73" applyAlignment="1" pivotButton="0" quotePrefix="0" xfId="0">
      <alignment horizontal="center" wrapText="1"/>
    </xf>
    <xf numFmtId="168" fontId="73" fillId="7" borderId="49" applyAlignment="1" pivotButton="0" quotePrefix="0" xfId="0">
      <alignment horizontal="center" wrapText="1"/>
    </xf>
    <xf numFmtId="3" fontId="73" fillId="7" borderId="73" applyAlignment="1" pivotButton="0" quotePrefix="0" xfId="0">
      <alignment horizontal="center" wrapText="1"/>
    </xf>
    <xf numFmtId="164" fontId="73" fillId="7" borderId="49" applyAlignment="1" pivotButton="0" quotePrefix="0" xfId="0">
      <alignment horizontal="center" wrapText="1"/>
    </xf>
    <xf numFmtId="3" fontId="73" fillId="7" borderId="50" applyAlignment="1" pivotButton="0" quotePrefix="0" xfId="0">
      <alignment horizontal="center" wrapText="1"/>
    </xf>
    <xf numFmtId="0" fontId="73" fillId="7" borderId="69" applyAlignment="1" pivotButton="0" quotePrefix="0" xfId="0">
      <alignment horizontal="center" wrapText="1"/>
    </xf>
    <xf numFmtId="0" fontId="73" fillId="7" borderId="48" applyAlignment="1" pivotButton="0" quotePrefix="0" xfId="0">
      <alignment horizontal="center" wrapText="1"/>
    </xf>
    <xf numFmtId="0" fontId="73" fillId="7" borderId="70" applyAlignment="1" pivotButton="0" quotePrefix="0" xfId="0">
      <alignment horizontal="center" wrapText="1"/>
    </xf>
    <xf numFmtId="3" fontId="132" fillId="0" borderId="1" applyAlignment="1" pivotButton="0" quotePrefix="0" xfId="0">
      <alignment horizontal="left" wrapText="1"/>
    </xf>
    <xf numFmtId="168" fontId="89" fillId="0" borderId="1" applyAlignment="1" pivotButton="0" quotePrefix="0" xfId="0">
      <alignment horizontal="left" wrapText="1"/>
    </xf>
    <xf numFmtId="0" fontId="73" fillId="3" borderId="6" applyAlignment="1" pivotButton="0" quotePrefix="0" xfId="0">
      <alignment horizontal="center" wrapText="1"/>
    </xf>
    <xf numFmtId="0" fontId="73" fillId="3" borderId="6" applyAlignment="1" pivotButton="0" quotePrefix="0" xfId="0">
      <alignment horizontal="center" wrapText="1"/>
    </xf>
    <xf numFmtId="4" fontId="73" fillId="3" borderId="6" applyAlignment="1" pivotButton="0" quotePrefix="0" xfId="0">
      <alignment horizontal="center" wrapText="1"/>
    </xf>
    <xf numFmtId="4" fontId="21" fillId="3" borderId="6" applyAlignment="1" pivotButton="0" quotePrefix="0" xfId="0">
      <alignment horizontal="center" wrapText="1"/>
    </xf>
    <xf numFmtId="168" fontId="46" fillId="3" borderId="6" applyAlignment="1" pivotButton="0" quotePrefix="0" xfId="0">
      <alignment horizontal="center" wrapText="1"/>
    </xf>
    <xf numFmtId="1" fontId="11" fillId="3" borderId="6" applyAlignment="1" pivotButton="0" quotePrefix="0" xfId="0">
      <alignment horizontal="center" wrapText="1"/>
    </xf>
    <xf numFmtId="0" fontId="11" fillId="3" borderId="69" applyAlignment="1" pivotButton="0" quotePrefix="0" xfId="0">
      <alignment horizontal="center" vertical="top" wrapText="1"/>
    </xf>
    <xf numFmtId="0" fontId="11" fillId="3" borderId="48" applyAlignment="1" pivotButton="0" quotePrefix="0" xfId="0">
      <alignment horizontal="center" wrapText="1"/>
    </xf>
    <xf numFmtId="0" fontId="11" fillId="3" borderId="70" applyAlignment="1" pivotButton="0" quotePrefix="0" xfId="0">
      <alignment horizontal="center" wrapText="1"/>
    </xf>
    <xf numFmtId="4" fontId="73" fillId="0" borderId="1" applyAlignment="1" pivotButton="0" quotePrefix="0" xfId="0">
      <alignment horizontal="left" wrapText="1"/>
    </xf>
    <xf numFmtId="1" fontId="73" fillId="0" borderId="1" applyAlignment="1" pivotButton="0" quotePrefix="0" xfId="0">
      <alignment horizontal="center" wrapText="1"/>
    </xf>
    <xf numFmtId="168" fontId="73" fillId="0" borderId="1" applyAlignment="1" pivotButton="0" quotePrefix="0" xfId="0">
      <alignment horizontal="left" wrapText="1"/>
    </xf>
    <xf numFmtId="4" fontId="89" fillId="0" borderId="1" applyAlignment="1" pivotButton="0" quotePrefix="0" xfId="0">
      <alignment horizontal="left" wrapText="1"/>
    </xf>
    <xf numFmtId="0" fontId="11" fillId="3" borderId="76" applyAlignment="1" pivotButton="0" quotePrefix="0" xfId="0">
      <alignment horizontal="center" wrapText="1"/>
    </xf>
    <xf numFmtId="0" fontId="11" fillId="3" borderId="77" applyAlignment="1" pivotButton="0" quotePrefix="0" xfId="0">
      <alignment horizontal="center" wrapText="1"/>
    </xf>
    <xf numFmtId="0" fontId="11" fillId="3" borderId="78" applyAlignment="1" pivotButton="0" quotePrefix="0" xfId="0">
      <alignment horizontal="center" wrapText="1"/>
    </xf>
    <xf numFmtId="0" fontId="54" fillId="0" borderId="27" applyAlignment="1" pivotButton="0" quotePrefix="0" xfId="0">
      <alignment horizontal="left" wrapText="1"/>
    </xf>
    <xf numFmtId="164" fontId="54" fillId="0" borderId="27" applyAlignment="1" pivotButton="0" quotePrefix="0" xfId="0">
      <alignment horizontal="left" wrapText="1"/>
    </xf>
    <xf numFmtId="168" fontId="54" fillId="0" borderId="19" applyAlignment="1" pivotButton="0" quotePrefix="0" xfId="0">
      <alignment horizontal="right" wrapText="1"/>
    </xf>
    <xf numFmtId="0" fontId="46" fillId="0" borderId="1" applyAlignment="1" pivotButton="0" quotePrefix="0" xfId="0">
      <alignment horizontal="center"/>
    </xf>
    <xf numFmtId="0" fontId="54" fillId="0" borderId="63" applyAlignment="1" pivotButton="0" quotePrefix="0" xfId="0">
      <alignment horizontal="center" vertical="top"/>
    </xf>
    <xf numFmtId="0" fontId="54" fillId="4" borderId="69" applyAlignment="1" pivotButton="0" quotePrefix="0" xfId="0">
      <alignment horizontal="left"/>
    </xf>
    <xf numFmtId="0" fontId="54" fillId="4" borderId="48" applyAlignment="1" pivotButton="0" quotePrefix="0" xfId="0">
      <alignment horizontal="left"/>
    </xf>
    <xf numFmtId="168" fontId="54" fillId="4" borderId="48" applyAlignment="1" pivotButton="0" quotePrefix="0" xfId="0">
      <alignment horizontal="left"/>
    </xf>
    <xf numFmtId="3" fontId="54" fillId="4" borderId="48" applyAlignment="1" pivotButton="0" quotePrefix="0" xfId="0">
      <alignment horizontal="left"/>
    </xf>
    <xf numFmtId="164" fontId="54" fillId="4" borderId="48" applyAlignment="1" pivotButton="0" quotePrefix="0" xfId="0">
      <alignment horizontal="left"/>
    </xf>
    <xf numFmtId="0" fontId="54" fillId="4" borderId="70" applyAlignment="1" pivotButton="0" quotePrefix="0" xfId="0">
      <alignment horizontal="left"/>
    </xf>
    <xf numFmtId="0" fontId="54" fillId="0" borderId="64" applyAlignment="1" pivotButton="0" quotePrefix="0" xfId="0">
      <alignment horizontal="center"/>
    </xf>
    <xf numFmtId="0" fontId="54" fillId="4" borderId="71" applyAlignment="1" pivotButton="0" quotePrefix="0" xfId="0">
      <alignment horizontal="center" wrapText="1"/>
    </xf>
    <xf numFmtId="0" fontId="54" fillId="4" borderId="47" applyAlignment="1" pivotButton="0" quotePrefix="0" xfId="0">
      <alignment horizontal="center" wrapText="1"/>
    </xf>
    <xf numFmtId="0" fontId="53" fillId="4" borderId="71" applyAlignment="1" pivotButton="0" quotePrefix="0" xfId="0">
      <alignment horizontal="right"/>
    </xf>
    <xf numFmtId="4" fontId="53" fillId="4" borderId="47" applyAlignment="1" pivotButton="0" quotePrefix="0" xfId="0">
      <alignment horizontal="right"/>
    </xf>
    <xf numFmtId="168" fontId="54" fillId="4" borderId="47" applyAlignment="1" pivotButton="0" quotePrefix="0" xfId="0">
      <alignment horizontal="left" wrapText="1"/>
    </xf>
    <xf numFmtId="3" fontId="54" fillId="4" borderId="47" applyAlignment="1" pivotButton="0" quotePrefix="0" xfId="0">
      <alignment horizontal="left" wrapText="1"/>
    </xf>
    <xf numFmtId="0" fontId="54" fillId="4" borderId="47" applyAlignment="1" pivotButton="0" quotePrefix="0" xfId="0">
      <alignment horizontal="left" wrapText="1"/>
    </xf>
    <xf numFmtId="164" fontId="54" fillId="4" borderId="47" applyAlignment="1" pivotButton="0" quotePrefix="0" xfId="0">
      <alignment horizontal="left" wrapText="1"/>
    </xf>
    <xf numFmtId="0" fontId="54" fillId="4" borderId="72" applyAlignment="1" pivotButton="0" quotePrefix="0" xfId="0">
      <alignment horizontal="left" wrapText="1"/>
    </xf>
    <xf numFmtId="4" fontId="11" fillId="4" borderId="47" applyAlignment="1" pivotButton="0" quotePrefix="0" xfId="0">
      <alignment horizontal="center" wrapText="1"/>
    </xf>
    <xf numFmtId="4" fontId="21" fillId="4" borderId="47" applyAlignment="1" pivotButton="0" quotePrefix="0" xfId="0">
      <alignment horizontal="center" wrapText="1"/>
    </xf>
    <xf numFmtId="1" fontId="73" fillId="4" borderId="47" applyAlignment="1" pivotButton="0" quotePrefix="0" xfId="0">
      <alignment horizontal="center" wrapText="1"/>
    </xf>
    <xf numFmtId="0" fontId="73" fillId="4" borderId="47" applyAlignment="1" pivotButton="0" quotePrefix="0" xfId="0">
      <alignment horizontal="center" wrapText="1"/>
    </xf>
    <xf numFmtId="0" fontId="54" fillId="4" borderId="71" applyAlignment="1" pivotButton="0" quotePrefix="0" xfId="0">
      <alignment horizontal="right"/>
    </xf>
    <xf numFmtId="4" fontId="54" fillId="4" borderId="47" applyAlignment="1" pivotButton="0" quotePrefix="0" xfId="0">
      <alignment horizontal="right"/>
    </xf>
    <xf numFmtId="0" fontId="54" fillId="4" borderId="71" applyAlignment="1" pivotButton="0" quotePrefix="0" xfId="0">
      <alignment horizontal="left" wrapText="1"/>
    </xf>
    <xf numFmtId="4" fontId="11" fillId="4" borderId="47" applyAlignment="1" pivotButton="0" quotePrefix="0" xfId="0">
      <alignment horizontal="left" wrapText="1"/>
    </xf>
    <xf numFmtId="4" fontId="21" fillId="4" borderId="47" applyAlignment="1" pivotButton="0" quotePrefix="0" xfId="0">
      <alignment horizontal="left" wrapText="1"/>
    </xf>
    <xf numFmtId="1" fontId="54" fillId="4" borderId="47" applyAlignment="1" pivotButton="0" quotePrefix="0" xfId="0">
      <alignment horizontal="left" wrapText="1"/>
    </xf>
    <xf numFmtId="0" fontId="54" fillId="4" borderId="76" applyAlignment="1" pivotButton="0" quotePrefix="0" xfId="0">
      <alignment horizontal="left" wrapText="1"/>
    </xf>
    <xf numFmtId="0" fontId="54" fillId="4" borderId="77" applyAlignment="1" pivotButton="0" quotePrefix="0" xfId="0">
      <alignment horizontal="left" wrapText="1"/>
    </xf>
    <xf numFmtId="4" fontId="11" fillId="4" borderId="77" applyAlignment="1" pivotButton="0" quotePrefix="0" xfId="0">
      <alignment horizontal="left" wrapText="1"/>
    </xf>
    <xf numFmtId="4" fontId="21" fillId="4" borderId="77" applyAlignment="1" pivotButton="0" quotePrefix="0" xfId="0">
      <alignment horizontal="left" wrapText="1"/>
    </xf>
    <xf numFmtId="1" fontId="54" fillId="4" borderId="77" applyAlignment="1" pivotButton="0" quotePrefix="0" xfId="0">
      <alignment horizontal="left" wrapText="1"/>
    </xf>
    <xf numFmtId="0" fontId="54" fillId="4" borderId="76" applyAlignment="1" pivotButton="0" quotePrefix="0" xfId="0">
      <alignment horizontal="right"/>
    </xf>
    <xf numFmtId="4" fontId="54" fillId="4" borderId="77" applyAlignment="1" pivotButton="0" quotePrefix="0" xfId="0">
      <alignment horizontal="right"/>
    </xf>
    <xf numFmtId="168" fontId="54" fillId="4" borderId="77" applyAlignment="1" pivotButton="0" quotePrefix="0" xfId="0">
      <alignment horizontal="left" wrapText="1"/>
    </xf>
    <xf numFmtId="3" fontId="54" fillId="4" borderId="77" applyAlignment="1" pivotButton="0" quotePrefix="0" xfId="0">
      <alignment horizontal="left" wrapText="1"/>
    </xf>
    <xf numFmtId="164" fontId="54" fillId="4" borderId="77" applyAlignment="1" pivotButton="0" quotePrefix="0" xfId="0">
      <alignment horizontal="left" wrapText="1"/>
    </xf>
    <xf numFmtId="0" fontId="54" fillId="4" borderId="78" applyAlignment="1" pivotButton="0" quotePrefix="0" xfId="0">
      <alignment horizontal="left" wrapText="1"/>
    </xf>
    <xf numFmtId="168" fontId="54" fillId="0" borderId="19" applyAlignment="1" pivotButton="0" quotePrefix="0" xfId="0">
      <alignment horizontal="center"/>
    </xf>
    <xf numFmtId="164" fontId="54" fillId="0" borderId="20" applyAlignment="1" pivotButton="0" quotePrefix="0" xfId="0">
      <alignment horizontal="center"/>
    </xf>
    <xf numFmtId="0" fontId="54" fillId="3" borderId="49" applyAlignment="1" pivotButton="0" quotePrefix="0" xfId="0">
      <alignment horizontal="left" wrapText="1"/>
    </xf>
    <xf numFmtId="0" fontId="54" fillId="3" borderId="73" applyAlignment="1" pivotButton="0" quotePrefix="0" xfId="0">
      <alignment horizontal="left" wrapText="1"/>
    </xf>
    <xf numFmtId="3" fontId="54" fillId="3" borderId="73" applyAlignment="1" pivotButton="0" quotePrefix="0" xfId="0">
      <alignment horizontal="left" wrapText="1"/>
    </xf>
    <xf numFmtId="0" fontId="54" fillId="3" borderId="50" applyAlignment="1" pivotButton="0" quotePrefix="0" xfId="0">
      <alignment horizontal="left" wrapText="1"/>
    </xf>
    <xf numFmtId="0" fontId="54" fillId="5" borderId="47" applyAlignment="1" pivotButton="0" quotePrefix="0" xfId="0">
      <alignment horizontal="left"/>
    </xf>
    <xf numFmtId="0" fontId="54" fillId="5" borderId="47" applyAlignment="1" pivotButton="0" quotePrefix="0" xfId="0">
      <alignment horizontal="center"/>
    </xf>
    <xf numFmtId="168" fontId="54" fillId="5" borderId="47" applyAlignment="1" pivotButton="0" quotePrefix="0" xfId="0">
      <alignment horizontal="center"/>
    </xf>
    <xf numFmtId="3" fontId="54" fillId="5" borderId="47" applyAlignment="1" pivotButton="0" quotePrefix="0" xfId="0">
      <alignment horizontal="center"/>
    </xf>
    <xf numFmtId="164" fontId="54" fillId="5" borderId="47" applyAlignment="1" pivotButton="0" quotePrefix="0" xfId="0">
      <alignment horizontal="center"/>
    </xf>
    <xf numFmtId="0" fontId="54" fillId="5" borderId="47" applyAlignment="1" pivotButton="0" quotePrefix="0" xfId="0">
      <alignment horizontal="left" wrapText="1"/>
    </xf>
    <xf numFmtId="3" fontId="54" fillId="5" borderId="47" applyAlignment="1" pivotButton="0" quotePrefix="0" xfId="0">
      <alignment horizontal="left" wrapText="1"/>
    </xf>
    <xf numFmtId="3" fontId="131" fillId="5" borderId="47" applyAlignment="1" pivotButton="0" quotePrefix="0" xfId="0">
      <alignment horizontal="left"/>
    </xf>
    <xf numFmtId="0" fontId="54" fillId="0" borderId="18" applyAlignment="1" pivotButton="0" quotePrefix="0" xfId="0">
      <alignment horizontal="left" vertical="top"/>
    </xf>
    <xf numFmtId="164" fontId="54" fillId="0" borderId="67" applyAlignment="1" pivotButton="0" quotePrefix="0" xfId="0">
      <alignment horizontal="left"/>
    </xf>
    <xf numFmtId="0" fontId="54" fillId="3" borderId="69" applyAlignment="1" pivotButton="0" quotePrefix="0" xfId="0">
      <alignment horizontal="center" vertical="top"/>
    </xf>
    <xf numFmtId="0" fontId="54" fillId="3" borderId="48" applyAlignment="1" pivotButton="0" quotePrefix="0" xfId="0">
      <alignment horizontal="center"/>
    </xf>
    <xf numFmtId="3" fontId="54" fillId="3" borderId="48" applyAlignment="1" pivotButton="0" quotePrefix="0" xfId="0">
      <alignment horizontal="center"/>
    </xf>
    <xf numFmtId="0" fontId="54" fillId="3" borderId="70" applyAlignment="1" pivotButton="0" quotePrefix="0" xfId="0">
      <alignment horizontal="center"/>
    </xf>
    <xf numFmtId="164" fontId="54" fillId="0" borderId="66" applyAlignment="1" pivotButton="0" quotePrefix="0" xfId="0">
      <alignment horizontal="left"/>
    </xf>
    <xf numFmtId="0" fontId="54" fillId="3" borderId="71" applyAlignment="1" pivotButton="0" quotePrefix="0" xfId="0">
      <alignment horizontal="center"/>
    </xf>
    <xf numFmtId="3" fontId="54" fillId="3" borderId="47" applyAlignment="1" pivotButton="0" quotePrefix="0" xfId="0">
      <alignment horizontal="center"/>
    </xf>
    <xf numFmtId="0" fontId="54" fillId="3" borderId="72" applyAlignment="1" pivotButton="0" quotePrefix="0" xfId="0">
      <alignment horizontal="center"/>
    </xf>
    <xf numFmtId="3" fontId="54" fillId="0" borderId="17" applyAlignment="1" pivotButton="0" quotePrefix="0" xfId="0">
      <alignment horizontal="left"/>
    </xf>
    <xf numFmtId="164" fontId="54" fillId="0" borderId="68" applyAlignment="1" pivotButton="0" quotePrefix="0" xfId="0">
      <alignment horizontal="left"/>
    </xf>
    <xf numFmtId="0" fontId="54" fillId="3" borderId="76" applyAlignment="1" pivotButton="0" quotePrefix="0" xfId="0">
      <alignment horizontal="center"/>
    </xf>
    <xf numFmtId="0" fontId="54" fillId="3" borderId="77" applyAlignment="1" pivotButton="0" quotePrefix="0" xfId="0">
      <alignment horizontal="center"/>
    </xf>
    <xf numFmtId="3" fontId="54" fillId="3" borderId="77" applyAlignment="1" pivotButton="0" quotePrefix="0" xfId="0">
      <alignment horizontal="center"/>
    </xf>
    <xf numFmtId="0" fontId="54" fillId="3" borderId="78" applyAlignment="1" pivotButton="0" quotePrefix="0" xfId="0">
      <alignment horizontal="center"/>
    </xf>
    <xf numFmtId="0" fontId="54" fillId="0" borderId="63" applyAlignment="1" pivotButton="0" quotePrefix="0" xfId="0">
      <alignment horizontal="left"/>
    </xf>
    <xf numFmtId="0" fontId="54" fillId="0" borderId="65" applyAlignment="1" pivotButton="0" quotePrefix="0" xfId="0">
      <alignment horizontal="left"/>
    </xf>
    <xf numFmtId="0" fontId="54" fillId="0" borderId="6" applyAlignment="1" pivotButton="0" quotePrefix="0" xfId="0">
      <alignment horizontal="left" vertical="top"/>
    </xf>
    <xf numFmtId="0" fontId="54" fillId="0" borderId="6" applyAlignment="1" pivotButton="0" quotePrefix="0" xfId="0">
      <alignment horizontal="left" vertical="top" wrapText="1"/>
    </xf>
    <xf numFmtId="168" fontId="54" fillId="0" borderId="6" applyAlignment="1" pivotButton="0" quotePrefix="0" xfId="0">
      <alignment horizontal="left" wrapText="1"/>
    </xf>
    <xf numFmtId="164" fontId="54" fillId="0" borderId="6" applyAlignment="1" pivotButton="0" quotePrefix="0" xfId="0">
      <alignment horizontal="left" wrapText="1"/>
    </xf>
    <xf numFmtId="168" fontId="54" fillId="0" borderId="6" applyAlignment="1" pivotButton="0" quotePrefix="0" xfId="0">
      <alignment horizontal="left"/>
    </xf>
    <xf numFmtId="164" fontId="54" fillId="0" borderId="6" applyAlignment="1" pivotButton="0" quotePrefix="0" xfId="0">
      <alignment horizontal="left"/>
    </xf>
    <xf numFmtId="0" fontId="54" fillId="3" borderId="49" applyAlignment="1" pivotButton="0" quotePrefix="0" xfId="0">
      <alignment horizontal="center" wrapText="1"/>
    </xf>
    <xf numFmtId="0" fontId="54" fillId="3" borderId="73" applyAlignment="1" pivotButton="0" quotePrefix="0" xfId="0">
      <alignment horizontal="center" wrapText="1"/>
    </xf>
    <xf numFmtId="3" fontId="54" fillId="3" borderId="73" applyAlignment="1" pivotButton="0" quotePrefix="0" xfId="0">
      <alignment horizontal="center" wrapText="1"/>
    </xf>
    <xf numFmtId="0" fontId="54" fillId="3" borderId="50" applyAlignment="1" pivotButton="0" quotePrefix="0" xfId="0">
      <alignment horizontal="center" wrapText="1"/>
    </xf>
    <xf numFmtId="0" fontId="54" fillId="0" borderId="28" applyAlignment="1" pivotButton="0" quotePrefix="0" xfId="0">
      <alignment horizontal="left" wrapText="1"/>
    </xf>
    <xf numFmtId="168" fontId="54" fillId="0" borderId="28" applyAlignment="1" pivotButton="0" quotePrefix="0" xfId="0">
      <alignment horizontal="left" wrapText="1"/>
    </xf>
    <xf numFmtId="3" fontId="54" fillId="0" borderId="28" applyAlignment="1" pivotButton="0" quotePrefix="0" xfId="0">
      <alignment horizontal="left" wrapText="1"/>
    </xf>
    <xf numFmtId="164" fontId="54" fillId="0" borderId="28" applyAlignment="1" pivotButton="0" quotePrefix="0" xfId="0">
      <alignment horizontal="left" wrapText="1"/>
    </xf>
    <xf numFmtId="0" fontId="54" fillId="0" borderId="63" applyAlignment="1" pivotButton="0" quotePrefix="0" xfId="0">
      <alignment horizontal="left" vertical="top"/>
    </xf>
    <xf numFmtId="0" fontId="54" fillId="0" borderId="64" applyAlignment="1" pivotButton="0" quotePrefix="0" xfId="0">
      <alignment horizontal="left"/>
    </xf>
    <xf numFmtId="164" fontId="54" fillId="0" borderId="66" applyAlignment="1" pivotButton="0" quotePrefix="0" xfId="0">
      <alignment horizontal="left" wrapText="1"/>
    </xf>
    <xf numFmtId="0" fontId="54" fillId="0" borderId="66" applyAlignment="1" pivotButton="0" quotePrefix="0" xfId="0">
      <alignment horizontal="center"/>
    </xf>
    <xf numFmtId="164" fontId="54" fillId="0" borderId="68" applyAlignment="1" pivotButton="0" quotePrefix="0" xfId="0">
      <alignment horizontal="left" wrapText="1"/>
    </xf>
    <xf numFmtId="0" fontId="54" fillId="0" borderId="28" applyAlignment="1" pivotButton="0" quotePrefix="0" xfId="0">
      <alignment horizontal="left" vertical="top"/>
    </xf>
    <xf numFmtId="4" fontId="11" fillId="3" borderId="48" applyAlignment="1" pivotButton="0" quotePrefix="0" xfId="0">
      <alignment horizontal="center"/>
    </xf>
    <xf numFmtId="3" fontId="54" fillId="0" borderId="63" applyAlignment="1" pivotButton="0" quotePrefix="0" xfId="0">
      <alignment horizontal="left"/>
    </xf>
    <xf numFmtId="164" fontId="54" fillId="0" borderId="27" applyAlignment="1" pivotButton="0" quotePrefix="0" xfId="0">
      <alignment horizontal="left"/>
    </xf>
    <xf numFmtId="3" fontId="54" fillId="0" borderId="27" applyAlignment="1" pivotButton="0" quotePrefix="0" xfId="0">
      <alignment horizontal="right"/>
    </xf>
    <xf numFmtId="0" fontId="54" fillId="0" borderId="27" applyAlignment="1" pivotButton="0" quotePrefix="0" xfId="0">
      <alignment horizontal="center"/>
    </xf>
    <xf numFmtId="3" fontId="54" fillId="0" borderId="64" applyAlignment="1" pivotButton="0" quotePrefix="0" xfId="0">
      <alignment horizontal="left"/>
    </xf>
    <xf numFmtId="164" fontId="54" fillId="0" borderId="1" applyAlignment="1" pivotButton="0" quotePrefix="0" xfId="0">
      <alignment horizontal="left"/>
    </xf>
    <xf numFmtId="3" fontId="54" fillId="0" borderId="17" applyAlignment="1" pivotButton="0" quotePrefix="0" xfId="0">
      <alignment horizontal="right"/>
    </xf>
    <xf numFmtId="0" fontId="54" fillId="0" borderId="74" applyAlignment="1" pivotButton="0" quotePrefix="0" xfId="0">
      <alignment horizontal="left"/>
    </xf>
    <xf numFmtId="3" fontId="54" fillId="0" borderId="18" applyAlignment="1" pivotButton="0" quotePrefix="0" xfId="0">
      <alignment horizontal="right"/>
    </xf>
    <xf numFmtId="0" fontId="54" fillId="0" borderId="19" applyAlignment="1" pivotButton="0" quotePrefix="0" xfId="0">
      <alignment horizontal="right"/>
    </xf>
    <xf numFmtId="164" fontId="54" fillId="0" borderId="19" applyAlignment="1" pivotButton="0" quotePrefix="0" xfId="0">
      <alignment horizontal="right"/>
    </xf>
    <xf numFmtId="3" fontId="54" fillId="0" borderId="19" applyAlignment="1" pivotButton="0" quotePrefix="0" xfId="0">
      <alignment horizontal="right"/>
    </xf>
    <xf numFmtId="4" fontId="11" fillId="3" borderId="47" applyAlignment="1" pivotButton="0" quotePrefix="0" xfId="0">
      <alignment horizontal="center"/>
    </xf>
    <xf numFmtId="168" fontId="11" fillId="0" borderId="1" applyAlignment="1" pivotButton="0" quotePrefix="0" xfId="0">
      <alignment horizontal="left"/>
    </xf>
    <xf numFmtId="168" fontId="54" fillId="0" borderId="67" applyAlignment="1" pivotButton="0" quotePrefix="0" xfId="0">
      <alignment horizontal="left"/>
    </xf>
    <xf numFmtId="168" fontId="54" fillId="0" borderId="66" applyAlignment="1" pivotButton="0" quotePrefix="0" xfId="0">
      <alignment horizontal="left"/>
    </xf>
    <xf numFmtId="168" fontId="54" fillId="0" borderId="68" applyAlignment="1" pivotButton="0" quotePrefix="0" xfId="0">
      <alignment horizontal="left"/>
    </xf>
    <xf numFmtId="0" fontId="37" fillId="0" borderId="64" applyAlignment="1" pivotButton="0" quotePrefix="0" xfId="0">
      <alignment horizontal="justify"/>
    </xf>
    <xf numFmtId="168" fontId="37" fillId="0" borderId="1" applyAlignment="1" pivotButton="0" quotePrefix="0" xfId="0">
      <alignment horizontal="justify"/>
    </xf>
    <xf numFmtId="168" fontId="37" fillId="0" borderId="66" applyAlignment="1" pivotButton="0" quotePrefix="0" xfId="0">
      <alignment horizontal="justify"/>
    </xf>
    <xf numFmtId="3" fontId="54" fillId="0" borderId="20" applyAlignment="1" pivotButton="0" quotePrefix="0" xfId="0">
      <alignment horizontal="center"/>
    </xf>
    <xf numFmtId="3" fontId="54" fillId="0" borderId="18" applyAlignment="1" pivotButton="0" quotePrefix="0" xfId="0">
      <alignment horizontal="center"/>
    </xf>
    <xf numFmtId="14" fontId="54" fillId="3" borderId="70" applyAlignment="1" pivotButton="0" quotePrefix="0" xfId="0">
      <alignment horizontal="left"/>
    </xf>
    <xf numFmtId="0" fontId="54" fillId="3" borderId="75" applyAlignment="1" pivotButton="0" quotePrefix="0" xfId="0">
      <alignment horizontal="left"/>
    </xf>
    <xf numFmtId="164" fontId="54" fillId="3" borderId="75" applyAlignment="1" pivotButton="0" quotePrefix="0" xfId="0">
      <alignment horizontal="left"/>
    </xf>
    <xf numFmtId="3" fontId="54" fillId="5" borderId="49" applyAlignment="1" pivotButton="0" quotePrefix="0" xfId="0">
      <alignment horizontal="center"/>
    </xf>
    <xf numFmtId="3" fontId="54" fillId="5" borderId="73" applyAlignment="1" pivotButton="0" quotePrefix="0" xfId="0">
      <alignment horizontal="center"/>
    </xf>
    <xf numFmtId="0" fontId="54" fillId="5" borderId="73" applyAlignment="1" pivotButton="0" quotePrefix="0" xfId="0">
      <alignment horizontal="center"/>
    </xf>
    <xf numFmtId="0" fontId="54" fillId="5" borderId="50" applyAlignment="1" pivotButton="0" quotePrefix="0" xfId="0">
      <alignment horizontal="center"/>
    </xf>
    <xf numFmtId="3" fontId="54" fillId="0" borderId="20" applyAlignment="1" pivotButton="0" quotePrefix="0" xfId="0">
      <alignment horizontal="left"/>
    </xf>
    <xf numFmtId="0" fontId="54" fillId="0" borderId="28" applyAlignment="1" pivotButton="0" quotePrefix="0" xfId="0">
      <alignment horizontal="center" vertical="top"/>
    </xf>
    <xf numFmtId="0" fontId="54" fillId="0" borderId="67" applyAlignment="1" pivotButton="0" quotePrefix="0" xfId="0">
      <alignment horizontal="left"/>
    </xf>
    <xf numFmtId="0" fontId="54" fillId="0" borderId="62" applyAlignment="1" pivotButton="0" quotePrefix="0" xfId="0">
      <alignment horizontal="center"/>
    </xf>
    <xf numFmtId="0" fontId="124" fillId="0" borderId="17" applyAlignment="1" pivotButton="0" quotePrefix="0" xfId="0">
      <alignment horizontal="left"/>
    </xf>
    <xf numFmtId="168" fontId="124" fillId="0" borderId="17" applyAlignment="1" pivotButton="0" quotePrefix="0" xfId="0">
      <alignment horizontal="left"/>
    </xf>
    <xf numFmtId="168" fontId="124" fillId="0" borderId="68" applyAlignment="1" pivotButton="0" quotePrefix="0" xfId="0">
      <alignment horizontal="left"/>
    </xf>
    <xf numFmtId="3" fontId="133" fillId="0" borderId="65" applyAlignment="1" pivotButton="0" quotePrefix="0" xfId="0">
      <alignment horizontal="center"/>
    </xf>
    <xf numFmtId="0" fontId="133" fillId="0" borderId="17" applyAlignment="1" pivotButton="0" quotePrefix="0" xfId="0">
      <alignment horizontal="center"/>
    </xf>
    <xf numFmtId="0" fontId="133" fillId="0" borderId="68" applyAlignment="1" pivotButton="0" quotePrefix="0" xfId="0">
      <alignment horizontal="center"/>
    </xf>
    <xf numFmtId="164" fontId="37" fillId="0" borderId="28" applyAlignment="1" pivotButton="0" quotePrefix="0" xfId="0">
      <alignment horizontal="center"/>
    </xf>
    <xf numFmtId="0" fontId="37" fillId="0" borderId="28" applyAlignment="1" pivotButton="0" quotePrefix="0" xfId="0">
      <alignment horizontal="center"/>
    </xf>
    <xf numFmtId="3" fontId="37" fillId="0" borderId="28" applyAlignment="1" pivotButton="0" quotePrefix="0" xfId="0">
      <alignment horizontal="center"/>
    </xf>
    <xf numFmtId="3" fontId="37" fillId="0" borderId="63" applyAlignment="1" pivotButton="0" quotePrefix="0" xfId="0">
      <alignment horizontal="center"/>
    </xf>
    <xf numFmtId="0" fontId="37" fillId="0" borderId="27" applyAlignment="1" pivotButton="0" quotePrefix="0" xfId="0">
      <alignment horizontal="center"/>
    </xf>
    <xf numFmtId="0" fontId="37" fillId="0" borderId="67" applyAlignment="1" pivotButton="0" quotePrefix="0" xfId="0">
      <alignment horizontal="center"/>
    </xf>
    <xf numFmtId="0" fontId="124" fillId="0" borderId="63" applyAlignment="1" pivotButton="0" quotePrefix="0" xfId="0">
      <alignment horizontal="left"/>
    </xf>
    <xf numFmtId="0" fontId="124" fillId="0" borderId="27" applyAlignment="1" pivotButton="0" quotePrefix="0" xfId="0">
      <alignment horizontal="left"/>
    </xf>
    <xf numFmtId="0" fontId="111" fillId="0" borderId="27" applyAlignment="1" pivotButton="0" quotePrefix="0" xfId="0">
      <alignment horizontal="center"/>
    </xf>
    <xf numFmtId="164" fontId="54" fillId="0" borderId="63" applyAlignment="1" pivotButton="0" quotePrefix="0" xfId="0">
      <alignment horizontal="right"/>
    </xf>
    <xf numFmtId="164" fontId="54" fillId="0" borderId="27" applyAlignment="1" pivotButton="0" quotePrefix="0" xfId="0">
      <alignment horizontal="right"/>
    </xf>
    <xf numFmtId="164" fontId="54" fillId="0" borderId="67" applyAlignment="1" pivotButton="0" quotePrefix="0" xfId="0">
      <alignment horizontal="right"/>
    </xf>
    <xf numFmtId="0" fontId="124" fillId="0" borderId="1" applyAlignment="1" pivotButton="0" quotePrefix="0" xfId="0">
      <alignment horizontal="left"/>
    </xf>
    <xf numFmtId="164" fontId="54" fillId="0" borderId="64" applyAlignment="1" pivotButton="0" quotePrefix="0" xfId="0">
      <alignment horizontal="right"/>
    </xf>
    <xf numFmtId="164" fontId="54" fillId="0" borderId="1" applyAlignment="1" pivotButton="0" quotePrefix="0" xfId="0">
      <alignment horizontal="right"/>
    </xf>
    <xf numFmtId="164" fontId="54" fillId="0" borderId="66" applyAlignment="1" pivotButton="0" quotePrefix="0" xfId="0">
      <alignment horizontal="right"/>
    </xf>
    <xf numFmtId="0" fontId="54" fillId="0" borderId="17" applyAlignment="1" pivotButton="0" quotePrefix="0" xfId="0">
      <alignment horizontal="left"/>
    </xf>
    <xf numFmtId="0" fontId="54" fillId="0" borderId="68" applyAlignment="1" pivotButton="0" quotePrefix="0" xfId="0">
      <alignment horizontal="left"/>
    </xf>
    <xf numFmtId="3" fontId="54" fillId="0" borderId="20" applyAlignment="1" pivotButton="0" quotePrefix="0" xfId="0">
      <alignment horizontal="right"/>
    </xf>
    <xf numFmtId="0" fontId="54" fillId="0" borderId="19" applyAlignment="1" pivotButton="0" quotePrefix="0" xfId="0">
      <alignment horizontal="left"/>
    </xf>
    <xf numFmtId="0" fontId="115" fillId="0" borderId="28" applyAlignment="1" pivotButton="0" quotePrefix="0" xfId="0">
      <alignment horizontal="left" vertical="top"/>
    </xf>
    <xf numFmtId="0" fontId="115" fillId="0" borderId="63" applyAlignment="1" pivotButton="0" quotePrefix="0" xfId="0">
      <alignment horizontal="left"/>
    </xf>
    <xf numFmtId="0" fontId="115" fillId="0" borderId="27" applyAlignment="1" pivotButton="0" quotePrefix="0" xfId="0">
      <alignment horizontal="left"/>
    </xf>
    <xf numFmtId="4" fontId="115" fillId="3" borderId="48" applyAlignment="1" pivotButton="0" quotePrefix="0" xfId="0">
      <alignment horizontal="center"/>
    </xf>
    <xf numFmtId="168" fontId="115" fillId="0" borderId="27" applyAlignment="1" pivotButton="0" quotePrefix="0" xfId="0">
      <alignment horizontal="left"/>
    </xf>
    <xf numFmtId="0" fontId="115" fillId="0" borderId="67" applyAlignment="1" pivotButton="0" quotePrefix="0" xfId="0">
      <alignment horizontal="left"/>
    </xf>
    <xf numFmtId="3" fontId="115" fillId="0" borderId="63" applyAlignment="1" pivotButton="0" quotePrefix="0" xfId="0">
      <alignment horizontal="left"/>
    </xf>
    <xf numFmtId="164" fontId="115" fillId="0" borderId="27" applyAlignment="1" pivotButton="0" quotePrefix="0" xfId="0">
      <alignment horizontal="left"/>
    </xf>
    <xf numFmtId="3" fontId="115" fillId="0" borderId="27" applyAlignment="1" pivotButton="0" quotePrefix="0" xfId="0">
      <alignment horizontal="left"/>
    </xf>
    <xf numFmtId="0" fontId="115" fillId="0" borderId="27" applyAlignment="1" pivotButton="0" quotePrefix="0" xfId="0">
      <alignment horizontal="center"/>
    </xf>
    <xf numFmtId="0" fontId="115" fillId="0" borderId="67" applyAlignment="1" pivotButton="0" quotePrefix="0" xfId="0">
      <alignment horizontal="center"/>
    </xf>
    <xf numFmtId="0" fontId="115" fillId="0" borderId="62" applyAlignment="1" pivotButton="0" quotePrefix="0" xfId="0">
      <alignment horizontal="left"/>
    </xf>
    <xf numFmtId="0" fontId="134" fillId="0" borderId="64" applyAlignment="1" pivotButton="0" quotePrefix="0" xfId="0">
      <alignment horizontal="left"/>
    </xf>
    <xf numFmtId="0" fontId="115" fillId="0" borderId="1" applyAlignment="1" pivotButton="0" quotePrefix="0" xfId="0">
      <alignment horizontal="left"/>
    </xf>
    <xf numFmtId="168" fontId="115" fillId="0" borderId="1" applyAlignment="1" pivotButton="0" quotePrefix="0" xfId="0">
      <alignment horizontal="left"/>
    </xf>
    <xf numFmtId="168" fontId="115" fillId="0" borderId="66" applyAlignment="1" pivotButton="0" quotePrefix="0" xfId="0">
      <alignment horizontal="left"/>
    </xf>
    <xf numFmtId="3" fontId="115" fillId="0" borderId="64" applyAlignment="1" pivotButton="0" quotePrefix="0" xfId="0">
      <alignment horizontal="left"/>
    </xf>
    <xf numFmtId="164" fontId="115" fillId="0" borderId="1" applyAlignment="1" pivotButton="0" quotePrefix="0" xfId="0">
      <alignment horizontal="left"/>
    </xf>
    <xf numFmtId="3" fontId="115" fillId="0" borderId="1" applyAlignment="1" pivotButton="0" quotePrefix="0" xfId="0">
      <alignment horizontal="right"/>
    </xf>
    <xf numFmtId="0" fontId="115" fillId="0" borderId="1" applyAlignment="1" pivotButton="0" quotePrefix="0" xfId="0">
      <alignment horizontal="center"/>
    </xf>
    <xf numFmtId="0" fontId="115" fillId="0" borderId="66" applyAlignment="1" pivotButton="0" quotePrefix="0" xfId="0">
      <alignment horizontal="center"/>
    </xf>
    <xf numFmtId="0" fontId="115" fillId="0" borderId="64" applyAlignment="1" pivotButton="0" quotePrefix="0" xfId="0">
      <alignment horizontal="left"/>
    </xf>
    <xf numFmtId="3" fontId="115" fillId="0" borderId="17" applyAlignment="1" pivotButton="0" quotePrefix="0" xfId="0">
      <alignment horizontal="right"/>
    </xf>
    <xf numFmtId="3" fontId="115" fillId="0" borderId="63" applyAlignment="1" pivotButton="0" quotePrefix="0" xfId="0">
      <alignment horizontal="right"/>
    </xf>
    <xf numFmtId="0" fontId="115" fillId="0" borderId="27" applyAlignment="1" pivotButton="0" quotePrefix="0" xfId="0">
      <alignment horizontal="right"/>
    </xf>
    <xf numFmtId="164" fontId="115" fillId="0" borderId="27" applyAlignment="1" pivotButton="0" quotePrefix="0" xfId="0">
      <alignment horizontal="right"/>
    </xf>
    <xf numFmtId="3" fontId="115" fillId="0" borderId="27" applyAlignment="1" pivotButton="0" quotePrefix="0" xfId="0">
      <alignment horizontal="right"/>
    </xf>
    <xf numFmtId="0" fontId="115" fillId="0" borderId="27" applyAlignment="1" pivotButton="0" quotePrefix="0" xfId="0">
      <alignment horizontal="center"/>
    </xf>
    <xf numFmtId="0" fontId="115" fillId="0" borderId="1" applyAlignment="1" pivotButton="0" quotePrefix="0" xfId="0">
      <alignment horizontal="right"/>
    </xf>
    <xf numFmtId="164" fontId="115" fillId="0" borderId="1" applyAlignment="1" pivotButton="0" quotePrefix="0" xfId="0">
      <alignment horizontal="right"/>
    </xf>
    <xf numFmtId="0" fontId="115" fillId="0" borderId="1" applyAlignment="1" pivotButton="0" quotePrefix="0" xfId="0">
      <alignment horizontal="center"/>
    </xf>
    <xf numFmtId="3" fontId="46" fillId="3" borderId="69" applyAlignment="1" pivotButton="0" quotePrefix="0" xfId="0">
      <alignment horizontal="left" vertical="top" wrapText="1"/>
    </xf>
    <xf numFmtId="0" fontId="46" fillId="3" borderId="48" applyAlignment="1" pivotButton="0" quotePrefix="0" xfId="0">
      <alignment horizontal="left" wrapText="1"/>
    </xf>
    <xf numFmtId="164" fontId="46" fillId="3" borderId="48" applyAlignment="1" pivotButton="0" quotePrefix="0" xfId="0">
      <alignment horizontal="left" wrapText="1"/>
    </xf>
    <xf numFmtId="3" fontId="46" fillId="3" borderId="48" applyAlignment="1" pivotButton="0" quotePrefix="0" xfId="0">
      <alignment horizontal="left" wrapText="1"/>
    </xf>
    <xf numFmtId="0" fontId="46" fillId="3" borderId="70" applyAlignment="1" pivotButton="0" quotePrefix="0" xfId="0">
      <alignment horizontal="left" wrapText="1"/>
    </xf>
    <xf numFmtId="0" fontId="111" fillId="0" borderId="64" applyAlignment="1" pivotButton="0" quotePrefix="0" xfId="0">
      <alignment horizontal="center"/>
    </xf>
    <xf numFmtId="3" fontId="46" fillId="3" borderId="71" applyAlignment="1" pivotButton="0" quotePrefix="0" xfId="0">
      <alignment horizontal="left" wrapText="1"/>
    </xf>
    <xf numFmtId="0" fontId="46" fillId="3" borderId="47" applyAlignment="1" pivotButton="0" quotePrefix="0" xfId="0">
      <alignment horizontal="left" wrapText="1"/>
    </xf>
    <xf numFmtId="164" fontId="46" fillId="3" borderId="47" applyAlignment="1" pivotButton="0" quotePrefix="0" xfId="0">
      <alignment horizontal="left" wrapText="1"/>
    </xf>
    <xf numFmtId="3" fontId="46" fillId="3" borderId="47" applyAlignment="1" pivotButton="0" quotePrefix="0" xfId="0">
      <alignment horizontal="left" wrapText="1"/>
    </xf>
    <xf numFmtId="0" fontId="46" fillId="3" borderId="72" applyAlignment="1" pivotButton="0" quotePrefix="0" xfId="0">
      <alignment horizontal="left" wrapText="1"/>
    </xf>
    <xf numFmtId="0" fontId="111" fillId="0" borderId="65" applyAlignment="1" pivotButton="0" quotePrefix="0" xfId="0">
      <alignment horizontal="center"/>
    </xf>
    <xf numFmtId="3" fontId="46" fillId="3" borderId="76" applyAlignment="1" pivotButton="0" quotePrefix="0" xfId="0">
      <alignment horizontal="left" wrapText="1"/>
    </xf>
    <xf numFmtId="0" fontId="46" fillId="3" borderId="77" applyAlignment="1" pivotButton="0" quotePrefix="0" xfId="0">
      <alignment horizontal="left" wrapText="1"/>
    </xf>
    <xf numFmtId="164" fontId="46" fillId="3" borderId="77" applyAlignment="1" pivotButton="0" quotePrefix="0" xfId="0">
      <alignment horizontal="left" wrapText="1"/>
    </xf>
    <xf numFmtId="3" fontId="46" fillId="3" borderId="77" applyAlignment="1" pivotButton="0" quotePrefix="0" xfId="0">
      <alignment horizontal="left" wrapText="1"/>
    </xf>
    <xf numFmtId="0" fontId="46" fillId="3" borderId="78" applyAlignment="1" pivotButton="0" quotePrefix="0" xfId="0">
      <alignment horizontal="left" wrapText="1"/>
    </xf>
    <xf numFmtId="3" fontId="54" fillId="0" borderId="18" applyAlignment="1" pivotButton="0" quotePrefix="0" xfId="0">
      <alignment horizontal="left"/>
    </xf>
    <xf numFmtId="164" fontId="54" fillId="0" borderId="19" applyAlignment="1" pivotButton="0" quotePrefix="0" xfId="0">
      <alignment horizontal="left"/>
    </xf>
    <xf numFmtId="168" fontId="54" fillId="0" borderId="19" applyAlignment="1" pivotButton="0" quotePrefix="0" xfId="0">
      <alignment horizontal="left"/>
    </xf>
    <xf numFmtId="168" fontId="54" fillId="0" borderId="20" applyAlignment="1" pivotButton="0" quotePrefix="0" xfId="0">
      <alignment horizontal="left"/>
    </xf>
    <xf numFmtId="168" fontId="54" fillId="0" borderId="27" applyAlignment="1" pivotButton="0" quotePrefix="0" xfId="0">
      <alignment horizontal="left" wrapText="1"/>
    </xf>
    <xf numFmtId="168" fontId="54" fillId="0" borderId="67" applyAlignment="1" pivotButton="0" quotePrefix="0" xfId="0">
      <alignment horizontal="left" wrapText="1"/>
    </xf>
    <xf numFmtId="3" fontId="11" fillId="0" borderId="63" applyAlignment="1" pivotButton="0" quotePrefix="0" xfId="0">
      <alignment horizontal="left" vertical="top" wrapText="1"/>
    </xf>
    <xf numFmtId="164" fontId="11" fillId="0" borderId="27" applyAlignment="1" pivotButton="0" quotePrefix="0" xfId="0">
      <alignment horizontal="left" wrapText="1"/>
    </xf>
    <xf numFmtId="168" fontId="54" fillId="0" borderId="68" applyAlignment="1" pivotButton="0" quotePrefix="0" xfId="0">
      <alignment horizontal="left" wrapText="1"/>
    </xf>
    <xf numFmtId="3" fontId="11" fillId="0" borderId="65" applyAlignment="1" pivotButton="0" quotePrefix="0" xfId="0">
      <alignment horizontal="left" wrapText="1"/>
    </xf>
    <xf numFmtId="0" fontId="11" fillId="0" borderId="17" applyAlignment="1" pivotButton="0" quotePrefix="0" xfId="0">
      <alignment horizontal="left" wrapText="1"/>
    </xf>
    <xf numFmtId="164" fontId="11" fillId="0" borderId="17" applyAlignment="1" pivotButton="0" quotePrefix="0" xfId="0">
      <alignment horizontal="left" wrapText="1"/>
    </xf>
    <xf numFmtId="3" fontId="11" fillId="0" borderId="17" applyAlignment="1" pivotButton="0" quotePrefix="0" xfId="0">
      <alignment horizontal="left" wrapText="1"/>
    </xf>
    <xf numFmtId="0" fontId="11" fillId="0" borderId="68" applyAlignment="1" pivotButton="0" quotePrefix="0" xfId="0">
      <alignment horizontal="left" wrapText="1"/>
    </xf>
    <xf numFmtId="3" fontId="54" fillId="0" borderId="63" applyAlignment="1" pivotButton="0" quotePrefix="0" xfId="0">
      <alignment horizontal="left" vertical="top"/>
    </xf>
    <xf numFmtId="3" fontId="54" fillId="0" borderId="65" applyAlignment="1" pivotButton="0" quotePrefix="0" xfId="0">
      <alignment horizontal="left"/>
    </xf>
    <xf numFmtId="164" fontId="54" fillId="0" borderId="17" applyAlignment="1" pivotButton="0" quotePrefix="0" xfId="0">
      <alignment horizontal="left"/>
    </xf>
    <xf numFmtId="3" fontId="54" fillId="0" borderId="18" applyAlignment="1" pivotButton="0" quotePrefix="0" xfId="0">
      <alignment horizontal="left" wrapText="1"/>
    </xf>
    <xf numFmtId="0" fontId="54" fillId="0" borderId="63" applyAlignment="1" pivotButton="0" quotePrefix="0" xfId="0">
      <alignment horizontal="justify" vertical="top" wrapText="1"/>
    </xf>
    <xf numFmtId="0" fontId="54" fillId="0" borderId="27" applyAlignment="1" pivotButton="0" quotePrefix="0" xfId="0">
      <alignment horizontal="justify" wrapText="1"/>
    </xf>
    <xf numFmtId="168" fontId="54" fillId="0" borderId="27" applyAlignment="1" pivotButton="0" quotePrefix="0" xfId="0">
      <alignment horizontal="justify" wrapText="1"/>
    </xf>
    <xf numFmtId="3" fontId="54" fillId="0" borderId="27" applyAlignment="1" pivotButton="0" quotePrefix="0" xfId="0">
      <alignment horizontal="justify" wrapText="1"/>
    </xf>
    <xf numFmtId="164" fontId="54" fillId="0" borderId="27" applyAlignment="1" pivotButton="0" quotePrefix="0" xfId="0">
      <alignment horizontal="justify" wrapText="1"/>
    </xf>
    <xf numFmtId="0" fontId="54" fillId="0" borderId="67" applyAlignment="1" pivotButton="0" quotePrefix="0" xfId="0">
      <alignment horizontal="justify" wrapText="1"/>
    </xf>
    <xf numFmtId="0" fontId="54" fillId="0" borderId="64" applyAlignment="1" pivotButton="0" quotePrefix="0" xfId="0">
      <alignment horizontal="justify" wrapText="1"/>
    </xf>
    <xf numFmtId="168" fontId="54" fillId="0" borderId="1" applyAlignment="1" pivotButton="0" quotePrefix="0" xfId="0">
      <alignment horizontal="justify" wrapText="1"/>
    </xf>
    <xf numFmtId="164" fontId="54" fillId="0" borderId="1" applyAlignment="1" pivotButton="0" quotePrefix="0" xfId="0">
      <alignment horizontal="justify" wrapText="1"/>
    </xf>
    <xf numFmtId="0" fontId="54" fillId="0" borderId="66" applyAlignment="1" pivotButton="0" quotePrefix="0" xfId="0">
      <alignment horizontal="justify" wrapText="1"/>
    </xf>
    <xf numFmtId="0" fontId="54" fillId="0" borderId="65" applyAlignment="1" pivotButton="0" quotePrefix="0" xfId="0">
      <alignment horizontal="justify" wrapText="1"/>
    </xf>
    <xf numFmtId="0" fontId="54" fillId="0" borderId="17" applyAlignment="1" pivotButton="0" quotePrefix="0" xfId="0">
      <alignment horizontal="justify" wrapText="1"/>
    </xf>
    <xf numFmtId="168" fontId="54" fillId="0" borderId="17" applyAlignment="1" pivotButton="0" quotePrefix="0" xfId="0">
      <alignment horizontal="justify" wrapText="1"/>
    </xf>
    <xf numFmtId="3" fontId="54" fillId="0" borderId="17" applyAlignment="1" pivotButton="0" quotePrefix="0" xfId="0">
      <alignment horizontal="justify" wrapText="1"/>
    </xf>
    <xf numFmtId="164" fontId="54" fillId="0" borderId="17" applyAlignment="1" pivotButton="0" quotePrefix="0" xfId="0">
      <alignment horizontal="justify" wrapText="1"/>
    </xf>
    <xf numFmtId="0" fontId="54" fillId="0" borderId="68" applyAlignment="1" pivotButton="0" quotePrefix="0" xfId="0">
      <alignment horizontal="justify" wrapText="1"/>
    </xf>
    <xf numFmtId="168" fontId="124" fillId="0" borderId="1" applyAlignment="1" pivotButton="0" quotePrefix="0" xfId="0">
      <alignment horizontal="left"/>
    </xf>
    <xf numFmtId="3" fontId="124" fillId="0" borderId="1" applyAlignment="1" pivotButton="0" quotePrefix="0" xfId="0">
      <alignment horizontal="left"/>
    </xf>
    <xf numFmtId="164" fontId="124" fillId="0" borderId="1" applyAlignment="1" pivotButton="0" quotePrefix="0" xfId="0">
      <alignment horizontal="left"/>
    </xf>
    <xf numFmtId="0" fontId="124" fillId="0" borderId="1" applyAlignment="1" pivotButton="0" quotePrefix="0" xfId="0">
      <alignment horizontal="center"/>
    </xf>
    <xf numFmtId="164" fontId="18" fillId="0" borderId="1" applyAlignment="1" pivotButton="0" quotePrefix="0" xfId="0">
      <alignment horizontal="left"/>
    </xf>
    <xf numFmtId="168" fontId="0" fillId="0" borderId="0" applyAlignment="1" pivotButton="0" quotePrefix="0" xfId="0">
      <alignment horizontal="center"/>
    </xf>
    <xf numFmtId="3" fontId="0" fillId="0" borderId="0" applyAlignment="1" pivotButton="0" quotePrefix="0" xfId="0">
      <alignment horizontal="center"/>
    </xf>
    <xf numFmtId="166" fontId="17" fillId="0" borderId="17" applyAlignment="1" pivotButton="0" quotePrefix="0" xfId="0">
      <alignment horizontal="center" wrapText="1"/>
    </xf>
    <xf numFmtId="166" fontId="63" fillId="0" borderId="79" applyAlignment="1" pivotButton="0" quotePrefix="0" xfId="0">
      <alignment horizontal="center" wrapText="1"/>
    </xf>
    <xf numFmtId="0" fontId="11" fillId="0" borderId="80" applyAlignment="1" pivotButton="0" quotePrefix="0" xfId="0">
      <alignment horizontal="left" wrapText="1"/>
    </xf>
    <xf numFmtId="0" fontId="64" fillId="0" borderId="80" applyAlignment="1" pivotButton="0" quotePrefix="0" xfId="0">
      <alignment horizontal="center" wrapText="1"/>
    </xf>
    <xf numFmtId="0" fontId="63" fillId="0" borderId="81" applyAlignment="1" pivotButton="0" quotePrefix="0" xfId="0">
      <alignment horizontal="center" wrapText="1"/>
    </xf>
    <xf numFmtId="166" fontId="63" fillId="0" borderId="82" applyAlignment="1" pivotButton="0" quotePrefix="0" xfId="0">
      <alignment horizontal="center" wrapText="1"/>
    </xf>
    <xf numFmtId="0" fontId="11" fillId="0" borderId="83" applyAlignment="1" pivotButton="0" quotePrefix="0" xfId="0">
      <alignment horizontal="left" wrapText="1"/>
    </xf>
    <xf numFmtId="0" fontId="64" fillId="0" borderId="83" applyAlignment="1" pivotButton="0" quotePrefix="0" xfId="0">
      <alignment horizontal="center" wrapText="1"/>
    </xf>
    <xf numFmtId="0" fontId="63" fillId="0" borderId="84" applyAlignment="1" pivotButton="0" quotePrefix="0" xfId="0">
      <alignment horizontal="center" wrapText="1"/>
    </xf>
    <xf numFmtId="0" fontId="64" fillId="0" borderId="83" applyAlignment="1" pivotButton="0" quotePrefix="0" xfId="0">
      <alignment horizontal="left" wrapText="1"/>
    </xf>
    <xf numFmtId="166" fontId="63" fillId="0" borderId="82" applyAlignment="1" pivotButton="0" quotePrefix="0" xfId="0">
      <alignment horizontal="center" vertical="top" wrapText="1"/>
    </xf>
    <xf numFmtId="3" fontId="63" fillId="0" borderId="82" applyAlignment="1" pivotButton="0" quotePrefix="0" xfId="0">
      <alignment horizontal="center" vertical="top" wrapText="1"/>
    </xf>
    <xf numFmtId="0" fontId="63" fillId="0" borderId="84" applyAlignment="1" pivotButton="0" quotePrefix="0" xfId="0">
      <alignment horizontal="left" wrapText="1"/>
    </xf>
    <xf numFmtId="166" fontId="63" fillId="0" borderId="85" applyAlignment="1" pivotButton="0" quotePrefix="0" xfId="0">
      <alignment horizontal="center" wrapText="1"/>
    </xf>
    <xf numFmtId="0" fontId="11" fillId="0" borderId="86" applyAlignment="1" pivotButton="0" quotePrefix="0" xfId="0">
      <alignment horizontal="left" wrapText="1"/>
    </xf>
    <xf numFmtId="0" fontId="64" fillId="0" borderId="86" applyAlignment="1" pivotButton="0" quotePrefix="0" xfId="0">
      <alignment horizontal="left" wrapText="1"/>
    </xf>
    <xf numFmtId="0" fontId="63" fillId="0" borderId="87" applyAlignment="1" pivotButton="0" quotePrefix="0" xfId="0">
      <alignment horizontal="center" wrapText="1"/>
    </xf>
    <xf numFmtId="3" fontId="47" fillId="0" borderId="1" applyAlignment="1" pivotButton="0" quotePrefix="0" xfId="0">
      <alignment horizontal="center" vertical="top" wrapText="1"/>
    </xf>
    <xf numFmtId="3" fontId="47" fillId="0" borderId="1" applyAlignment="1" pivotButton="0" quotePrefix="0" xfId="0">
      <alignment horizontal="center" wrapText="1"/>
    </xf>
    <xf numFmtId="1" fontId="46" fillId="0" borderId="1" applyAlignment="1" pivotButton="0" quotePrefix="0" xfId="0">
      <alignment horizontal="right" wrapText="1"/>
    </xf>
    <xf numFmtId="1" fontId="11" fillId="0" borderId="1" applyAlignment="1" pivotButton="0" quotePrefix="0" xfId="0">
      <alignment horizontal="center" wrapText="1"/>
    </xf>
    <xf numFmtId="3" fontId="135" fillId="0" borderId="1" applyAlignment="1" pivotButton="0" quotePrefix="0" xfId="0">
      <alignment horizontal="center" wrapText="1"/>
    </xf>
    <xf numFmtId="0" fontId="135" fillId="0" borderId="1" applyAlignment="1" pivotButton="0" quotePrefix="0" xfId="0">
      <alignment horizontal="center" wrapText="1"/>
    </xf>
    <xf numFmtId="1" fontId="135" fillId="0" borderId="1" applyAlignment="1" pivotButton="0" quotePrefix="0" xfId="0">
      <alignment horizontal="center" wrapText="1"/>
    </xf>
    <xf numFmtId="3" fontId="11" fillId="0" borderId="28" applyAlignment="1" pivotButton="0" quotePrefix="0" xfId="0">
      <alignment horizontal="center" vertical="top" wrapText="1"/>
    </xf>
    <xf numFmtId="3" fontId="62" fillId="0" borderId="6" applyAlignment="1" pivotButton="0" quotePrefix="0" xfId="0">
      <alignment horizontal="left" wrapText="1"/>
    </xf>
    <xf numFmtId="0" fontId="62" fillId="0" borderId="6" applyAlignment="1" pivotButton="0" quotePrefix="0" xfId="0">
      <alignment horizontal="left" wrapText="1"/>
    </xf>
    <xf numFmtId="1" fontId="62" fillId="0" borderId="6" applyAlignment="1" pivotButton="0" quotePrefix="0" xfId="0">
      <alignment horizontal="left" wrapText="1"/>
    </xf>
    <xf numFmtId="3" fontId="11" fillId="0" borderId="62" applyAlignment="1" pivotButton="0" quotePrefix="0" xfId="0">
      <alignment horizontal="center" wrapText="1"/>
    </xf>
    <xf numFmtId="0" fontId="11" fillId="0" borderId="6" applyAlignment="1" pivotButton="0" quotePrefix="0" xfId="0">
      <alignment horizontal="left" wrapText="1"/>
    </xf>
    <xf numFmtId="1" fontId="11" fillId="0" borderId="6" applyAlignment="1" pivotButton="0" quotePrefix="0" xfId="0">
      <alignment horizontal="left" wrapText="1"/>
    </xf>
    <xf numFmtId="1" fontId="36" fillId="3" borderId="6" applyAlignment="1" pivotButton="0" quotePrefix="0" xfId="0">
      <alignment horizontal="left" wrapText="1"/>
    </xf>
    <xf numFmtId="3" fontId="11" fillId="0" borderId="6" applyAlignment="1" pivotButton="0" quotePrefix="0" xfId="0">
      <alignment horizontal="left" wrapText="1"/>
    </xf>
    <xf numFmtId="1" fontId="52" fillId="0" borderId="6" applyAlignment="1" pivotButton="0" quotePrefix="0" xfId="0">
      <alignment horizontal="left" wrapText="1"/>
    </xf>
    <xf numFmtId="3" fontId="11" fillId="0" borderId="74" applyAlignment="1" pivotButton="0" quotePrefix="0" xfId="0">
      <alignment horizontal="center" wrapText="1"/>
    </xf>
    <xf numFmtId="49" fontId="11" fillId="0" borderId="6" applyAlignment="1" pivotButton="0" quotePrefix="0" xfId="0">
      <alignment horizontal="left" wrapText="1"/>
    </xf>
    <xf numFmtId="1" fontId="54" fillId="0" borderId="1" applyAlignment="1" pivotButton="0" quotePrefix="0" xfId="0">
      <alignment horizontal="left"/>
    </xf>
    <xf numFmtId="1" fontId="54" fillId="0" borderId="1" applyAlignment="1" pivotButton="0" quotePrefix="0" xfId="0">
      <alignment horizontal="right"/>
    </xf>
    <xf numFmtId="0" fontId="136" fillId="0" borderId="1" applyAlignment="1" pivotButton="0" quotePrefix="0" xfId="0">
      <alignment horizontal="center"/>
    </xf>
    <xf numFmtId="1" fontId="136" fillId="0" borderId="1" applyAlignment="1" pivotButton="0" quotePrefix="0" xfId="0">
      <alignment horizontal="center"/>
    </xf>
    <xf numFmtId="1" fontId="18" fillId="0" borderId="1" applyAlignment="1" pivotButton="0" quotePrefix="0" xfId="0">
      <alignment horizontal="left" wrapText="1"/>
    </xf>
    <xf numFmtId="3" fontId="18" fillId="0" borderId="1" applyAlignment="1" pivotButton="0" quotePrefix="0" xfId="0">
      <alignment horizontal="center" vertical="top" wrapText="1"/>
    </xf>
    <xf numFmtId="0" fontId="18" fillId="0" borderId="1" applyAlignment="1" pivotButton="0" quotePrefix="0" xfId="0">
      <alignment horizontal="left" vertical="top" wrapText="1"/>
    </xf>
    <xf numFmtId="0" fontId="18" fillId="0" borderId="1" applyAlignment="1" pivotButton="0" quotePrefix="0" xfId="0">
      <alignment horizontal="center" vertical="top" wrapText="1"/>
    </xf>
    <xf numFmtId="170" fontId="0" fillId="0" borderId="0" applyAlignment="1" pivotButton="0" quotePrefix="0" xfId="0">
      <alignment horizontal="general"/>
    </xf>
    <xf numFmtId="3" fontId="137" fillId="0" borderId="1" applyAlignment="1" pivotButton="0" quotePrefix="0" xfId="0">
      <alignment horizontal="center"/>
    </xf>
    <xf numFmtId="0" fontId="137" fillId="0" borderId="1" applyAlignment="1" pivotButton="0" quotePrefix="0" xfId="0">
      <alignment horizontal="center"/>
    </xf>
    <xf numFmtId="4" fontId="137" fillId="0" borderId="1" applyAlignment="1" pivotButton="0" quotePrefix="0" xfId="0">
      <alignment horizontal="center"/>
    </xf>
    <xf numFmtId="170" fontId="138" fillId="0" borderId="1" applyAlignment="1" pivotButton="0" quotePrefix="0" xfId="0">
      <alignment horizontal="center"/>
    </xf>
    <xf numFmtId="4" fontId="22" fillId="0" borderId="1" applyAlignment="1" pivotButton="0" quotePrefix="0" xfId="0">
      <alignment horizontal="center"/>
    </xf>
    <xf numFmtId="170" fontId="18" fillId="0" borderId="1" applyAlignment="1" pivotButton="0" quotePrefix="0" xfId="0">
      <alignment horizontal="center"/>
    </xf>
    <xf numFmtId="3" fontId="75" fillId="0" borderId="1" applyAlignment="1" pivotButton="0" quotePrefix="0" xfId="0">
      <alignment horizontal="center"/>
    </xf>
    <xf numFmtId="4" fontId="75" fillId="0" borderId="1" applyAlignment="1" pivotButton="0" quotePrefix="0" xfId="0">
      <alignment horizontal="center"/>
    </xf>
    <xf numFmtId="170" fontId="75" fillId="0" borderId="1" applyAlignment="1" pivotButton="0" quotePrefix="0" xfId="0">
      <alignment horizontal="center"/>
    </xf>
    <xf numFmtId="3" fontId="139" fillId="0" borderId="1" applyAlignment="1" pivotButton="0" quotePrefix="0" xfId="0">
      <alignment horizontal="center"/>
    </xf>
    <xf numFmtId="0" fontId="139" fillId="0" borderId="1" applyAlignment="1" pivotButton="0" quotePrefix="0" xfId="0">
      <alignment horizontal="center"/>
    </xf>
    <xf numFmtId="4" fontId="139" fillId="0" borderId="1" applyAlignment="1" pivotButton="0" quotePrefix="0" xfId="0">
      <alignment horizontal="center"/>
    </xf>
    <xf numFmtId="3" fontId="23" fillId="0" borderId="1" applyAlignment="1" pivotButton="0" quotePrefix="0" xfId="0">
      <alignment horizontal="center"/>
    </xf>
    <xf numFmtId="0" fontId="23" fillId="0" borderId="1" applyAlignment="1" pivotButton="0" quotePrefix="0" xfId="0">
      <alignment horizontal="center"/>
    </xf>
    <xf numFmtId="4" fontId="23" fillId="0" borderId="1" applyAlignment="1" pivotButton="0" quotePrefix="0" xfId="0">
      <alignment horizontal="center"/>
    </xf>
    <xf numFmtId="3" fontId="140" fillId="0" borderId="1" applyAlignment="1" pivotButton="0" quotePrefix="0" xfId="0">
      <alignment horizontal="center"/>
    </xf>
    <xf numFmtId="0" fontId="140" fillId="0" borderId="1" applyAlignment="1" pivotButton="0" quotePrefix="0" xfId="0">
      <alignment horizontal="center"/>
    </xf>
    <xf numFmtId="4" fontId="140" fillId="0" borderId="1" applyAlignment="1" pivotButton="0" quotePrefix="0" xfId="0">
      <alignment horizontal="center"/>
    </xf>
    <xf numFmtId="3" fontId="141" fillId="0" borderId="1" applyAlignment="1" pivotButton="0" quotePrefix="0" xfId="0">
      <alignment horizontal="center"/>
    </xf>
    <xf numFmtId="0" fontId="141" fillId="0" borderId="1" applyAlignment="1" pivotButton="0" quotePrefix="0" xfId="0">
      <alignment horizontal="center"/>
    </xf>
    <xf numFmtId="4" fontId="141" fillId="0" borderId="1" applyAlignment="1" pivotButton="0" quotePrefix="0" xfId="0">
      <alignment horizontal="center"/>
    </xf>
    <xf numFmtId="3" fontId="101" fillId="0" borderId="1" applyAlignment="1" pivotButton="0" quotePrefix="0" xfId="0">
      <alignment horizontal="center"/>
    </xf>
    <xf numFmtId="4" fontId="101" fillId="0" borderId="1" applyAlignment="1" pivotButton="0" quotePrefix="0" xfId="0">
      <alignment horizontal="center"/>
    </xf>
    <xf numFmtId="170" fontId="2" fillId="0" borderId="1" applyAlignment="1" pivotButton="0" quotePrefix="0" xfId="0">
      <alignment horizontal="center"/>
    </xf>
    <xf numFmtId="170" fontId="101" fillId="0" borderId="1" applyAlignment="1" pivotButton="0" quotePrefix="0" xfId="0">
      <alignment horizontal="center"/>
    </xf>
    <xf numFmtId="4" fontId="142" fillId="0" borderId="1" applyAlignment="1" pivotButton="0" quotePrefix="0" xfId="0">
      <alignment horizontal="center"/>
    </xf>
    <xf numFmtId="0" fontId="142" fillId="0" borderId="1" applyAlignment="1" pivotButton="0" quotePrefix="0" xfId="0">
      <alignment horizontal="center"/>
    </xf>
    <xf numFmtId="3" fontId="142" fillId="0" borderId="1" applyAlignment="1" pivotButton="0" quotePrefix="0" xfId="0">
      <alignment horizontal="center"/>
    </xf>
    <xf numFmtId="170" fontId="80" fillId="0" borderId="1" applyAlignment="1" pivotButton="0" quotePrefix="0" xfId="0">
      <alignment horizontal="center"/>
    </xf>
    <xf numFmtId="4" fontId="143" fillId="0" borderId="1" applyAlignment="1" pivotButton="0" quotePrefix="0" xfId="0">
      <alignment horizontal="center"/>
    </xf>
    <xf numFmtId="0" fontId="143" fillId="0" borderId="1" applyAlignment="1" pivotButton="0" quotePrefix="0" xfId="0">
      <alignment horizontal="center"/>
    </xf>
    <xf numFmtId="3" fontId="143" fillId="0" borderId="1" applyAlignment="1" pivotButton="0" quotePrefix="0" xfId="0">
      <alignment horizontal="center"/>
    </xf>
    <xf numFmtId="0" fontId="102" fillId="0" borderId="1" applyAlignment="1" pivotButton="0" quotePrefix="0" xfId="0">
      <alignment horizontal="center" wrapText="1"/>
    </xf>
    <xf numFmtId="0" fontId="102" fillId="0" borderId="1" applyAlignment="1" pivotButton="0" quotePrefix="0" xfId="0">
      <alignment horizontal="center" wrapText="1"/>
    </xf>
    <xf numFmtId="4" fontId="102" fillId="0" borderId="1" applyAlignment="1" pivotButton="0" quotePrefix="0" xfId="0">
      <alignment horizontal="center" wrapText="1"/>
    </xf>
    <xf numFmtId="3" fontId="102" fillId="0" borderId="1" applyAlignment="1" pivotButton="0" quotePrefix="0" xfId="0">
      <alignment horizontal="center" wrapText="1"/>
    </xf>
    <xf numFmtId="170" fontId="80" fillId="0" borderId="1" applyAlignment="1" pivotButton="0" quotePrefix="0" xfId="0">
      <alignment horizontal="left"/>
    </xf>
    <xf numFmtId="4" fontId="79" fillId="0" borderId="1" applyAlignment="1" pivotButton="0" quotePrefix="0" xfId="0">
      <alignment horizontal="center"/>
    </xf>
    <xf numFmtId="3" fontId="79" fillId="0" borderId="1" applyAlignment="1" pivotButton="0" quotePrefix="0" xfId="0">
      <alignment horizontal="center"/>
    </xf>
    <xf numFmtId="0" fontId="102" fillId="0" borderId="1" applyAlignment="1" pivotButton="0" quotePrefix="0" xfId="0">
      <alignment horizontal="center"/>
    </xf>
    <xf numFmtId="4" fontId="102" fillId="0" borderId="1" applyAlignment="1" pivotButton="0" quotePrefix="0" xfId="0">
      <alignment horizontal="center"/>
    </xf>
    <xf numFmtId="170" fontId="18" fillId="0" borderId="1" applyAlignment="1" pivotButton="0" quotePrefix="0" xfId="0">
      <alignment horizontal="left"/>
    </xf>
    <xf numFmtId="4" fontId="18" fillId="0" borderId="1" applyAlignment="1" pivotButton="0" quotePrefix="0" xfId="0">
      <alignment horizontal="left"/>
    </xf>
    <xf numFmtId="3" fontId="80" fillId="0" borderId="1" applyAlignment="1" pivotButton="0" quotePrefix="0" xfId="0">
      <alignment horizontal="center"/>
    </xf>
    <xf numFmtId="0" fontId="80" fillId="0" borderId="1" applyAlignment="1" pivotButton="0" quotePrefix="0" xfId="0">
      <alignment horizontal="center"/>
    </xf>
    <xf numFmtId="4" fontId="80" fillId="0" borderId="1" applyAlignment="1" pivotButton="0" quotePrefix="0" xfId="0">
      <alignment horizontal="center"/>
    </xf>
    <xf numFmtId="3" fontId="47" fillId="0" borderId="1" applyAlignment="1" pivotButton="0" quotePrefix="0" xfId="0">
      <alignment horizontal="center"/>
    </xf>
    <xf numFmtId="0" fontId="47" fillId="0" borderId="1" applyAlignment="1" pivotButton="0" quotePrefix="0" xfId="0">
      <alignment horizontal="center"/>
    </xf>
    <xf numFmtId="3" fontId="53" fillId="0" borderId="1" applyAlignment="1" pivotButton="0" quotePrefix="0" xfId="0">
      <alignment horizontal="center" wrapText="1"/>
    </xf>
    <xf numFmtId="170" fontId="0" fillId="0" borderId="0" applyAlignment="1" pivotButton="0" quotePrefix="0" xfId="0">
      <alignment horizontal="general" wrapText="1"/>
    </xf>
    <xf numFmtId="164" fontId="0" fillId="0" borderId="0" applyAlignment="1" pivotButton="0" quotePrefix="0" xfId="0">
      <alignment horizontal="general" wrapText="1"/>
    </xf>
    <xf numFmtId="3" fontId="54" fillId="0" borderId="1" applyAlignment="1" pivotButton="0" quotePrefix="0" xfId="0">
      <alignment horizontal="justify" vertical="top" wrapText="1"/>
    </xf>
    <xf numFmtId="3" fontId="18" fillId="0" borderId="6" applyAlignment="1" pivotButton="0" quotePrefix="0" xfId="0">
      <alignment horizontal="center"/>
    </xf>
    <xf numFmtId="3" fontId="53" fillId="0" borderId="1" applyAlignment="1" pivotButton="0" quotePrefix="0" xfId="0">
      <alignment horizontal="center" vertical="top" wrapText="1"/>
    </xf>
    <xf numFmtId="0" fontId="62" fillId="0" borderId="6" applyAlignment="1" pivotButton="0" quotePrefix="0" xfId="0">
      <alignment horizontal="left"/>
    </xf>
    <xf numFmtId="0" fontId="54" fillId="0" borderId="27" applyAlignment="1" pivotButton="0" quotePrefix="0" xfId="0">
      <alignment horizontal="center" wrapText="1"/>
    </xf>
    <xf numFmtId="3" fontId="54" fillId="3" borderId="69" applyAlignment="1" pivotButton="0" quotePrefix="0" xfId="0">
      <alignment horizontal="center" wrapText="1"/>
    </xf>
    <xf numFmtId="0" fontId="54" fillId="0" borderId="63" applyAlignment="1" pivotButton="0" quotePrefix="0" xfId="0">
      <alignment horizontal="left" wrapText="1"/>
    </xf>
    <xf numFmtId="3" fontId="54" fillId="0" borderId="27" applyAlignment="1" pivotButton="0" quotePrefix="0" xfId="0">
      <alignment horizontal="left" wrapText="1"/>
    </xf>
    <xf numFmtId="4" fontId="54" fillId="0" borderId="27" applyAlignment="1" pivotButton="0" quotePrefix="0" xfId="0">
      <alignment horizontal="left" wrapText="1"/>
    </xf>
    <xf numFmtId="4" fontId="54" fillId="0" borderId="67" applyAlignment="1" pivotButton="0" quotePrefix="0" xfId="0">
      <alignment horizontal="left" wrapText="1"/>
    </xf>
    <xf numFmtId="0" fontId="54" fillId="0" borderId="67" applyAlignment="1" pivotButton="0" quotePrefix="0" xfId="0">
      <alignment horizontal="left" wrapText="1"/>
    </xf>
    <xf numFmtId="0" fontId="54" fillId="0" borderId="74" applyAlignment="1" pivotButton="0" quotePrefix="0" xfId="0">
      <alignment horizontal="left" wrapText="1"/>
    </xf>
    <xf numFmtId="3" fontId="54" fillId="0" borderId="17" applyAlignment="1" pivotButton="0" quotePrefix="0" xfId="0">
      <alignment horizontal="center" wrapText="1"/>
    </xf>
    <xf numFmtId="4" fontId="54" fillId="3" borderId="76" applyAlignment="1" pivotButton="0" quotePrefix="0" xfId="0">
      <alignment horizontal="center" wrapText="1"/>
    </xf>
    <xf numFmtId="4" fontId="54" fillId="3" borderId="78" applyAlignment="1" pivotButton="0" quotePrefix="0" xfId="0">
      <alignment horizontal="center" wrapText="1"/>
    </xf>
    <xf numFmtId="0" fontId="54" fillId="0" borderId="65" applyAlignment="1" pivotButton="0" quotePrefix="0" xfId="0">
      <alignment horizontal="center" wrapText="1"/>
    </xf>
    <xf numFmtId="4" fontId="54" fillId="0" borderId="17" applyAlignment="1" pivotButton="0" quotePrefix="0" xfId="0">
      <alignment horizontal="left" wrapText="1"/>
    </xf>
    <xf numFmtId="0" fontId="22" fillId="0" borderId="68" applyAlignment="1" pivotButton="0" quotePrefix="0" xfId="0">
      <alignment horizontal="left"/>
    </xf>
    <xf numFmtId="170" fontId="54" fillId="0" borderId="1" applyAlignment="1" pivotButton="0" quotePrefix="0" xfId="0">
      <alignment horizontal="left" wrapText="1"/>
    </xf>
    <xf numFmtId="3" fontId="115" fillId="0" borderId="1" applyAlignment="1" pivotButton="0" quotePrefix="0" xfId="0">
      <alignment horizontal="left" wrapText="1"/>
    </xf>
    <xf numFmtId="4" fontId="115" fillId="0" borderId="1" applyAlignment="1" pivotButton="0" quotePrefix="0" xfId="0">
      <alignment horizontal="left" wrapText="1"/>
    </xf>
    <xf numFmtId="0" fontId="115" fillId="0" borderId="1" applyAlignment="1" pivotButton="0" quotePrefix="0" xfId="0">
      <alignment horizontal="left" wrapText="1"/>
    </xf>
    <xf numFmtId="4" fontId="54" fillId="0" borderId="1" applyAlignment="1" pivotButton="0" quotePrefix="0" xfId="0">
      <alignment horizontal="right" wrapText="1"/>
    </xf>
    <xf numFmtId="0" fontId="54" fillId="0" borderId="74" applyAlignment="1" pivotButton="0" quotePrefix="0" xfId="0">
      <alignment horizontal="center" wrapText="1"/>
    </xf>
    <xf numFmtId="4" fontId="54" fillId="0" borderId="19" applyAlignment="1" pivotButton="0" quotePrefix="0" xfId="0">
      <alignment horizontal="left" wrapText="1"/>
    </xf>
    <xf numFmtId="1" fontId="54" fillId="0" borderId="1" applyAlignment="1" pivotButton="0" quotePrefix="0" xfId="0">
      <alignment horizontal="right" wrapText="1"/>
    </xf>
    <xf numFmtId="3" fontId="53" fillId="0" borderId="6" applyAlignment="1" pivotButton="0" quotePrefix="0" xfId="0">
      <alignment horizontal="center" wrapText="1"/>
    </xf>
    <xf numFmtId="0" fontId="54" fillId="0" borderId="18" applyAlignment="1" pivotButton="0" quotePrefix="0" xfId="0">
      <alignment horizontal="left" wrapText="1"/>
    </xf>
    <xf numFmtId="3" fontId="53" fillId="0" borderId="28" applyAlignment="1" pivotButton="0" quotePrefix="0" xfId="0">
      <alignment horizontal="center" vertical="top" wrapText="1"/>
    </xf>
    <xf numFmtId="0" fontId="54" fillId="0" borderId="28" applyAlignment="1" pivotButton="0" quotePrefix="0" xfId="0">
      <alignment horizontal="left" vertical="top" wrapText="1"/>
    </xf>
    <xf numFmtId="3" fontId="53" fillId="0" borderId="62" applyAlignment="1" pivotButton="0" quotePrefix="0" xfId="0">
      <alignment horizontal="center" wrapText="1"/>
    </xf>
    <xf numFmtId="0" fontId="54" fillId="0" borderId="62" applyAlignment="1" pivotButton="0" quotePrefix="0" xfId="0">
      <alignment horizontal="left" wrapText="1"/>
    </xf>
    <xf numFmtId="3" fontId="118" fillId="0" borderId="1" applyAlignment="1" pivotButton="0" quotePrefix="0" xfId="0">
      <alignment horizontal="left" wrapText="1"/>
    </xf>
    <xf numFmtId="4" fontId="118" fillId="0" borderId="1" applyAlignment="1" pivotButton="0" quotePrefix="0" xfId="0">
      <alignment horizontal="left" wrapText="1"/>
    </xf>
    <xf numFmtId="0" fontId="118" fillId="0" borderId="1" applyAlignment="1" pivotButton="0" quotePrefix="0" xfId="0">
      <alignment horizontal="left" wrapText="1"/>
    </xf>
    <xf numFmtId="3" fontId="53" fillId="0" borderId="74" applyAlignment="1" pivotButton="0" quotePrefix="0" xfId="0">
      <alignment horizontal="center" wrapText="1"/>
    </xf>
    <xf numFmtId="3" fontId="144" fillId="0" borderId="1" applyAlignment="1" pivotButton="0" quotePrefix="0" xfId="0">
      <alignment horizontal="center" wrapText="1"/>
    </xf>
    <xf numFmtId="4" fontId="54" fillId="0" borderId="27" applyAlignment="1" pivotButton="0" quotePrefix="0" xfId="0">
      <alignment horizontal="justify" wrapText="1"/>
    </xf>
    <xf numFmtId="4" fontId="54" fillId="0" borderId="17" applyAlignment="1" pivotButton="0" quotePrefix="0" xfId="0">
      <alignment horizontal="justify" wrapText="1"/>
    </xf>
    <xf numFmtId="3" fontId="53" fillId="0" borderId="28" applyAlignment="1" pivotButton="0" quotePrefix="0" xfId="0">
      <alignment horizontal="center" wrapText="1"/>
    </xf>
    <xf numFmtId="171" fontId="54" fillId="0" borderId="1" applyAlignment="1" pivotButton="0" quotePrefix="0" xfId="0">
      <alignment horizontal="left" wrapText="1"/>
    </xf>
    <xf numFmtId="0" fontId="54" fillId="0" borderId="63" applyAlignment="1" pivotButton="0" quotePrefix="0" xfId="0">
      <alignment horizontal="justify" vertical="top" wrapText="1"/>
    </xf>
    <xf numFmtId="4" fontId="54" fillId="0" borderId="68" applyAlignment="1" pivotButton="0" quotePrefix="0" xfId="0">
      <alignment horizontal="left" wrapText="1"/>
    </xf>
    <xf numFmtId="0" fontId="54" fillId="0" borderId="27" applyAlignment="1" pivotButton="0" quotePrefix="0" xfId="0">
      <alignment horizontal="left" vertical="top" wrapText="1"/>
    </xf>
    <xf numFmtId="3" fontId="107" fillId="0" borderId="1" applyAlignment="1" pivotButton="0" quotePrefix="0" xfId="0">
      <alignment horizontal="center"/>
    </xf>
    <xf numFmtId="0" fontId="107" fillId="0" borderId="1" applyAlignment="1" pivotButton="0" quotePrefix="0" xfId="0">
      <alignment horizontal="center"/>
    </xf>
    <xf numFmtId="4" fontId="107" fillId="0" borderId="1" applyAlignment="1" pivotButton="0" quotePrefix="0" xfId="0">
      <alignment horizontal="center"/>
    </xf>
    <xf numFmtId="164" fontId="107" fillId="0" borderId="1" applyAlignment="1" pivotButton="0" quotePrefix="0" xfId="0">
      <alignment horizontal="center"/>
    </xf>
    <xf numFmtId="3" fontId="145" fillId="8" borderId="47" applyAlignment="1" pivotButton="0" quotePrefix="0" xfId="0">
      <alignment horizontal="left"/>
    </xf>
    <xf numFmtId="0" fontId="145" fillId="8" borderId="47" applyAlignment="1" pivotButton="0" quotePrefix="0" xfId="0">
      <alignment horizontal="left"/>
    </xf>
    <xf numFmtId="4" fontId="145" fillId="8" borderId="47" applyAlignment="1" pivotButton="0" quotePrefix="0" xfId="0">
      <alignment horizontal="left"/>
    </xf>
    <xf numFmtId="3" fontId="145" fillId="8" borderId="47" applyAlignment="1" pivotButton="0" quotePrefix="0" xfId="0">
      <alignment horizontal="center"/>
    </xf>
    <xf numFmtId="0" fontId="145" fillId="8" borderId="47" applyAlignment="1" pivotButton="0" quotePrefix="0" xfId="0">
      <alignment horizontal="center"/>
    </xf>
    <xf numFmtId="4" fontId="145" fillId="8" borderId="47" applyAlignment="1" pivotButton="0" quotePrefix="0" xfId="0">
      <alignment horizontal="center"/>
    </xf>
    <xf numFmtId="164" fontId="145" fillId="8" borderId="47" applyAlignment="1" pivotButton="0" quotePrefix="0" xfId="0">
      <alignment horizontal="center"/>
    </xf>
    <xf numFmtId="3" fontId="62" fillId="0" borderId="1" applyAlignment="1" pivotButton="0" quotePrefix="0" xfId="0">
      <alignment horizontal="left"/>
    </xf>
    <xf numFmtId="4" fontId="62" fillId="0" borderId="1" applyAlignment="1" pivotButton="0" quotePrefix="0" xfId="0">
      <alignment horizontal="left"/>
    </xf>
    <xf numFmtId="3" fontId="62" fillId="0" borderId="17" applyAlignment="1" pivotButton="0" quotePrefix="0" xfId="0">
      <alignment horizontal="left"/>
    </xf>
    <xf numFmtId="0" fontId="62" fillId="0" borderId="17" applyAlignment="1" pivotButton="0" quotePrefix="0" xfId="0">
      <alignment horizontal="left"/>
    </xf>
    <xf numFmtId="4" fontId="62" fillId="0" borderId="17" applyAlignment="1" pivotButton="0" quotePrefix="0" xfId="0">
      <alignment horizontal="left"/>
    </xf>
    <xf numFmtId="3" fontId="62" fillId="0" borderId="17" applyAlignment="1" pivotButton="0" quotePrefix="0" xfId="0">
      <alignment horizontal="center"/>
    </xf>
    <xf numFmtId="0" fontId="62" fillId="0" borderId="17" applyAlignment="1" pivotButton="0" quotePrefix="0" xfId="0">
      <alignment horizontal="center"/>
    </xf>
    <xf numFmtId="4" fontId="62" fillId="0" borderId="17" applyAlignment="1" pivotButton="0" quotePrefix="0" xfId="0">
      <alignment horizontal="center"/>
    </xf>
    <xf numFmtId="164" fontId="62" fillId="0" borderId="17" applyAlignment="1" pivotButton="0" quotePrefix="0" xfId="0">
      <alignment horizontal="center"/>
    </xf>
    <xf numFmtId="3" fontId="18" fillId="2" borderId="6" applyAlignment="1" pivotButton="0" quotePrefix="0" xfId="0">
      <alignment horizontal="center" wrapText="1"/>
    </xf>
    <xf numFmtId="0" fontId="18" fillId="2" borderId="6" applyAlignment="1" pivotButton="0" quotePrefix="0" xfId="0">
      <alignment horizontal="center" wrapText="1"/>
    </xf>
    <xf numFmtId="4" fontId="18" fillId="2" borderId="73" applyAlignment="1" pivotButton="0" quotePrefix="0" xfId="0">
      <alignment horizontal="center" wrapText="1"/>
    </xf>
    <xf numFmtId="0" fontId="18" fillId="2" borderId="50" applyAlignment="1" pivotButton="0" quotePrefix="0" xfId="0">
      <alignment horizontal="center" wrapText="1"/>
    </xf>
    <xf numFmtId="4" fontId="18" fillId="2" borderId="49" applyAlignment="1" pivotButton="0" quotePrefix="0" xfId="0">
      <alignment horizontal="center" wrapText="1"/>
    </xf>
    <xf numFmtId="4" fontId="18" fillId="2" borderId="50" applyAlignment="1" pivotButton="0" quotePrefix="0" xfId="0">
      <alignment horizontal="center" wrapText="1"/>
    </xf>
    <xf numFmtId="170" fontId="22" fillId="0" borderId="1" applyAlignment="1" pivotButton="0" quotePrefix="0" xfId="0">
      <alignment horizontal="center"/>
    </xf>
    <xf numFmtId="164" fontId="22" fillId="0" borderId="1" applyAlignment="1" pivotButton="0" quotePrefix="0" xfId="0">
      <alignment horizontal="center"/>
    </xf>
    <xf numFmtId="4" fontId="18" fillId="2" borderId="6" applyAlignment="1" pivotButton="0" quotePrefix="0" xfId="0">
      <alignment horizontal="center" wrapText="1"/>
    </xf>
    <xf numFmtId="164" fontId="18" fillId="2" borderId="6" applyAlignment="1" pivotButton="0" quotePrefix="0" xfId="0">
      <alignment horizontal="center" wrapText="1"/>
    </xf>
    <xf numFmtId="164" fontId="18" fillId="2" borderId="50" applyAlignment="1" pivotButton="0" quotePrefix="0" xfId="0">
      <alignment horizontal="center" wrapText="1"/>
    </xf>
    <xf numFmtId="0" fontId="18" fillId="0" borderId="6" applyAlignment="1" pivotButton="0" quotePrefix="0" xfId="0">
      <alignment horizontal="left" wrapText="1"/>
    </xf>
    <xf numFmtId="4" fontId="18" fillId="0" borderId="6" applyAlignment="1" pivotButton="0" quotePrefix="0" xfId="0">
      <alignment horizontal="left" wrapText="1"/>
    </xf>
    <xf numFmtId="3" fontId="18" fillId="0" borderId="88" applyAlignment="1" pivotButton="0" quotePrefix="0" xfId="0">
      <alignment horizontal="center" wrapText="1"/>
    </xf>
    <xf numFmtId="4" fontId="18" fillId="0" borderId="88" applyAlignment="1" pivotButton="0" quotePrefix="0" xfId="0">
      <alignment horizontal="center" wrapText="1"/>
    </xf>
    <xf numFmtId="0" fontId="18" fillId="0" borderId="89" applyAlignment="1" pivotButton="0" quotePrefix="0" xfId="0">
      <alignment horizontal="center" wrapText="1"/>
    </xf>
    <xf numFmtId="3" fontId="18" fillId="0" borderId="90" applyAlignment="1" pivotButton="0" quotePrefix="0" xfId="0">
      <alignment horizontal="center" wrapText="1"/>
    </xf>
    <xf numFmtId="3" fontId="18" fillId="0" borderId="91" applyAlignment="1" pivotButton="0" quotePrefix="0" xfId="0">
      <alignment horizontal="center" wrapText="1"/>
    </xf>
    <xf numFmtId="4" fontId="18" fillId="0" borderId="19" applyAlignment="1" pivotButton="0" quotePrefix="0" xfId="0">
      <alignment horizontal="center" wrapText="1"/>
    </xf>
    <xf numFmtId="4" fontId="18" fillId="0" borderId="92" applyAlignment="1" pivotButton="0" quotePrefix="0" xfId="0">
      <alignment horizontal="center" wrapText="1"/>
    </xf>
    <xf numFmtId="3" fontId="18" fillId="0" borderId="93" applyAlignment="1" pivotButton="0" quotePrefix="0" xfId="0">
      <alignment horizontal="center" wrapText="1"/>
    </xf>
    <xf numFmtId="3" fontId="18" fillId="2" borderId="47" applyAlignment="1" pivotButton="0" quotePrefix="0" xfId="0">
      <alignment horizontal="center"/>
    </xf>
    <xf numFmtId="4" fontId="18" fillId="2" borderId="47" applyAlignment="1" pivotButton="0" quotePrefix="0" xfId="0">
      <alignment horizontal="center"/>
    </xf>
    <xf numFmtId="0" fontId="18" fillId="2" borderId="47" applyAlignment="1" pivotButton="0" quotePrefix="0" xfId="0">
      <alignment horizontal="center"/>
    </xf>
    <xf numFmtId="164" fontId="18" fillId="2" borderId="47" applyAlignment="1" pivotButton="0" quotePrefix="0" xfId="0">
      <alignment horizontal="center"/>
    </xf>
    <xf numFmtId="4" fontId="18" fillId="0" borderId="94" applyAlignment="1" pivotButton="0" quotePrefix="0" xfId="0">
      <alignment horizontal="left" wrapText="1"/>
    </xf>
    <xf numFmtId="0" fontId="18" fillId="0" borderId="90" applyAlignment="1" pivotButton="0" quotePrefix="0" xfId="0">
      <alignment horizontal="center" wrapText="1"/>
    </xf>
    <xf numFmtId="0" fontId="18" fillId="0" borderId="90" applyAlignment="1" pivotButton="0" quotePrefix="0" xfId="0">
      <alignment horizontal="center" wrapText="1"/>
    </xf>
    <xf numFmtId="4" fontId="18" fillId="0" borderId="93" applyAlignment="1" pivotButton="0" quotePrefix="0" xfId="0">
      <alignment horizontal="center" wrapText="1"/>
    </xf>
    <xf numFmtId="4" fontId="18" fillId="0" borderId="89" applyAlignment="1" pivotButton="0" quotePrefix="0" xfId="0">
      <alignment horizontal="center" wrapText="1"/>
    </xf>
    <xf numFmtId="0" fontId="18" fillId="2" borderId="47" applyAlignment="1" pivotButton="0" quotePrefix="0" xfId="0">
      <alignment horizontal="center"/>
    </xf>
    <xf numFmtId="3" fontId="18" fillId="0" borderId="95" applyAlignment="1" pivotButton="0" quotePrefix="0" xfId="0">
      <alignment horizontal="center" wrapText="1"/>
    </xf>
    <xf numFmtId="4" fontId="18" fillId="0" borderId="96" applyAlignment="1" pivotButton="0" quotePrefix="0" xfId="0">
      <alignment horizontal="center" wrapText="1"/>
    </xf>
    <xf numFmtId="0" fontId="18" fillId="0" borderId="97" applyAlignment="1" pivotButton="0" quotePrefix="0" xfId="0">
      <alignment horizontal="center" wrapText="1"/>
    </xf>
    <xf numFmtId="3" fontId="18" fillId="0" borderId="94" applyAlignment="1" pivotButton="0" quotePrefix="0" xfId="0">
      <alignment horizontal="center" wrapText="1"/>
    </xf>
    <xf numFmtId="0" fontId="18" fillId="0" borderId="18" applyAlignment="1" pivotButton="0" quotePrefix="0" xfId="0">
      <alignment horizontal="left" wrapText="1"/>
    </xf>
    <xf numFmtId="4" fontId="18" fillId="0" borderId="20" applyAlignment="1" pivotButton="0" quotePrefix="0" xfId="0">
      <alignment horizontal="left" wrapText="1"/>
    </xf>
    <xf numFmtId="4" fontId="18" fillId="0" borderId="94" applyAlignment="1" pivotButton="0" quotePrefix="0" xfId="0">
      <alignment horizontal="center" wrapText="1"/>
    </xf>
    <xf numFmtId="0" fontId="18" fillId="0" borderId="94" applyAlignment="1" pivotButton="0" quotePrefix="0" xfId="0">
      <alignment horizontal="center" wrapText="1"/>
    </xf>
    <xf numFmtId="3" fontId="18" fillId="2" borderId="98" applyAlignment="1" pivotButton="0" quotePrefix="0" xfId="0">
      <alignment horizontal="center" wrapText="1"/>
    </xf>
    <xf numFmtId="4" fontId="18" fillId="2" borderId="99" applyAlignment="1" pivotButton="0" quotePrefix="0" xfId="0">
      <alignment horizontal="center" wrapText="1"/>
    </xf>
    <xf numFmtId="4" fontId="18" fillId="2" borderId="100" applyAlignment="1" pivotButton="0" quotePrefix="0" xfId="0">
      <alignment horizontal="center" wrapText="1"/>
    </xf>
    <xf numFmtId="0" fontId="18" fillId="2" borderId="100" applyAlignment="1" pivotButton="0" quotePrefix="0" xfId="0">
      <alignment horizontal="center" wrapText="1"/>
    </xf>
    <xf numFmtId="3" fontId="146" fillId="0" borderId="1" applyAlignment="1" pivotButton="0" quotePrefix="0" xfId="0">
      <alignment horizontal="center"/>
    </xf>
    <xf numFmtId="4" fontId="146" fillId="0" borderId="1" applyAlignment="1" pivotButton="0" quotePrefix="0" xfId="0">
      <alignment horizontal="center"/>
    </xf>
    <xf numFmtId="0" fontId="146" fillId="0" borderId="1" applyAlignment="1" pivotButton="0" quotePrefix="0" xfId="0">
      <alignment horizontal="center"/>
    </xf>
    <xf numFmtId="170" fontId="18" fillId="0" borderId="1" applyAlignment="1" pivotButton="0" quotePrefix="0" xfId="0">
      <alignment horizontal="center" wrapText="1"/>
    </xf>
    <xf numFmtId="4" fontId="18" fillId="0" borderId="19" applyAlignment="1" pivotButton="0" quotePrefix="0" xfId="0">
      <alignment horizontal="left" wrapText="1"/>
    </xf>
    <xf numFmtId="164" fontId="18" fillId="0" borderId="20" applyAlignment="1" pivotButton="0" quotePrefix="0" xfId="0">
      <alignment horizontal="left" wrapText="1"/>
    </xf>
    <xf numFmtId="4" fontId="18" fillId="0" borderId="18" applyAlignment="1" pivotButton="0" quotePrefix="0" xfId="0">
      <alignment horizontal="right" wrapText="1"/>
    </xf>
    <xf numFmtId="4" fontId="18" fillId="0" borderId="20" applyAlignment="1" pivotButton="0" quotePrefix="0" xfId="0">
      <alignment horizontal="right" wrapText="1"/>
    </xf>
    <xf numFmtId="3" fontId="47" fillId="8" borderId="47" applyAlignment="1" pivotButton="0" quotePrefix="0" xfId="0">
      <alignment horizontal="left"/>
    </xf>
    <xf numFmtId="0" fontId="47" fillId="8" borderId="47" applyAlignment="1" pivotButton="0" quotePrefix="0" xfId="0">
      <alignment horizontal="left"/>
    </xf>
    <xf numFmtId="4" fontId="47" fillId="8" borderId="47" applyAlignment="1" pivotButton="0" quotePrefix="0" xfId="0">
      <alignment horizontal="left"/>
    </xf>
    <xf numFmtId="0" fontId="18" fillId="0" borderId="17" applyAlignment="1" pivotButton="0" quotePrefix="0" xfId="0">
      <alignment horizontal="left"/>
    </xf>
    <xf numFmtId="4" fontId="18" fillId="0" borderId="17" applyAlignment="1" pivotButton="0" quotePrefix="0" xfId="0">
      <alignment horizontal="left"/>
    </xf>
    <xf numFmtId="3" fontId="18" fillId="0" borderId="17" applyAlignment="1" pivotButton="0" quotePrefix="0" xfId="0">
      <alignment horizontal="left"/>
    </xf>
    <xf numFmtId="3" fontId="18" fillId="2" borderId="49" applyAlignment="1" pivotButton="0" quotePrefix="0" xfId="0">
      <alignment horizontal="center" wrapText="1"/>
    </xf>
    <xf numFmtId="4" fontId="54" fillId="2" borderId="49" applyAlignment="1" pivotButton="0" quotePrefix="0" xfId="0">
      <alignment horizontal="center" wrapText="1"/>
    </xf>
    <xf numFmtId="0" fontId="54" fillId="2" borderId="73" applyAlignment="1" pivotButton="0" quotePrefix="0" xfId="0">
      <alignment horizontal="center" wrapText="1"/>
    </xf>
    <xf numFmtId="3" fontId="54" fillId="2" borderId="73" applyAlignment="1" pivotButton="0" quotePrefix="0" xfId="0">
      <alignment horizontal="center" wrapText="1"/>
    </xf>
    <xf numFmtId="4" fontId="54" fillId="2" borderId="50" applyAlignment="1" pivotButton="0" quotePrefix="0" xfId="0">
      <alignment horizontal="center" wrapText="1"/>
    </xf>
    <xf numFmtId="0" fontId="18" fillId="5" borderId="6" applyAlignment="1" pivotButton="0" quotePrefix="0" xfId="0">
      <alignment horizontal="left" wrapText="1"/>
    </xf>
    <xf numFmtId="4" fontId="18" fillId="5" borderId="6" applyAlignment="1" pivotButton="0" quotePrefix="0" xfId="0">
      <alignment horizontal="left" wrapText="1"/>
    </xf>
    <xf numFmtId="4" fontId="18" fillId="5" borderId="49" applyAlignment="1" pivotButton="0" quotePrefix="0" xfId="0">
      <alignment horizontal="center" wrapText="1"/>
    </xf>
    <xf numFmtId="0" fontId="18" fillId="5" borderId="73" applyAlignment="1" pivotButton="0" quotePrefix="0" xfId="0">
      <alignment horizontal="center" wrapText="1"/>
    </xf>
    <xf numFmtId="3" fontId="18" fillId="5" borderId="73" applyAlignment="1" pivotButton="0" quotePrefix="0" xfId="0">
      <alignment horizontal="center" wrapText="1"/>
    </xf>
    <xf numFmtId="4" fontId="18" fillId="5" borderId="50" applyAlignment="1" pivotButton="0" quotePrefix="0" xfId="0">
      <alignment horizontal="center" wrapText="1"/>
    </xf>
    <xf numFmtId="3" fontId="18" fillId="5" borderId="49" applyAlignment="1" pivotButton="0" quotePrefix="0" xfId="0">
      <alignment horizontal="center" wrapText="1"/>
    </xf>
    <xf numFmtId="4" fontId="18" fillId="5" borderId="73" applyAlignment="1" pivotButton="0" quotePrefix="0" xfId="0">
      <alignment horizontal="center" wrapText="1"/>
    </xf>
    <xf numFmtId="0" fontId="18" fillId="5" borderId="50" applyAlignment="1" pivotButton="0" quotePrefix="0" xfId="0">
      <alignment horizontal="center" wrapText="1"/>
    </xf>
    <xf numFmtId="4" fontId="18" fillId="0" borderId="6" applyAlignment="1" pivotButton="0" quotePrefix="0" xfId="0">
      <alignment horizontal="center" wrapText="1"/>
    </xf>
    <xf numFmtId="164" fontId="18" fillId="0" borderId="6" applyAlignment="1" pivotButton="0" quotePrefix="0" xfId="0">
      <alignment horizontal="center" wrapText="1"/>
    </xf>
    <xf numFmtId="4" fontId="18" fillId="2" borderId="49" applyAlignment="1" pivotButton="0" quotePrefix="0" xfId="0">
      <alignment horizontal="right" wrapText="1"/>
    </xf>
    <xf numFmtId="4" fontId="18" fillId="2" borderId="50" applyAlignment="1" pivotButton="0" quotePrefix="0" xfId="0">
      <alignment horizontal="right" wrapText="1"/>
    </xf>
    <xf numFmtId="3" fontId="18" fillId="2" borderId="73" applyAlignment="1" pivotButton="0" quotePrefix="0" xfId="0">
      <alignment horizontal="center" wrapText="1"/>
    </xf>
    <xf numFmtId="0" fontId="147" fillId="0" borderId="1" applyAlignment="1" pivotButton="0" quotePrefix="0" xfId="0">
      <alignment horizontal="left"/>
    </xf>
    <xf numFmtId="3" fontId="146" fillId="0" borderId="1" applyAlignment="1" pivotButton="0" quotePrefix="0" xfId="0">
      <alignment horizontal="right"/>
    </xf>
    <xf numFmtId="164" fontId="18" fillId="0" borderId="6" applyAlignment="1" pivotButton="0" quotePrefix="0" xfId="0">
      <alignment horizontal="left" wrapText="1"/>
    </xf>
    <xf numFmtId="3" fontId="18" fillId="8" borderId="47" applyAlignment="1" pivotButton="0" quotePrefix="0" xfId="0">
      <alignment horizontal="left"/>
    </xf>
    <xf numFmtId="0" fontId="18" fillId="8" borderId="47" applyAlignment="1" pivotButton="0" quotePrefix="0" xfId="0">
      <alignment horizontal="left"/>
    </xf>
    <xf numFmtId="4" fontId="18" fillId="8" borderId="47" applyAlignment="1" pivotButton="0" quotePrefix="0" xfId="0">
      <alignment horizontal="left"/>
    </xf>
    <xf numFmtId="4" fontId="18" fillId="0" borderId="1" applyAlignment="1" pivotButton="0" quotePrefix="0" xfId="0">
      <alignment horizontal="right"/>
    </xf>
    <xf numFmtId="166" fontId="18" fillId="0" borderId="1" applyAlignment="1" pivotButton="0" quotePrefix="0" xfId="0">
      <alignment horizontal="right"/>
    </xf>
    <xf numFmtId="166" fontId="18" fillId="0" borderId="1" applyAlignment="1" pivotButton="0" quotePrefix="0" xfId="0">
      <alignment horizontal="left"/>
    </xf>
    <xf numFmtId="166" fontId="54" fillId="0" borderId="1" applyAlignment="1" pivotButton="0" quotePrefix="0" xfId="0">
      <alignment horizontal="left"/>
    </xf>
    <xf numFmtId="164" fontId="18" fillId="0" borderId="1" applyAlignment="1" pivotButton="0" quotePrefix="0" xfId="0">
      <alignment horizontal="right"/>
    </xf>
    <xf numFmtId="164" fontId="7" fillId="0" borderId="1" applyAlignment="1" pivotButton="0" quotePrefix="0" xfId="0">
      <alignment horizontal="right"/>
    </xf>
    <xf numFmtId="164" fontId="7" fillId="0" borderId="1" applyAlignment="1" pivotButton="0" quotePrefix="0" xfId="0">
      <alignment horizontal="center"/>
    </xf>
    <xf numFmtId="3" fontId="145" fillId="8" borderId="77" applyAlignment="1" pivotButton="0" quotePrefix="0" xfId="0">
      <alignment horizontal="center"/>
    </xf>
    <xf numFmtId="0" fontId="145" fillId="8" borderId="77" applyAlignment="1" pivotButton="0" quotePrefix="0" xfId="0">
      <alignment horizontal="center"/>
    </xf>
    <xf numFmtId="4" fontId="145" fillId="8" borderId="77" applyAlignment="1" pivotButton="0" quotePrefix="0" xfId="0">
      <alignment horizontal="center"/>
    </xf>
    <xf numFmtId="164" fontId="145" fillId="8" borderId="77" applyAlignment="1" pivotButton="0" quotePrefix="0" xfId="0">
      <alignment horizontal="center"/>
    </xf>
    <xf numFmtId="0" fontId="18" fillId="2" borderId="49" applyAlignment="1" pivotButton="0" quotePrefix="0" xfId="0">
      <alignment horizontal="center" wrapText="1"/>
    </xf>
    <xf numFmtId="0" fontId="18" fillId="2" borderId="73" applyAlignment="1" pivotButton="0" quotePrefix="0" xfId="0">
      <alignment horizontal="center" wrapText="1"/>
    </xf>
    <xf numFmtId="3" fontId="18" fillId="2" borderId="6" applyAlignment="1" pivotButton="0" quotePrefix="0" xfId="0">
      <alignment horizontal="left" wrapText="1"/>
    </xf>
    <xf numFmtId="164" fontId="18" fillId="2" borderId="47" applyAlignment="1" pivotButton="0" quotePrefix="0" xfId="0">
      <alignment horizontal="center" wrapText="1"/>
    </xf>
    <xf numFmtId="4" fontId="148" fillId="0" borderId="18" applyAlignment="1" pivotButton="0" quotePrefix="0" xfId="0">
      <alignment horizontal="right" wrapText="1"/>
    </xf>
    <xf numFmtId="4" fontId="148" fillId="0" borderId="19" applyAlignment="1" pivotButton="0" quotePrefix="0" xfId="0">
      <alignment horizontal="right" wrapText="1"/>
    </xf>
    <xf numFmtId="4" fontId="148" fillId="0" borderId="20" applyAlignment="1" pivotButton="0" quotePrefix="0" xfId="0">
      <alignment horizontal="right" wrapText="1"/>
    </xf>
    <xf numFmtId="3" fontId="148" fillId="0" borderId="18" applyAlignment="1" pivotButton="0" quotePrefix="0" xfId="0">
      <alignment horizontal="right" wrapText="1"/>
    </xf>
    <xf numFmtId="3" fontId="148" fillId="0" borderId="20" applyAlignment="1" pivotButton="0" quotePrefix="0" xfId="0">
      <alignment horizontal="right" wrapText="1"/>
    </xf>
    <xf numFmtId="3" fontId="149" fillId="0" borderId="6" applyAlignment="1" pivotButton="0" quotePrefix="0" xfId="0">
      <alignment horizontal="right" wrapText="1"/>
    </xf>
    <xf numFmtId="0" fontId="54" fillId="2" borderId="47" applyAlignment="1" pivotButton="0" quotePrefix="0" xfId="0">
      <alignment horizontal="center"/>
    </xf>
    <xf numFmtId="0" fontId="54" fillId="2" borderId="47" applyAlignment="1" pivotButton="0" quotePrefix="0" xfId="0">
      <alignment horizontal="center"/>
    </xf>
    <xf numFmtId="3" fontId="18" fillId="0" borderId="18" applyAlignment="1" pivotButton="0" quotePrefix="0" xfId="0">
      <alignment horizontal="center" wrapText="1"/>
    </xf>
    <xf numFmtId="0" fontId="18" fillId="0" borderId="19" applyAlignment="1" pivotButton="0" quotePrefix="0" xfId="0">
      <alignment horizontal="center" wrapText="1"/>
    </xf>
    <xf numFmtId="164" fontId="18" fillId="0" borderId="20" applyAlignment="1" pivotButton="0" quotePrefix="0" xfId="0">
      <alignment horizontal="center" wrapText="1"/>
    </xf>
    <xf numFmtId="0" fontId="18" fillId="0" borderId="20" applyAlignment="1" pivotButton="0" quotePrefix="0" xfId="0">
      <alignment horizontal="center" wrapText="1"/>
    </xf>
    <xf numFmtId="164" fontId="18" fillId="0" borderId="1" applyAlignment="1" pivotButton="0" quotePrefix="0" xfId="0">
      <alignment horizontal="left" wrapText="1"/>
    </xf>
    <xf numFmtId="3" fontId="150" fillId="8" borderId="47" applyAlignment="1" pivotButton="0" quotePrefix="0" xfId="0">
      <alignment horizontal="center"/>
    </xf>
    <xf numFmtId="0" fontId="150" fillId="8" borderId="47" applyAlignment="1" pivotButton="0" quotePrefix="0" xfId="0">
      <alignment horizontal="center"/>
    </xf>
    <xf numFmtId="4" fontId="150" fillId="8" borderId="47" applyAlignment="1" pivotButton="0" quotePrefix="0" xfId="0">
      <alignment horizontal="center"/>
    </xf>
    <xf numFmtId="164" fontId="150" fillId="8" borderId="47" applyAlignment="1" pivotButton="0" quotePrefix="0" xfId="0">
      <alignment horizontal="center"/>
    </xf>
    <xf numFmtId="3" fontId="18" fillId="0" borderId="20" applyAlignment="1" pivotButton="0" quotePrefix="0" xfId="0">
      <alignment horizontal="center" wrapText="1"/>
    </xf>
    <xf numFmtId="0" fontId="18" fillId="2" borderId="49" applyAlignment="1" pivotButton="0" quotePrefix="0" xfId="0">
      <alignment horizontal="center" wrapText="1"/>
    </xf>
    <xf numFmtId="3" fontId="18" fillId="0" borderId="19" applyAlignment="1" pivotButton="0" quotePrefix="0" xfId="0">
      <alignment horizontal="left" wrapText="1"/>
    </xf>
    <xf numFmtId="0" fontId="148" fillId="0" borderId="18" applyAlignment="1" pivotButton="0" quotePrefix="0" xfId="0">
      <alignment horizontal="left" wrapText="1"/>
    </xf>
    <xf numFmtId="0" fontId="148" fillId="0" borderId="18" applyAlignment="1" pivotButton="0" quotePrefix="0" xfId="0">
      <alignment horizontal="right" wrapText="1"/>
    </xf>
    <xf numFmtId="3" fontId="18" fillId="0" borderId="19" applyAlignment="1" pivotButton="0" quotePrefix="0" xfId="0">
      <alignment horizontal="center" wrapText="1"/>
    </xf>
    <xf numFmtId="4" fontId="18" fillId="0" borderId="20" applyAlignment="1" pivotButton="0" quotePrefix="0" xfId="0">
      <alignment horizontal="center" wrapText="1"/>
    </xf>
    <xf numFmtId="4" fontId="18" fillId="0" borderId="17" applyAlignment="1" pivotButton="0" quotePrefix="0" xfId="0">
      <alignment horizontal="center"/>
    </xf>
    <xf numFmtId="0" fontId="18" fillId="0" borderId="17" applyAlignment="1" pivotButton="0" quotePrefix="0" xfId="0">
      <alignment horizontal="center"/>
    </xf>
    <xf numFmtId="164" fontId="18" fillId="0" borderId="1" applyAlignment="1" pivotButton="0" quotePrefix="0" xfId="0">
      <alignment horizontal="center" wrapText="1"/>
    </xf>
    <xf numFmtId="3" fontId="151" fillId="0" borderId="1" applyAlignment="1" pivotButton="0" quotePrefix="0" xfId="0">
      <alignment horizontal="center"/>
    </xf>
    <xf numFmtId="0" fontId="151" fillId="0" borderId="1" applyAlignment="1" pivotButton="0" quotePrefix="0" xfId="0">
      <alignment horizontal="center"/>
    </xf>
    <xf numFmtId="4" fontId="151" fillId="0" borderId="1" applyAlignment="1" pivotButton="0" quotePrefix="0" xfId="0">
      <alignment horizontal="center"/>
    </xf>
    <xf numFmtId="164" fontId="151" fillId="0" borderId="1" applyAlignment="1" pivotButton="0" quotePrefix="0" xfId="0">
      <alignment horizontal="center"/>
    </xf>
    <xf numFmtId="4" fontId="146" fillId="0" borderId="1" applyAlignment="1" pivotButton="0" quotePrefix="0" xfId="0">
      <alignment horizontal="right"/>
    </xf>
    <xf numFmtId="0" fontId="146" fillId="0" borderId="1" applyAlignment="1" pivotButton="0" quotePrefix="0" xfId="0">
      <alignment horizontal="right"/>
    </xf>
    <xf numFmtId="164" fontId="146" fillId="0" borderId="1" applyAlignment="1" pivotButton="0" quotePrefix="0" xfId="0">
      <alignment horizontal="right"/>
    </xf>
    <xf numFmtId="164" fontId="18" fillId="2" borderId="49" applyAlignment="1" pivotButton="0" quotePrefix="0" xfId="0">
      <alignment horizontal="center" wrapText="1"/>
    </xf>
    <xf numFmtId="164" fontId="18" fillId="2" borderId="73" applyAlignment="1" pivotButton="0" quotePrefix="0" xfId="0">
      <alignment horizontal="center" wrapText="1"/>
    </xf>
    <xf numFmtId="164" fontId="113" fillId="5" borderId="73" applyAlignment="1" pivotButton="0" quotePrefix="0" xfId="0">
      <alignment horizontal="left"/>
    </xf>
    <xf numFmtId="4" fontId="113" fillId="5" borderId="73" applyAlignment="1" pivotButton="0" quotePrefix="0" xfId="0">
      <alignment horizontal="left"/>
    </xf>
    <xf numFmtId="0" fontId="113" fillId="5" borderId="73" applyAlignment="1" pivotButton="0" quotePrefix="0" xfId="0">
      <alignment horizontal="left"/>
    </xf>
    <xf numFmtId="3" fontId="18" fillId="2" borderId="69" applyAlignment="1" pivotButton="0" quotePrefix="0" xfId="0">
      <alignment horizontal="center" wrapText="1"/>
    </xf>
    <xf numFmtId="0" fontId="18" fillId="2" borderId="69" applyAlignment="1" pivotButton="0" quotePrefix="0" xfId="0">
      <alignment horizontal="right" wrapText="1"/>
    </xf>
    <xf numFmtId="0" fontId="18" fillId="2" borderId="48" applyAlignment="1" pivotButton="0" quotePrefix="0" xfId="0">
      <alignment horizontal="right" wrapText="1"/>
    </xf>
    <xf numFmtId="4" fontId="18" fillId="2" borderId="48" applyAlignment="1" pivotButton="0" quotePrefix="0" xfId="0">
      <alignment horizontal="right" wrapText="1"/>
    </xf>
    <xf numFmtId="0" fontId="18" fillId="2" borderId="70" applyAlignment="1" pivotButton="0" quotePrefix="0" xfId="0">
      <alignment horizontal="right" wrapText="1"/>
    </xf>
    <xf numFmtId="4" fontId="18" fillId="2" borderId="69" applyAlignment="1" pivotButton="0" quotePrefix="0" xfId="0">
      <alignment horizontal="center" wrapText="1"/>
    </xf>
    <xf numFmtId="4" fontId="18" fillId="2" borderId="48" applyAlignment="1" pivotButton="0" quotePrefix="0" xfId="0">
      <alignment horizontal="center" wrapText="1"/>
    </xf>
    <xf numFmtId="4" fontId="18" fillId="2" borderId="70" applyAlignment="1" pivotButton="0" quotePrefix="0" xfId="0">
      <alignment horizontal="center" wrapText="1"/>
    </xf>
    <xf numFmtId="3" fontId="18" fillId="0" borderId="64" applyAlignment="1" pivotButton="0" quotePrefix="0" xfId="0">
      <alignment horizontal="center" wrapText="1"/>
    </xf>
    <xf numFmtId="0" fontId="18" fillId="0" borderId="64" applyAlignment="1" pivotButton="0" quotePrefix="0" xfId="0">
      <alignment horizontal="left" wrapText="1"/>
    </xf>
    <xf numFmtId="0" fontId="18" fillId="0" borderId="66" applyAlignment="1" pivotButton="0" quotePrefix="0" xfId="0">
      <alignment horizontal="left" wrapText="1"/>
    </xf>
    <xf numFmtId="164" fontId="18" fillId="0" borderId="65" applyAlignment="1" pivotButton="0" quotePrefix="0" xfId="0">
      <alignment horizontal="center" wrapText="1"/>
    </xf>
    <xf numFmtId="4" fontId="18" fillId="0" borderId="17" applyAlignment="1" pivotButton="0" quotePrefix="0" xfId="0">
      <alignment horizontal="center" wrapText="1"/>
    </xf>
    <xf numFmtId="4" fontId="18" fillId="0" borderId="68" applyAlignment="1" pivotButton="0" quotePrefix="0" xfId="0">
      <alignment horizontal="center" wrapText="1"/>
    </xf>
    <xf numFmtId="164" fontId="18" fillId="2" borderId="69" applyAlignment="1" pivotButton="0" quotePrefix="0" xfId="0">
      <alignment horizontal="center" wrapText="1"/>
    </xf>
    <xf numFmtId="4" fontId="18" fillId="0" borderId="64" applyAlignment="1" pivotButton="0" quotePrefix="0" xfId="0">
      <alignment horizontal="center" wrapText="1"/>
    </xf>
    <xf numFmtId="4" fontId="18" fillId="0" borderId="66" applyAlignment="1" pivotButton="0" quotePrefix="0" xfId="0">
      <alignment horizontal="center" wrapText="1"/>
    </xf>
    <xf numFmtId="3" fontId="18" fillId="0" borderId="65" applyAlignment="1" pivotButton="0" quotePrefix="0" xfId="0">
      <alignment horizontal="center" wrapText="1"/>
    </xf>
    <xf numFmtId="0" fontId="18" fillId="0" borderId="65" applyAlignment="1" pivotButton="0" quotePrefix="0" xfId="0">
      <alignment horizontal="left" wrapText="1"/>
    </xf>
    <xf numFmtId="0" fontId="18" fillId="0" borderId="17" applyAlignment="1" pivotButton="0" quotePrefix="0" xfId="0">
      <alignment horizontal="left" wrapText="1"/>
    </xf>
    <xf numFmtId="4" fontId="18" fillId="0" borderId="17" applyAlignment="1" pivotButton="0" quotePrefix="0" xfId="0">
      <alignment horizontal="left" wrapText="1"/>
    </xf>
    <xf numFmtId="0" fontId="18" fillId="0" borderId="68" applyAlignment="1" pivotButton="0" quotePrefix="0" xfId="0">
      <alignment horizontal="left" wrapText="1"/>
    </xf>
    <xf numFmtId="4" fontId="18" fillId="0" borderId="65" applyAlignment="1" pivotButton="0" quotePrefix="0" xfId="0">
      <alignment horizontal="center" wrapText="1"/>
    </xf>
    <xf numFmtId="3" fontId="18" fillId="2" borderId="49" applyAlignment="1" pivotButton="0" quotePrefix="0" xfId="0">
      <alignment horizontal="center"/>
    </xf>
    <xf numFmtId="0" fontId="18" fillId="2" borderId="50" applyAlignment="1" pivotButton="0" quotePrefix="0" xfId="0">
      <alignment horizontal="center"/>
    </xf>
    <xf numFmtId="3" fontId="18" fillId="2" borderId="71" applyAlignment="1" pivotButton="0" quotePrefix="0" xfId="0">
      <alignment horizontal="center" wrapText="1"/>
    </xf>
    <xf numFmtId="0" fontId="18" fillId="2" borderId="71" applyAlignment="1" pivotButton="0" quotePrefix="0" xfId="0">
      <alignment horizontal="right" wrapText="1"/>
    </xf>
    <xf numFmtId="0" fontId="18" fillId="2" borderId="47" applyAlignment="1" pivotButton="0" quotePrefix="0" xfId="0">
      <alignment horizontal="right" wrapText="1"/>
    </xf>
    <xf numFmtId="4" fontId="18" fillId="2" borderId="47" applyAlignment="1" pivotButton="0" quotePrefix="0" xfId="0">
      <alignment horizontal="right" wrapText="1"/>
    </xf>
    <xf numFmtId="0" fontId="18" fillId="2" borderId="72" applyAlignment="1" pivotButton="0" quotePrefix="0" xfId="0">
      <alignment horizontal="right" wrapText="1"/>
    </xf>
    <xf numFmtId="0" fontId="18" fillId="0" borderId="18" applyAlignment="1" pivotButton="0" quotePrefix="0" xfId="0">
      <alignment horizontal="center" wrapText="1"/>
    </xf>
    <xf numFmtId="0" fontId="18" fillId="2" borderId="6" applyAlignment="1" pivotButton="0" quotePrefix="0" xfId="0">
      <alignment horizontal="right" wrapText="1"/>
    </xf>
    <xf numFmtId="4" fontId="18" fillId="2" borderId="6" applyAlignment="1" pivotButton="0" quotePrefix="0" xfId="0">
      <alignment horizontal="right" wrapText="1"/>
    </xf>
    <xf numFmtId="0" fontId="18" fillId="2" borderId="49" applyAlignment="1" pivotButton="0" quotePrefix="0" xfId="0">
      <alignment horizontal="right" wrapText="1"/>
    </xf>
    <xf numFmtId="3" fontId="47" fillId="2" borderId="47" applyAlignment="1" pivotButton="0" quotePrefix="0" xfId="0">
      <alignment horizontal="center"/>
    </xf>
    <xf numFmtId="0" fontId="47" fillId="2" borderId="47" applyAlignment="1" pivotButton="0" quotePrefix="0" xfId="0">
      <alignment horizontal="center"/>
    </xf>
    <xf numFmtId="4" fontId="47" fillId="2" borderId="47" applyAlignment="1" pivotButton="0" quotePrefix="0" xfId="0">
      <alignment horizontal="center"/>
    </xf>
    <xf numFmtId="164" fontId="47" fillId="2" borderId="47" applyAlignment="1" pivotButton="0" quotePrefix="0" xfId="0">
      <alignment horizontal="center"/>
    </xf>
    <xf numFmtId="3" fontId="47" fillId="0" borderId="17" applyAlignment="1" pivotButton="0" quotePrefix="0" xfId="0">
      <alignment horizontal="right"/>
    </xf>
    <xf numFmtId="0" fontId="47" fillId="0" borderId="17" applyAlignment="1" pivotButton="0" quotePrefix="0" xfId="0">
      <alignment horizontal="right"/>
    </xf>
    <xf numFmtId="4" fontId="47" fillId="0" borderId="17" applyAlignment="1" pivotButton="0" quotePrefix="0" xfId="0">
      <alignment horizontal="right"/>
    </xf>
    <xf numFmtId="4" fontId="18" fillId="0" borderId="1" applyAlignment="1" pivotButton="0" quotePrefix="0" xfId="0">
      <alignment horizontal="right" wrapText="1"/>
    </xf>
    <xf numFmtId="4" fontId="18" fillId="0" borderId="66" applyAlignment="1" pivotButton="0" quotePrefix="0" xfId="0">
      <alignment horizontal="right" wrapText="1"/>
    </xf>
    <xf numFmtId="3" fontId="44" fillId="8" borderId="47" applyAlignment="1" pivotButton="0" quotePrefix="0" xfId="0">
      <alignment horizontal="center"/>
    </xf>
    <xf numFmtId="0" fontId="44" fillId="8" borderId="47" applyAlignment="1" pivotButton="0" quotePrefix="0" xfId="0">
      <alignment horizontal="center"/>
    </xf>
    <xf numFmtId="4" fontId="44" fillId="8" borderId="47" applyAlignment="1" pivotButton="0" quotePrefix="0" xfId="0">
      <alignment horizontal="center"/>
    </xf>
    <xf numFmtId="164" fontId="44" fillId="8" borderId="47" applyAlignment="1" pivotButton="0" quotePrefix="0" xfId="0">
      <alignment horizontal="center"/>
    </xf>
    <xf numFmtId="3" fontId="108" fillId="0" borderId="93" applyAlignment="1" pivotButton="0" quotePrefix="0" xfId="0">
      <alignment horizontal="center" wrapText="1"/>
    </xf>
    <xf numFmtId="4" fontId="108" fillId="0" borderId="88" applyAlignment="1" pivotButton="0" quotePrefix="0" xfId="0">
      <alignment horizontal="center" wrapText="1"/>
    </xf>
    <xf numFmtId="0" fontId="108" fillId="0" borderId="89" applyAlignment="1" pivotButton="0" quotePrefix="0" xfId="0">
      <alignment horizontal="center" wrapText="1"/>
    </xf>
    <xf numFmtId="3" fontId="108" fillId="0" borderId="90" applyAlignment="1" pivotButton="0" quotePrefix="0" xfId="0">
      <alignment horizontal="center" wrapText="1"/>
    </xf>
    <xf numFmtId="3" fontId="108" fillId="0" borderId="91" applyAlignment="1" pivotButton="0" quotePrefix="0" xfId="0">
      <alignment horizontal="center" wrapText="1"/>
    </xf>
    <xf numFmtId="4" fontId="108" fillId="0" borderId="19" applyAlignment="1" pivotButton="0" quotePrefix="0" xfId="0">
      <alignment horizontal="center" wrapText="1"/>
    </xf>
    <xf numFmtId="4" fontId="108" fillId="0" borderId="92" applyAlignment="1" pivotButton="0" quotePrefix="0" xfId="0">
      <alignment horizontal="center" wrapText="1"/>
    </xf>
    <xf numFmtId="3" fontId="152" fillId="0" borderId="1" applyAlignment="1" pivotButton="0" quotePrefix="0" xfId="0">
      <alignment horizontal="right"/>
    </xf>
    <xf numFmtId="3" fontId="54" fillId="2" borderId="47" applyAlignment="1" pivotButton="0" quotePrefix="0" xfId="0">
      <alignment horizontal="center"/>
    </xf>
    <xf numFmtId="4" fontId="54" fillId="2" borderId="47" applyAlignment="1" pivotButton="0" quotePrefix="0" xfId="0">
      <alignment horizontal="center"/>
    </xf>
    <xf numFmtId="0" fontId="18" fillId="2" borderId="6" applyAlignment="1" pivotButton="0" quotePrefix="0" xfId="0">
      <alignment horizontal="left" wrapText="1"/>
    </xf>
    <xf numFmtId="0" fontId="18" fillId="2" borderId="49" applyAlignment="1" pivotButton="0" quotePrefix="0" xfId="0">
      <alignment horizontal="left" wrapText="1"/>
    </xf>
    <xf numFmtId="4" fontId="7" fillId="0" borderId="18" applyAlignment="1" pivotButton="0" quotePrefix="0" xfId="0">
      <alignment horizontal="center" wrapText="1"/>
    </xf>
    <xf numFmtId="4" fontId="7" fillId="0" borderId="19" applyAlignment="1" pivotButton="0" quotePrefix="0" xfId="0">
      <alignment horizontal="center" wrapText="1"/>
    </xf>
    <xf numFmtId="4" fontId="7" fillId="0" borderId="20" applyAlignment="1" pivotButton="0" quotePrefix="0" xfId="0">
      <alignment horizontal="center" wrapText="1"/>
    </xf>
    <xf numFmtId="4" fontId="18" fillId="0" borderId="18" applyAlignment="1" pivotButton="0" quotePrefix="0" xfId="0">
      <alignment horizontal="center" wrapText="1"/>
    </xf>
    <xf numFmtId="0" fontId="153" fillId="0" borderId="1" applyAlignment="1" pivotButton="0" quotePrefix="0" xfId="0">
      <alignment horizontal="right"/>
    </xf>
    <xf numFmtId="4" fontId="18" fillId="0" borderId="6" applyAlignment="1" pivotButton="0" quotePrefix="0" xfId="0">
      <alignment horizontal="right" wrapText="1"/>
    </xf>
    <xf numFmtId="3" fontId="18" fillId="8" borderId="47" applyAlignment="1" pivotButton="0" quotePrefix="0" xfId="0">
      <alignment horizontal="center"/>
    </xf>
    <xf numFmtId="0" fontId="18" fillId="8" borderId="47" applyAlignment="1" pivotButton="0" quotePrefix="0" xfId="0">
      <alignment horizontal="center"/>
    </xf>
    <xf numFmtId="4" fontId="18" fillId="8" borderId="47" applyAlignment="1" pivotButton="0" quotePrefix="0" xfId="0">
      <alignment horizontal="center"/>
    </xf>
    <xf numFmtId="164" fontId="18" fillId="8" borderId="47" applyAlignment="1" pivotButton="0" quotePrefix="0" xfId="0">
      <alignment horizontal="center"/>
    </xf>
    <xf numFmtId="0" fontId="18" fillId="0" borderId="18" applyAlignment="1" pivotButton="0" quotePrefix="0" xfId="0">
      <alignment horizontal="left"/>
    </xf>
    <xf numFmtId="4" fontId="18" fillId="0" borderId="19" applyAlignment="1" pivotButton="0" quotePrefix="0" xfId="0">
      <alignment horizontal="left"/>
    </xf>
    <xf numFmtId="0" fontId="18" fillId="0" borderId="20" applyAlignment="1" pivotButton="0" quotePrefix="0" xfId="0">
      <alignment horizontal="left"/>
    </xf>
    <xf numFmtId="0" fontId="47" fillId="0" borderId="18" applyAlignment="1" pivotButton="0" quotePrefix="0" xfId="0">
      <alignment horizontal="center" wrapText="1"/>
    </xf>
    <xf numFmtId="0" fontId="47" fillId="0" borderId="19" applyAlignment="1" pivotButton="0" quotePrefix="0" xfId="0">
      <alignment horizontal="center" wrapText="1"/>
    </xf>
    <xf numFmtId="4" fontId="47" fillId="0" borderId="20" applyAlignment="1" pivotButton="0" quotePrefix="0" xfId="0">
      <alignment horizontal="center" wrapText="1"/>
    </xf>
    <xf numFmtId="4" fontId="47" fillId="0" borderId="6" applyAlignment="1" pivotButton="0" quotePrefix="0" xfId="0">
      <alignment horizontal="right" wrapText="1"/>
    </xf>
    <xf numFmtId="164" fontId="7" fillId="0" borderId="18" applyAlignment="1" pivotButton="0" quotePrefix="0" xfId="0">
      <alignment horizontal="right"/>
    </xf>
    <xf numFmtId="4" fontId="7" fillId="0" borderId="19" applyAlignment="1" pivotButton="0" quotePrefix="0" xfId="0">
      <alignment horizontal="center"/>
    </xf>
    <xf numFmtId="164" fontId="7" fillId="0" borderId="19" applyAlignment="1" pivotButton="0" quotePrefix="0" xfId="0">
      <alignment horizontal="left"/>
    </xf>
    <xf numFmtId="164" fontId="7" fillId="0" borderId="19" applyAlignment="1" pivotButton="0" quotePrefix="0" xfId="0">
      <alignment horizontal="center"/>
    </xf>
    <xf numFmtId="164" fontId="7" fillId="0" borderId="20" applyAlignment="1" pivotButton="0" quotePrefix="0" xfId="0">
      <alignment horizontal="center"/>
    </xf>
    <xf numFmtId="3" fontId="8" fillId="0" borderId="1" applyAlignment="1" pivotButton="0" quotePrefix="0" xfId="0">
      <alignment horizontal="left"/>
    </xf>
    <xf numFmtId="0" fontId="47" fillId="0" borderId="6" applyAlignment="1" pivotButton="0" quotePrefix="0" xfId="0">
      <alignment horizontal="center" wrapText="1"/>
    </xf>
    <xf numFmtId="0" fontId="147" fillId="0" borderId="1" applyAlignment="1" pivotButton="0" quotePrefix="0" xfId="0">
      <alignment horizontal="center"/>
    </xf>
    <xf numFmtId="3" fontId="147" fillId="0" borderId="1" applyAlignment="1" pivotButton="0" quotePrefix="0" xfId="0">
      <alignment horizontal="center"/>
    </xf>
    <xf numFmtId="170" fontId="0" fillId="0" borderId="0" applyAlignment="1" pivotButton="0" quotePrefix="0" xfId="0">
      <alignment horizontal="general"/>
    </xf>
    <xf numFmtId="165" fontId="0" fillId="0" borderId="0" applyAlignment="1" pivotButton="0" quotePrefix="0" xfId="0">
      <alignment horizontal="general" wrapText="1"/>
    </xf>
    <xf numFmtId="14" fontId="0" fillId="0" borderId="0" applyAlignment="1" pivotButton="0" quotePrefix="0" xfId="0">
      <alignment horizontal="general" wrapText="1"/>
    </xf>
    <xf numFmtId="3" fontId="11" fillId="0" borderId="1" applyAlignment="1" pivotButton="0" quotePrefix="0" xfId="0">
      <alignment horizontal="right" wrapText="1"/>
    </xf>
    <xf numFmtId="3" fontId="44" fillId="0" borderId="1" applyAlignment="1" pivotButton="0" quotePrefix="0" xfId="0">
      <alignment horizontal="center"/>
    </xf>
    <xf numFmtId="165" fontId="44" fillId="0" borderId="1" applyAlignment="1" pivotButton="0" quotePrefix="0" xfId="0">
      <alignment horizontal="center"/>
    </xf>
    <xf numFmtId="168" fontId="44" fillId="0" borderId="1" applyAlignment="1" pivotButton="0" quotePrefix="0" xfId="0">
      <alignment horizontal="center"/>
    </xf>
    <xf numFmtId="1" fontId="44" fillId="0" borderId="1" applyAlignment="1" pivotButton="0" quotePrefix="0" xfId="0">
      <alignment horizontal="center"/>
    </xf>
    <xf numFmtId="14" fontId="44" fillId="0" borderId="1" applyAlignment="1" pivotButton="0" quotePrefix="0" xfId="0">
      <alignment horizontal="center"/>
    </xf>
    <xf numFmtId="165" fontId="18" fillId="0" borderId="1" applyAlignment="1" pivotButton="0" quotePrefix="0" xfId="0">
      <alignment horizontal="center"/>
    </xf>
    <xf numFmtId="1" fontId="18" fillId="0" borderId="1" applyAlignment="1" pivotButton="0" quotePrefix="0" xfId="0">
      <alignment horizontal="center"/>
    </xf>
    <xf numFmtId="3" fontId="47" fillId="0" borderId="1" applyAlignment="1" pivotButton="0" quotePrefix="0" xfId="0">
      <alignment horizontal="left" wrapText="1"/>
    </xf>
    <xf numFmtId="0" fontId="47" fillId="0" borderId="1" applyAlignment="1" pivotButton="0" quotePrefix="0" xfId="0">
      <alignment horizontal="left" wrapText="1"/>
    </xf>
    <xf numFmtId="165" fontId="47" fillId="0" borderId="1" applyAlignment="1" pivotButton="0" quotePrefix="0" xfId="0">
      <alignment horizontal="center" wrapText="1"/>
    </xf>
    <xf numFmtId="0" fontId="47" fillId="0" borderId="1" applyAlignment="1" pivotButton="0" quotePrefix="0" xfId="0">
      <alignment horizontal="left" wrapText="1"/>
    </xf>
    <xf numFmtId="168" fontId="47" fillId="0" borderId="1" applyAlignment="1" pivotButton="0" quotePrefix="0" xfId="0">
      <alignment horizontal="left" wrapText="1"/>
    </xf>
    <xf numFmtId="1" fontId="47" fillId="0" borderId="1" applyAlignment="1" pivotButton="0" quotePrefix="0" xfId="0">
      <alignment horizontal="left" wrapText="1"/>
    </xf>
    <xf numFmtId="14" fontId="47" fillId="0" borderId="1" applyAlignment="1" pivotButton="0" quotePrefix="0" xfId="0">
      <alignment horizontal="left" wrapText="1"/>
    </xf>
    <xf numFmtId="3" fontId="47" fillId="0" borderId="1" applyAlignment="1" pivotButton="0" quotePrefix="0" xfId="0">
      <alignment horizontal="left"/>
    </xf>
    <xf numFmtId="0" fontId="18" fillId="0" borderId="1" applyAlignment="1" pivotButton="0" quotePrefix="0" xfId="0">
      <alignment horizontal="left"/>
    </xf>
    <xf numFmtId="168" fontId="18" fillId="0" borderId="1" applyAlignment="1" pivotButton="0" quotePrefix="0" xfId="0">
      <alignment horizontal="left"/>
    </xf>
    <xf numFmtId="3" fontId="18" fillId="0" borderId="1" applyAlignment="1" pivotButton="0" quotePrefix="0" xfId="0">
      <alignment horizontal="right" wrapText="1"/>
    </xf>
    <xf numFmtId="168" fontId="18" fillId="0" borderId="1" applyAlignment="1" pivotButton="0" quotePrefix="0" xfId="0">
      <alignment horizontal="left" wrapText="1"/>
    </xf>
    <xf numFmtId="14" fontId="18" fillId="0" borderId="1" applyAlignment="1" pivotButton="0" quotePrefix="0" xfId="0">
      <alignment horizontal="right"/>
    </xf>
    <xf numFmtId="165" fontId="18" fillId="0" borderId="1" applyAlignment="1" pivotButton="0" quotePrefix="0" xfId="0">
      <alignment horizontal="left" wrapText="1"/>
    </xf>
    <xf numFmtId="168" fontId="44" fillId="0" borderId="1" applyAlignment="1" pivotButton="0" quotePrefix="0" xfId="0">
      <alignment horizontal="left" wrapText="1"/>
    </xf>
    <xf numFmtId="1" fontId="44" fillId="0" borderId="1" applyAlignment="1" pivotButton="0" quotePrefix="0" xfId="0">
      <alignment horizontal="left" wrapText="1"/>
    </xf>
    <xf numFmtId="14" fontId="44" fillId="0" borderId="1" applyAlignment="1" pivotButton="0" quotePrefix="0" xfId="0">
      <alignment horizontal="left" wrapText="1"/>
    </xf>
    <xf numFmtId="168" fontId="11" fillId="0" borderId="1" applyAlignment="1" pivotButton="0" quotePrefix="0" xfId="0">
      <alignment horizontal="left" wrapText="1"/>
    </xf>
    <xf numFmtId="3" fontId="18" fillId="0" borderId="18" applyAlignment="1" pivotButton="0" quotePrefix="0" xfId="0">
      <alignment horizontal="left" wrapText="1"/>
    </xf>
    <xf numFmtId="165" fontId="18" fillId="0" borderId="19" applyAlignment="1" pivotButton="0" quotePrefix="0" xfId="0">
      <alignment horizontal="left"/>
    </xf>
    <xf numFmtId="168" fontId="18" fillId="0" borderId="19" applyAlignment="1" pivotButton="0" quotePrefix="0" xfId="0">
      <alignment horizontal="left"/>
    </xf>
    <xf numFmtId="3" fontId="18" fillId="0" borderId="19" applyAlignment="1" pivotButton="0" quotePrefix="0" xfId="0">
      <alignment horizontal="left"/>
    </xf>
    <xf numFmtId="0" fontId="18" fillId="0" borderId="19" applyAlignment="1" pivotButton="0" quotePrefix="0" xfId="0">
      <alignment horizontal="center"/>
    </xf>
    <xf numFmtId="3" fontId="18" fillId="0" borderId="19" applyAlignment="1" pivotButton="0" quotePrefix="0" xfId="0">
      <alignment horizontal="center"/>
    </xf>
    <xf numFmtId="0" fontId="18" fillId="0" borderId="19" applyAlignment="1" pivotButton="0" quotePrefix="0" xfId="0">
      <alignment horizontal="center"/>
    </xf>
    <xf numFmtId="1" fontId="18" fillId="0" borderId="19" applyAlignment="1" pivotButton="0" quotePrefix="0" xfId="0">
      <alignment horizontal="center"/>
    </xf>
    <xf numFmtId="14" fontId="18" fillId="0" borderId="19" applyAlignment="1" pivotButton="0" quotePrefix="0" xfId="0">
      <alignment horizontal="center"/>
    </xf>
    <xf numFmtId="14" fontId="18" fillId="0" borderId="19" applyAlignment="1" pivotButton="0" quotePrefix="0" xfId="0">
      <alignment horizontal="left"/>
    </xf>
    <xf numFmtId="3" fontId="18" fillId="0" borderId="28" applyAlignment="1" pivotButton="0" quotePrefix="0" xfId="0">
      <alignment horizontal="left" wrapText="1"/>
    </xf>
    <xf numFmtId="0" fontId="18" fillId="0" borderId="62" applyAlignment="1" pivotButton="0" quotePrefix="0" xfId="0">
      <alignment horizontal="center" wrapText="1"/>
    </xf>
    <xf numFmtId="165" fontId="18" fillId="0" borderId="28" applyAlignment="1" pivotButton="0" quotePrefix="0" xfId="0">
      <alignment horizontal="center" wrapText="1"/>
    </xf>
    <xf numFmtId="0" fontId="18" fillId="0" borderId="28" applyAlignment="1" pivotButton="0" quotePrefix="0" xfId="0">
      <alignment horizontal="center" wrapText="1"/>
    </xf>
    <xf numFmtId="168" fontId="18" fillId="0" borderId="28" applyAlignment="1" pivotButton="0" quotePrefix="0" xfId="0">
      <alignment horizontal="center" wrapText="1"/>
    </xf>
    <xf numFmtId="3" fontId="18" fillId="0" borderId="28" applyAlignment="1" pivotButton="0" quotePrefix="0" xfId="0">
      <alignment horizontal="center" wrapText="1"/>
    </xf>
    <xf numFmtId="1" fontId="18" fillId="0" borderId="19" applyAlignment="1" pivotButton="0" quotePrefix="0" xfId="0">
      <alignment horizontal="center" wrapText="1"/>
    </xf>
    <xf numFmtId="14" fontId="11" fillId="0" borderId="28" applyAlignment="1" pivotButton="0" quotePrefix="0" xfId="0">
      <alignment horizontal="center" wrapText="1"/>
    </xf>
    <xf numFmtId="3" fontId="11" fillId="0" borderId="28" applyAlignment="1" pivotButton="0" quotePrefix="0" xfId="0">
      <alignment horizontal="center" wrapText="1"/>
    </xf>
    <xf numFmtId="3" fontId="18" fillId="0" borderId="64" applyAlignment="1" pivotButton="0" quotePrefix="0" xfId="0">
      <alignment horizontal="left" wrapText="1"/>
    </xf>
    <xf numFmtId="0" fontId="18" fillId="0" borderId="63" applyAlignment="1" pivotButton="0" quotePrefix="0" xfId="0">
      <alignment horizontal="center" vertical="top" wrapText="1"/>
    </xf>
    <xf numFmtId="0" fontId="18" fillId="0" borderId="67" applyAlignment="1" pivotButton="0" quotePrefix="0" xfId="0">
      <alignment horizontal="center" wrapText="1"/>
    </xf>
    <xf numFmtId="1" fontId="11" fillId="0" borderId="63" applyAlignment="1" pivotButton="0" quotePrefix="0" xfId="0">
      <alignment horizontal="center" vertical="top" wrapText="1"/>
    </xf>
    <xf numFmtId="1" fontId="11" fillId="0" borderId="27" applyAlignment="1" pivotButton="0" quotePrefix="0" xfId="0">
      <alignment horizontal="center" wrapText="1"/>
    </xf>
    <xf numFmtId="1" fontId="11" fillId="0" borderId="67" applyAlignment="1" pivotButton="0" quotePrefix="0" xfId="0">
      <alignment horizontal="center" wrapText="1"/>
    </xf>
    <xf numFmtId="168" fontId="18" fillId="0" borderId="63" applyAlignment="1" pivotButton="0" quotePrefix="0" xfId="0">
      <alignment horizontal="center" vertical="top"/>
    </xf>
    <xf numFmtId="167" fontId="47" fillId="0" borderId="27" applyAlignment="1" pivotButton="0" quotePrefix="0" xfId="0">
      <alignment horizontal="center" vertical="top"/>
    </xf>
    <xf numFmtId="167" fontId="47" fillId="0" borderId="27" applyAlignment="1" pivotButton="0" quotePrefix="0" xfId="0">
      <alignment horizontal="center"/>
    </xf>
    <xf numFmtId="167" fontId="47" fillId="0" borderId="67" applyAlignment="1" pivotButton="0" quotePrefix="0" xfId="0">
      <alignment horizontal="center"/>
    </xf>
    <xf numFmtId="0" fontId="18" fillId="0" borderId="27" applyAlignment="1" pivotButton="0" quotePrefix="0" xfId="0">
      <alignment horizontal="center" vertical="top" wrapText="1"/>
    </xf>
    <xf numFmtId="0" fontId="18" fillId="0" borderId="64" applyAlignment="1" pivotButton="0" quotePrefix="0" xfId="0">
      <alignment horizontal="center" wrapText="1"/>
    </xf>
    <xf numFmtId="0" fontId="18" fillId="0" borderId="66" applyAlignment="1" pivotButton="0" quotePrefix="0" xfId="0">
      <alignment horizontal="center" wrapText="1"/>
    </xf>
    <xf numFmtId="4" fontId="11" fillId="0" borderId="66" applyAlignment="1" pivotButton="0" quotePrefix="0" xfId="0">
      <alignment horizontal="center" wrapText="1"/>
    </xf>
    <xf numFmtId="1" fontId="11" fillId="0" borderId="64" applyAlignment="1" pivotButton="0" quotePrefix="0" xfId="0">
      <alignment horizontal="center" wrapText="1"/>
    </xf>
    <xf numFmtId="1" fontId="11" fillId="0" borderId="66" applyAlignment="1" pivotButton="0" quotePrefix="0" xfId="0">
      <alignment horizontal="center" wrapText="1"/>
    </xf>
    <xf numFmtId="168" fontId="18" fillId="0" borderId="64" applyAlignment="1" pivotButton="0" quotePrefix="0" xfId="0">
      <alignment horizontal="center"/>
    </xf>
    <xf numFmtId="167" fontId="47" fillId="0" borderId="1" applyAlignment="1" pivotButton="0" quotePrefix="0" xfId="0">
      <alignment horizontal="center"/>
    </xf>
    <xf numFmtId="167" fontId="47" fillId="0" borderId="66" applyAlignment="1" pivotButton="0" quotePrefix="0" xfId="0">
      <alignment horizontal="center"/>
    </xf>
    <xf numFmtId="0" fontId="18" fillId="0" borderId="64" applyAlignment="1" pivotButton="0" quotePrefix="0" xfId="0">
      <alignment horizontal="center" vertical="top" wrapText="1"/>
    </xf>
    <xf numFmtId="1" fontId="46" fillId="0" borderId="63" applyAlignment="1" pivotButton="0" quotePrefix="0" xfId="0">
      <alignment horizontal="center" vertical="top" wrapText="1"/>
    </xf>
    <xf numFmtId="1" fontId="46" fillId="0" borderId="27" applyAlignment="1" pivotButton="0" quotePrefix="0" xfId="0">
      <alignment horizontal="center" wrapText="1"/>
    </xf>
    <xf numFmtId="1" fontId="46" fillId="0" borderId="67" applyAlignment="1" pivotButton="0" quotePrefix="0" xfId="0">
      <alignment horizontal="center" wrapText="1"/>
    </xf>
    <xf numFmtId="1" fontId="46" fillId="0" borderId="64" applyAlignment="1" pivotButton="0" quotePrefix="0" xfId="0">
      <alignment horizontal="center" wrapText="1"/>
    </xf>
    <xf numFmtId="1" fontId="46" fillId="0" borderId="1" applyAlignment="1" pivotButton="0" quotePrefix="0" xfId="0">
      <alignment horizontal="center" wrapText="1"/>
    </xf>
    <xf numFmtId="1" fontId="46" fillId="0" borderId="66" applyAlignment="1" pivotButton="0" quotePrefix="0" xfId="0">
      <alignment horizontal="center" wrapText="1"/>
    </xf>
    <xf numFmtId="0" fontId="18" fillId="0" borderId="65" applyAlignment="1" pivotButton="0" quotePrefix="0" xfId="0">
      <alignment horizontal="center" wrapText="1"/>
    </xf>
    <xf numFmtId="0" fontId="18" fillId="0" borderId="17" applyAlignment="1" pivotButton="0" quotePrefix="0" xfId="0">
      <alignment horizontal="center" wrapText="1"/>
    </xf>
    <xf numFmtId="0" fontId="18" fillId="0" borderId="68" applyAlignment="1" pivotButton="0" quotePrefix="0" xfId="0">
      <alignment horizontal="center" wrapText="1"/>
    </xf>
    <xf numFmtId="1" fontId="18" fillId="0" borderId="65" applyAlignment="1" pivotButton="0" quotePrefix="0" xfId="0">
      <alignment horizontal="center" wrapText="1"/>
    </xf>
    <xf numFmtId="1" fontId="18" fillId="0" borderId="17" applyAlignment="1" pivotButton="0" quotePrefix="0" xfId="0">
      <alignment horizontal="center" wrapText="1"/>
    </xf>
    <xf numFmtId="1" fontId="18" fillId="0" borderId="68" applyAlignment="1" pivotButton="0" quotePrefix="0" xfId="0">
      <alignment horizontal="center" wrapText="1"/>
    </xf>
    <xf numFmtId="168" fontId="18" fillId="0" borderId="65" applyAlignment="1" pivotButton="0" quotePrefix="0" xfId="0">
      <alignment horizontal="right"/>
    </xf>
    <xf numFmtId="4" fontId="18" fillId="0" borderId="68" applyAlignment="1" pivotButton="0" quotePrefix="0" xfId="0">
      <alignment horizontal="center"/>
    </xf>
    <xf numFmtId="3" fontId="18" fillId="0" borderId="17" applyAlignment="1" pivotButton="0" quotePrefix="0" xfId="0">
      <alignment horizontal="center" wrapText="1"/>
    </xf>
    <xf numFmtId="3" fontId="18" fillId="0" borderId="74" applyAlignment="1" pivotButton="0" quotePrefix="0" xfId="0">
      <alignment horizontal="left" wrapText="1"/>
    </xf>
    <xf numFmtId="165" fontId="18" fillId="0" borderId="19" applyAlignment="1" pivotButton="0" quotePrefix="0" xfId="0">
      <alignment horizontal="center" wrapText="1"/>
    </xf>
    <xf numFmtId="168" fontId="18" fillId="0" borderId="19" applyAlignment="1" pivotButton="0" quotePrefix="0" xfId="0">
      <alignment horizontal="center" wrapText="1"/>
    </xf>
    <xf numFmtId="167" fontId="47" fillId="0" borderId="19" applyAlignment="1" pivotButton="0" quotePrefix="0" xfId="0">
      <alignment horizontal="center" wrapText="1"/>
    </xf>
    <xf numFmtId="167" fontId="47" fillId="0" borderId="20" applyAlignment="1" pivotButton="0" quotePrefix="0" xfId="0">
      <alignment horizontal="center" wrapText="1"/>
    </xf>
    <xf numFmtId="0" fontId="18" fillId="0" borderId="20" applyAlignment="1" pivotButton="0" quotePrefix="0" xfId="0">
      <alignment horizontal="left" wrapText="1"/>
    </xf>
    <xf numFmtId="3" fontId="20" fillId="0" borderId="1" applyAlignment="1" pivotButton="0" quotePrefix="0" xfId="0">
      <alignment horizontal="center"/>
    </xf>
    <xf numFmtId="168" fontId="18" fillId="0" borderId="1" applyAlignment="1" pivotButton="0" quotePrefix="0" xfId="0">
      <alignment horizontal="center" wrapText="1"/>
    </xf>
    <xf numFmtId="1" fontId="18" fillId="0" borderId="1" applyAlignment="1" pivotButton="0" quotePrefix="0" xfId="0">
      <alignment horizontal="center" wrapText="1"/>
    </xf>
    <xf numFmtId="0" fontId="154" fillId="3" borderId="101" applyAlignment="1" pivotButton="0" quotePrefix="0" xfId="0">
      <alignment horizontal="center"/>
    </xf>
    <xf numFmtId="165" fontId="154" fillId="3" borderId="101" applyAlignment="1" pivotButton="0" quotePrefix="0" xfId="0">
      <alignment horizontal="center"/>
    </xf>
    <xf numFmtId="168" fontId="154" fillId="3" borderId="101" applyAlignment="1" pivotButton="0" quotePrefix="0" xfId="0">
      <alignment horizontal="center"/>
    </xf>
    <xf numFmtId="3" fontId="154" fillId="3" borderId="101" applyAlignment="1" pivotButton="0" quotePrefix="0" xfId="0">
      <alignment horizontal="center"/>
    </xf>
    <xf numFmtId="14" fontId="18" fillId="3" borderId="101" applyAlignment="1" pivotButton="0" quotePrefix="0" xfId="0">
      <alignment horizontal="center"/>
    </xf>
    <xf numFmtId="3" fontId="18" fillId="3" borderId="101" applyAlignment="1" pivotButton="0" quotePrefix="0" xfId="0">
      <alignment horizontal="center"/>
    </xf>
    <xf numFmtId="0" fontId="18" fillId="3" borderId="101" applyAlignment="1" pivotButton="0" quotePrefix="0" xfId="0">
      <alignment horizontal="center"/>
    </xf>
    <xf numFmtId="0" fontId="108" fillId="0" borderId="1" applyAlignment="1" pivotButton="0" quotePrefix="0" xfId="0">
      <alignment horizontal="center"/>
    </xf>
    <xf numFmtId="3" fontId="108" fillId="0" borderId="1" applyAlignment="1" pivotButton="0" quotePrefix="0" xfId="0">
      <alignment horizontal="center"/>
    </xf>
    <xf numFmtId="165" fontId="18" fillId="0" borderId="1" applyAlignment="1" pivotButton="0" quotePrefix="0" xfId="0">
      <alignment horizontal="justify" wrapText="1"/>
    </xf>
    <xf numFmtId="168" fontId="18" fillId="0" borderId="1" applyAlignment="1" pivotButton="0" quotePrefix="0" xfId="0">
      <alignment horizontal="justify" wrapText="1"/>
    </xf>
    <xf numFmtId="3" fontId="18" fillId="0" borderId="1" applyAlignment="1" pivotButton="0" quotePrefix="0" xfId="0">
      <alignment horizontal="justify" wrapText="1"/>
    </xf>
    <xf numFmtId="1" fontId="18" fillId="0" borderId="1" applyAlignment="1" pivotButton="0" quotePrefix="0" xfId="0">
      <alignment horizontal="justify" wrapText="1"/>
    </xf>
    <xf numFmtId="14" fontId="18" fillId="0" borderId="1" applyAlignment="1" pivotButton="0" quotePrefix="0" xfId="0">
      <alignment horizontal="justify" wrapText="1"/>
    </xf>
    <xf numFmtId="14" fontId="108" fillId="3" borderId="47" applyAlignment="1" pivotButton="0" quotePrefix="0" xfId="0">
      <alignment horizontal="center"/>
    </xf>
    <xf numFmtId="0" fontId="108" fillId="0" borderId="1" applyAlignment="1" pivotButton="0" quotePrefix="0" xfId="0">
      <alignment horizontal="left"/>
    </xf>
    <xf numFmtId="14" fontId="108" fillId="0" borderId="1" applyAlignment="1" pivotButton="0" quotePrefix="0" xfId="0">
      <alignment horizontal="left"/>
    </xf>
    <xf numFmtId="3" fontId="44" fillId="0" borderId="1" applyAlignment="1" pivotButton="0" quotePrefix="0" xfId="0">
      <alignment horizontal="left"/>
    </xf>
    <xf numFmtId="0" fontId="107" fillId="0" borderId="1" applyAlignment="1" pivotButton="0" quotePrefix="0" xfId="0">
      <alignment horizontal="left"/>
    </xf>
    <xf numFmtId="165" fontId="7" fillId="0" borderId="1" applyAlignment="1" pivotButton="0" quotePrefix="0" xfId="0">
      <alignment horizontal="left"/>
    </xf>
    <xf numFmtId="168" fontId="7" fillId="0" borderId="1" applyAlignment="1" pivotButton="0" quotePrefix="0" xfId="0">
      <alignment horizontal="left"/>
    </xf>
    <xf numFmtId="165" fontId="47" fillId="0" borderId="1" applyAlignment="1" pivotButton="0" quotePrefix="0" xfId="0">
      <alignment horizontal="left"/>
    </xf>
    <xf numFmtId="168" fontId="47" fillId="0" borderId="1" applyAlignment="1" pivotButton="0" quotePrefix="0" xfId="0">
      <alignment horizontal="left"/>
    </xf>
    <xf numFmtId="1" fontId="47" fillId="0" borderId="1" applyAlignment="1" pivotButton="0" quotePrefix="0" xfId="0">
      <alignment horizontal="left"/>
    </xf>
    <xf numFmtId="14" fontId="47" fillId="0" borderId="1" applyAlignment="1" pivotButton="0" quotePrefix="0" xfId="0">
      <alignment horizontal="left"/>
    </xf>
    <xf numFmtId="3" fontId="108" fillId="0" borderId="6" applyAlignment="1" pivotButton="0" quotePrefix="0" xfId="0">
      <alignment horizontal="center" vertical="top" wrapText="1"/>
    </xf>
    <xf numFmtId="0" fontId="108" fillId="0" borderId="6" applyAlignment="1" pivotButton="0" quotePrefix="0" xfId="0">
      <alignment horizontal="center" vertical="top" wrapText="1"/>
    </xf>
    <xf numFmtId="3" fontId="18" fillId="2" borderId="6" applyAlignment="1" pivotButton="0" quotePrefix="0" xfId="0">
      <alignment horizontal="center"/>
    </xf>
    <xf numFmtId="0" fontId="18" fillId="2" borderId="6" applyAlignment="1" pivotButton="0" quotePrefix="0" xfId="0">
      <alignment horizontal="center"/>
    </xf>
    <xf numFmtId="165" fontId="18" fillId="2" borderId="6" applyAlignment="1" pivotButton="0" quotePrefix="0" xfId="0">
      <alignment horizontal="center"/>
    </xf>
    <xf numFmtId="168" fontId="18" fillId="2" borderId="6" applyAlignment="1" pivotButton="0" quotePrefix="0" xfId="0">
      <alignment horizontal="center"/>
    </xf>
    <xf numFmtId="3" fontId="18" fillId="2" borderId="50" applyAlignment="1" pivotButton="0" quotePrefix="0" xfId="0">
      <alignment horizontal="center"/>
    </xf>
    <xf numFmtId="1" fontId="18" fillId="2" borderId="6" applyAlignment="1" pivotButton="0" quotePrefix="0" xfId="0">
      <alignment horizontal="center"/>
    </xf>
    <xf numFmtId="14" fontId="18" fillId="2" borderId="6" applyAlignment="1" pivotButton="0" quotePrefix="0" xfId="0">
      <alignment horizontal="center"/>
    </xf>
    <xf numFmtId="3" fontId="108" fillId="0" borderId="6" applyAlignment="1" pivotButton="0" quotePrefix="0" xfId="0">
      <alignment horizontal="center" wrapText="1"/>
    </xf>
    <xf numFmtId="0" fontId="108" fillId="0" borderId="6" applyAlignment="1" pivotButton="0" quotePrefix="0" xfId="0">
      <alignment horizontal="center" wrapText="1"/>
    </xf>
    <xf numFmtId="3" fontId="18" fillId="0" borderId="6" applyAlignment="1" pivotButton="0" quotePrefix="0" xfId="0">
      <alignment horizontal="left"/>
    </xf>
    <xf numFmtId="0" fontId="18" fillId="0" borderId="6" applyAlignment="1" pivotButton="0" quotePrefix="0" xfId="0">
      <alignment horizontal="left"/>
    </xf>
    <xf numFmtId="165" fontId="18" fillId="0" borderId="6" applyAlignment="1" pivotButton="0" quotePrefix="0" xfId="0">
      <alignment horizontal="left"/>
    </xf>
    <xf numFmtId="168" fontId="18" fillId="0" borderId="6" applyAlignment="1" pivotButton="0" quotePrefix="0" xfId="0">
      <alignment horizontal="left"/>
    </xf>
    <xf numFmtId="168" fontId="108" fillId="3" borderId="49" applyAlignment="1" pivotButton="0" quotePrefix="0" xfId="0">
      <alignment horizontal="center"/>
    </xf>
    <xf numFmtId="168" fontId="108" fillId="3" borderId="73" applyAlignment="1" pivotButton="0" quotePrefix="0" xfId="0">
      <alignment horizontal="center"/>
    </xf>
    <xf numFmtId="168" fontId="108" fillId="3" borderId="50" applyAlignment="1" pivotButton="0" quotePrefix="0" xfId="0">
      <alignment horizontal="center"/>
    </xf>
    <xf numFmtId="3" fontId="155" fillId="0" borderId="6" applyAlignment="1" pivotButton="0" quotePrefix="0" xfId="0">
      <alignment horizontal="center"/>
    </xf>
    <xf numFmtId="0" fontId="156" fillId="0" borderId="6" applyAlignment="1" pivotButton="0" quotePrefix="0" xfId="0">
      <alignment horizontal="center"/>
    </xf>
    <xf numFmtId="4" fontId="108" fillId="3" borderId="49" applyAlignment="1" pivotButton="0" quotePrefix="0" xfId="0">
      <alignment horizontal="center"/>
    </xf>
    <xf numFmtId="4" fontId="108" fillId="3" borderId="73" applyAlignment="1" pivotButton="0" quotePrefix="0" xfId="0">
      <alignment horizontal="center"/>
    </xf>
    <xf numFmtId="4" fontId="108" fillId="3" borderId="50" applyAlignment="1" pivotButton="0" quotePrefix="0" xfId="0">
      <alignment horizontal="center"/>
    </xf>
    <xf numFmtId="0" fontId="20" fillId="0" borderId="18" applyAlignment="1" pivotButton="0" quotePrefix="0" xfId="0">
      <alignment horizontal="center"/>
    </xf>
    <xf numFmtId="0" fontId="20" fillId="0" borderId="19" applyAlignment="1" pivotButton="0" quotePrefix="0" xfId="0">
      <alignment horizontal="center"/>
    </xf>
    <xf numFmtId="3" fontId="20" fillId="0" borderId="19" applyAlignment="1" pivotButton="0" quotePrefix="0" xfId="0">
      <alignment horizontal="center"/>
    </xf>
    <xf numFmtId="0" fontId="20" fillId="0" borderId="20" applyAlignment="1" pivotButton="0" quotePrefix="0" xfId="0">
      <alignment horizontal="center"/>
    </xf>
    <xf numFmtId="3" fontId="18" fillId="0" borderId="18" applyAlignment="1" pivotButton="0" quotePrefix="0" xfId="0">
      <alignment horizontal="center"/>
    </xf>
    <xf numFmtId="165" fontId="18" fillId="0" borderId="19" applyAlignment="1" pivotButton="0" quotePrefix="0" xfId="0">
      <alignment horizontal="center"/>
    </xf>
    <xf numFmtId="168" fontId="18" fillId="0" borderId="19" applyAlignment="1" pivotButton="0" quotePrefix="0" xfId="0">
      <alignment horizontal="center"/>
    </xf>
    <xf numFmtId="0" fontId="18" fillId="0" borderId="20" applyAlignment="1" pivotButton="0" quotePrefix="0" xfId="0">
      <alignment horizontal="center"/>
    </xf>
    <xf numFmtId="168" fontId="18" fillId="0" borderId="18" applyAlignment="1" pivotButton="0" quotePrefix="0" xfId="0">
      <alignment horizontal="center"/>
    </xf>
    <xf numFmtId="168" fontId="18" fillId="0" borderId="20" applyAlignment="1" pivotButton="0" quotePrefix="0" xfId="0">
      <alignment horizontal="left"/>
    </xf>
    <xf numFmtId="0" fontId="20" fillId="0" borderId="1" applyAlignment="1" pivotButton="0" quotePrefix="0" xfId="0">
      <alignment horizontal="center"/>
    </xf>
    <xf numFmtId="0" fontId="107" fillId="0" borderId="27" applyAlignment="1" pivotButton="0" quotePrefix="0" xfId="0">
      <alignment horizontal="left"/>
    </xf>
    <xf numFmtId="165" fontId="107" fillId="0" borderId="27" applyAlignment="1" pivotButton="0" quotePrefix="0" xfId="0">
      <alignment horizontal="left"/>
    </xf>
    <xf numFmtId="168" fontId="107" fillId="0" borderId="27" applyAlignment="1" pivotButton="0" quotePrefix="0" xfId="0">
      <alignment horizontal="left"/>
    </xf>
    <xf numFmtId="3" fontId="157" fillId="0" borderId="27" applyAlignment="1" pivotButton="0" quotePrefix="0" xfId="0">
      <alignment horizontal="left"/>
    </xf>
    <xf numFmtId="0" fontId="157" fillId="0" borderId="27" applyAlignment="1" pivotButton="0" quotePrefix="0" xfId="0">
      <alignment horizontal="left"/>
    </xf>
    <xf numFmtId="1" fontId="157" fillId="0" borderId="27" applyAlignment="1" pivotButton="0" quotePrefix="0" xfId="0">
      <alignment horizontal="left"/>
    </xf>
    <xf numFmtId="14" fontId="157" fillId="0" borderId="27" applyAlignment="1" pivotButton="0" quotePrefix="0" xfId="0">
      <alignment horizontal="left"/>
    </xf>
    <xf numFmtId="3" fontId="156" fillId="0" borderId="1" applyAlignment="1" pivotButton="0" quotePrefix="0" xfId="0">
      <alignment horizontal="left"/>
    </xf>
    <xf numFmtId="0" fontId="158" fillId="0" borderId="11" applyAlignment="1" pivotButton="0" quotePrefix="0" xfId="0">
      <alignment horizontal="left"/>
    </xf>
    <xf numFmtId="0" fontId="158" fillId="0" borderId="12" applyAlignment="1" pivotButton="0" quotePrefix="0" xfId="0">
      <alignment horizontal="left"/>
    </xf>
    <xf numFmtId="0" fontId="158" fillId="0" borderId="23" applyAlignment="1" pivotButton="0" quotePrefix="0" xfId="0">
      <alignment horizontal="left"/>
    </xf>
    <xf numFmtId="0" fontId="54" fillId="3" borderId="47" applyAlignment="1" pivotButton="0" quotePrefix="0" xfId="0">
      <alignment horizontal="left" wrapText="1"/>
    </xf>
    <xf numFmtId="3" fontId="54" fillId="3" borderId="47" applyAlignment="1" pivotButton="0" quotePrefix="0" xfId="0">
      <alignment horizontal="left" wrapText="1"/>
    </xf>
    <xf numFmtId="3" fontId="18" fillId="3" borderId="47" applyAlignment="1" pivotButton="0" quotePrefix="0" xfId="0">
      <alignment horizontal="center" wrapText="1"/>
    </xf>
    <xf numFmtId="0" fontId="18" fillId="3" borderId="47" applyAlignment="1" pivotButton="0" quotePrefix="0" xfId="0">
      <alignment horizontal="center" wrapText="1"/>
    </xf>
    <xf numFmtId="165" fontId="18" fillId="3" borderId="47" applyAlignment="1" pivotButton="0" quotePrefix="0" xfId="0">
      <alignment horizontal="center" wrapText="1"/>
    </xf>
    <xf numFmtId="168" fontId="18" fillId="3" borderId="47" applyAlignment="1" pivotButton="0" quotePrefix="0" xfId="0">
      <alignment horizontal="center" wrapText="1"/>
    </xf>
    <xf numFmtId="1" fontId="18" fillId="3" borderId="47" applyAlignment="1" pivotButton="0" quotePrefix="0" xfId="0">
      <alignment horizontal="center" wrapText="1"/>
    </xf>
    <xf numFmtId="14" fontId="18" fillId="3" borderId="47" applyAlignment="1" pivotButton="0" quotePrefix="0" xfId="0">
      <alignment horizontal="center" wrapText="1"/>
    </xf>
    <xf numFmtId="3" fontId="156" fillId="0" borderId="1" applyAlignment="1" pivotButton="0" quotePrefix="0" xfId="0">
      <alignment horizontal="right"/>
    </xf>
    <xf numFmtId="0" fontId="155" fillId="0" borderId="6" applyAlignment="1" pivotButton="0" quotePrefix="0" xfId="0">
      <alignment horizontal="left"/>
    </xf>
    <xf numFmtId="4" fontId="155" fillId="0" borderId="6" applyAlignment="1" pivotButton="0" quotePrefix="0" xfId="0">
      <alignment horizontal="right"/>
    </xf>
    <xf numFmtId="3" fontId="108" fillId="0" borderId="1" applyAlignment="1" pivotButton="0" quotePrefix="0" xfId="0">
      <alignment horizontal="right" wrapText="1"/>
    </xf>
    <xf numFmtId="0" fontId="108" fillId="0" borderId="1" applyAlignment="1" pivotButton="0" quotePrefix="0" xfId="0">
      <alignment horizontal="right" wrapText="1"/>
    </xf>
    <xf numFmtId="165" fontId="108" fillId="0" borderId="1" applyAlignment="1" pivotButton="0" quotePrefix="0" xfId="0">
      <alignment horizontal="right" wrapText="1"/>
    </xf>
    <xf numFmtId="168" fontId="108" fillId="0" borderId="1" applyAlignment="1" pivotButton="0" quotePrefix="0" xfId="0">
      <alignment horizontal="right" wrapText="1"/>
    </xf>
    <xf numFmtId="1" fontId="108" fillId="0" borderId="1" applyAlignment="1" pivotButton="0" quotePrefix="0" xfId="0">
      <alignment horizontal="right" wrapText="1"/>
    </xf>
    <xf numFmtId="14" fontId="108" fillId="0" borderId="1" applyAlignment="1" pivotButton="0" quotePrefix="0" xfId="0">
      <alignment horizontal="right" wrapText="1"/>
    </xf>
    <xf numFmtId="0" fontId="52" fillId="0" borderId="1" applyAlignment="1" pivotButton="0" quotePrefix="0" xfId="0">
      <alignment horizontal="center" wrapText="1"/>
    </xf>
    <xf numFmtId="3" fontId="52" fillId="0" borderId="1" applyAlignment="1" pivotButton="0" quotePrefix="0" xfId="0">
      <alignment horizontal="center" wrapText="1"/>
    </xf>
    <xf numFmtId="3" fontId="118" fillId="0" borderId="1" applyAlignment="1" pivotButton="0" quotePrefix="0" xfId="0">
      <alignment horizontal="right"/>
    </xf>
    <xf numFmtId="0" fontId="118" fillId="0" borderId="1" applyAlignment="1" pivotButton="0" quotePrefix="0" xfId="0">
      <alignment horizontal="right"/>
    </xf>
    <xf numFmtId="0" fontId="155" fillId="0" borderId="1" applyAlignment="1" pivotButton="0" quotePrefix="0" xfId="0">
      <alignment horizontal="center"/>
    </xf>
    <xf numFmtId="14" fontId="47" fillId="0" borderId="17" applyAlignment="1" pivotButton="0" quotePrefix="0" xfId="0">
      <alignment horizontal="right"/>
    </xf>
    <xf numFmtId="0" fontId="159" fillId="0" borderId="1" applyAlignment="1" pivotButton="0" quotePrefix="0" xfId="0">
      <alignment horizontal="left"/>
    </xf>
    <xf numFmtId="4" fontId="54" fillId="3" borderId="47" applyAlignment="1" pivotButton="0" quotePrefix="0" xfId="0">
      <alignment horizontal="left" wrapText="1"/>
    </xf>
    <xf numFmtId="3" fontId="18" fillId="0" borderId="6" applyAlignment="1" pivotButton="0" quotePrefix="0" xfId="0">
      <alignment horizontal="center" vertical="top"/>
    </xf>
    <xf numFmtId="0" fontId="18" fillId="0" borderId="6" applyAlignment="1" pivotButton="0" quotePrefix="0" xfId="0">
      <alignment horizontal="center"/>
    </xf>
    <xf numFmtId="165" fontId="18" fillId="0" borderId="6" applyAlignment="1" pivotButton="0" quotePrefix="0" xfId="0">
      <alignment horizontal="center"/>
    </xf>
    <xf numFmtId="168" fontId="18" fillId="0" borderId="6" applyAlignment="1" pivotButton="0" quotePrefix="0" xfId="0">
      <alignment horizontal="center" vertical="top"/>
    </xf>
    <xf numFmtId="3" fontId="11" fillId="0" borderId="6" applyAlignment="1" pivotButton="0" quotePrefix="0" xfId="0">
      <alignment horizontal="center" vertical="top" wrapText="1"/>
    </xf>
    <xf numFmtId="14" fontId="18" fillId="0" borderId="6" applyAlignment="1" pivotButton="0" quotePrefix="0" xfId="0">
      <alignment horizontal="center"/>
    </xf>
    <xf numFmtId="168" fontId="18" fillId="0" borderId="6" applyAlignment="1" pivotButton="0" quotePrefix="0" xfId="0">
      <alignment horizontal="center"/>
    </xf>
    <xf numFmtId="165" fontId="11" fillId="0" borderId="6" applyAlignment="1" pivotButton="0" quotePrefix="0" xfId="0">
      <alignment horizontal="left" wrapText="1"/>
    </xf>
    <xf numFmtId="168" fontId="108" fillId="0" borderId="18" applyAlignment="1" pivotButton="0" quotePrefix="0" xfId="0">
      <alignment horizontal="right"/>
    </xf>
    <xf numFmtId="168" fontId="108" fillId="0" borderId="19" applyAlignment="1" pivotButton="0" quotePrefix="0" xfId="0">
      <alignment horizontal="right"/>
    </xf>
    <xf numFmtId="168" fontId="108" fillId="0" borderId="20" applyAlignment="1" pivotButton="0" quotePrefix="0" xfId="0">
      <alignment horizontal="right"/>
    </xf>
    <xf numFmtId="3" fontId="108" fillId="3" borderId="6" applyAlignment="1" pivotButton="0" quotePrefix="0" xfId="0">
      <alignment horizontal="center"/>
    </xf>
    <xf numFmtId="3" fontId="108" fillId="0" borderId="6" applyAlignment="1" pivotButton="0" quotePrefix="0" xfId="0">
      <alignment horizontal="center"/>
    </xf>
    <xf numFmtId="3" fontId="160" fillId="0" borderId="6" applyAlignment="1" pivotButton="0" quotePrefix="0" xfId="0">
      <alignment horizontal="right"/>
    </xf>
    <xf numFmtId="3" fontId="161" fillId="0" borderId="6" applyAlignment="1" pivotButton="0" quotePrefix="0" xfId="0">
      <alignment horizontal="center"/>
    </xf>
    <xf numFmtId="4" fontId="108" fillId="0" borderId="18" applyAlignment="1" pivotButton="0" quotePrefix="0" xfId="0">
      <alignment horizontal="right"/>
    </xf>
    <xf numFmtId="4" fontId="108" fillId="0" borderId="19" applyAlignment="1" pivotButton="0" quotePrefix="0" xfId="0">
      <alignment horizontal="right"/>
    </xf>
    <xf numFmtId="4" fontId="108" fillId="0" borderId="20" applyAlignment="1" pivotButton="0" quotePrefix="0" xfId="0">
      <alignment horizontal="right"/>
    </xf>
    <xf numFmtId="3" fontId="162" fillId="0" borderId="6" applyAlignment="1" pivotButton="0" quotePrefix="0" xfId="0">
      <alignment horizontal="right"/>
    </xf>
    <xf numFmtId="168" fontId="108" fillId="0" borderId="6" applyAlignment="1" pivotButton="0" quotePrefix="0" xfId="0">
      <alignment horizontal="right"/>
    </xf>
    <xf numFmtId="3" fontId="52" fillId="0" borderId="6" applyAlignment="1" pivotButton="0" quotePrefix="0" xfId="0">
      <alignment horizontal="center"/>
    </xf>
    <xf numFmtId="0" fontId="108" fillId="0" borderId="6" applyAlignment="1" pivotButton="0" quotePrefix="0" xfId="0">
      <alignment horizontal="center"/>
    </xf>
    <xf numFmtId="3" fontId="22" fillId="0" borderId="1" applyAlignment="1" pivotButton="0" quotePrefix="0" xfId="0">
      <alignment horizontal="right"/>
    </xf>
    <xf numFmtId="3" fontId="18" fillId="0" borderId="27" applyAlignment="1" pivotButton="0" quotePrefix="0" xfId="0">
      <alignment horizontal="center"/>
    </xf>
    <xf numFmtId="1" fontId="18" fillId="0" borderId="27" applyAlignment="1" pivotButton="0" quotePrefix="0" xfId="0">
      <alignment horizontal="center"/>
    </xf>
    <xf numFmtId="14" fontId="18" fillId="0" borderId="27" applyAlignment="1" pivotButton="0" quotePrefix="0" xfId="0">
      <alignment horizontal="center"/>
    </xf>
    <xf numFmtId="3" fontId="108" fillId="0" borderId="1" applyAlignment="1" pivotButton="0" quotePrefix="0" xfId="0">
      <alignment horizontal="right"/>
    </xf>
    <xf numFmtId="4" fontId="108" fillId="0" borderId="27" applyAlignment="1" pivotButton="0" quotePrefix="0" xfId="0">
      <alignment horizontal="center"/>
    </xf>
    <xf numFmtId="0" fontId="108" fillId="0" borderId="27" applyAlignment="1" pivotButton="0" quotePrefix="0" xfId="0">
      <alignment horizontal="left"/>
    </xf>
    <xf numFmtId="165" fontId="44" fillId="0" borderId="1" applyAlignment="1" pivotButton="0" quotePrefix="0" xfId="0">
      <alignment horizontal="left"/>
    </xf>
    <xf numFmtId="168" fontId="44" fillId="0" borderId="1" applyAlignment="1" pivotButton="0" quotePrefix="0" xfId="0">
      <alignment horizontal="left"/>
    </xf>
    <xf numFmtId="1" fontId="44" fillId="0" borderId="1" applyAlignment="1" pivotButton="0" quotePrefix="0" xfId="0">
      <alignment horizontal="left"/>
    </xf>
    <xf numFmtId="14" fontId="44" fillId="0" borderId="1" applyAlignment="1" pivotButton="0" quotePrefix="0" xfId="0">
      <alignment horizontal="left"/>
    </xf>
    <xf numFmtId="3" fontId="20" fillId="0" borderId="1" applyAlignment="1" pivotButton="0" quotePrefix="0" xfId="0">
      <alignment horizontal="left"/>
    </xf>
    <xf numFmtId="165" fontId="18" fillId="0" borderId="17" applyAlignment="1" pivotButton="0" quotePrefix="0" xfId="0">
      <alignment horizontal="left" wrapText="1"/>
    </xf>
    <xf numFmtId="168" fontId="18" fillId="0" borderId="17" applyAlignment="1" pivotButton="0" quotePrefix="0" xfId="0">
      <alignment horizontal="left" wrapText="1"/>
    </xf>
    <xf numFmtId="3" fontId="18" fillId="0" borderId="17" applyAlignment="1" pivotButton="0" quotePrefix="0" xfId="0">
      <alignment horizontal="left" wrapText="1"/>
    </xf>
    <xf numFmtId="1" fontId="18" fillId="0" borderId="17" applyAlignment="1" pivotButton="0" quotePrefix="0" xfId="0">
      <alignment horizontal="left" wrapText="1"/>
    </xf>
    <xf numFmtId="14" fontId="18" fillId="0" borderId="17" applyAlignment="1" pivotButton="0" quotePrefix="0" xfId="0">
      <alignment horizontal="left" wrapText="1"/>
    </xf>
    <xf numFmtId="3" fontId="20" fillId="0" borderId="1" applyAlignment="1" pivotButton="0" quotePrefix="0" xfId="0">
      <alignment horizontal="right"/>
    </xf>
    <xf numFmtId="165" fontId="18" fillId="0" borderId="6" applyAlignment="1" pivotButton="0" quotePrefix="0" xfId="0">
      <alignment horizontal="center" wrapText="1"/>
    </xf>
    <xf numFmtId="168" fontId="18" fillId="0" borderId="6" applyAlignment="1" pivotButton="0" quotePrefix="0" xfId="0">
      <alignment horizontal="center" wrapText="1"/>
    </xf>
    <xf numFmtId="1" fontId="18" fillId="0" borderId="18" applyAlignment="1" pivotButton="0" quotePrefix="0" xfId="0">
      <alignment horizontal="center" wrapText="1"/>
    </xf>
    <xf numFmtId="14" fontId="18" fillId="0" borderId="20" applyAlignment="1" pivotButton="0" quotePrefix="0" xfId="0">
      <alignment horizontal="center" wrapText="1"/>
    </xf>
    <xf numFmtId="1" fontId="18" fillId="3" borderId="49" applyAlignment="1" pivotButton="0" quotePrefix="0" xfId="0">
      <alignment horizontal="center"/>
    </xf>
    <xf numFmtId="1" fontId="18" fillId="3" borderId="73" applyAlignment="1" pivotButton="0" quotePrefix="0" xfId="0">
      <alignment horizontal="center"/>
    </xf>
    <xf numFmtId="1" fontId="18" fillId="3" borderId="50" applyAlignment="1" pivotButton="0" quotePrefix="0" xfId="0">
      <alignment horizontal="center"/>
    </xf>
    <xf numFmtId="3" fontId="18" fillId="0" borderId="6" applyAlignment="1" pivotButton="0" quotePrefix="0" xfId="0">
      <alignment horizontal="right"/>
    </xf>
    <xf numFmtId="3" fontId="108" fillId="0" borderId="1" applyAlignment="1" pivotButton="0" quotePrefix="0" xfId="0">
      <alignment horizontal="left"/>
    </xf>
    <xf numFmtId="165" fontId="108" fillId="0" borderId="1" applyAlignment="1" pivotButton="0" quotePrefix="0" xfId="0">
      <alignment horizontal="left"/>
    </xf>
    <xf numFmtId="3" fontId="18" fillId="0" borderId="17" applyAlignment="1" pivotButton="0" quotePrefix="0" xfId="0">
      <alignment horizontal="center"/>
    </xf>
    <xf numFmtId="1" fontId="18" fillId="0" borderId="6" applyAlignment="1" pivotButton="0" quotePrefix="0" xfId="0">
      <alignment horizontal="center" wrapText="1"/>
    </xf>
    <xf numFmtId="14" fontId="18" fillId="0" borderId="6" applyAlignment="1" pivotButton="0" quotePrefix="0" xfId="0">
      <alignment horizontal="center" wrapText="1"/>
    </xf>
    <xf numFmtId="3" fontId="20" fillId="0" borderId="6" applyAlignment="1" pivotButton="0" quotePrefix="0" xfId="0">
      <alignment horizontal="center"/>
    </xf>
    <xf numFmtId="0" fontId="20" fillId="0" borderId="6" applyAlignment="1" pivotButton="0" quotePrefix="0" xfId="0">
      <alignment horizontal="center"/>
    </xf>
    <xf numFmtId="165" fontId="20" fillId="0" borderId="6" applyAlignment="1" pivotButton="0" quotePrefix="0" xfId="0">
      <alignment horizontal="center"/>
    </xf>
    <xf numFmtId="1" fontId="18" fillId="0" borderId="6" applyAlignment="1" pivotButton="0" quotePrefix="0" xfId="0">
      <alignment horizontal="center"/>
    </xf>
    <xf numFmtId="165" fontId="18" fillId="0" borderId="17" applyAlignment="1" pivotButton="0" quotePrefix="0" xfId="0">
      <alignment horizontal="center" wrapText="1"/>
    </xf>
    <xf numFmtId="168" fontId="18" fillId="0" borderId="17" applyAlignment="1" pivotButton="0" quotePrefix="0" xfId="0">
      <alignment horizontal="center" wrapText="1"/>
    </xf>
    <xf numFmtId="14" fontId="18" fillId="0" borderId="17" applyAlignment="1" pivotButton="0" quotePrefix="0" xfId="0">
      <alignment horizontal="center" wrapText="1"/>
    </xf>
    <xf numFmtId="14" fontId="18" fillId="2" borderId="6" applyAlignment="1" pivotButton="0" quotePrefix="0" xfId="0">
      <alignment horizontal="left"/>
    </xf>
    <xf numFmtId="3" fontId="18" fillId="2" borderId="6" applyAlignment="1" pivotButton="0" quotePrefix="0" xfId="0">
      <alignment horizontal="left"/>
    </xf>
    <xf numFmtId="3" fontId="54" fillId="2" borderId="49" applyAlignment="1" pivotButton="0" quotePrefix="0" xfId="0">
      <alignment horizontal="center" wrapText="1"/>
    </xf>
    <xf numFmtId="0" fontId="54" fillId="2" borderId="50" applyAlignment="1" pivotButton="0" quotePrefix="0" xfId="0">
      <alignment horizontal="center" wrapText="1"/>
    </xf>
    <xf numFmtId="0" fontId="46" fillId="2" borderId="6" applyAlignment="1" pivotButton="0" quotePrefix="0" xfId="0">
      <alignment horizontal="left"/>
    </xf>
    <xf numFmtId="3" fontId="46" fillId="2" borderId="6" applyAlignment="1" pivotButton="0" quotePrefix="0" xfId="0">
      <alignment horizontal="left"/>
    </xf>
    <xf numFmtId="14" fontId="18" fillId="0" borderId="6" applyAlignment="1" pivotButton="0" quotePrefix="0" xfId="0">
      <alignment horizontal="left"/>
    </xf>
    <xf numFmtId="165" fontId="20" fillId="0" borderId="1" applyAlignment="1" pivotButton="0" quotePrefix="0" xfId="0">
      <alignment horizontal="left"/>
    </xf>
    <xf numFmtId="168" fontId="20" fillId="0" borderId="1" applyAlignment="1" pivotButton="0" quotePrefix="0" xfId="0">
      <alignment horizontal="left"/>
    </xf>
    <xf numFmtId="1" fontId="20" fillId="0" borderId="1" applyAlignment="1" pivotButton="0" quotePrefix="0" xfId="0">
      <alignment horizontal="left"/>
    </xf>
    <xf numFmtId="3" fontId="11" fillId="0" borderId="6" applyAlignment="1" pivotButton="0" quotePrefix="0" xfId="0">
      <alignment horizontal="center" vertical="top"/>
    </xf>
    <xf numFmtId="0" fontId="11" fillId="0" borderId="6" applyAlignment="1" pivotButton="0" quotePrefix="0" xfId="0">
      <alignment horizontal="left" vertical="top" wrapText="1"/>
    </xf>
    <xf numFmtId="168" fontId="11" fillId="0" borderId="6" applyAlignment="1" pivotButton="0" quotePrefix="0" xfId="0">
      <alignment horizontal="left" wrapText="1"/>
    </xf>
    <xf numFmtId="14" fontId="11" fillId="0" borderId="6" applyAlignment="1" pivotButton="0" quotePrefix="0" xfId="0">
      <alignment horizontal="left" wrapText="1"/>
    </xf>
    <xf numFmtId="0" fontId="65" fillId="3" borderId="6" applyAlignment="1" pivotButton="0" quotePrefix="0" xfId="0">
      <alignment horizontal="left" vertical="top" wrapText="1"/>
    </xf>
    <xf numFmtId="3" fontId="65" fillId="3" borderId="6" applyAlignment="1" pivotButton="0" quotePrefix="0" xfId="0">
      <alignment horizontal="left" wrapText="1"/>
    </xf>
    <xf numFmtId="0" fontId="65" fillId="3" borderId="6" applyAlignment="1" pivotButton="0" quotePrefix="0" xfId="0">
      <alignment horizontal="left" wrapText="1"/>
    </xf>
    <xf numFmtId="0" fontId="11" fillId="0" borderId="6" applyAlignment="1" pivotButton="0" quotePrefix="0" xfId="0">
      <alignment horizontal="left" vertical="top"/>
    </xf>
    <xf numFmtId="165" fontId="11" fillId="0" borderId="6" applyAlignment="1" pivotButton="0" quotePrefix="0" xfId="0">
      <alignment horizontal="left"/>
    </xf>
    <xf numFmtId="168" fontId="11" fillId="0" borderId="6" applyAlignment="1" pivotButton="0" quotePrefix="0" xfId="0">
      <alignment horizontal="left"/>
    </xf>
    <xf numFmtId="1" fontId="11" fillId="0" borderId="6" applyAlignment="1" pivotButton="0" quotePrefix="0" xfId="0">
      <alignment horizontal="left"/>
    </xf>
    <xf numFmtId="14" fontId="11" fillId="0" borderId="6" applyAlignment="1" pivotButton="0" quotePrefix="0" xfId="0">
      <alignment horizontal="left"/>
    </xf>
    <xf numFmtId="0" fontId="65" fillId="3" borderId="6" applyAlignment="1" pivotButton="0" quotePrefix="0" xfId="0">
      <alignment horizontal="left" vertical="top"/>
    </xf>
    <xf numFmtId="3" fontId="65" fillId="3" borderId="6" applyAlignment="1" pivotButton="0" quotePrefix="0" xfId="0">
      <alignment horizontal="left"/>
    </xf>
    <xf numFmtId="0" fontId="65" fillId="3" borderId="6" applyAlignment="1" pivotButton="0" quotePrefix="0" xfId="0">
      <alignment horizontal="left"/>
    </xf>
    <xf numFmtId="0" fontId="51" fillId="3" borderId="6" applyAlignment="1" pivotButton="0" quotePrefix="0" xfId="0">
      <alignment horizontal="left"/>
    </xf>
    <xf numFmtId="3" fontId="51" fillId="3" borderId="6" applyAlignment="1" pivotButton="0" quotePrefix="0" xfId="0">
      <alignment horizontal="left"/>
    </xf>
    <xf numFmtId="168" fontId="22" fillId="0" borderId="1" applyAlignment="1" pivotButton="0" quotePrefix="0" xfId="0">
      <alignment horizontal="left"/>
    </xf>
    <xf numFmtId="14" fontId="22" fillId="0" borderId="1" applyAlignment="1" pivotButton="0" quotePrefix="0" xfId="0">
      <alignment horizontal="left"/>
    </xf>
    <xf numFmtId="3" fontId="18" fillId="0" borderId="1" applyAlignment="1" pivotButton="0" quotePrefix="0" xfId="0">
      <alignment horizontal="justify" vertical="top" wrapText="1"/>
    </xf>
    <xf numFmtId="1" fontId="54" fillId="0" borderId="1" applyAlignment="1" pivotButton="0" quotePrefix="0" xfId="0">
      <alignment horizontal="center"/>
    </xf>
    <xf numFmtId="14" fontId="54" fillId="0" borderId="1" applyAlignment="1" pivotButton="0" quotePrefix="0" xfId="0">
      <alignment horizontal="center"/>
    </xf>
    <xf numFmtId="1" fontId="18" fillId="0" borderId="18" applyAlignment="1" pivotButton="0" quotePrefix="0" xfId="0">
      <alignment horizontal="center"/>
    </xf>
    <xf numFmtId="1" fontId="18" fillId="0" borderId="6" applyAlignment="1" pivotButton="0" quotePrefix="0" xfId="0">
      <alignment horizontal="left"/>
    </xf>
    <xf numFmtId="165" fontId="47" fillId="0" borderId="1" applyAlignment="1" pivotButton="0" quotePrefix="0" xfId="0">
      <alignment horizontal="center"/>
    </xf>
    <xf numFmtId="168" fontId="47" fillId="0" borderId="1" applyAlignment="1" pivotButton="0" quotePrefix="0" xfId="0">
      <alignment horizontal="center"/>
    </xf>
    <xf numFmtId="1" fontId="47" fillId="0" borderId="1" applyAlignment="1" pivotButton="0" quotePrefix="0" xfId="0">
      <alignment horizontal="center"/>
    </xf>
    <xf numFmtId="14" fontId="47" fillId="0" borderId="1" applyAlignment="1" pivotButton="0" quotePrefix="0" xfId="0">
      <alignment horizontal="center"/>
    </xf>
    <xf numFmtId="14" fontId="20" fillId="0" borderId="1" applyAlignment="1" pivotButton="0" quotePrefix="0" xfId="0">
      <alignment horizontal="left"/>
    </xf>
    <xf numFmtId="3" fontId="44" fillId="0" borderId="19" applyAlignment="1" pivotButton="0" quotePrefix="0" xfId="0">
      <alignment horizontal="left"/>
    </xf>
    <xf numFmtId="0" fontId="44" fillId="0" borderId="19" applyAlignment="1" pivotButton="0" quotePrefix="0" xfId="0">
      <alignment horizontal="left"/>
    </xf>
    <xf numFmtId="165" fontId="44" fillId="0" borderId="19" applyAlignment="1" pivotButton="0" quotePrefix="0" xfId="0">
      <alignment horizontal="left"/>
    </xf>
    <xf numFmtId="168" fontId="44" fillId="0" borderId="19" applyAlignment="1" pivotButton="0" quotePrefix="0" xfId="0">
      <alignment horizontal="left"/>
    </xf>
    <xf numFmtId="1" fontId="44" fillId="0" borderId="19" applyAlignment="1" pivotButton="0" quotePrefix="0" xfId="0">
      <alignment horizontal="left"/>
    </xf>
    <xf numFmtId="14" fontId="44" fillId="0" borderId="19" applyAlignment="1" pivotButton="0" quotePrefix="0" xfId="0">
      <alignment horizontal="left"/>
    </xf>
    <xf numFmtId="0" fontId="18" fillId="2" borderId="73" applyAlignment="1" pivotButton="0" quotePrefix="0" xfId="0">
      <alignment horizontal="center"/>
    </xf>
    <xf numFmtId="165" fontId="18" fillId="2" borderId="73" applyAlignment="1" pivotButton="0" quotePrefix="0" xfId="0">
      <alignment horizontal="center"/>
    </xf>
    <xf numFmtId="168" fontId="18" fillId="2" borderId="73" applyAlignment="1" pivotButton="0" quotePrefix="0" xfId="0">
      <alignment horizontal="center"/>
    </xf>
    <xf numFmtId="3" fontId="18" fillId="2" borderId="73" applyAlignment="1" pivotButton="0" quotePrefix="0" xfId="0">
      <alignment horizontal="center"/>
    </xf>
    <xf numFmtId="0" fontId="18" fillId="0" borderId="63" applyAlignment="1" pivotButton="0" quotePrefix="0" xfId="0">
      <alignment horizontal="justify" vertical="top" wrapText="1"/>
    </xf>
    <xf numFmtId="0" fontId="18" fillId="0" borderId="27" applyAlignment="1" pivotButton="0" quotePrefix="0" xfId="0">
      <alignment horizontal="justify" wrapText="1"/>
    </xf>
    <xf numFmtId="3" fontId="18" fillId="0" borderId="27" applyAlignment="1" pivotButton="0" quotePrefix="0" xfId="0">
      <alignment horizontal="justify" wrapText="1"/>
    </xf>
    <xf numFmtId="0" fontId="18" fillId="0" borderId="67" applyAlignment="1" pivotButton="0" quotePrefix="0" xfId="0">
      <alignment horizontal="justify" wrapText="1"/>
    </xf>
    <xf numFmtId="0" fontId="18" fillId="0" borderId="64" applyAlignment="1" pivotButton="0" quotePrefix="0" xfId="0">
      <alignment horizontal="justify" wrapText="1"/>
    </xf>
    <xf numFmtId="0" fontId="18" fillId="0" borderId="66" applyAlignment="1" pivotButton="0" quotePrefix="0" xfId="0">
      <alignment horizontal="justify" wrapText="1"/>
    </xf>
    <xf numFmtId="3" fontId="47" fillId="0" borderId="6" applyAlignment="1" pivotButton="0" quotePrefix="0" xfId="0">
      <alignment horizontal="left"/>
    </xf>
    <xf numFmtId="0" fontId="47" fillId="0" borderId="6" applyAlignment="1" pivotButton="0" quotePrefix="0" xfId="0">
      <alignment horizontal="left"/>
    </xf>
    <xf numFmtId="165" fontId="47" fillId="0" borderId="6" applyAlignment="1" pivotButton="0" quotePrefix="0" xfId="0">
      <alignment horizontal="left"/>
    </xf>
    <xf numFmtId="168" fontId="47" fillId="0" borderId="6" applyAlignment="1" pivotButton="0" quotePrefix="0" xfId="0">
      <alignment horizontal="left"/>
    </xf>
    <xf numFmtId="0" fontId="18" fillId="0" borderId="65" applyAlignment="1" pivotButton="0" quotePrefix="0" xfId="0">
      <alignment horizontal="justify" wrapText="1"/>
    </xf>
    <xf numFmtId="0" fontId="18" fillId="0" borderId="17" applyAlignment="1" pivotButton="0" quotePrefix="0" xfId="0">
      <alignment horizontal="justify" wrapText="1"/>
    </xf>
    <xf numFmtId="3" fontId="18" fillId="0" borderId="17" applyAlignment="1" pivotButton="0" quotePrefix="0" xfId="0">
      <alignment horizontal="justify" wrapText="1"/>
    </xf>
    <xf numFmtId="0" fontId="18" fillId="0" borderId="68" applyAlignment="1" pivotButton="0" quotePrefix="0" xfId="0">
      <alignment horizontal="justify" wrapText="1"/>
    </xf>
    <xf numFmtId="3" fontId="20" fillId="0" borderId="1" applyAlignment="1" pivotButton="0" quotePrefix="0" xfId="0">
      <alignment horizontal="left" wrapText="1"/>
    </xf>
    <xf numFmtId="0" fontId="18" fillId="0" borderId="102" applyAlignment="1" pivotButton="0" quotePrefix="0" xfId="0">
      <alignment horizontal="right" wrapText="1"/>
    </xf>
    <xf numFmtId="3" fontId="18" fillId="0" borderId="102" applyAlignment="1" pivotButton="0" quotePrefix="0" xfId="0">
      <alignment horizontal="right" wrapText="1"/>
    </xf>
    <xf numFmtId="0" fontId="18" fillId="0" borderId="102" applyAlignment="1" pivotButton="0" quotePrefix="0" xfId="0">
      <alignment horizontal="left" wrapText="1"/>
    </xf>
    <xf numFmtId="165" fontId="18" fillId="0" borderId="102" applyAlignment="1" pivotButton="0" quotePrefix="0" xfId="0">
      <alignment horizontal="left" wrapText="1"/>
    </xf>
    <xf numFmtId="168" fontId="18" fillId="0" borderId="102" applyAlignment="1" pivotButton="0" quotePrefix="0" xfId="0">
      <alignment horizontal="left" wrapText="1"/>
    </xf>
    <xf numFmtId="3" fontId="18" fillId="0" borderId="102" applyAlignment="1" pivotButton="0" quotePrefix="0" xfId="0">
      <alignment horizontal="left" wrapText="1"/>
    </xf>
    <xf numFmtId="1" fontId="18" fillId="0" borderId="102" applyAlignment="1" pivotButton="0" quotePrefix="0" xfId="0">
      <alignment horizontal="left" wrapText="1"/>
    </xf>
    <xf numFmtId="14" fontId="18" fillId="0" borderId="102" applyAlignment="1" pivotButton="0" quotePrefix="0" xfId="0">
      <alignment horizontal="left" wrapText="1"/>
    </xf>
    <xf numFmtId="0" fontId="18" fillId="0" borderId="103" applyAlignment="1" pivotButton="0" quotePrefix="0" xfId="0">
      <alignment horizontal="right" wrapText="1"/>
    </xf>
    <xf numFmtId="3" fontId="18" fillId="0" borderId="104" applyAlignment="1" pivotButton="0" quotePrefix="0" xfId="0">
      <alignment horizontal="right" wrapText="1"/>
    </xf>
    <xf numFmtId="0" fontId="18" fillId="0" borderId="27" applyAlignment="1" pivotButton="0" quotePrefix="0" xfId="0">
      <alignment horizontal="left"/>
    </xf>
    <xf numFmtId="0" fontId="20" fillId="0" borderId="27" applyAlignment="1" pivotButton="0" quotePrefix="0" xfId="0">
      <alignment horizontal="left"/>
    </xf>
    <xf numFmtId="165" fontId="20" fillId="0" borderId="27" applyAlignment="1" pivotButton="0" quotePrefix="0" xfId="0">
      <alignment horizontal="left"/>
    </xf>
    <xf numFmtId="168" fontId="20" fillId="0" borderId="27" applyAlignment="1" pivotButton="0" quotePrefix="0" xfId="0">
      <alignment horizontal="left"/>
    </xf>
    <xf numFmtId="3" fontId="20" fillId="0" borderId="27" applyAlignment="1" pivotButton="0" quotePrefix="0" xfId="0">
      <alignment horizontal="left"/>
    </xf>
    <xf numFmtId="1" fontId="20" fillId="0" borderId="27" applyAlignment="1" pivotButton="0" quotePrefix="0" xfId="0">
      <alignment horizontal="left"/>
    </xf>
    <xf numFmtId="14" fontId="20" fillId="0" borderId="27" applyAlignment="1" pivotButton="0" quotePrefix="0" xfId="0">
      <alignment horizontal="left"/>
    </xf>
    <xf numFmtId="3" fontId="18" fillId="0" borderId="27" applyAlignment="1" pivotButton="0" quotePrefix="0" xfId="0">
      <alignment horizontal="left"/>
    </xf>
    <xf numFmtId="0" fontId="20" fillId="0" borderId="17" applyAlignment="1" pivotButton="0" quotePrefix="0" xfId="0">
      <alignment horizontal="left"/>
    </xf>
    <xf numFmtId="165" fontId="20" fillId="0" borderId="17" applyAlignment="1" pivotButton="0" quotePrefix="0" xfId="0">
      <alignment horizontal="left"/>
    </xf>
    <xf numFmtId="168" fontId="20" fillId="0" borderId="17" applyAlignment="1" pivotButton="0" quotePrefix="0" xfId="0">
      <alignment horizontal="left"/>
    </xf>
    <xf numFmtId="3" fontId="20" fillId="0" borderId="17" applyAlignment="1" pivotButton="0" quotePrefix="0" xfId="0">
      <alignment horizontal="left"/>
    </xf>
    <xf numFmtId="1" fontId="20" fillId="0" borderId="17" applyAlignment="1" pivotButton="0" quotePrefix="0" xfId="0">
      <alignment horizontal="left"/>
    </xf>
    <xf numFmtId="14" fontId="20" fillId="0" borderId="17" applyAlignment="1" pivotButton="0" quotePrefix="0" xfId="0">
      <alignment horizontal="left"/>
    </xf>
    <xf numFmtId="0" fontId="22" fillId="0" borderId="17" applyAlignment="1" pivotButton="0" quotePrefix="0" xfId="0">
      <alignment horizontal="left"/>
    </xf>
    <xf numFmtId="165" fontId="22" fillId="0" borderId="17" applyAlignment="1" pivotButton="0" quotePrefix="0" xfId="0">
      <alignment horizontal="left"/>
    </xf>
    <xf numFmtId="168" fontId="22" fillId="0" borderId="17" applyAlignment="1" pivotButton="0" quotePrefix="0" xfId="0">
      <alignment horizontal="left"/>
    </xf>
    <xf numFmtId="3" fontId="22" fillId="0" borderId="17" applyAlignment="1" pivotButton="0" quotePrefix="0" xfId="0">
      <alignment horizontal="left"/>
    </xf>
    <xf numFmtId="1" fontId="22" fillId="0" borderId="17" applyAlignment="1" pivotButton="0" quotePrefix="0" xfId="0">
      <alignment horizontal="left"/>
    </xf>
    <xf numFmtId="14" fontId="22" fillId="0" borderId="17" applyAlignment="1" pivotButton="0" quotePrefix="0" xfId="0">
      <alignment horizontal="left"/>
    </xf>
    <xf numFmtId="3" fontId="44" fillId="0" borderId="74" applyAlignment="1" pivotButton="0" quotePrefix="0" xfId="0">
      <alignment horizontal="center"/>
    </xf>
    <xf numFmtId="0" fontId="44" fillId="0" borderId="74" applyAlignment="1" pivotButton="0" quotePrefix="0" xfId="0">
      <alignment horizontal="center"/>
    </xf>
    <xf numFmtId="165" fontId="44" fillId="0" borderId="74" applyAlignment="1" pivotButton="0" quotePrefix="0" xfId="0">
      <alignment horizontal="center"/>
    </xf>
    <xf numFmtId="168" fontId="44" fillId="0" borderId="74" applyAlignment="1" pivotButton="0" quotePrefix="0" xfId="0">
      <alignment horizontal="center"/>
    </xf>
    <xf numFmtId="1" fontId="44" fillId="0" borderId="74" applyAlignment="1" pivotButton="0" quotePrefix="0" xfId="0">
      <alignment horizontal="center"/>
    </xf>
    <xf numFmtId="14" fontId="44" fillId="0" borderId="74" applyAlignment="1" pivotButton="0" quotePrefix="0" xfId="0">
      <alignment horizontal="center"/>
    </xf>
    <xf numFmtId="0" fontId="44" fillId="0" borderId="65" applyAlignment="1" pivotButton="0" quotePrefix="0" xfId="0">
      <alignment horizontal="center"/>
    </xf>
    <xf numFmtId="3" fontId="163" fillId="0" borderId="6" applyAlignment="1" pivotButton="0" quotePrefix="0" xfId="0">
      <alignment horizontal="center"/>
    </xf>
    <xf numFmtId="0" fontId="163" fillId="0" borderId="6" applyAlignment="1" pivotButton="0" quotePrefix="0" xfId="0">
      <alignment horizontal="center"/>
    </xf>
    <xf numFmtId="165" fontId="163" fillId="0" borderId="6" applyAlignment="1" pivotButton="0" quotePrefix="0" xfId="0">
      <alignment horizontal="center"/>
    </xf>
    <xf numFmtId="168" fontId="163" fillId="0" borderId="6" applyAlignment="1" pivotButton="0" quotePrefix="0" xfId="0">
      <alignment horizontal="center"/>
    </xf>
    <xf numFmtId="1" fontId="163" fillId="0" borderId="6" applyAlignment="1" pivotButton="0" quotePrefix="0" xfId="0">
      <alignment horizontal="center"/>
    </xf>
    <xf numFmtId="14" fontId="163" fillId="0" borderId="6" applyAlignment="1" pivotButton="0" quotePrefix="0" xfId="0">
      <alignment horizontal="center"/>
    </xf>
    <xf numFmtId="3" fontId="54" fillId="0" borderId="6" applyAlignment="1" pivotButton="0" quotePrefix="0" xfId="0">
      <alignment horizontal="center" vertical="top"/>
    </xf>
    <xf numFmtId="168" fontId="54" fillId="0" borderId="6" applyAlignment="1" pivotButton="0" quotePrefix="0" xfId="0">
      <alignment horizontal="center"/>
    </xf>
    <xf numFmtId="1" fontId="54" fillId="0" borderId="19" applyAlignment="1" pivotButton="0" quotePrefix="0" xfId="0">
      <alignment horizontal="center"/>
    </xf>
    <xf numFmtId="14" fontId="54" fillId="0" borderId="19" applyAlignment="1" pivotButton="0" quotePrefix="0" xfId="0">
      <alignment horizontal="center"/>
    </xf>
    <xf numFmtId="14" fontId="54" fillId="0" borderId="20" applyAlignment="1" pivotButton="0" quotePrefix="0" xfId="0">
      <alignment horizontal="center"/>
    </xf>
    <xf numFmtId="3" fontId="54" fillId="0" borderId="28" applyAlignment="1" pivotButton="0" quotePrefix="0" xfId="0">
      <alignment horizontal="center"/>
    </xf>
    <xf numFmtId="0" fontId="54" fillId="0" borderId="28" applyAlignment="1" pivotButton="0" quotePrefix="0" xfId="0">
      <alignment horizontal="center"/>
    </xf>
    <xf numFmtId="1" fontId="54" fillId="0" borderId="6" applyAlignment="1" pivotButton="0" quotePrefix="0" xfId="0">
      <alignment horizontal="center"/>
    </xf>
    <xf numFmtId="14" fontId="54" fillId="0" borderId="6" applyAlignment="1" pivotButton="0" quotePrefix="0" xfId="0">
      <alignment horizontal="center"/>
    </xf>
    <xf numFmtId="3" fontId="54" fillId="0" borderId="28" applyAlignment="1" pivotButton="0" quotePrefix="0" xfId="0">
      <alignment horizontal="left"/>
    </xf>
    <xf numFmtId="0" fontId="54" fillId="0" borderId="28" applyAlignment="1" pivotButton="0" quotePrefix="0" xfId="0">
      <alignment horizontal="left"/>
    </xf>
    <xf numFmtId="165" fontId="54" fillId="0" borderId="28" applyAlignment="1" pivotButton="0" quotePrefix="0" xfId="0">
      <alignment horizontal="left"/>
    </xf>
    <xf numFmtId="168" fontId="54" fillId="0" borderId="28" applyAlignment="1" pivotButton="0" quotePrefix="0" xfId="0">
      <alignment horizontal="left"/>
    </xf>
    <xf numFmtId="3" fontId="124" fillId="0" borderId="28" applyAlignment="1" pivotButton="0" quotePrefix="0" xfId="0">
      <alignment horizontal="left"/>
    </xf>
    <xf numFmtId="0" fontId="124" fillId="0" borderId="28" applyAlignment="1" pivotButton="0" quotePrefix="0" xfId="0">
      <alignment horizontal="left"/>
    </xf>
    <xf numFmtId="1" fontId="124" fillId="0" borderId="28" applyAlignment="1" pivotButton="0" quotePrefix="0" xfId="0">
      <alignment horizontal="left"/>
    </xf>
    <xf numFmtId="14" fontId="124" fillId="0" borderId="28" applyAlignment="1" pivotButton="0" quotePrefix="0" xfId="0">
      <alignment horizontal="left"/>
    </xf>
    <xf numFmtId="168" fontId="54" fillId="0" borderId="62" applyAlignment="1" pivotButton="0" quotePrefix="0" xfId="0">
      <alignment horizontal="left"/>
    </xf>
    <xf numFmtId="3" fontId="124" fillId="0" borderId="62" applyAlignment="1" pivotButton="0" quotePrefix="0" xfId="0">
      <alignment horizontal="left"/>
    </xf>
    <xf numFmtId="0" fontId="124" fillId="0" borderId="62" applyAlignment="1" pivotButton="0" quotePrefix="0" xfId="0">
      <alignment horizontal="left"/>
    </xf>
    <xf numFmtId="1" fontId="124" fillId="0" borderId="62" applyAlignment="1" pivotButton="0" quotePrefix="0" xfId="0">
      <alignment horizontal="left"/>
    </xf>
    <xf numFmtId="14" fontId="124" fillId="0" borderId="62" applyAlignment="1" pivotButton="0" quotePrefix="0" xfId="0">
      <alignment horizontal="left"/>
    </xf>
    <xf numFmtId="3" fontId="54" fillId="0" borderId="74" applyAlignment="1" pivotButton="0" quotePrefix="0" xfId="0">
      <alignment horizontal="right"/>
    </xf>
    <xf numFmtId="0" fontId="54" fillId="0" borderId="74" applyAlignment="1" pivotButton="0" quotePrefix="0" xfId="0">
      <alignment horizontal="right"/>
    </xf>
    <xf numFmtId="165" fontId="54" fillId="0" borderId="74" applyAlignment="1" pivotButton="0" quotePrefix="0" xfId="0">
      <alignment horizontal="right"/>
    </xf>
    <xf numFmtId="168" fontId="54" fillId="0" borderId="74" applyAlignment="1" pivotButton="0" quotePrefix="0" xfId="0">
      <alignment horizontal="right"/>
    </xf>
    <xf numFmtId="3" fontId="124" fillId="0" borderId="74" applyAlignment="1" pivotButton="0" quotePrefix="0" xfId="0">
      <alignment horizontal="left"/>
    </xf>
    <xf numFmtId="0" fontId="124" fillId="0" borderId="74" applyAlignment="1" pivotButton="0" quotePrefix="0" xfId="0">
      <alignment horizontal="left"/>
    </xf>
    <xf numFmtId="1" fontId="124" fillId="0" borderId="74" applyAlignment="1" pivotButton="0" quotePrefix="0" xfId="0">
      <alignment horizontal="left"/>
    </xf>
    <xf numFmtId="14" fontId="124" fillId="0" borderId="74" applyAlignment="1" pivotButton="0" quotePrefix="0" xfId="0">
      <alignment horizontal="left"/>
    </xf>
    <xf numFmtId="3" fontId="124" fillId="0" borderId="6" applyAlignment="1" pivotButton="0" quotePrefix="0" xfId="0">
      <alignment horizontal="left"/>
    </xf>
    <xf numFmtId="0" fontId="124" fillId="0" borderId="6" applyAlignment="1" pivotButton="0" quotePrefix="0" xfId="0">
      <alignment horizontal="left"/>
    </xf>
    <xf numFmtId="1" fontId="54" fillId="0" borderId="62" applyAlignment="1" pivotButton="0" quotePrefix="0" xfId="0">
      <alignment horizontal="left"/>
    </xf>
    <xf numFmtId="14" fontId="54" fillId="0" borderId="62" applyAlignment="1" pivotButton="0" quotePrefix="0" xfId="0">
      <alignment horizontal="left"/>
    </xf>
    <xf numFmtId="3" fontId="54" fillId="0" borderId="64" applyAlignment="1" pivotButton="0" quotePrefix="0" xfId="0">
      <alignment horizontal="center"/>
    </xf>
    <xf numFmtId="3" fontId="54" fillId="0" borderId="74" applyAlignment="1" pivotButton="0" quotePrefix="0" xfId="0">
      <alignment horizontal="left"/>
    </xf>
    <xf numFmtId="165" fontId="54" fillId="0" borderId="74" applyAlignment="1" pivotButton="0" quotePrefix="0" xfId="0">
      <alignment horizontal="left"/>
    </xf>
    <xf numFmtId="168" fontId="54" fillId="0" borderId="74" applyAlignment="1" pivotButton="0" quotePrefix="0" xfId="0">
      <alignment horizontal="left"/>
    </xf>
    <xf numFmtId="165" fontId="32" fillId="0" borderId="1" applyAlignment="1" pivotButton="0" quotePrefix="0" xfId="0">
      <alignment horizontal="left"/>
    </xf>
    <xf numFmtId="168" fontId="32" fillId="0" borderId="1" applyAlignment="1" pivotButton="0" quotePrefix="0" xfId="0">
      <alignment horizontal="left"/>
    </xf>
    <xf numFmtId="3" fontId="32" fillId="0" borderId="1" applyAlignment="1" pivotButton="0" quotePrefix="0" xfId="0">
      <alignment horizontal="left"/>
    </xf>
    <xf numFmtId="1" fontId="32" fillId="0" borderId="1" applyAlignment="1" pivotButton="0" quotePrefix="0" xfId="0">
      <alignment horizontal="left"/>
    </xf>
    <xf numFmtId="14" fontId="32" fillId="0" borderId="1" applyAlignment="1" pivotButton="0" quotePrefix="0" xfId="0">
      <alignment horizontal="left"/>
    </xf>
    <xf numFmtId="14" fontId="18" fillId="0" borderId="105" applyAlignment="1" pivotButton="0" quotePrefix="0" xfId="0">
      <alignment horizontal="left"/>
    </xf>
    <xf numFmtId="14" fontId="155" fillId="3" borderId="106" applyAlignment="1" pivotButton="0" quotePrefix="0" xfId="0">
      <alignment horizontal="left"/>
    </xf>
    <xf numFmtId="3" fontId="155" fillId="3" borderId="106" applyAlignment="1" pivotButton="0" quotePrefix="0" xfId="0">
      <alignment horizontal="left"/>
    </xf>
    <xf numFmtId="0" fontId="155" fillId="3" borderId="106" applyAlignment="1" pivotButton="0" quotePrefix="0" xfId="0">
      <alignment horizontal="left"/>
    </xf>
    <xf numFmtId="14" fontId="18" fillId="0" borderId="107" applyAlignment="1" pivotButton="0" quotePrefix="0" xfId="0">
      <alignment horizontal="left"/>
    </xf>
    <xf numFmtId="3" fontId="18" fillId="0" borderId="107" applyAlignment="1" pivotButton="0" quotePrefix="0" xfId="0">
      <alignment horizontal="left"/>
    </xf>
    <xf numFmtId="0" fontId="18" fillId="0" borderId="107" applyAlignment="1" pivotButton="0" quotePrefix="0" xfId="0">
      <alignment horizontal="left"/>
    </xf>
    <xf numFmtId="168" fontId="46" fillId="0" borderId="1" applyAlignment="1" pivotButton="0" quotePrefix="0" xfId="0">
      <alignment horizontal="left"/>
    </xf>
    <xf numFmtId="1" fontId="46" fillId="0" borderId="1" applyAlignment="1" pivotButton="0" quotePrefix="0" xfId="0">
      <alignment horizontal="left"/>
    </xf>
    <xf numFmtId="14" fontId="46" fillId="0" borderId="1" applyAlignment="1" pivotButton="0" quotePrefix="0" xfId="0">
      <alignment horizontal="left"/>
    </xf>
    <xf numFmtId="172" fontId="0" fillId="0" borderId="0" applyAlignment="1" pivotButton="0" quotePrefix="0" xfId="0">
      <alignment horizontal="general"/>
    </xf>
    <xf numFmtId="173" fontId="0" fillId="0" borderId="0" applyAlignment="1" pivotButton="0" quotePrefix="0" xfId="0">
      <alignment horizontal="general"/>
    </xf>
    <xf numFmtId="0" fontId="11" fillId="9" borderId="2" applyAlignment="1" pivotButton="0" quotePrefix="0" xfId="0">
      <alignment horizontal="left"/>
    </xf>
    <xf numFmtId="0" fontId="11" fillId="9" borderId="108" applyAlignment="1" pivotButton="0" quotePrefix="0" xfId="0">
      <alignment horizontal="left"/>
    </xf>
    <xf numFmtId="1" fontId="11" fillId="9" borderId="4" applyAlignment="1" pivotButton="0" quotePrefix="0" xfId="0">
      <alignment horizontal="left"/>
    </xf>
    <xf numFmtId="0" fontId="62" fillId="3" borderId="2" applyAlignment="1" pivotButton="0" quotePrefix="0" xfId="0">
      <alignment horizontal="center"/>
    </xf>
    <xf numFmtId="172" fontId="62" fillId="3" borderId="3" applyAlignment="1" pivotButton="0" quotePrefix="0" xfId="0">
      <alignment horizontal="center"/>
    </xf>
    <xf numFmtId="0" fontId="62" fillId="3" borderId="4" applyAlignment="1" pivotButton="0" quotePrefix="0" xfId="0">
      <alignment horizontal="center"/>
    </xf>
    <xf numFmtId="0" fontId="11" fillId="9" borderId="109" applyAlignment="1" pivotButton="0" quotePrefix="0" xfId="0">
      <alignment horizontal="center"/>
    </xf>
    <xf numFmtId="0" fontId="11" fillId="3" borderId="110" applyAlignment="1" pivotButton="0" quotePrefix="0" xfId="0">
      <alignment horizontal="left"/>
    </xf>
    <xf numFmtId="0" fontId="11" fillId="9" borderId="111" applyAlignment="1" pivotButton="0" quotePrefix="0" xfId="0">
      <alignment horizontal="center"/>
    </xf>
    <xf numFmtId="0" fontId="11" fillId="3" borderId="112" applyAlignment="1" pivotButton="0" quotePrefix="0" xfId="0">
      <alignment horizontal="center"/>
    </xf>
    <xf numFmtId="173" fontId="11" fillId="3" borderId="113" applyAlignment="1" pivotButton="0" quotePrefix="0" xfId="0">
      <alignment horizontal="center"/>
    </xf>
    <xf numFmtId="0" fontId="7" fillId="0" borderId="114" applyAlignment="1" pivotButton="0" quotePrefix="0" xfId="0">
      <alignment horizontal="center" vertical="top"/>
    </xf>
    <xf numFmtId="0" fontId="11" fillId="10" borderId="2" applyAlignment="1" pivotButton="0" quotePrefix="0" xfId="0">
      <alignment horizontal="left"/>
    </xf>
    <xf numFmtId="3" fontId="11" fillId="10" borderId="3" applyAlignment="1" pivotButton="0" quotePrefix="0" xfId="0">
      <alignment horizontal="left"/>
    </xf>
    <xf numFmtId="0" fontId="11" fillId="10" borderId="4" applyAlignment="1" pivotButton="0" quotePrefix="0" xfId="0">
      <alignment horizontal="left"/>
    </xf>
    <xf numFmtId="0" fontId="11" fillId="11" borderId="2" applyAlignment="1" pivotButton="0" quotePrefix="0" xfId="0">
      <alignment horizontal="left"/>
    </xf>
    <xf numFmtId="3" fontId="11" fillId="11" borderId="3" applyAlignment="1" pivotButton="0" quotePrefix="0" xfId="0">
      <alignment horizontal="left"/>
    </xf>
    <xf numFmtId="3" fontId="11" fillId="11" borderId="4" applyAlignment="1" pivotButton="0" quotePrefix="0" xfId="0">
      <alignment horizontal="center"/>
    </xf>
    <xf numFmtId="0" fontId="11" fillId="12" borderId="2" applyAlignment="1" pivotButton="0" quotePrefix="0" xfId="0">
      <alignment horizontal="left"/>
    </xf>
    <xf numFmtId="3" fontId="11" fillId="12" borderId="3" applyAlignment="1" pivotButton="0" quotePrefix="0" xfId="0">
      <alignment horizontal="left"/>
    </xf>
    <xf numFmtId="0" fontId="11" fillId="12" borderId="4" applyAlignment="1" pivotButton="0" quotePrefix="0" xfId="0">
      <alignment horizontal="left"/>
    </xf>
    <xf numFmtId="0" fontId="54" fillId="6" borderId="6" applyAlignment="1" pivotButton="0" quotePrefix="0" xfId="0">
      <alignment horizontal="left"/>
    </xf>
    <xf numFmtId="3" fontId="54" fillId="6" borderId="6" applyAlignment="1" pivotButton="0" quotePrefix="0" xfId="0">
      <alignment horizontal="left"/>
    </xf>
    <xf numFmtId="0" fontId="11" fillId="13" borderId="2" applyAlignment="1" pivotButton="0" quotePrefix="0" xfId="0">
      <alignment horizontal="left"/>
    </xf>
    <xf numFmtId="3" fontId="11" fillId="13" borderId="3" applyAlignment="1" pivotButton="0" quotePrefix="0" xfId="0">
      <alignment horizontal="left"/>
    </xf>
    <xf numFmtId="0" fontId="11" fillId="13" borderId="4" applyAlignment="1" pivotButton="0" quotePrefix="0" xfId="0">
      <alignment horizontal="left"/>
    </xf>
    <xf numFmtId="0" fontId="11" fillId="14" borderId="6" applyAlignment="1" pivotButton="0" quotePrefix="0" xfId="0">
      <alignment horizontal="left"/>
    </xf>
    <xf numFmtId="3" fontId="11" fillId="14" borderId="6" applyAlignment="1" pivotButton="0" quotePrefix="0" xfId="0">
      <alignment horizontal="left"/>
    </xf>
    <xf numFmtId="0" fontId="11" fillId="11" borderId="6" applyAlignment="1" pivotButton="0" quotePrefix="0" xfId="0">
      <alignment horizontal="left"/>
    </xf>
    <xf numFmtId="3" fontId="11" fillId="11" borderId="6" applyAlignment="1" pivotButton="0" quotePrefix="0" xfId="0">
      <alignment horizontal="left"/>
    </xf>
    <xf numFmtId="0" fontId="11" fillId="15" borderId="6" applyAlignment="1" pivotButton="0" quotePrefix="0" xfId="0">
      <alignment horizontal="left"/>
    </xf>
    <xf numFmtId="3" fontId="11" fillId="15" borderId="6" applyAlignment="1" pivotButton="0" quotePrefix="0" xfId="0">
      <alignment horizontal="left"/>
    </xf>
    <xf numFmtId="0" fontId="11" fillId="3" borderId="6" applyAlignment="1" pivotButton="0" quotePrefix="0" xfId="0">
      <alignment horizontal="left"/>
    </xf>
    <xf numFmtId="3" fontId="11" fillId="3" borderId="6" applyAlignment="1" pivotButton="0" quotePrefix="0" xfId="0">
      <alignment horizontal="left"/>
    </xf>
    <xf numFmtId="4" fontId="11" fillId="3" borderId="6" applyAlignment="1" pivotButton="0" quotePrefix="0" xfId="0">
      <alignment horizontal="center"/>
    </xf>
    <xf numFmtId="0" fontId="11" fillId="12" borderId="6" applyAlignment="1" pivotButton="0" quotePrefix="0" xfId="0">
      <alignment horizontal="left"/>
    </xf>
    <xf numFmtId="3" fontId="11" fillId="12" borderId="6" applyAlignment="1" pivotButton="0" quotePrefix="0" xfId="0">
      <alignment horizontal="left"/>
    </xf>
    <xf numFmtId="3" fontId="11" fillId="11" borderId="2" applyAlignment="1" pivotButton="0" quotePrefix="0" xfId="0">
      <alignment horizontal="left"/>
    </xf>
    <xf numFmtId="3" fontId="11" fillId="11" borderId="4" applyAlignment="1" pivotButton="0" quotePrefix="0" xfId="0">
      <alignment horizontal="left"/>
    </xf>
    <xf numFmtId="3" fontId="11" fillId="12" borderId="49" applyAlignment="1" pivotButton="0" quotePrefix="0" xfId="0">
      <alignment horizontal="left"/>
    </xf>
    <xf numFmtId="0" fontId="11" fillId="0" borderId="66" applyAlignment="1" pivotButton="0" quotePrefix="0" xfId="0">
      <alignment horizontal="left"/>
    </xf>
    <xf numFmtId="0" fontId="11" fillId="16" borderId="49" applyAlignment="1" pivotButton="0" quotePrefix="0" xfId="0">
      <alignment horizontal="left"/>
    </xf>
    <xf numFmtId="3" fontId="11" fillId="16" borderId="6" applyAlignment="1" pivotButton="0" quotePrefix="0" xfId="0">
      <alignment horizontal="left"/>
    </xf>
    <xf numFmtId="3" fontId="11" fillId="16" borderId="50" applyAlignment="1" pivotButton="0" quotePrefix="0" xfId="0">
      <alignment horizontal="left"/>
    </xf>
    <xf numFmtId="0" fontId="11" fillId="9" borderId="5" applyAlignment="1" pivotButton="0" quotePrefix="0" xfId="0">
      <alignment horizontal="left"/>
    </xf>
    <xf numFmtId="0" fontId="11" fillId="9" borderId="50" applyAlignment="1" pivotButton="0" quotePrefix="0" xfId="0">
      <alignment horizontal="left"/>
    </xf>
    <xf numFmtId="1" fontId="127" fillId="9" borderId="7" applyAlignment="1" pivotButton="0" quotePrefix="0" xfId="0">
      <alignment horizontal="left"/>
    </xf>
    <xf numFmtId="0" fontId="11" fillId="3" borderId="5" applyAlignment="1" pivotButton="0" quotePrefix="0" xfId="0">
      <alignment horizontal="left"/>
    </xf>
    <xf numFmtId="172" fontId="11" fillId="3" borderId="6" applyAlignment="1" pivotButton="0" quotePrefix="0" xfId="0">
      <alignment horizontal="left"/>
    </xf>
    <xf numFmtId="0" fontId="11" fillId="3" borderId="7" applyAlignment="1" pivotButton="0" quotePrefix="0" xfId="0">
      <alignment horizontal="left"/>
    </xf>
    <xf numFmtId="0" fontId="11" fillId="9" borderId="115" applyAlignment="1" pivotButton="0" quotePrefix="0" xfId="0">
      <alignment horizontal="center"/>
    </xf>
    <xf numFmtId="173" fontId="11" fillId="9" borderId="113" applyAlignment="1" pivotButton="0" quotePrefix="0" xfId="0">
      <alignment horizontal="center"/>
    </xf>
    <xf numFmtId="0" fontId="7" fillId="0" borderId="114" applyAlignment="1" pivotButton="0" quotePrefix="0" xfId="0">
      <alignment horizontal="center"/>
    </xf>
    <xf numFmtId="0" fontId="73" fillId="10" borderId="5" applyAlignment="1" pivotButton="0" quotePrefix="0" xfId="0">
      <alignment horizontal="left"/>
    </xf>
    <xf numFmtId="3" fontId="73" fillId="10" borderId="6" applyAlignment="1" pivotButton="0" quotePrefix="0" xfId="0">
      <alignment horizontal="right" wrapText="1"/>
    </xf>
    <xf numFmtId="3" fontId="73" fillId="10" borderId="116" applyAlignment="1" pivotButton="0" quotePrefix="0" xfId="0">
      <alignment horizontal="right" wrapText="1"/>
    </xf>
    <xf numFmtId="0" fontId="11" fillId="11" borderId="5" applyAlignment="1" pivotButton="0" quotePrefix="0" xfId="0">
      <alignment horizontal="left"/>
    </xf>
    <xf numFmtId="3" fontId="11" fillId="11" borderId="7" applyAlignment="1" pivotButton="0" quotePrefix="0" xfId="0">
      <alignment horizontal="right"/>
    </xf>
    <xf numFmtId="0" fontId="11" fillId="12" borderId="5" applyAlignment="1" pivotButton="0" quotePrefix="0" xfId="0">
      <alignment horizontal="left"/>
    </xf>
    <xf numFmtId="3" fontId="11" fillId="12" borderId="6" applyAlignment="1" pivotButton="0" quotePrefix="0" xfId="0">
      <alignment horizontal="right"/>
    </xf>
    <xf numFmtId="0" fontId="11" fillId="12" borderId="7" applyAlignment="1" pivotButton="0" quotePrefix="0" xfId="0">
      <alignment horizontal="left"/>
    </xf>
    <xf numFmtId="3" fontId="11" fillId="6" borderId="6" applyAlignment="1" pivotButton="0" quotePrefix="0" xfId="0">
      <alignment horizontal="right"/>
    </xf>
    <xf numFmtId="0" fontId="11" fillId="6" borderId="6" applyAlignment="1" pivotButton="0" quotePrefix="0" xfId="0">
      <alignment horizontal="left"/>
    </xf>
    <xf numFmtId="0" fontId="11" fillId="13" borderId="5" applyAlignment="1" pivotButton="0" quotePrefix="0" xfId="0">
      <alignment horizontal="left"/>
    </xf>
    <xf numFmtId="3" fontId="11" fillId="13" borderId="6" applyAlignment="1" pivotButton="0" quotePrefix="0" xfId="0">
      <alignment horizontal="right"/>
    </xf>
    <xf numFmtId="0" fontId="11" fillId="13" borderId="7" applyAlignment="1" pivotButton="0" quotePrefix="0" xfId="0">
      <alignment horizontal="left"/>
    </xf>
    <xf numFmtId="3" fontId="11" fillId="14" borderId="6" applyAlignment="1" pivotButton="0" quotePrefix="0" xfId="0">
      <alignment horizontal="right"/>
    </xf>
    <xf numFmtId="3" fontId="11" fillId="11" borderId="6" applyAlignment="1" pivotButton="0" quotePrefix="0" xfId="0">
      <alignment horizontal="right"/>
    </xf>
    <xf numFmtId="3" fontId="11" fillId="15" borderId="6" applyAlignment="1" pivotButton="0" quotePrefix="0" xfId="0">
      <alignment horizontal="right"/>
    </xf>
    <xf numFmtId="3" fontId="11" fillId="3" borderId="7" applyAlignment="1" pivotButton="0" quotePrefix="0" xfId="0">
      <alignment horizontal="right"/>
    </xf>
    <xf numFmtId="4" fontId="11" fillId="3" borderId="7" applyAlignment="1" pivotButton="0" quotePrefix="0" xfId="0">
      <alignment horizontal="right"/>
    </xf>
    <xf numFmtId="3" fontId="11" fillId="11" borderId="5" applyAlignment="1" pivotButton="0" quotePrefix="0" xfId="0">
      <alignment horizontal="left"/>
    </xf>
    <xf numFmtId="0" fontId="46" fillId="17" borderId="6" applyAlignment="1" pivotButton="0" quotePrefix="0" xfId="0">
      <alignment horizontal="left"/>
    </xf>
    <xf numFmtId="3" fontId="46" fillId="17" borderId="6" applyAlignment="1" pivotButton="0" quotePrefix="0" xfId="0">
      <alignment horizontal="right"/>
    </xf>
    <xf numFmtId="3" fontId="11" fillId="16" borderId="6" applyAlignment="1" pivotButton="0" quotePrefix="0" xfId="0">
      <alignment horizontal="right"/>
    </xf>
    <xf numFmtId="3" fontId="11" fillId="16" borderId="50" applyAlignment="1" pivotButton="0" quotePrefix="0" xfId="0">
      <alignment horizontal="right"/>
    </xf>
    <xf numFmtId="3" fontId="11" fillId="3" borderId="6" applyAlignment="1" pivotButton="0" quotePrefix="0" xfId="0">
      <alignment horizontal="right"/>
    </xf>
    <xf numFmtId="0" fontId="11" fillId="9" borderId="70" applyAlignment="1" pivotButton="0" quotePrefix="0" xfId="0">
      <alignment horizontal="left"/>
    </xf>
    <xf numFmtId="1" fontId="127" fillId="9" borderId="117" applyAlignment="1" pivotButton="0" quotePrefix="0" xfId="0">
      <alignment horizontal="left"/>
    </xf>
    <xf numFmtId="0" fontId="22" fillId="0" borderId="118" applyAlignment="1" pivotButton="0" quotePrefix="0" xfId="0">
      <alignment horizontal="left"/>
    </xf>
    <xf numFmtId="0" fontId="73" fillId="3" borderId="5" applyAlignment="1" pivotButton="0" quotePrefix="0" xfId="0">
      <alignment horizontal="center"/>
    </xf>
    <xf numFmtId="0" fontId="73" fillId="3" borderId="3" applyAlignment="1" pivotButton="0" quotePrefix="0" xfId="0">
      <alignment horizontal="left" wrapText="1"/>
    </xf>
    <xf numFmtId="168" fontId="46" fillId="3" borderId="3" applyAlignment="1" pivotButton="0" quotePrefix="0" xfId="0">
      <alignment horizontal="center"/>
    </xf>
    <xf numFmtId="165" fontId="11" fillId="9" borderId="4" applyAlignment="1" pivotButton="0" quotePrefix="0" xfId="0">
      <alignment horizontal="center"/>
    </xf>
    <xf numFmtId="0" fontId="11" fillId="9" borderId="119" applyAlignment="1" pivotButton="0" quotePrefix="0" xfId="0">
      <alignment horizontal="left"/>
    </xf>
    <xf numFmtId="0" fontId="11" fillId="9" borderId="3" applyAlignment="1" pivotButton="0" quotePrefix="0" xfId="0">
      <alignment horizontal="left"/>
    </xf>
    <xf numFmtId="1" fontId="46" fillId="3" borderId="4" applyAlignment="1" pivotButton="0" quotePrefix="0" xfId="0">
      <alignment horizontal="left"/>
    </xf>
    <xf numFmtId="0" fontId="46" fillId="3" borderId="5" applyAlignment="1" pivotButton="0" quotePrefix="0" xfId="0">
      <alignment horizontal="left"/>
    </xf>
    <xf numFmtId="0" fontId="73" fillId="3" borderId="3" applyAlignment="1" pivotButton="0" quotePrefix="0" xfId="0">
      <alignment horizontal="center"/>
    </xf>
    <xf numFmtId="0" fontId="73" fillId="3" borderId="3" applyAlignment="1" pivotButton="0" quotePrefix="0" xfId="0">
      <alignment horizontal="right"/>
    </xf>
    <xf numFmtId="168" fontId="46" fillId="3" borderId="6" applyAlignment="1" pivotButton="0" quotePrefix="0" xfId="0">
      <alignment horizontal="center"/>
    </xf>
    <xf numFmtId="173" fontId="11" fillId="9" borderId="4" applyAlignment="1" pivotButton="0" quotePrefix="0" xfId="0">
      <alignment horizontal="center"/>
    </xf>
    <xf numFmtId="0" fontId="11" fillId="9" borderId="6" applyAlignment="1" pivotButton="0" quotePrefix="0" xfId="0">
      <alignment horizontal="left"/>
    </xf>
    <xf numFmtId="1" fontId="11" fillId="13" borderId="7" applyAlignment="1" pivotButton="0" quotePrefix="0" xfId="0">
      <alignment horizontal="left"/>
    </xf>
    <xf numFmtId="0" fontId="73" fillId="3" borderId="6" applyAlignment="1" pivotButton="0" quotePrefix="0" xfId="0">
      <alignment horizontal="center"/>
    </xf>
    <xf numFmtId="0" fontId="11" fillId="3" borderId="6" applyAlignment="1" pivotButton="0" quotePrefix="0" xfId="0">
      <alignment horizontal="right"/>
    </xf>
    <xf numFmtId="165" fontId="11" fillId="9" borderId="7" applyAlignment="1" pivotButton="0" quotePrefix="0" xfId="0">
      <alignment horizontal="center"/>
    </xf>
    <xf numFmtId="3" fontId="11" fillId="11" borderId="7" applyAlignment="1" pivotButton="0" quotePrefix="0" xfId="0">
      <alignment horizontal="left"/>
    </xf>
    <xf numFmtId="3" fontId="11" fillId="6" borderId="6" applyAlignment="1" pivotButton="0" quotePrefix="0" xfId="0">
      <alignment horizontal="left"/>
    </xf>
    <xf numFmtId="3" fontId="11" fillId="13" borderId="6" applyAlignment="1" pivotButton="0" quotePrefix="0" xfId="0">
      <alignment horizontal="left"/>
    </xf>
    <xf numFmtId="4" fontId="11" fillId="3" borderId="7" applyAlignment="1" pivotButton="0" quotePrefix="0" xfId="0">
      <alignment horizontal="left"/>
    </xf>
    <xf numFmtId="3" fontId="46" fillId="17" borderId="6" applyAlignment="1" pivotButton="0" quotePrefix="0" xfId="0">
      <alignment horizontal="left"/>
    </xf>
    <xf numFmtId="1" fontId="11" fillId="3" borderId="7" applyAlignment="1" pivotButton="0" quotePrefix="0" xfId="0">
      <alignment horizontal="left"/>
    </xf>
    <xf numFmtId="0" fontId="46" fillId="11" borderId="5" applyAlignment="1" pivotButton="0" quotePrefix="0" xfId="0">
      <alignment horizontal="left"/>
    </xf>
    <xf numFmtId="3" fontId="46" fillId="11" borderId="5" applyAlignment="1" pivotButton="0" quotePrefix="0" xfId="0">
      <alignment horizontal="left"/>
    </xf>
    <xf numFmtId="3" fontId="46" fillId="11" borderId="6" applyAlignment="1" pivotButton="0" quotePrefix="0" xfId="0">
      <alignment horizontal="right"/>
    </xf>
    <xf numFmtId="3" fontId="73" fillId="10" borderId="6" applyAlignment="1" pivotButton="0" quotePrefix="0" xfId="0">
      <alignment horizontal="right"/>
    </xf>
    <xf numFmtId="0" fontId="73" fillId="10" borderId="116" applyAlignment="1" pivotButton="0" quotePrefix="0" xfId="0">
      <alignment horizontal="left"/>
    </xf>
    <xf numFmtId="0" fontId="22" fillId="14" borderId="6" applyAlignment="1" pivotButton="0" quotePrefix="0" xfId="0">
      <alignment horizontal="left"/>
    </xf>
    <xf numFmtId="3" fontId="22" fillId="14" borderId="6" applyAlignment="1" pivotButton="0" quotePrefix="0" xfId="0">
      <alignment horizontal="left"/>
    </xf>
    <xf numFmtId="1" fontId="11" fillId="6" borderId="7" applyAlignment="1" pivotButton="0" quotePrefix="0" xfId="0">
      <alignment horizontal="left"/>
    </xf>
    <xf numFmtId="0" fontId="22" fillId="15" borderId="6" applyAlignment="1" pivotButton="0" quotePrefix="0" xfId="0">
      <alignment horizontal="left"/>
    </xf>
    <xf numFmtId="3" fontId="22" fillId="15" borderId="6" applyAlignment="1" pivotButton="0" quotePrefix="0" xfId="0">
      <alignment horizontal="left"/>
    </xf>
    <xf numFmtId="0" fontId="11" fillId="9" borderId="5" applyAlignment="1" pivotButton="0" quotePrefix="0" xfId="0">
      <alignment horizontal="left" wrapText="1"/>
    </xf>
    <xf numFmtId="0" fontId="11" fillId="9" borderId="6" applyAlignment="1" pivotButton="0" quotePrefix="0" xfId="0">
      <alignment horizontal="left" wrapText="1"/>
    </xf>
    <xf numFmtId="3" fontId="52" fillId="3" borderId="7" applyAlignment="1" pivotButton="0" quotePrefix="0" xfId="0">
      <alignment horizontal="left"/>
    </xf>
    <xf numFmtId="3" fontId="73" fillId="10" borderId="6" applyAlignment="1" pivotButton="0" quotePrefix="0" xfId="0">
      <alignment horizontal="left"/>
    </xf>
    <xf numFmtId="3" fontId="46" fillId="11" borderId="5" applyAlignment="1" pivotButton="0" quotePrefix="0" xfId="0">
      <alignment horizontal="right"/>
    </xf>
    <xf numFmtId="0" fontId="11" fillId="17" borderId="6" applyAlignment="1" pivotButton="0" quotePrefix="0" xfId="0">
      <alignment horizontal="left"/>
    </xf>
    <xf numFmtId="3" fontId="11" fillId="17" borderId="6" applyAlignment="1" pivotButton="0" quotePrefix="0" xfId="0">
      <alignment horizontal="left"/>
    </xf>
    <xf numFmtId="0" fontId="46" fillId="3" borderId="8" applyAlignment="1" pivotButton="0" quotePrefix="0" xfId="0">
      <alignment horizontal="left"/>
    </xf>
    <xf numFmtId="172" fontId="11" fillId="3" borderId="9" applyAlignment="1" pivotButton="0" quotePrefix="0" xfId="0">
      <alignment horizontal="left"/>
    </xf>
    <xf numFmtId="0" fontId="73" fillId="10" borderId="8" applyAlignment="1" pivotButton="0" quotePrefix="0" xfId="0">
      <alignment horizontal="left"/>
    </xf>
    <xf numFmtId="3" fontId="73" fillId="10" borderId="9" applyAlignment="1" pivotButton="0" quotePrefix="0" xfId="0">
      <alignment horizontal="left"/>
    </xf>
    <xf numFmtId="0" fontId="73" fillId="10" borderId="120" applyAlignment="1" pivotButton="0" quotePrefix="0" xfId="0">
      <alignment horizontal="left"/>
    </xf>
    <xf numFmtId="0" fontId="46" fillId="11" borderId="8" applyAlignment="1" pivotButton="0" quotePrefix="0" xfId="0">
      <alignment horizontal="left"/>
    </xf>
    <xf numFmtId="3" fontId="11" fillId="11" borderId="10" applyAlignment="1" pivotButton="0" quotePrefix="0" xfId="0">
      <alignment horizontal="left"/>
    </xf>
    <xf numFmtId="0" fontId="11" fillId="12" borderId="8" applyAlignment="1" pivotButton="0" quotePrefix="0" xfId="0">
      <alignment horizontal="left"/>
    </xf>
    <xf numFmtId="3" fontId="11" fillId="12" borderId="9" applyAlignment="1" pivotButton="0" quotePrefix="0" xfId="0">
      <alignment horizontal="right"/>
    </xf>
    <xf numFmtId="0" fontId="11" fillId="12" borderId="10" applyAlignment="1" pivotButton="0" quotePrefix="0" xfId="0">
      <alignment horizontal="left"/>
    </xf>
    <xf numFmtId="0" fontId="11" fillId="13" borderId="8" applyAlignment="1" pivotButton="0" quotePrefix="0" xfId="0">
      <alignment horizontal="left"/>
    </xf>
    <xf numFmtId="3" fontId="11" fillId="13" borderId="9" applyAlignment="1" pivotButton="0" quotePrefix="0" xfId="0">
      <alignment horizontal="left"/>
    </xf>
    <xf numFmtId="0" fontId="11" fillId="13" borderId="10" applyAlignment="1" pivotButton="0" quotePrefix="0" xfId="0">
      <alignment horizontal="left"/>
    </xf>
    <xf numFmtId="0" fontId="46" fillId="3" borderId="121" applyAlignment="1" pivotButton="0" quotePrefix="0" xfId="0">
      <alignment horizontal="left"/>
    </xf>
    <xf numFmtId="3" fontId="11" fillId="3" borderId="117" applyAlignment="1" pivotButton="0" quotePrefix="0" xfId="0">
      <alignment horizontal="right"/>
    </xf>
    <xf numFmtId="3" fontId="11" fillId="12" borderId="9" applyAlignment="1" pivotButton="0" quotePrefix="0" xfId="0">
      <alignment horizontal="left"/>
    </xf>
    <xf numFmtId="3" fontId="46" fillId="11" borderId="8" applyAlignment="1" pivotButton="0" quotePrefix="0" xfId="0">
      <alignment horizontal="right"/>
    </xf>
    <xf numFmtId="3" fontId="46" fillId="11" borderId="9" applyAlignment="1" pivotButton="0" quotePrefix="0" xfId="0">
      <alignment horizontal="right"/>
    </xf>
    <xf numFmtId="0" fontId="11" fillId="16" borderId="76" applyAlignment="1" pivotButton="0" quotePrefix="0" xfId="0">
      <alignment horizontal="left"/>
    </xf>
    <xf numFmtId="3" fontId="11" fillId="16" borderId="122" applyAlignment="1" pivotButton="0" quotePrefix="0" xfId="0">
      <alignment horizontal="left"/>
    </xf>
    <xf numFmtId="3" fontId="11" fillId="16" borderId="78" applyAlignment="1" pivotButton="0" quotePrefix="0" xfId="0">
      <alignment horizontal="left"/>
    </xf>
    <xf numFmtId="3" fontId="11" fillId="9" borderId="3" applyAlignment="1" pivotButton="0" quotePrefix="0" xfId="0">
      <alignment horizontal="center"/>
    </xf>
    <xf numFmtId="3" fontId="11" fillId="9" borderId="4" applyAlignment="1" pivotButton="0" quotePrefix="0" xfId="0">
      <alignment horizontal="center"/>
    </xf>
    <xf numFmtId="0" fontId="11" fillId="9" borderId="8" applyAlignment="1" pivotButton="0" quotePrefix="0" xfId="0">
      <alignment horizontal="left"/>
    </xf>
    <xf numFmtId="3" fontId="11" fillId="9" borderId="9" applyAlignment="1" pivotButton="0" quotePrefix="0" xfId="0">
      <alignment horizontal="center"/>
    </xf>
    <xf numFmtId="0" fontId="11" fillId="9" borderId="10" applyAlignment="1" pivotButton="0" quotePrefix="0" xfId="0">
      <alignment horizontal="center"/>
    </xf>
    <xf numFmtId="1" fontId="11" fillId="3" borderId="123" applyAlignment="1" pivotButton="0" quotePrefix="0" xfId="0">
      <alignment horizontal="left"/>
    </xf>
    <xf numFmtId="0" fontId="11" fillId="9" borderId="109" applyAlignment="1" pivotButton="0" quotePrefix="0" xfId="0">
      <alignment horizontal="left"/>
    </xf>
    <xf numFmtId="172" fontId="11" fillId="3" borderId="115" applyAlignment="1" pivotButton="0" quotePrefix="0" xfId="0">
      <alignment horizontal="center"/>
    </xf>
    <xf numFmtId="172" fontId="11" fillId="3" borderId="113" applyAlignment="1" pivotButton="0" quotePrefix="0" xfId="0">
      <alignment horizontal="center"/>
    </xf>
    <xf numFmtId="1" fontId="46" fillId="3" borderId="7" applyAlignment="1" pivotButton="0" quotePrefix="0" xfId="0">
      <alignment horizontal="left" wrapText="1"/>
    </xf>
    <xf numFmtId="1" fontId="164" fillId="3" borderId="7" applyAlignment="1" pivotButton="0" quotePrefix="0" xfId="0">
      <alignment horizontal="left" wrapText="1"/>
    </xf>
    <xf numFmtId="0" fontId="36" fillId="9" borderId="5" applyAlignment="1" pivotButton="0" quotePrefix="0" xfId="0">
      <alignment horizontal="left"/>
    </xf>
    <xf numFmtId="1" fontId="11" fillId="3" borderId="7" applyAlignment="1" pivotButton="0" quotePrefix="0" xfId="0">
      <alignment horizontal="left" wrapText="1"/>
    </xf>
    <xf numFmtId="0" fontId="164" fillId="9" borderId="124" applyAlignment="1" pivotButton="0" quotePrefix="0" xfId="0">
      <alignment horizontal="left"/>
    </xf>
    <xf numFmtId="0" fontId="11" fillId="9" borderId="125" applyAlignment="1" pivotButton="0" quotePrefix="0" xfId="0">
      <alignment horizontal="left"/>
    </xf>
    <xf numFmtId="0" fontId="23" fillId="18" borderId="112" applyAlignment="1" pivotButton="0" quotePrefix="0" xfId="0">
      <alignment horizontal="center" wrapText="1"/>
    </xf>
    <xf numFmtId="0" fontId="23" fillId="18" borderId="126" applyAlignment="1" pivotButton="0" quotePrefix="0" xfId="0">
      <alignment horizontal="center" wrapText="1"/>
    </xf>
    <xf numFmtId="1" fontId="23" fillId="18" borderId="126" applyAlignment="1" pivotButton="0" quotePrefix="0" xfId="0">
      <alignment horizontal="center" wrapText="1"/>
    </xf>
    <xf numFmtId="172" fontId="23" fillId="18" borderId="126" applyAlignment="1" pivotButton="0" quotePrefix="0" xfId="0">
      <alignment horizontal="center" wrapText="1"/>
    </xf>
    <xf numFmtId="0" fontId="23" fillId="18" borderId="113" applyAlignment="1" pivotButton="0" quotePrefix="0" xfId="0">
      <alignment horizontal="center" wrapText="1"/>
    </xf>
    <xf numFmtId="0" fontId="52" fillId="3" borderId="127" applyAlignment="1" pivotButton="0" quotePrefix="0" xfId="0">
      <alignment horizontal="justify" vertical="top" wrapText="1"/>
    </xf>
    <xf numFmtId="0" fontId="52" fillId="3" borderId="128" applyAlignment="1" pivotButton="0" quotePrefix="0" xfId="0">
      <alignment horizontal="justify" wrapText="1"/>
    </xf>
    <xf numFmtId="1" fontId="52" fillId="3" borderId="128" applyAlignment="1" pivotButton="0" quotePrefix="0" xfId="0">
      <alignment horizontal="justify" wrapText="1"/>
    </xf>
    <xf numFmtId="172" fontId="52" fillId="3" borderId="128" applyAlignment="1" pivotButton="0" quotePrefix="0" xfId="0">
      <alignment horizontal="justify" wrapText="1"/>
    </xf>
    <xf numFmtId="0" fontId="52" fillId="3" borderId="129" applyAlignment="1" pivotButton="0" quotePrefix="0" xfId="0">
      <alignment horizontal="justify" wrapText="1"/>
    </xf>
    <xf numFmtId="0" fontId="52" fillId="3" borderId="130" applyAlignment="1" pivotButton="0" quotePrefix="0" xfId="0">
      <alignment horizontal="justify" wrapText="1"/>
    </xf>
    <xf numFmtId="0" fontId="52" fillId="3" borderId="47" applyAlignment="1" pivotButton="0" quotePrefix="0" xfId="0">
      <alignment horizontal="justify" wrapText="1"/>
    </xf>
    <xf numFmtId="1" fontId="52" fillId="3" borderId="47" applyAlignment="1" pivotButton="0" quotePrefix="0" xfId="0">
      <alignment horizontal="justify" wrapText="1"/>
    </xf>
    <xf numFmtId="172" fontId="52" fillId="3" borderId="47" applyAlignment="1" pivotButton="0" quotePrefix="0" xfId="0">
      <alignment horizontal="justify" wrapText="1"/>
    </xf>
    <xf numFmtId="0" fontId="52" fillId="3" borderId="131" applyAlignment="1" pivotButton="0" quotePrefix="0" xfId="0">
      <alignment horizontal="justify" wrapText="1"/>
    </xf>
    <xf numFmtId="0" fontId="52" fillId="3" borderId="132" applyAlignment="1" pivotButton="0" quotePrefix="0" xfId="0">
      <alignment horizontal="justify" wrapText="1"/>
    </xf>
    <xf numFmtId="0" fontId="52" fillId="3" borderId="133" applyAlignment="1" pivotButton="0" quotePrefix="0" xfId="0">
      <alignment horizontal="justify" wrapText="1"/>
    </xf>
    <xf numFmtId="1" fontId="52" fillId="3" borderId="133" applyAlignment="1" pivotButton="0" quotePrefix="0" xfId="0">
      <alignment horizontal="justify" wrapText="1"/>
    </xf>
    <xf numFmtId="172" fontId="52" fillId="3" borderId="133" applyAlignment="1" pivotButton="0" quotePrefix="0" xfId="0">
      <alignment horizontal="justify" wrapText="1"/>
    </xf>
    <xf numFmtId="0" fontId="52" fillId="3" borderId="134" applyAlignment="1" pivotButton="0" quotePrefix="0" xfId="0">
      <alignment horizontal="justify" wrapText="1"/>
    </xf>
    <xf numFmtId="0" fontId="165" fillId="18" borderId="112" applyAlignment="1" pivotButton="0" quotePrefix="0" xfId="0">
      <alignment horizontal="center" wrapText="1"/>
    </xf>
    <xf numFmtId="0" fontId="165" fillId="18" borderId="126" applyAlignment="1" pivotButton="0" quotePrefix="0" xfId="0">
      <alignment horizontal="center" wrapText="1"/>
    </xf>
    <xf numFmtId="1" fontId="165" fillId="18" borderId="126" applyAlignment="1" pivotButton="0" quotePrefix="0" xfId="0">
      <alignment horizontal="center" wrapText="1"/>
    </xf>
    <xf numFmtId="172" fontId="165" fillId="18" borderId="126" applyAlignment="1" pivotButton="0" quotePrefix="0" xfId="0">
      <alignment horizontal="center" wrapText="1"/>
    </xf>
    <xf numFmtId="0" fontId="165" fillId="18" borderId="113" applyAlignment="1" pivotButton="0" quotePrefix="0" xfId="0">
      <alignment horizontal="center" wrapText="1"/>
    </xf>
    <xf numFmtId="0" fontId="11" fillId="0" borderId="21" applyAlignment="1" pivotButton="0" quotePrefix="0" xfId="0">
      <alignment horizontal="right"/>
    </xf>
    <xf numFmtId="0" fontId="11" fillId="0" borderId="22" applyAlignment="1" pivotButton="0" quotePrefix="0" xfId="0">
      <alignment horizontal="right"/>
    </xf>
    <xf numFmtId="0" fontId="11" fillId="0" borderId="15" applyAlignment="1" pivotButton="0" quotePrefix="0" xfId="0">
      <alignment horizontal="right"/>
    </xf>
    <xf numFmtId="0" fontId="11" fillId="0" borderId="14" applyAlignment="1" pivotButton="0" quotePrefix="0" xfId="0">
      <alignment horizontal="center"/>
    </xf>
    <xf numFmtId="173" fontId="11" fillId="0" borderId="110" applyAlignment="1" pivotButton="0" quotePrefix="0" xfId="0">
      <alignment horizontal="left"/>
    </xf>
    <xf numFmtId="173" fontId="0" fillId="0" borderId="0" applyAlignment="1" pivotButton="0" quotePrefix="0" xfId="0">
      <alignment horizontal="general" wrapText="1"/>
    </xf>
    <xf numFmtId="0" fontId="18" fillId="19" borderId="47" applyAlignment="1" pivotButton="0" quotePrefix="0" xfId="0">
      <alignment horizontal="center" wrapText="1"/>
    </xf>
    <xf numFmtId="173" fontId="18" fillId="19" borderId="47" applyAlignment="1" pivotButton="0" quotePrefix="0" xfId="0">
      <alignment horizontal="center" wrapText="1"/>
    </xf>
    <xf numFmtId="173" fontId="108" fillId="0" borderId="6" applyAlignment="1" pivotButton="0" quotePrefix="0" xfId="0">
      <alignment horizontal="center" wrapText="1"/>
    </xf>
    <xf numFmtId="0" fontId="108" fillId="0" borderId="18" applyAlignment="1" pivotButton="0" quotePrefix="0" xfId="0">
      <alignment horizontal="center" wrapText="1"/>
    </xf>
    <xf numFmtId="0" fontId="108" fillId="0" borderId="19" applyAlignment="1" pivotButton="0" quotePrefix="0" xfId="0">
      <alignment horizontal="center" wrapText="1"/>
    </xf>
    <xf numFmtId="173" fontId="108" fillId="0" borderId="20" applyAlignment="1" pivotButton="0" quotePrefix="0" xfId="0">
      <alignment horizontal="center" wrapText="1"/>
    </xf>
    <xf numFmtId="0" fontId="155" fillId="20" borderId="127" applyAlignment="1" pivotButton="0" quotePrefix="0" xfId="0">
      <alignment horizontal="center"/>
    </xf>
    <xf numFmtId="0" fontId="155" fillId="20" borderId="128" applyAlignment="1" pivotButton="0" quotePrefix="0" xfId="0">
      <alignment horizontal="center"/>
    </xf>
    <xf numFmtId="0" fontId="155" fillId="20" borderId="129" applyAlignment="1" pivotButton="0" quotePrefix="0" xfId="0">
      <alignment horizontal="center"/>
    </xf>
    <xf numFmtId="0" fontId="166" fillId="8" borderId="130" applyAlignment="1" pivotButton="0" quotePrefix="0" xfId="0">
      <alignment horizontal="center"/>
    </xf>
    <xf numFmtId="0" fontId="166" fillId="8" borderId="47" applyAlignment="1" pivotButton="0" quotePrefix="0" xfId="0">
      <alignment horizontal="center"/>
    </xf>
    <xf numFmtId="0" fontId="166" fillId="8" borderId="131" applyAlignment="1" pivotButton="0" quotePrefix="0" xfId="0">
      <alignment horizontal="center"/>
    </xf>
    <xf numFmtId="0" fontId="18" fillId="8" borderId="130" applyAlignment="1" pivotButton="0" quotePrefix="0" xfId="0">
      <alignment horizontal="center"/>
    </xf>
    <xf numFmtId="0" fontId="18" fillId="8" borderId="131" applyAlignment="1" pivotButton="0" quotePrefix="0" xfId="0">
      <alignment horizontal="center"/>
    </xf>
    <xf numFmtId="0" fontId="167" fillId="8" borderId="130" applyAlignment="1" pivotButton="0" quotePrefix="0" xfId="0">
      <alignment horizontal="center" wrapText="1"/>
    </xf>
    <xf numFmtId="0" fontId="167" fillId="8" borderId="47" applyAlignment="1" pivotButton="0" quotePrefix="0" xfId="0">
      <alignment horizontal="center" wrapText="1"/>
    </xf>
    <xf numFmtId="0" fontId="167" fillId="8" borderId="131" applyAlignment="1" pivotButton="0" quotePrefix="0" xfId="0">
      <alignment horizontal="center" wrapText="1"/>
    </xf>
    <xf numFmtId="0" fontId="168" fillId="8" borderId="132" applyAlignment="1" pivotButton="0" quotePrefix="0" xfId="0">
      <alignment horizontal="center" wrapText="1"/>
    </xf>
    <xf numFmtId="0" fontId="168" fillId="8" borderId="133" applyAlignment="1" pivotButton="0" quotePrefix="0" xfId="0">
      <alignment horizontal="center" wrapText="1"/>
    </xf>
    <xf numFmtId="0" fontId="168" fillId="8" borderId="134" applyAlignment="1" pivotButton="0" quotePrefix="0" xfId="0">
      <alignment horizontal="center" wrapText="1"/>
    </xf>
    <xf numFmtId="173" fontId="11" fillId="0" borderId="1" applyAlignment="1" pivotButton="0" quotePrefix="0" xfId="0">
      <alignment horizontal="left" wrapText="1"/>
    </xf>
    <xf numFmtId="1" fontId="52" fillId="0" borderId="1" applyAlignment="1" pivotButton="0" quotePrefix="0" xfId="0">
      <alignment horizontal="left"/>
    </xf>
    <xf numFmtId="172" fontId="52" fillId="0" borderId="1" applyAlignment="1" pivotButton="0" quotePrefix="0" xfId="0">
      <alignment horizontal="left"/>
    </xf>
    <xf numFmtId="173" fontId="11" fillId="0" borderId="1" applyAlignment="1" pivotButton="0" quotePrefix="0" xfId="0">
      <alignment horizontal="left"/>
    </xf>
    <xf numFmtId="1" fontId="33" fillId="0" borderId="1" applyAlignment="1" pivotButton="0" quotePrefix="0" xfId="0">
      <alignment horizontal="justify"/>
    </xf>
    <xf numFmtId="1" fontId="33" fillId="0" borderId="1" applyAlignment="1" pivotButton="0" quotePrefix="0" xfId="0">
      <alignment horizontal="left"/>
    </xf>
    <xf numFmtId="172" fontId="11" fillId="0" borderId="1" applyAlignment="1" pivotButton="0" quotePrefix="0" xfId="0">
      <alignment horizontal="left"/>
    </xf>
    <xf numFmtId="1" fontId="36" fillId="3" borderId="7" applyAlignment="1" pivotButton="0" quotePrefix="0" xfId="0">
      <alignment horizontal="left"/>
    </xf>
    <xf numFmtId="3" fontId="169" fillId="3" borderId="7" applyAlignment="1" pivotButton="0" quotePrefix="0" xfId="0">
      <alignment horizontal="left"/>
    </xf>
    <xf numFmtId="172" fontId="0" fillId="0" borderId="0" applyAlignment="1" pivotButton="0" quotePrefix="0" xfId="0">
      <alignment horizontal="general"/>
    </xf>
    <xf numFmtId="173" fontId="0" fillId="0" borderId="0" applyAlignment="1" pivotButton="0" quotePrefix="0" xfId="0">
      <alignment horizontal="general"/>
    </xf>
    <xf numFmtId="0" fontId="13" fillId="5" borderId="47" applyAlignment="1" pivotButton="0" quotePrefix="0" xfId="0">
      <alignment horizontal="left"/>
    </xf>
    <xf numFmtId="0" fontId="170" fillId="3" borderId="47" applyAlignment="1" pivotButton="0" quotePrefix="0" xfId="0">
      <alignment horizontal="center" vertical="top"/>
    </xf>
    <xf numFmtId="0" fontId="170" fillId="3" borderId="47" applyAlignment="1" pivotButton="0" quotePrefix="0" xfId="0">
      <alignment horizontal="center"/>
    </xf>
    <xf numFmtId="0" fontId="62" fillId="0" borderId="1" applyAlignment="1" pivotButton="0" quotePrefix="0" xfId="0">
      <alignment horizontal="left"/>
    </xf>
    <xf numFmtId="0" fontId="14" fillId="5" borderId="47" applyAlignment="1" pivotButton="0" quotePrefix="0" xfId="0">
      <alignment horizontal="left"/>
    </xf>
    <xf numFmtId="0" fontId="22" fillId="5" borderId="47" applyAlignment="1" pivotButton="0" quotePrefix="0" xfId="0">
      <alignment horizontal="left"/>
    </xf>
    <xf numFmtId="0" fontId="16" fillId="5" borderId="47" applyAlignment="1" pivotButton="0" quotePrefix="0" xfId="0">
      <alignment horizontal="left"/>
    </xf>
    <xf numFmtId="0" fontId="52" fillId="0" borderId="1" applyAlignment="1" pivotButton="0" quotePrefix="0" xfId="0">
      <alignment horizontal="center"/>
    </xf>
    <xf numFmtId="0" fontId="72" fillId="5" borderId="47" applyAlignment="1" pivotButton="0" quotePrefix="0" xfId="0">
      <alignment horizontal="center"/>
    </xf>
    <xf numFmtId="0" fontId="22" fillId="0" borderId="27" applyAlignment="1" pivotButton="0" quotePrefix="0" xfId="0">
      <alignment horizontal="left"/>
    </xf>
    <xf numFmtId="0" fontId="53" fillId="0" borderId="27" applyAlignment="1" pivotButton="0" quotePrefix="0" xfId="0">
      <alignment horizontal="left"/>
    </xf>
    <xf numFmtId="0" fontId="18" fillId="0" borderId="1" applyAlignment="1" pivotButton="0" quotePrefix="0" xfId="0">
      <alignment horizontal="justify" vertical="top" wrapText="1"/>
    </xf>
    <xf numFmtId="0" fontId="54" fillId="3" borderId="6" applyAlignment="1" pivotButton="0" quotePrefix="0" xfId="0">
      <alignment horizontal="left"/>
    </xf>
    <xf numFmtId="166" fontId="53" fillId="0" borderId="6" applyAlignment="1" pivotButton="0" quotePrefix="0" xfId="0">
      <alignment horizontal="center" vertical="top" wrapText="1"/>
    </xf>
    <xf numFmtId="0" fontId="53" fillId="0" borderId="6" applyAlignment="1" pivotButton="0" quotePrefix="0" xfId="0">
      <alignment horizontal="center" vertical="top" wrapText="1"/>
    </xf>
    <xf numFmtId="0" fontId="53" fillId="0" borderId="6" applyAlignment="1" pivotButton="0" quotePrefix="0" xfId="0">
      <alignment horizontal="center" wrapText="1"/>
    </xf>
    <xf numFmtId="166" fontId="53" fillId="0" borderId="28" applyAlignment="1" pivotButton="0" quotePrefix="0" xfId="0">
      <alignment horizontal="center" wrapText="1"/>
    </xf>
    <xf numFmtId="0" fontId="53" fillId="0" borderId="28" applyAlignment="1" pivotButton="0" quotePrefix="0" xfId="0">
      <alignment horizontal="center" wrapText="1"/>
    </xf>
    <xf numFmtId="166" fontId="63" fillId="0" borderId="135" applyAlignment="1" pivotButton="0" quotePrefix="0" xfId="0">
      <alignment horizontal="center" wrapText="1"/>
    </xf>
    <xf numFmtId="0" fontId="54" fillId="0" borderId="136" applyAlignment="1" pivotButton="0" quotePrefix="0" xfId="0">
      <alignment horizontal="left" wrapText="1"/>
    </xf>
    <xf numFmtId="0" fontId="64" fillId="0" borderId="136" applyAlignment="1" pivotButton="0" quotePrefix="0" xfId="0">
      <alignment horizontal="center" wrapText="1"/>
    </xf>
    <xf numFmtId="0" fontId="63" fillId="0" borderId="137" applyAlignment="1" pivotButton="0" quotePrefix="0" xfId="0">
      <alignment horizontal="center" wrapText="1"/>
    </xf>
    <xf numFmtId="166" fontId="63" fillId="0" borderId="138" applyAlignment="1" pivotButton="0" quotePrefix="0" xfId="0">
      <alignment horizontal="center" wrapText="1"/>
    </xf>
    <xf numFmtId="0" fontId="54" fillId="0" borderId="139" applyAlignment="1" pivotButton="0" quotePrefix="0" xfId="0">
      <alignment horizontal="left" wrapText="1"/>
    </xf>
    <xf numFmtId="0" fontId="63" fillId="0" borderId="139" applyAlignment="1" pivotButton="0" quotePrefix="0" xfId="0">
      <alignment horizontal="center" wrapText="1"/>
    </xf>
    <xf numFmtId="0" fontId="63" fillId="0" borderId="140" applyAlignment="1" pivotButton="0" quotePrefix="0" xfId="0">
      <alignment horizontal="center" wrapText="1"/>
    </xf>
    <xf numFmtId="0" fontId="63" fillId="0" borderId="140" applyAlignment="1" pivotButton="0" quotePrefix="0" xfId="0">
      <alignment horizontal="left" wrapText="1"/>
    </xf>
    <xf numFmtId="0" fontId="66" fillId="0" borderId="139" applyAlignment="1" pivotButton="0" quotePrefix="0" xfId="0">
      <alignment horizontal="left" wrapText="1"/>
    </xf>
    <xf numFmtId="0" fontId="64" fillId="0" borderId="139" applyAlignment="1" pivotButton="0" quotePrefix="0" xfId="0">
      <alignment horizontal="left" wrapText="1"/>
    </xf>
    <xf numFmtId="0" fontId="69" fillId="0" borderId="1" applyAlignment="1" pivotButton="0" quotePrefix="0" xfId="0">
      <alignment horizontal="center" vertical="top"/>
    </xf>
    <xf numFmtId="0" fontId="69" fillId="0" borderId="1" applyAlignment="1" pivotButton="0" quotePrefix="0" xfId="0">
      <alignment horizontal="center"/>
    </xf>
    <xf numFmtId="14" fontId="72" fillId="0" borderId="17" applyAlignment="1" pivotButton="0" quotePrefix="0" xfId="0">
      <alignment horizontal="center"/>
    </xf>
    <xf numFmtId="14" fontId="11" fillId="3" borderId="73" applyAlignment="1" pivotButton="0" quotePrefix="0" xfId="0">
      <alignment horizontal="left" wrapText="1"/>
    </xf>
    <xf numFmtId="0" fontId="11" fillId="0" borderId="20" applyAlignment="1" pivotButton="0" quotePrefix="0" xfId="0">
      <alignment horizontal="left" wrapText="1"/>
    </xf>
    <xf numFmtId="3" fontId="22" fillId="0" borderId="6" applyAlignment="1" pivotButton="0" quotePrefix="0" xfId="0">
      <alignment horizontal="right"/>
    </xf>
    <xf numFmtId="0" fontId="18" fillId="3" borderId="47" applyAlignment="1" pivotButton="0" quotePrefix="0" xfId="0">
      <alignment horizontal="left"/>
    </xf>
    <xf numFmtId="0" fontId="93" fillId="0" borderId="1" applyAlignment="1" pivotButton="0" quotePrefix="0" xfId="0">
      <alignment horizontal="justify" wrapText="1"/>
    </xf>
    <xf numFmtId="0" fontId="93" fillId="0" borderId="1" applyAlignment="1" pivotButton="0" quotePrefix="0" xfId="0">
      <alignment horizontal="justify" wrapText="1"/>
    </xf>
    <xf numFmtId="14" fontId="93" fillId="0" borderId="1" applyAlignment="1" pivotButton="0" quotePrefix="0" xfId="0">
      <alignment horizontal="justify" wrapText="1"/>
    </xf>
    <xf numFmtId="0" fontId="18" fillId="3" borderId="47" applyAlignment="1" pivotButton="0" quotePrefix="0" xfId="0">
      <alignment horizontal="center"/>
    </xf>
    <xf numFmtId="14" fontId="18" fillId="3" borderId="47" applyAlignment="1" pivotButton="0" quotePrefix="0" xfId="0">
      <alignment horizontal="center"/>
    </xf>
    <xf numFmtId="0" fontId="0" fillId="0" borderId="17" pivotButton="0" quotePrefix="0" xfId="0"/>
    <xf numFmtId="0" fontId="0" fillId="0" borderId="19" pivotButton="0" quotePrefix="0" xfId="0"/>
    <xf numFmtId="0" fontId="0" fillId="0" borderId="143" pivotButton="0" quotePrefix="0" xfId="0"/>
    <xf numFmtId="0" fontId="0" fillId="0" borderId="144" pivotButton="0" quotePrefix="0" xfId="0"/>
    <xf numFmtId="0" fontId="0" fillId="0" borderId="20" pivotButton="0" quotePrefix="0" xfId="0"/>
    <xf numFmtId="0" fontId="0" fillId="0" borderId="74" pivotButton="0" quotePrefix="0" xfId="0"/>
    <xf numFmtId="0" fontId="0" fillId="0" borderId="141" pivotButton="0" quotePrefix="0" xfId="0"/>
    <xf numFmtId="0" fontId="0" fillId="0" borderId="142" pivotButton="0" quotePrefix="0" xfId="0"/>
    <xf numFmtId="0" fontId="0" fillId="0" borderId="147" pivotButton="0" quotePrefix="0" xfId="0"/>
    <xf numFmtId="0" fontId="0" fillId="0" borderId="148" pivotButton="0" quotePrefix="0" xfId="0"/>
    <xf numFmtId="0" fontId="0" fillId="0" borderId="149" pivotButton="0" quotePrefix="0" xfId="0"/>
    <xf numFmtId="0" fontId="0" fillId="0" borderId="27" pivotButton="0" quotePrefix="0" xfId="0"/>
    <xf numFmtId="0" fontId="0" fillId="0" borderId="151" pivotButton="0" quotePrefix="0" xfId="0"/>
    <xf numFmtId="0" fontId="0" fillId="0" borderId="114" pivotButton="0" quotePrefix="0" xfId="0"/>
    <xf numFmtId="0" fontId="0" fillId="0" borderId="152" pivotButton="0" quotePrefix="0" xfId="0"/>
    <xf numFmtId="0" fontId="0" fillId="0" borderId="153" pivotButton="0" quotePrefix="0" xfId="0"/>
    <xf numFmtId="0" fontId="0" fillId="0" borderId="22" pivotButton="0" quotePrefix="0" xfId="0"/>
    <xf numFmtId="0" fontId="0" fillId="0" borderId="12" pivotButton="0" quotePrefix="0" xfId="0"/>
    <xf numFmtId="0" fontId="0" fillId="0" borderId="150" pivotButton="0" quotePrefix="0" xfId="0"/>
    <xf numFmtId="0" fontId="0" fillId="0" borderId="154" pivotButton="0" quotePrefix="0" xfId="0"/>
    <xf numFmtId="0" fontId="0" fillId="0" borderId="146" pivotButton="0" quotePrefix="0" xfId="0"/>
    <xf numFmtId="0" fontId="0" fillId="0" borderId="155" pivotButton="0" quotePrefix="0" xfId="0"/>
    <xf numFmtId="0" fontId="11" fillId="0" borderId="109" applyAlignment="1" pivotButton="0" quotePrefix="0" xfId="0">
      <alignment horizontal="right"/>
    </xf>
    <xf numFmtId="0" fontId="0" fillId="0" borderId="15" pivotButton="0" quotePrefix="0" xfId="0"/>
    <xf numFmtId="0" fontId="0" fillId="0" borderId="156" pivotButton="0" quotePrefix="0" xfId="0"/>
    <xf numFmtId="0" fontId="0" fillId="0" borderId="157" pivotButton="0" quotePrefix="0" xfId="0"/>
    <xf numFmtId="0" fontId="0" fillId="0" borderId="158" pivotButton="0" quotePrefix="0" xfId="0"/>
    <xf numFmtId="0" fontId="0" fillId="0" borderId="159" pivotButton="0" quotePrefix="0" xfId="0"/>
    <xf numFmtId="0" fontId="0" fillId="0" borderId="66" pivotButton="0" quotePrefix="0" xfId="0"/>
    <xf numFmtId="0" fontId="0" fillId="0" borderId="67" pivotButton="0" quotePrefix="0" xfId="0"/>
    <xf numFmtId="0" fontId="18" fillId="0" borderId="28" applyAlignment="1" pivotButton="0" quotePrefix="0" xfId="0">
      <alignment horizontal="center" vertical="top" wrapText="1"/>
    </xf>
    <xf numFmtId="1" fontId="11" fillId="0" borderId="28" applyAlignment="1" pivotButton="0" quotePrefix="0" xfId="0">
      <alignment horizontal="center" vertical="top" wrapText="1"/>
    </xf>
    <xf numFmtId="167" fontId="47" fillId="0" borderId="67" applyAlignment="1" pivotButton="0" quotePrefix="0" xfId="0">
      <alignment horizontal="center" vertical="top"/>
    </xf>
    <xf numFmtId="0" fontId="18" fillId="0" borderId="20" applyAlignment="1" pivotButton="0" quotePrefix="0" xfId="0">
      <alignment horizontal="center" vertical="top" wrapText="1"/>
    </xf>
    <xf numFmtId="0" fontId="0" fillId="0" borderId="64" pivotButton="0" quotePrefix="0" xfId="0"/>
    <xf numFmtId="0" fontId="0" fillId="0" borderId="65" pivotButton="0" quotePrefix="0" xfId="0"/>
    <xf numFmtId="0" fontId="0" fillId="0" borderId="68" pivotButton="0" quotePrefix="0" xfId="0"/>
    <xf numFmtId="0" fontId="18" fillId="0" borderId="62" applyAlignment="1" pivotButton="0" quotePrefix="0" xfId="0">
      <alignment horizontal="center" vertical="top" wrapText="1"/>
    </xf>
    <xf numFmtId="4" fontId="11" fillId="0" borderId="28" applyAlignment="1" pivotButton="0" quotePrefix="0" xfId="0">
      <alignment horizontal="center" vertical="top" wrapText="1"/>
    </xf>
    <xf numFmtId="1" fontId="46" fillId="0" borderId="28" applyAlignment="1" pivotButton="0" quotePrefix="0" xfId="0">
      <alignment horizontal="center" vertical="top" wrapText="1"/>
    </xf>
    <xf numFmtId="0" fontId="18" fillId="0" borderId="74" applyAlignment="1" pivotButton="0" quotePrefix="0" xfId="0">
      <alignment horizontal="center" wrapText="1"/>
    </xf>
    <xf numFmtId="1" fontId="46" fillId="0" borderId="62" applyAlignment="1" pivotButton="0" quotePrefix="0" xfId="0">
      <alignment horizontal="center" wrapText="1"/>
    </xf>
    <xf numFmtId="1" fontId="18" fillId="0" borderId="74" applyAlignment="1" pivotButton="0" quotePrefix="0" xfId="0">
      <alignment horizontal="center" wrapText="1"/>
    </xf>
    <xf numFmtId="0" fontId="0" fillId="0" borderId="160" pivotButton="0" quotePrefix="0" xfId="0"/>
    <xf numFmtId="0" fontId="0" fillId="0" borderId="161" pivotButton="0" quotePrefix="0" xfId="0"/>
    <xf numFmtId="0" fontId="0" fillId="0" borderId="163" pivotButton="0" quotePrefix="0" xfId="0"/>
    <xf numFmtId="0" fontId="158" fillId="0" borderId="164" applyAlignment="1" pivotButton="0" quotePrefix="0" xfId="0">
      <alignment horizontal="left"/>
    </xf>
    <xf numFmtId="0" fontId="0" fillId="0" borderId="23" pivotButton="0" quotePrefix="0" xfId="0"/>
    <xf numFmtId="4" fontId="108" fillId="0" borderId="6" applyAlignment="1" pivotButton="0" quotePrefix="0" xfId="0">
      <alignment horizontal="right"/>
    </xf>
    <xf numFmtId="0" fontId="18" fillId="0" borderId="6" applyAlignment="1" pivotButton="0" quotePrefix="0" xfId="0">
      <alignment horizontal="justify" vertical="top" wrapText="1"/>
    </xf>
    <xf numFmtId="0" fontId="0" fillId="0" borderId="104" pivotButton="0" quotePrefix="0" xfId="0"/>
    <xf numFmtId="0" fontId="0" fillId="0" borderId="167" pivotButton="0" quotePrefix="0" xfId="0"/>
    <xf numFmtId="3" fontId="54" fillId="0" borderId="62" applyAlignment="1" pivotButton="0" quotePrefix="0" xfId="0">
      <alignment horizontal="center"/>
    </xf>
    <xf numFmtId="0" fontId="0" fillId="0" borderId="105" pivotButton="0" quotePrefix="0" xfId="0"/>
    <xf numFmtId="0" fontId="0" fillId="0" borderId="107" pivotButton="0" quotePrefix="0" xfId="0"/>
    <xf numFmtId="0" fontId="0" fillId="0" borderId="170" pivotButton="0" quotePrefix="0" xfId="0"/>
    <xf numFmtId="0" fontId="0" fillId="0" borderId="171" pivotButton="0" quotePrefix="0" xfId="0"/>
    <xf numFmtId="0" fontId="0" fillId="0" borderId="172" pivotButton="0" quotePrefix="0" xfId="0"/>
    <xf numFmtId="3" fontId="53" fillId="0" borderId="6" applyAlignment="1" pivotButton="0" quotePrefix="0" xfId="0">
      <alignment horizontal="center" vertical="top" wrapText="1"/>
    </xf>
    <xf numFmtId="0" fontId="54" fillId="0" borderId="18" applyAlignment="1" pivotButton="0" quotePrefix="0" xfId="0">
      <alignment horizontal="left" vertical="top" wrapText="1"/>
    </xf>
    <xf numFmtId="0" fontId="0" fillId="0" borderId="62" pivotButton="0" quotePrefix="0" xfId="0"/>
    <xf numFmtId="0" fontId="54" fillId="0" borderId="6" applyAlignment="1" pivotButton="0" quotePrefix="0" xfId="0">
      <alignment horizontal="justify" vertical="top" wrapText="1"/>
    </xf>
    <xf numFmtId="0" fontId="54" fillId="0" borderId="20" applyAlignment="1" pivotButton="0" quotePrefix="0" xfId="0">
      <alignment horizontal="left" vertical="top" wrapText="1"/>
    </xf>
    <xf numFmtId="3" fontId="18" fillId="0" borderId="89" applyAlignment="1" pivotButton="0" quotePrefix="0" xfId="0">
      <alignment horizontal="center" wrapText="1"/>
    </xf>
    <xf numFmtId="0" fontId="0" fillId="0" borderId="88" pivotButton="0" quotePrefix="0" xfId="0"/>
    <xf numFmtId="0" fontId="0" fillId="0" borderId="89" pivotButton="0" quotePrefix="0" xfId="0"/>
    <xf numFmtId="3" fontId="18" fillId="0" borderId="174" applyAlignment="1" pivotButton="0" quotePrefix="0" xfId="0">
      <alignment horizontal="center" wrapText="1"/>
    </xf>
    <xf numFmtId="0" fontId="0" fillId="0" borderId="92" pivotButton="0" quotePrefix="0" xfId="0"/>
    <xf numFmtId="3" fontId="18" fillId="0" borderId="175" applyAlignment="1" pivotButton="0" quotePrefix="0" xfId="0">
      <alignment horizontal="center" wrapText="1"/>
    </xf>
    <xf numFmtId="0" fontId="0" fillId="0" borderId="96" pivotButton="0" quotePrefix="0" xfId="0"/>
    <xf numFmtId="0" fontId="0" fillId="0" borderId="97" pivotButton="0" quotePrefix="0" xfId="0"/>
    <xf numFmtId="0" fontId="0" fillId="0" borderId="179" pivotButton="0" quotePrefix="0" xfId="0"/>
    <xf numFmtId="4" fontId="18" fillId="0" borderId="175" applyAlignment="1" pivotButton="0" quotePrefix="0" xfId="0">
      <alignment horizontal="center" wrapText="1"/>
    </xf>
    <xf numFmtId="3" fontId="18" fillId="0" borderId="180" applyAlignment="1" pivotButton="0" quotePrefix="0" xfId="0">
      <alignment horizontal="center" wrapText="1"/>
    </xf>
    <xf numFmtId="0" fontId="0" fillId="0" borderId="181" pivotButton="0" quotePrefix="0" xfId="0"/>
    <xf numFmtId="0" fontId="0" fillId="0" borderId="183" pivotButton="0" quotePrefix="0" xfId="0"/>
    <xf numFmtId="0" fontId="0" fillId="0" borderId="184" pivotButton="0" quotePrefix="0" xfId="0"/>
    <xf numFmtId="4" fontId="148" fillId="0" borderId="6" applyAlignment="1" pivotButton="0" quotePrefix="0" xfId="0">
      <alignment horizontal="right" wrapText="1"/>
    </xf>
    <xf numFmtId="3" fontId="148" fillId="0" borderId="6" applyAlignment="1" pivotButton="0" quotePrefix="0" xfId="0">
      <alignment horizontal="right" wrapText="1"/>
    </xf>
    <xf numFmtId="0" fontId="148" fillId="0" borderId="6" applyAlignment="1" pivotButton="0" quotePrefix="0" xfId="0">
      <alignment horizontal="left" wrapText="1"/>
    </xf>
    <xf numFmtId="0" fontId="148" fillId="0" borderId="6" applyAlignment="1" pivotButton="0" quotePrefix="0" xfId="0">
      <alignment horizontal="right" wrapText="1"/>
    </xf>
    <xf numFmtId="0" fontId="0" fillId="0" borderId="185" pivotButton="0" quotePrefix="0" xfId="0"/>
    <xf numFmtId="0" fontId="18" fillId="0" borderId="62" applyAlignment="1" pivotButton="0" quotePrefix="0" xfId="0">
      <alignment horizontal="left" wrapText="1"/>
    </xf>
    <xf numFmtId="164" fontId="18" fillId="0" borderId="74" applyAlignment="1" pivotButton="0" quotePrefix="0" xfId="0">
      <alignment horizontal="center" wrapText="1"/>
    </xf>
    <xf numFmtId="4" fontId="18" fillId="0" borderId="62" applyAlignment="1" pivotButton="0" quotePrefix="0" xfId="0">
      <alignment horizontal="center" wrapText="1"/>
    </xf>
    <xf numFmtId="0" fontId="18" fillId="0" borderId="74" applyAlignment="1" pivotButton="0" quotePrefix="0" xfId="0">
      <alignment horizontal="left" wrapText="1"/>
    </xf>
    <xf numFmtId="4" fontId="18" fillId="0" borderId="74" applyAlignment="1" pivotButton="0" quotePrefix="0" xfId="0">
      <alignment horizontal="center" wrapText="1"/>
    </xf>
    <xf numFmtId="3" fontId="108" fillId="0" borderId="175" applyAlignment="1" pivotButton="0" quotePrefix="0" xfId="0">
      <alignment horizontal="center" wrapText="1"/>
    </xf>
    <xf numFmtId="3" fontId="108" fillId="0" borderId="174" applyAlignment="1" pivotButton="0" quotePrefix="0" xfId="0">
      <alignment horizontal="center" wrapText="1"/>
    </xf>
    <xf numFmtId="0" fontId="0" fillId="0" borderId="187" pivotButton="0" quotePrefix="0" xfId="0"/>
    <xf numFmtId="0" fontId="0" fillId="0" borderId="188" pivotButton="0" quotePrefix="0" xfId="0"/>
    <xf numFmtId="0" fontId="129" fillId="0" borderId="25" applyAlignment="1" pivotButton="0" quotePrefix="0" xfId="0">
      <alignment horizontal="center" vertical="top" wrapText="1"/>
    </xf>
    <xf numFmtId="0" fontId="0" fillId="0" borderId="25" pivotButton="0" quotePrefix="0" xfId="0"/>
    <xf numFmtId="0" fontId="54" fillId="0" borderId="65" applyAlignment="1" pivotButton="0" quotePrefix="0" xfId="0">
      <alignment horizontal="left" vertical="top" wrapText="1"/>
    </xf>
    <xf numFmtId="0" fontId="54" fillId="0" borderId="17" applyAlignment="1" pivotButton="0" quotePrefix="0" xfId="0">
      <alignment horizontal="center" vertical="top" wrapText="1"/>
    </xf>
    <xf numFmtId="0" fontId="0" fillId="0" borderId="189" pivotButton="0" quotePrefix="0" xfId="0"/>
    <xf numFmtId="0" fontId="0" fillId="0" borderId="162" pivotButton="0" quotePrefix="0" xfId="0"/>
    <xf numFmtId="0" fontId="0" fillId="0" borderId="190" pivotButton="0" quotePrefix="0" xfId="0"/>
    <xf numFmtId="0" fontId="54" fillId="0" borderId="18" applyAlignment="1" pivotButton="0" quotePrefix="0" xfId="0">
      <alignment horizontal="center" vertical="top"/>
    </xf>
    <xf numFmtId="0" fontId="54" fillId="0" borderId="74" applyAlignment="1" pivotButton="0" quotePrefix="0" xfId="0">
      <alignment horizontal="left" vertical="top" wrapText="1"/>
    </xf>
    <xf numFmtId="0" fontId="37" fillId="0" borderId="62" applyAlignment="1" pivotButton="0" quotePrefix="0" xfId="0">
      <alignment horizontal="justify"/>
    </xf>
    <xf numFmtId="3" fontId="133" fillId="0" borderId="74" applyAlignment="1" pivotButton="0" quotePrefix="0" xfId="0">
      <alignment horizontal="center"/>
    </xf>
    <xf numFmtId="164" fontId="54" fillId="0" borderId="28" applyAlignment="1" pivotButton="0" quotePrefix="0" xfId="0">
      <alignment horizontal="right"/>
    </xf>
    <xf numFmtId="164" fontId="54" fillId="0" borderId="62" applyAlignment="1" pivotButton="0" quotePrefix="0" xfId="0">
      <alignment horizontal="right"/>
    </xf>
    <xf numFmtId="3" fontId="11" fillId="0" borderId="6" applyAlignment="1" pivotButton="0" quotePrefix="0" xfId="0">
      <alignment horizontal="left" vertical="top" wrapText="1"/>
    </xf>
    <xf numFmtId="3" fontId="54" fillId="0" borderId="6" applyAlignment="1" pivotButton="0" quotePrefix="0" xfId="0">
      <alignment horizontal="left" vertical="top"/>
    </xf>
    <xf numFmtId="0" fontId="11" fillId="0" borderId="28" applyAlignment="1" pivotButton="0" quotePrefix="0" xfId="0">
      <alignment horizontal="center"/>
    </xf>
    <xf numFmtId="3" fontId="11" fillId="0" borderId="28" applyAlignment="1" pivotButton="0" quotePrefix="0" xfId="0">
      <alignment horizontal="center"/>
    </xf>
    <xf numFmtId="4" fontId="11" fillId="0" borderId="28" applyAlignment="1" pivotButton="0" quotePrefix="0" xfId="0">
      <alignment horizontal="center" wrapText="1"/>
    </xf>
    <xf numFmtId="0" fontId="11" fillId="0" borderId="62" applyAlignment="1" pivotButton="0" quotePrefix="0" xfId="0">
      <alignment horizontal="center"/>
    </xf>
    <xf numFmtId="3" fontId="73" fillId="0" borderId="74" applyAlignment="1" pivotButton="0" quotePrefix="0" xfId="0">
      <alignment horizontal="center" wrapText="1"/>
    </xf>
    <xf numFmtId="3" fontId="11" fillId="0" borderId="74" applyAlignment="1" pivotButton="0" quotePrefix="0" xfId="0">
      <alignment horizontal="center"/>
    </xf>
    <xf numFmtId="0" fontId="11" fillId="0" borderId="74" applyAlignment="1" pivotButton="0" quotePrefix="0" xfId="0">
      <alignment horizontal="center" wrapText="1"/>
    </xf>
    <xf numFmtId="4" fontId="11" fillId="0" borderId="74" applyAlignment="1" pivotButton="0" quotePrefix="0" xfId="0">
      <alignment horizontal="center" wrapText="1"/>
    </xf>
    <xf numFmtId="4" fontId="54" fillId="0" borderId="28" applyAlignment="1" pivotButton="0" quotePrefix="0" xfId="0">
      <alignment horizontal="center"/>
    </xf>
    <xf numFmtId="4" fontId="46" fillId="0" borderId="28" applyAlignment="1" pivotButton="0" quotePrefix="0" xfId="0">
      <alignment horizontal="left"/>
    </xf>
    <xf numFmtId="3" fontId="116" fillId="0" borderId="74" applyAlignment="1" pivotButton="0" quotePrefix="0" xfId="0">
      <alignment horizontal="center"/>
    </xf>
    <xf numFmtId="4" fontId="46" fillId="0" borderId="74" applyAlignment="1" pivotButton="0" quotePrefix="0" xfId="0">
      <alignment horizontal="left"/>
    </xf>
    <xf numFmtId="9" fontId="54" fillId="0" borderId="28" applyAlignment="1" pivotButton="0" quotePrefix="0" xfId="0">
      <alignment horizontal="center"/>
    </xf>
    <xf numFmtId="0" fontId="11" fillId="0" borderId="28" applyAlignment="1" pivotButton="0" quotePrefix="0" xfId="0">
      <alignment horizontal="left" wrapText="1"/>
    </xf>
    <xf numFmtId="4" fontId="11" fillId="0" borderId="28" applyAlignment="1" pivotButton="0" quotePrefix="0" xfId="0">
      <alignment horizontal="left" vertical="top" wrapText="1"/>
    </xf>
    <xf numFmtId="0" fontId="11" fillId="0" borderId="62" applyAlignment="1" pivotButton="0" quotePrefix="0" xfId="0">
      <alignment horizontal="left" wrapText="1"/>
    </xf>
    <xf numFmtId="4" fontId="119" fillId="0" borderId="66" applyAlignment="1" pivotButton="0" quotePrefix="0" xfId="0">
      <alignment horizontal="center"/>
    </xf>
    <xf numFmtId="0" fontId="53" fillId="0" borderId="66" applyAlignment="1" pivotButton="0" quotePrefix="0" xfId="0">
      <alignment horizontal="left" vertical="top"/>
    </xf>
    <xf numFmtId="4" fontId="46" fillId="0" borderId="6" applyAlignment="1" pivotButton="0" quotePrefix="0" xfId="0">
      <alignment horizontal="left" wrapText="1"/>
    </xf>
    <xf numFmtId="4" fontId="47" fillId="0" borderId="28" applyAlignment="1" pivotButton="0" quotePrefix="0" xfId="0">
      <alignment horizontal="center" vertical="top"/>
    </xf>
    <xf numFmtId="9" fontId="11" fillId="0" borderId="28" applyAlignment="1" pivotButton="0" quotePrefix="0" xfId="0">
      <alignment horizontal="center" vertical="top"/>
    </xf>
    <xf numFmtId="4" fontId="53" fillId="0" borderId="6" applyAlignment="1" pivotButton="0" quotePrefix="0" xfId="0">
      <alignment horizontal="left"/>
    </xf>
    <xf numFmtId="0" fontId="44" fillId="0" borderId="18" applyAlignment="1" pivotButton="0" quotePrefix="0" xfId="0">
      <alignment horizontal="center" vertical="top" wrapText="1"/>
    </xf>
    <xf numFmtId="0" fontId="2" fillId="0" borderId="164" applyAlignment="1" pivotButton="0" quotePrefix="0" xfId="0">
      <alignment horizontal="center"/>
    </xf>
    <xf numFmtId="0" fontId="18" fillId="0" borderId="191" applyAlignment="1" pivotButton="0" quotePrefix="0" xfId="0">
      <alignment horizontal="center"/>
    </xf>
    <xf numFmtId="0" fontId="0" fillId="0" borderId="26" pivotButton="0" quotePrefix="0" xfId="0"/>
    <xf numFmtId="0" fontId="44" fillId="0" borderId="6" applyAlignment="1" pivotButton="0" quotePrefix="0" xfId="0">
      <alignment horizontal="center" vertical="top" wrapText="1"/>
    </xf>
    <xf numFmtId="0" fontId="90" fillId="0" borderId="17" applyAlignment="1" pivotButton="0" quotePrefix="0" xfId="0">
      <alignment horizontal="center" vertical="top" wrapText="1"/>
    </xf>
    <xf numFmtId="164" fontId="92" fillId="0" borderId="20" applyAlignment="1" pivotButton="0" quotePrefix="0" xfId="0">
      <alignment horizontal="right"/>
    </xf>
    <xf numFmtId="0" fontId="0" fillId="0" borderId="192" pivotButton="0" quotePrefix="0" xfId="0"/>
    <xf numFmtId="0" fontId="0" fillId="0" borderId="193" pivotButton="0" quotePrefix="0" xfId="0"/>
    <xf numFmtId="0" fontId="0" fillId="0" borderId="57" pivotButton="0" quotePrefix="0" xfId="0"/>
    <xf numFmtId="0" fontId="0" fillId="0" borderId="196" pivotButton="0" quotePrefix="0" xfId="0"/>
    <xf numFmtId="0" fontId="0" fillId="0" borderId="58" pivotButton="0" quotePrefix="0" xfId="0"/>
    <xf numFmtId="0" fontId="0" fillId="0" borderId="199" pivotButton="0" quotePrefix="0" xfId="0"/>
    <xf numFmtId="4" fontId="96" fillId="0" borderId="200" applyAlignment="1" pivotButton="0" quotePrefix="0" xfId="0">
      <alignment horizontal="center"/>
    </xf>
    <xf numFmtId="0" fontId="0" fillId="0" borderId="1" applyAlignment="1" pivotButton="0" quotePrefix="0" xfId="0">
      <alignment horizontal="general"/>
    </xf>
    <xf numFmtId="0" fontId="0" fillId="0" borderId="16" pivotButton="0" quotePrefix="0" xfId="0"/>
    <xf numFmtId="0" fontId="52" fillId="0" borderId="16" applyAlignment="1" pivotButton="0" quotePrefix="0" xfId="0">
      <alignment horizontal="center" wrapText="1"/>
    </xf>
    <xf numFmtId="3" fontId="11" fillId="0" borderId="16" applyAlignment="1" pivotButton="0" quotePrefix="0" xfId="0">
      <alignment horizontal="center" vertical="top" wrapText="1"/>
    </xf>
    <xf numFmtId="0" fontId="11" fillId="0" borderId="201" applyAlignment="1" pivotButton="0" quotePrefix="0" xfId="0">
      <alignment horizontal="right" wrapText="1"/>
    </xf>
    <xf numFmtId="0" fontId="0" fillId="0" borderId="13" pivotButton="0" quotePrefix="0" xfId="0"/>
    <xf numFmtId="4" fontId="11" fillId="0" borderId="111" applyAlignment="1" pivotButton="0" quotePrefix="0" xfId="0">
      <alignment horizontal="center" wrapText="1"/>
    </xf>
    <xf numFmtId="0" fontId="11" fillId="0" borderId="202" applyAlignment="1" pivotButton="0" quotePrefix="0" xfId="0">
      <alignment horizontal="left" wrapText="1"/>
    </xf>
    <xf numFmtId="0" fontId="0" fillId="0" borderId="1" applyAlignment="1" pivotButton="0" quotePrefix="0" xfId="0">
      <alignment horizontal="general" wrapText="1"/>
    </xf>
    <xf numFmtId="0" fontId="0" fillId="0" borderId="1" applyAlignment="1" pivotButton="0" quotePrefix="0" xfId="0">
      <alignment horizontal="justify"/>
    </xf>
    <xf numFmtId="0" fontId="63" fillId="0" borderId="1" applyAlignment="1" pivotButton="0" quotePrefix="0" xfId="0">
      <alignment horizontal="left" wrapText="1"/>
    </xf>
    <xf numFmtId="0" fontId="63" fillId="0" borderId="1" applyAlignment="1" pivotButton="0" quotePrefix="0" xfId="0">
      <alignment horizontal="left"/>
    </xf>
    <xf numFmtId="14" fontId="63" fillId="0" borderId="1" applyAlignment="1" pivotButton="0" quotePrefix="0" xfId="0">
      <alignment horizontal="center"/>
    </xf>
    <xf numFmtId="14" fontId="63" fillId="0" borderId="1" applyAlignment="1" pivotButton="0" quotePrefix="0" xfId="0">
      <alignment horizontal="left"/>
    </xf>
    <xf numFmtId="0" fontId="0" fillId="0" borderId="1" applyAlignment="1" pivotButton="0" quotePrefix="0" xfId="0">
      <alignment horizontal="justify" wrapText="1"/>
    </xf>
    <xf numFmtId="14" fontId="63" fillId="0" borderId="1" applyAlignment="1" pivotButton="0" quotePrefix="0" xfId="0">
      <alignment horizontal="center" wrapText="1"/>
    </xf>
    <xf numFmtId="14" fontId="63" fillId="0" borderId="1" applyAlignment="1" pivotButton="0" quotePrefix="0" xfId="0">
      <alignment horizontal="left" wrapText="1"/>
    </xf>
    <xf numFmtId="0" fontId="63" fillId="0" borderId="1" applyAlignment="1" pivotButton="0" quotePrefix="0" xfId="0">
      <alignment horizontal="center"/>
    </xf>
  </cellXfs>
  <cellStyles count="1">
    <cellStyle name="Normal" xfId="0" builtinId="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styles" Target="styles.xml" Id="rId35"/><Relationship Type="http://schemas.openxmlformats.org/officeDocument/2006/relationships/theme" Target="theme/theme1.xml" Id="rId36"/><Relationship Type="http://schemas.microsoft.com/office/2006/relationships/vbaProject" Target="vbaProject.bin" Id="rId37"/></Relationships>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typeface="ＭＳ Ｐゴシック" script="Jpan"/>
        <a:font typeface="맑은 고딕" script="Hang"/>
        <a:font typeface="宋体" script="Hans"/>
        <a:font typeface="新細明體" script="Hant"/>
        <a:font typeface="Times New Roman" script="Arab"/>
        <a:font typeface="Times New Roman" script="Hebr"/>
        <a:font typeface="Tahoma" script="Thai"/>
        <a:font typeface="Nyala" script="Ethi"/>
        <a:font typeface="Vrinda" script="Beng"/>
        <a:font typeface="Shruti" script="Gujr"/>
        <a:font typeface="MoolBoran" script="Khmr"/>
        <a:font typeface="Tunga" script="Knda"/>
        <a:font typeface="Raavi" script="Guru"/>
        <a:font typeface="Euphemia" script="Cans"/>
        <a:font typeface="Plantagenet Cherokee" script="Cher"/>
        <a:font typeface="Microsoft Yi Baiti" script="Yiii"/>
        <a:font typeface="Microsoft Himalaya" script="Tibt"/>
        <a:font typeface="MV Boli" script="Thaa"/>
        <a:font typeface="Mangal" script="Deva"/>
        <a:font typeface="Gautami" script="Telu"/>
        <a:font typeface="Latha" script="Taml"/>
        <a:font typeface="Estrangelo Edessa" script="Syrc"/>
        <a:font typeface="Kalinga" script="Orya"/>
        <a:font typeface="Kartika" script="Mlym"/>
        <a:font typeface="DokChampa" script="Laoo"/>
        <a:font typeface="Iskoola Pota" script="Sinh"/>
        <a:font typeface="Mongolian Baiti" script="Mong"/>
        <a:font typeface="Times New Roman" script="Viet"/>
        <a:font typeface="Microsoft Uighur" script="Uigh"/>
        <a:font typeface="Sylfaen" script="Geor"/>
      </a:majorFont>
      <a:minorFont>
        <a:latin typeface="Calibri"/>
        <a:ea typeface=""/>
        <a:cs typeface=""/>
        <a:font typeface="ＭＳ Ｐゴシック" script="Jpan"/>
        <a:font typeface="맑은 고딕" script="Hang"/>
        <a:font typeface="宋体" script="Hans"/>
        <a:font typeface="新細明體" script="Hant"/>
        <a:font typeface="Arial" script="Arab"/>
        <a:font typeface="Arial" script="Hebr"/>
        <a:font typeface="Tahoma" script="Thai"/>
        <a:font typeface="Nyala" script="Ethi"/>
        <a:font typeface="Vrinda" script="Beng"/>
        <a:font typeface="Shruti" script="Gujr"/>
        <a:font typeface="DaunPenh" script="Khmr"/>
        <a:font typeface="Tunga" script="Knda"/>
        <a:font typeface="Raavi" script="Guru"/>
        <a:font typeface="Euphemia" script="Cans"/>
        <a:font typeface="Plantagenet Cherokee" script="Cher"/>
        <a:font typeface="Microsoft Yi Baiti" script="Yiii"/>
        <a:font typeface="Microsoft Himalaya" script="Tibt"/>
        <a:font typeface="MV Boli" script="Thaa"/>
        <a:font typeface="Mangal" script="Deva"/>
        <a:font typeface="Gautami" script="Telu"/>
        <a:font typeface="Latha" script="Taml"/>
        <a:font typeface="Estrangelo Edessa" script="Syrc"/>
        <a:font typeface="Kalinga" script="Orya"/>
        <a:font typeface="Kartika" script="Mlym"/>
        <a:font typeface="DokChampa" script="Laoo"/>
        <a:font typeface="Iskoola Pota" script="Sinh"/>
        <a:font typeface="Mongolian Baiti" script="Mong"/>
        <a:font typeface="Arial" script="Viet"/>
        <a:font typeface="Microsoft Uighur" script="Uigh"/>
        <a:font typeface="Sylfaen" script="Geo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scaled="1" ang="16200000"/>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scaled="1" ang="16200000"/>
        </a:gradFill>
      </a:fillStyleLst>
      <a:lnStyleLst>
        <a:ln algn="ctr" cmpd="sng" cap="flat" w="9525">
          <a:solidFill>
            <a:schemeClr val="phClr">
              <a:shade val="9500"/>
              <a:satMod val="105000"/>
            </a:schemeClr>
          </a:solidFill>
          <a:prstDash val="solid"/>
        </a:ln>
        <a:ln algn="ctr" cmpd="sng" cap="flat" w="25400">
          <a:solidFill>
            <a:schemeClr val="phClr"/>
          </a:solidFill>
          <a:prstDash val="solid"/>
        </a:ln>
        <a:ln algn="ctr" cmpd="sng" cap="flat" w="38100">
          <a:solidFill>
            <a:schemeClr val="phClr"/>
          </a:solidFill>
          <a:prstDash val="solid"/>
        </a:ln>
      </a:lnStyleLst>
      <a:effectStyleLst>
        <a:effectStyle>
          <a:effectLst>
            <a:outerShdw dir="5400000" rotWithShape="0" dist="23000" blurRad="40000">
              <a:srgbClr val="000000">
                <a:alpha val="38000"/>
              </a:srgbClr>
            </a:outerShdw>
          </a:effectLst>
        </a:effectStyle>
        <a:effectStyle>
          <a:effectLst>
            <a:outerShdw dir="5400000" rotWithShape="0" dist="23000" blurRad="40000">
              <a:srgbClr val="000000">
                <a:alpha val="35000"/>
              </a:srgbClr>
            </a:outerShdw>
          </a:effectLst>
        </a:effectStyle>
        <a:effectStyle>
          <a:effectLst>
            <a:outerShdw dir="5400000" rotWithShape="0" dist="23000" blurRad="40000">
              <a:srgbClr val="000000">
                <a:alpha val="35000"/>
              </a:srgbClr>
            </a:outerShdw>
          </a:effectLst>
          <a:scene3d>
            <a:camera prst="orthographicFront">
              <a:rot rev="0" lon="0" lat="0"/>
            </a:camera>
            <a:lightRig dir="t" rig="threePt">
              <a:rot rev="1200000" lon="0" lat="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0"/>
    <pageSetUpPr/>
  </sheetPr>
  <dimension ref="A1:AY31"/>
  <sheetViews>
    <sheetView workbookViewId="0">
      <selection activeCell="A1" sqref="A1"/>
    </sheetView>
  </sheetViews>
  <sheetFormatPr baseColWidth="8" defaultRowHeight="15"/>
  <cols>
    <col width="13.57642857142857" bestFit="1" customWidth="1" style="64" min="1" max="1"/>
    <col width="1.005" bestFit="1" customWidth="1" style="64" min="2" max="2"/>
    <col width="4.290714285714285" bestFit="1" customWidth="1" style="64" min="3" max="3"/>
    <col width="2.576428571428572" bestFit="1" customWidth="1" style="64" min="4" max="4"/>
    <col width="2.576428571428572" bestFit="1" customWidth="1" style="64" min="5" max="5"/>
    <col width="5.719285714285714" bestFit="1" customWidth="1" style="64" min="6" max="6"/>
    <col width="5.862142857142857" bestFit="1" customWidth="1" style="64" min="7" max="7"/>
    <col width="8.576428571428572" bestFit="1" customWidth="1" style="64" min="8" max="8"/>
    <col width="2.576428571428572" bestFit="1" customWidth="1" style="64" min="9" max="9"/>
    <col width="2.576428571428572" bestFit="1" customWidth="1" style="64" min="10" max="10"/>
    <col width="4.576428571428571" bestFit="1" customWidth="1" style="64" min="11" max="11"/>
    <col width="6.576428571428571" bestFit="1" customWidth="1" style="64" min="12" max="12"/>
    <col width="2.576428571428572" bestFit="1" customWidth="1" style="64" min="13" max="13"/>
    <col width="4.719285714285714" bestFit="1" customWidth="1" style="64" min="14" max="14"/>
    <col width="2.576428571428572" bestFit="1" customWidth="1" style="64" min="15" max="15"/>
    <col width="2.576428571428572" bestFit="1" customWidth="1" style="64" min="16" max="16"/>
    <col width="2.862142857142857" bestFit="1" customWidth="1" style="64" min="17" max="17"/>
    <col width="2.576428571428572" bestFit="1" customWidth="1" style="64" min="18" max="18"/>
    <col width="2.005" bestFit="1" customWidth="1" style="64" min="19" max="19"/>
    <col width="2.576428571428572" bestFit="1" customWidth="1" style="64" min="20" max="20"/>
    <col width="1.290714285714286" bestFit="1" customWidth="1" style="64" min="21" max="21"/>
    <col width="2.433571428571428" bestFit="1" customWidth="1" style="64" min="22" max="22"/>
    <col width="4.005" bestFit="1" customWidth="1" style="64" min="23" max="23"/>
    <col width="14.29071428571429" bestFit="1" customWidth="1" style="543" min="24" max="24"/>
    <col width="3.290714285714285" bestFit="1" customWidth="1" style="64" min="25" max="25"/>
    <col width="10.86214285714286" bestFit="1" customWidth="1" style="64" min="26" max="26"/>
    <col width="8.862142857142858" bestFit="1" customWidth="1" style="136" min="27" max="27"/>
    <col width="2.005" bestFit="1" customWidth="1" style="64" min="28" max="28"/>
    <col width="5.862142857142857" bestFit="1" customWidth="1" style="64" min="29" max="29"/>
    <col width="9.43357142857143" bestFit="1" customWidth="1" style="64" min="30" max="30"/>
    <col width="13.57642857142857" bestFit="1" customWidth="1" style="64" min="31" max="31"/>
    <col width="13.57642857142857" bestFit="1" customWidth="1" style="64" min="32" max="32"/>
    <col width="13.57642857142857" bestFit="1" customWidth="1" style="64" min="33" max="33"/>
    <col width="13.57642857142857" bestFit="1" customWidth="1" style="64" min="34" max="34"/>
    <col width="13.57642857142857" bestFit="1" customWidth="1" style="64" min="35" max="35"/>
    <col width="13.57642857142857" bestFit="1" customWidth="1" style="64" min="36" max="36"/>
    <col width="13.57642857142857" bestFit="1" customWidth="1" style="64" min="37" max="37"/>
    <col width="13.57642857142857" bestFit="1" customWidth="1" style="64" min="38" max="38"/>
    <col width="13.57642857142857" bestFit="1" customWidth="1" style="64" min="39" max="39"/>
    <col width="13.57642857142857" bestFit="1" customWidth="1" style="64" min="40" max="40"/>
    <col width="13.57642857142857" bestFit="1" customWidth="1" style="64" min="41" max="41"/>
    <col width="13.57642857142857" bestFit="1" customWidth="1" style="64" min="42" max="42"/>
    <col width="13.57642857142857" bestFit="1" customWidth="1" style="64" min="43" max="43"/>
    <col width="13.57642857142857" bestFit="1" customWidth="1" style="103" min="44" max="44"/>
    <col width="13.57642857142857" bestFit="1" customWidth="1" style="103" min="45" max="45"/>
    <col width="13.57642857142857" bestFit="1" customWidth="1" style="103" min="46" max="46"/>
    <col width="13.57642857142857" bestFit="1" customWidth="1" style="64" min="47" max="47"/>
    <col width="13.57642857142857" bestFit="1" customWidth="1" style="64" min="48" max="48"/>
    <col width="13.57642857142857" bestFit="1" customWidth="1" style="64" min="49" max="49"/>
    <col width="13.57642857142857" bestFit="1" customWidth="1" style="64" min="50" max="50"/>
    <col width="13.57642857142857" bestFit="1" customWidth="1" style="103" min="51" max="51"/>
  </cols>
  <sheetData>
    <row r="1" ht="15" customHeight="1">
      <c r="A1" s="64" t="n"/>
      <c r="B1" s="64" t="n"/>
      <c r="C1" s="376" t="n"/>
      <c r="D1" s="376" t="n"/>
      <c r="E1" s="376" t="n"/>
      <c r="F1" s="64" t="n"/>
      <c r="G1" s="376" t="n"/>
      <c r="H1" s="2601" t="inlineStr">
        <is>
          <t>evsjv‡`k K…wl e¨vsK</t>
        </is>
      </c>
      <c r="T1" s="379" t="n"/>
      <c r="U1" s="64" t="n"/>
      <c r="V1" s="380" t="inlineStr">
        <is>
          <t>"Mbgvby‡li e¨vsK"</t>
        </is>
      </c>
      <c r="Z1" s="64" t="n"/>
      <c r="AA1" s="136" t="n"/>
      <c r="AB1" s="64" t="n"/>
      <c r="AC1" s="64" t="n"/>
      <c r="AD1" s="64" t="n"/>
      <c r="AE1" s="64" t="n"/>
      <c r="AF1" s="64" t="n"/>
      <c r="AG1" s="64" t="n"/>
      <c r="AH1" s="64" t="n"/>
      <c r="AI1" s="64" t="n"/>
      <c r="AJ1" s="64" t="n"/>
      <c r="AK1" s="64" t="n"/>
      <c r="AL1" s="64" t="n"/>
      <c r="AM1" s="64" t="n"/>
      <c r="AN1" s="64" t="n"/>
      <c r="AO1" s="64" t="n"/>
      <c r="AP1" s="64" t="n"/>
      <c r="AQ1" s="64" t="n"/>
      <c r="AR1" s="69" t="n"/>
      <c r="AS1" s="69" t="n"/>
      <c r="AT1" s="69" t="n"/>
      <c r="AU1" s="64" t="n"/>
      <c r="AV1" s="64" t="n"/>
      <c r="AW1" s="64" t="n"/>
      <c r="AX1" s="64" t="n"/>
      <c r="AY1" s="69" t="n"/>
    </row>
    <row r="2" ht="15" customHeight="1">
      <c r="A2" s="64" t="n"/>
      <c r="B2" s="64" t="n"/>
      <c r="C2" s="381" t="n"/>
      <c r="D2" s="381" t="n"/>
      <c r="E2" s="381" t="n"/>
      <c r="F2" s="64" t="n"/>
      <c r="G2" s="381" t="n"/>
      <c r="T2" s="382" t="n"/>
      <c r="U2" s="64" t="n"/>
      <c r="V2" s="383" t="inlineStr">
        <is>
          <t>Òcwi‡ek evÜe e¨vwKs KiæbÓ</t>
        </is>
      </c>
      <c r="Z2" s="64" t="n"/>
      <c r="AA2" s="136" t="n"/>
      <c r="AB2" s="64" t="n"/>
      <c r="AC2" s="64" t="n"/>
      <c r="AD2" s="64" t="n"/>
      <c r="AE2" s="64" t="n"/>
      <c r="AF2" s="64" t="n"/>
      <c r="AG2" s="64" t="n"/>
      <c r="AH2" s="64" t="n"/>
      <c r="AI2" s="64" t="n"/>
      <c r="AJ2" s="64" t="n"/>
      <c r="AK2" s="64" t="n"/>
      <c r="AL2" s="64" t="n"/>
      <c r="AM2" s="64" t="n"/>
      <c r="AN2" s="64" t="n"/>
      <c r="AO2" s="64" t="n"/>
      <c r="AP2" s="64" t="n"/>
      <c r="AQ2" s="64" t="n"/>
      <c r="AR2" s="232" t="n"/>
      <c r="AS2" s="232" t="n"/>
      <c r="AT2" s="232" t="n"/>
      <c r="AU2" s="64" t="n"/>
      <c r="AV2" s="64" t="n"/>
      <c r="AW2" s="64" t="n"/>
      <c r="AX2" s="64" t="n"/>
      <c r="AY2" s="71" t="n"/>
    </row>
    <row r="3" ht="24" customHeight="1">
      <c r="A3" s="64" t="n"/>
      <c r="B3" s="64" t="n"/>
      <c r="C3" s="64" t="n"/>
      <c r="D3" s="384" t="n"/>
      <c r="E3" s="384" t="n"/>
      <c r="F3" s="384" t="n"/>
      <c r="G3" s="384" t="n"/>
      <c r="H3" s="386">
        <f>+'Data Input'!D2</f>
        <v/>
      </c>
      <c r="T3" s="387" t="n"/>
      <c r="U3" s="64" t="n"/>
      <c r="V3" s="389">
        <f>+'Data Input'!D3</f>
        <v/>
      </c>
      <c r="Z3" s="64" t="n"/>
      <c r="AA3" s="136" t="n"/>
      <c r="AB3" s="64" t="n"/>
      <c r="AC3" s="64" t="n"/>
      <c r="AD3" s="64" t="n"/>
      <c r="AE3" s="64" t="n"/>
      <c r="AF3" s="64" t="n"/>
      <c r="AG3" s="64" t="n"/>
      <c r="AH3" s="64" t="n"/>
      <c r="AI3" s="64" t="n"/>
      <c r="AJ3" s="64" t="n"/>
      <c r="AK3" s="64" t="n"/>
      <c r="AL3" s="64" t="n"/>
      <c r="AM3" s="64" t="n"/>
      <c r="AN3" s="64" t="n"/>
      <c r="AO3" s="64" t="n"/>
      <c r="AP3" s="64" t="n"/>
      <c r="AQ3" s="64" t="n"/>
      <c r="AR3" s="73" t="n"/>
      <c r="AS3" s="73" t="n"/>
      <c r="AT3" s="73" t="n"/>
      <c r="AU3" s="64" t="n"/>
      <c r="AV3" s="64" t="n"/>
      <c r="AW3" s="64" t="n"/>
      <c r="AX3" s="64" t="n"/>
      <c r="AY3" s="73" t="n"/>
    </row>
    <row r="4" ht="13.5" customHeight="1">
      <c r="A4" s="64" t="n"/>
      <c r="B4" s="64" t="n"/>
      <c r="C4" s="391">
        <f>"Mail: "&amp;+'Data Input'!D4&amp;",  Web: www.krishibank.org.bd"</f>
        <v/>
      </c>
      <c r="D4" s="2613" t="n"/>
      <c r="E4" s="2613" t="n"/>
      <c r="F4" s="2613" t="n"/>
      <c r="G4" s="2613" t="n"/>
      <c r="H4" s="2613" t="n"/>
      <c r="I4" s="2613" t="n"/>
      <c r="J4" s="2613" t="n"/>
      <c r="K4" s="2613" t="n"/>
      <c r="L4" s="2613" t="n"/>
      <c r="M4" s="2613" t="n"/>
      <c r="N4" s="2613" t="n"/>
      <c r="O4" s="2613" t="n"/>
      <c r="P4" s="2613" t="n"/>
      <c r="Q4" s="2613" t="n"/>
      <c r="R4" s="2613" t="n"/>
      <c r="S4" s="2613" t="n"/>
      <c r="T4" s="2613" t="n"/>
      <c r="U4" s="2613" t="n"/>
      <c r="V4" s="2613" t="n"/>
      <c r="W4" s="2613" t="n"/>
      <c r="X4" s="2613" t="n"/>
      <c r="Y4" s="2613" t="n"/>
      <c r="Z4" s="64" t="n"/>
      <c r="AA4" s="136" t="n"/>
      <c r="AB4" s="64" t="n"/>
      <c r="AC4" s="64" t="n"/>
      <c r="AD4" s="64" t="n"/>
      <c r="AE4" s="64" t="n"/>
      <c r="AF4" s="64" t="n"/>
      <c r="AG4" s="64" t="n"/>
      <c r="AH4" s="64" t="n"/>
      <c r="AI4" s="64" t="n"/>
      <c r="AJ4" s="64" t="n"/>
      <c r="AK4" s="64" t="n"/>
      <c r="AL4" s="64" t="n"/>
      <c r="AM4" s="64" t="n"/>
      <c r="AN4" s="64" t="n"/>
      <c r="AO4" s="64" t="n"/>
      <c r="AP4" s="64" t="n"/>
      <c r="AQ4" s="64" t="n"/>
      <c r="AR4" s="75" t="n"/>
      <c r="AS4" s="75" t="n"/>
      <c r="AT4" s="75" t="n"/>
      <c r="AU4" s="64" t="n"/>
      <c r="AV4" s="64" t="n"/>
      <c r="AW4" s="64" t="n"/>
      <c r="AX4" s="64" t="n"/>
      <c r="AY4" s="75" t="n"/>
    </row>
    <row r="5" ht="18" customHeight="1">
      <c r="A5" s="64" t="n"/>
      <c r="B5" s="392" t="n"/>
      <c r="C5" s="395">
        <f>'Data Input'!B5&amp;" "&amp;'Data Input'!D5&amp;"/"&amp;AA5</f>
        <v/>
      </c>
      <c r="D5" s="394" t="n"/>
      <c r="E5" s="394" t="n"/>
      <c r="F5" s="394" t="n"/>
      <c r="G5" s="394" t="n"/>
      <c r="H5" s="394" t="n"/>
      <c r="I5" s="394" t="n"/>
      <c r="J5" s="394" t="n"/>
      <c r="K5" s="394" t="n"/>
      <c r="L5" s="394" t="n"/>
      <c r="M5" s="394" t="n"/>
      <c r="N5" s="394" t="n"/>
      <c r="O5" s="394" t="n"/>
      <c r="P5" s="394" t="n"/>
      <c r="Q5" s="394" t="n"/>
      <c r="R5" s="394" t="n"/>
      <c r="S5" s="395" t="n"/>
      <c r="T5" s="394" t="n"/>
      <c r="U5" s="394" t="n"/>
      <c r="V5" s="396" t="inlineStr">
        <is>
          <t>ZvwiLt</t>
        </is>
      </c>
      <c r="W5" s="2614" t="n"/>
      <c r="X5" s="2604" t="n">
        <v>45685</v>
      </c>
      <c r="Y5" s="2605" t="inlineStr">
        <is>
          <t>wLªt</t>
        </is>
      </c>
      <c r="Z5" s="64" t="inlineStr">
        <is>
          <t>Despas No</t>
        </is>
      </c>
      <c r="AA5" s="2606" t="n">
        <v>756</v>
      </c>
      <c r="AB5" s="64" t="n"/>
      <c r="AC5" s="64" t="n"/>
      <c r="AD5" s="64" t="n"/>
      <c r="AE5" s="64" t="n"/>
      <c r="AF5" s="64" t="n"/>
      <c r="AG5" s="64" t="n"/>
      <c r="AH5" s="64" t="n"/>
      <c r="AI5" s="64" t="n"/>
      <c r="AJ5" s="64" t="n"/>
      <c r="AK5" s="64" t="n"/>
      <c r="AL5" s="64" t="n"/>
      <c r="AM5" s="64" t="n"/>
      <c r="AN5" s="64" t="n"/>
      <c r="AO5" s="64" t="n"/>
      <c r="AP5" s="64" t="n"/>
      <c r="AQ5" s="64" t="n"/>
      <c r="AR5" s="103" t="n"/>
      <c r="AS5" s="103" t="n"/>
      <c r="AT5" s="103" t="n"/>
      <c r="AU5" s="64" t="n"/>
      <c r="AV5" s="64" t="n"/>
      <c r="AW5" s="64" t="n"/>
      <c r="AX5" s="64" t="n"/>
      <c r="AY5" s="103" t="n"/>
    </row>
    <row r="6" ht="3.75" customHeight="1">
      <c r="A6" s="64" t="n"/>
      <c r="B6" s="64" t="n"/>
      <c r="C6" s="239" t="n"/>
      <c r="D6" s="64" t="n"/>
      <c r="E6" s="64" t="n"/>
      <c r="F6" s="64" t="n"/>
      <c r="G6" s="64" t="n"/>
      <c r="H6" s="64" t="n"/>
      <c r="I6" s="64" t="n"/>
      <c r="J6" s="64" t="n"/>
      <c r="K6" s="64" t="n"/>
      <c r="L6" s="64" t="n"/>
      <c r="M6" s="64" t="n"/>
      <c r="N6" s="64" t="n"/>
      <c r="O6" s="64" t="n"/>
      <c r="P6" s="64" t="n"/>
      <c r="Q6" s="64" t="n"/>
      <c r="R6" s="64" t="n"/>
      <c r="S6" s="239" t="n"/>
      <c r="T6" s="64" t="n"/>
      <c r="U6" s="64" t="n"/>
      <c r="V6" s="64" t="n"/>
      <c r="W6" s="64" t="n"/>
      <c r="X6" s="543" t="n"/>
      <c r="Y6" s="64" t="n"/>
      <c r="Z6" s="64" t="n"/>
      <c r="AA6" s="136" t="n"/>
      <c r="AB6" s="64" t="n"/>
      <c r="AC6" s="64" t="n"/>
      <c r="AD6" s="64" t="n"/>
      <c r="AE6" s="64" t="n"/>
      <c r="AF6" s="64" t="n"/>
      <c r="AG6" s="64" t="n"/>
      <c r="AH6" s="64" t="n"/>
      <c r="AI6" s="64" t="n"/>
      <c r="AJ6" s="64" t="n"/>
      <c r="AK6" s="64" t="n"/>
      <c r="AL6" s="64" t="n"/>
      <c r="AM6" s="64" t="n"/>
      <c r="AN6" s="64" t="n"/>
      <c r="AO6" s="64" t="n"/>
      <c r="AP6" s="64" t="n"/>
      <c r="AQ6" s="64" t="n"/>
      <c r="AR6" s="103" t="n"/>
      <c r="AS6" s="103" t="n"/>
      <c r="AT6" s="103" t="n"/>
      <c r="AU6" s="64" t="n"/>
      <c r="AV6" s="64" t="n"/>
      <c r="AW6" s="64" t="n"/>
      <c r="AX6" s="64" t="n"/>
      <c r="AY6" s="103" t="n"/>
    </row>
    <row r="7" ht="21" customHeight="1">
      <c r="A7" s="64" t="n"/>
      <c r="B7" s="64" t="n"/>
      <c r="C7" s="64" t="n"/>
      <c r="D7" s="64" t="n"/>
      <c r="E7" s="64" t="n"/>
      <c r="F7" s="64" t="n"/>
      <c r="G7" s="64" t="n"/>
      <c r="H7" s="64" t="n"/>
      <c r="I7" s="64" t="n"/>
      <c r="J7" s="64" t="n"/>
      <c r="K7" s="64" t="n"/>
      <c r="L7" s="64" t="n"/>
      <c r="M7" s="64" t="n"/>
      <c r="N7" s="64" t="n"/>
      <c r="O7" s="64" t="n"/>
      <c r="P7" s="64" t="n"/>
      <c r="Q7" s="64" t="n"/>
      <c r="R7" s="64" t="n"/>
      <c r="S7" s="64" t="n"/>
      <c r="T7" s="64" t="n"/>
      <c r="U7" s="64" t="n"/>
      <c r="V7" s="64" t="n"/>
      <c r="W7" s="64" t="n"/>
      <c r="X7" s="543" t="n"/>
      <c r="Y7" s="64" t="n"/>
      <c r="Z7" s="64" t="n"/>
      <c r="AA7" s="136" t="n"/>
      <c r="AB7" s="64" t="n"/>
      <c r="AC7" s="64" t="n"/>
      <c r="AD7" s="64" t="n"/>
      <c r="AE7" s="64" t="n"/>
      <c r="AF7" s="64" t="n"/>
      <c r="AG7" s="64" t="n"/>
      <c r="AH7" s="64" t="n"/>
      <c r="AI7" s="64" t="n"/>
      <c r="AJ7" s="64" t="n"/>
      <c r="AK7" s="64" t="n"/>
      <c r="AL7" s="64" t="n"/>
      <c r="AM7" s="64" t="n"/>
      <c r="AN7" s="64" t="n"/>
      <c r="AO7" s="64" t="n"/>
      <c r="AP7" s="64" t="n"/>
      <c r="AQ7" s="64" t="n"/>
      <c r="AR7" s="103" t="n"/>
      <c r="AS7" s="103" t="n"/>
      <c r="AT7" s="103" t="n"/>
      <c r="AU7" s="64" t="n"/>
      <c r="AV7" s="64" t="n"/>
      <c r="AW7" s="64" t="n"/>
      <c r="AX7" s="64" t="n"/>
      <c r="AY7" s="103" t="n"/>
    </row>
    <row r="8" ht="18" customHeight="1">
      <c r="A8" s="64" t="n"/>
      <c r="B8" s="64" t="n"/>
      <c r="C8" s="1964" t="inlineStr">
        <is>
          <t>gyL¨ AvÂwjK e¨e¯’vcK</t>
        </is>
      </c>
      <c r="M8" s="64" t="n"/>
      <c r="N8" s="64" t="n"/>
      <c r="O8" s="64" t="n"/>
      <c r="P8" s="64" t="n"/>
      <c r="Q8" s="64" t="n"/>
      <c r="R8" s="64" t="n"/>
      <c r="S8" s="64" t="n"/>
      <c r="T8" s="64" t="n"/>
      <c r="U8" s="64" t="n"/>
      <c r="V8" s="64" t="n"/>
      <c r="W8" s="64" t="n"/>
      <c r="X8" s="543" t="n"/>
      <c r="Y8" s="64" t="n"/>
      <c r="Z8" s="64" t="n"/>
      <c r="AA8" s="136" t="n"/>
      <c r="AB8" s="64" t="n"/>
      <c r="AC8" s="64" t="n"/>
      <c r="AD8" s="64" t="n"/>
      <c r="AE8" s="64" t="n"/>
      <c r="AF8" s="64" t="n"/>
      <c r="AG8" s="64" t="n"/>
      <c r="AH8" s="64" t="n"/>
      <c r="AI8" s="64" t="n"/>
      <c r="AJ8" s="64" t="n"/>
      <c r="AK8" s="64" t="n"/>
      <c r="AL8" s="64" t="n"/>
      <c r="AM8" s="64" t="n"/>
      <c r="AN8" s="64" t="n"/>
      <c r="AO8" s="64" t="n"/>
      <c r="AP8" s="64" t="n"/>
      <c r="AQ8" s="64" t="n"/>
      <c r="AR8" s="103" t="n"/>
      <c r="AS8" s="103" t="n"/>
      <c r="AT8" s="103" t="n"/>
      <c r="AU8" s="64" t="n"/>
      <c r="AV8" s="64" t="n"/>
      <c r="AW8" s="64" t="n"/>
      <c r="AX8" s="64" t="n"/>
      <c r="AY8" s="103" t="n"/>
    </row>
    <row r="9" ht="18" customHeight="1">
      <c r="A9" s="64" t="n"/>
      <c r="B9" s="64" t="n"/>
      <c r="C9" s="1964" t="inlineStr">
        <is>
          <t>evsjv‡`k K…wl e¨vsK,</t>
        </is>
      </c>
      <c r="M9" s="64" t="n"/>
      <c r="N9" s="64" t="n"/>
      <c r="O9" s="64" t="n"/>
      <c r="P9" s="64" t="n"/>
      <c r="Q9" s="64" t="n"/>
      <c r="R9" s="64" t="n"/>
      <c r="S9" s="64" t="n"/>
      <c r="T9" s="64" t="n"/>
      <c r="U9" s="64" t="n"/>
      <c r="V9" s="64" t="n"/>
      <c r="W9" s="64" t="n"/>
      <c r="X9" s="543" t="n"/>
      <c r="Y9" s="64" t="n"/>
      <c r="Z9" s="64" t="n"/>
      <c r="AA9" s="136" t="n"/>
      <c r="AB9" s="64" t="n"/>
      <c r="AC9" s="64" t="n"/>
      <c r="AD9" s="64" t="n"/>
      <c r="AE9" s="64" t="n"/>
      <c r="AF9" s="64" t="n"/>
      <c r="AG9" s="64" t="n"/>
      <c r="AH9" s="64" t="n"/>
      <c r="AI9" s="64" t="n"/>
      <c r="AJ9" s="64" t="n"/>
      <c r="AK9" s="64" t="n"/>
      <c r="AL9" s="64" t="n"/>
      <c r="AM9" s="64" t="n"/>
      <c r="AN9" s="64" t="n"/>
      <c r="AO9" s="64" t="n"/>
      <c r="AP9" s="64" t="n"/>
      <c r="AQ9" s="64" t="n"/>
      <c r="AR9" s="103" t="n"/>
      <c r="AS9" s="103" t="n"/>
      <c r="AT9" s="103" t="n"/>
      <c r="AU9" s="64" t="n"/>
      <c r="AV9" s="64" t="n"/>
      <c r="AW9" s="64" t="n"/>
      <c r="AX9" s="64" t="n"/>
      <c r="AY9" s="103" t="n"/>
    </row>
    <row r="10" ht="18" customHeight="1">
      <c r="A10" s="64" t="n"/>
      <c r="B10" s="64" t="n"/>
      <c r="C10" s="2607" t="inlineStr">
        <is>
          <t>gyL¨ AvÂwjK Kvh©vjq, bvivqYMÄ|</t>
        </is>
      </c>
      <c r="D10" s="2615" t="n"/>
      <c r="E10" s="2615" t="n"/>
      <c r="F10" s="2615" t="n"/>
      <c r="G10" s="2615" t="n"/>
      <c r="H10" s="2615" t="n"/>
      <c r="I10" s="2615" t="n"/>
      <c r="J10" s="2615" t="n"/>
      <c r="K10" s="2615" t="n"/>
      <c r="L10" s="2616" t="n"/>
      <c r="M10" s="64" t="n"/>
      <c r="N10" s="64" t="n"/>
      <c r="O10" s="64" t="n"/>
      <c r="P10" s="64" t="n"/>
      <c r="Q10" s="64" t="n"/>
      <c r="R10" s="64" t="n"/>
      <c r="S10" s="64" t="n"/>
      <c r="T10" s="64" t="n"/>
      <c r="U10" s="64" t="n"/>
      <c r="V10" s="64" t="n"/>
      <c r="W10" s="64" t="n"/>
      <c r="X10" s="543" t="n"/>
      <c r="Y10" s="64" t="n"/>
      <c r="Z10" s="64" t="n"/>
      <c r="AA10" s="136" t="n"/>
      <c r="AB10" s="64" t="n"/>
      <c r="AC10" s="64" t="n"/>
      <c r="AD10" s="64" t="n"/>
      <c r="AE10" s="64" t="n"/>
      <c r="AF10" s="64" t="n"/>
      <c r="AG10" s="64" t="n"/>
      <c r="AH10" s="64" t="n"/>
      <c r="AI10" s="64" t="n"/>
      <c r="AJ10" s="64" t="n"/>
      <c r="AK10" s="64" t="n"/>
      <c r="AL10" s="64" t="n"/>
      <c r="AM10" s="64" t="n"/>
      <c r="AN10" s="64" t="n"/>
      <c r="AO10" s="64" t="n"/>
      <c r="AP10" s="64" t="n"/>
      <c r="AQ10" s="64" t="n"/>
      <c r="AR10" s="103" t="n"/>
      <c r="AS10" s="103" t="n"/>
      <c r="AT10" s="103" t="n"/>
      <c r="AU10" s="64" t="n"/>
      <c r="AV10" s="64" t="n"/>
      <c r="AW10" s="64" t="n"/>
      <c r="AX10" s="64" t="n"/>
      <c r="AY10" s="103" t="n"/>
    </row>
    <row r="11" ht="21.75" customHeight="1">
      <c r="A11" s="64" t="n"/>
      <c r="B11" s="64" t="n"/>
      <c r="C11" s="1964" t="n"/>
      <c r="D11" s="64" t="n"/>
      <c r="E11" s="64" t="n"/>
      <c r="F11" s="64" t="n"/>
      <c r="G11" s="64" t="n"/>
      <c r="H11" s="64" t="n"/>
      <c r="I11" s="64" t="n"/>
      <c r="J11" s="64" t="n"/>
      <c r="K11" s="64" t="n"/>
      <c r="L11" s="64" t="n"/>
      <c r="M11" s="64" t="n"/>
      <c r="N11" s="64" t="n"/>
      <c r="O11" s="64" t="n"/>
      <c r="P11" s="64" t="n"/>
      <c r="Q11" s="64" t="n"/>
      <c r="R11" s="64" t="n"/>
      <c r="S11" s="64" t="n"/>
      <c r="T11" s="64" t="n"/>
      <c r="U11" s="64" t="n"/>
      <c r="V11" s="64" t="n"/>
      <c r="W11" s="64" t="n"/>
      <c r="X11" s="543" t="n"/>
      <c r="Y11" s="64" t="n"/>
      <c r="Z11" s="64" t="n"/>
      <c r="AA11" s="136" t="n"/>
      <c r="AB11" s="64" t="n"/>
      <c r="AC11" s="64" t="n"/>
      <c r="AD11" s="64" t="n"/>
      <c r="AE11" s="64" t="n"/>
      <c r="AF11" s="64" t="n"/>
      <c r="AG11" s="64" t="n"/>
      <c r="AH11" s="64" t="n"/>
      <c r="AI11" s="64" t="n"/>
      <c r="AJ11" s="64" t="n"/>
      <c r="AK11" s="64" t="n"/>
      <c r="AL11" s="64" t="n"/>
      <c r="AM11" s="64" t="n"/>
      <c r="AN11" s="64" t="n"/>
      <c r="AO11" s="64" t="n"/>
      <c r="AP11" s="64" t="n"/>
      <c r="AQ11" s="64" t="n"/>
      <c r="AR11" s="103" t="n"/>
      <c r="AS11" s="103" t="n"/>
      <c r="AT11" s="103" t="n"/>
      <c r="AU11" s="64" t="n"/>
      <c r="AV11" s="64" t="n"/>
      <c r="AW11" s="64" t="n"/>
      <c r="AX11" s="64" t="n"/>
      <c r="AY11" s="103" t="n"/>
    </row>
    <row r="12" ht="42" customHeight="1">
      <c r="A12" s="64" t="n"/>
      <c r="B12" s="64" t="n"/>
      <c r="C12" s="64" t="n"/>
      <c r="D12" s="2609">
        <f>"welq t "&amp;'Data Input'!D8&amp;", ‡cÖvcvBUi t "&amp;'Data Input'!D12&amp;" Gi bM` cyuwR FY cÖ¯Íve †cÖiY cÖms‡M |"</f>
        <v/>
      </c>
      <c r="Z12" s="96" t="n"/>
      <c r="AA12" s="2165" t="n"/>
      <c r="AB12" s="96" t="n"/>
      <c r="AC12" s="96" t="n"/>
      <c r="AD12" s="96" t="n"/>
      <c r="AE12" s="96" t="n"/>
      <c r="AF12" s="96" t="n"/>
      <c r="AG12" s="96" t="n"/>
      <c r="AH12" s="96" t="n"/>
      <c r="AI12" s="96" t="n"/>
      <c r="AJ12" s="96" t="n"/>
      <c r="AK12" s="96" t="n"/>
      <c r="AL12" s="96" t="n"/>
      <c r="AM12" s="96" t="n"/>
      <c r="AN12" s="96" t="n"/>
      <c r="AO12" s="96" t="n"/>
      <c r="AP12" s="96" t="n"/>
      <c r="AQ12" s="96" t="n"/>
      <c r="AR12" s="103" t="n"/>
      <c r="AS12" s="103" t="n"/>
      <c r="AT12" s="103" t="n"/>
      <c r="AU12" s="64" t="n"/>
      <c r="AV12" s="64" t="n"/>
      <c r="AW12" s="64" t="n"/>
      <c r="AX12" s="64" t="n"/>
      <c r="AY12" s="103" t="n"/>
    </row>
    <row r="13" ht="4.5" customHeight="1">
      <c r="A13" s="64" t="n"/>
      <c r="B13" s="64" t="n"/>
      <c r="C13" s="64" t="n"/>
      <c r="D13" s="64" t="n"/>
      <c r="E13" s="64" t="n"/>
      <c r="F13" s="64" t="n"/>
      <c r="G13" s="64" t="n"/>
      <c r="H13" s="64" t="n"/>
      <c r="I13" s="64" t="n"/>
      <c r="J13" s="64" t="n"/>
      <c r="K13" s="64" t="n"/>
      <c r="L13" s="64" t="n"/>
      <c r="M13" s="64" t="n"/>
      <c r="N13" s="64" t="n"/>
      <c r="O13" s="64" t="n"/>
      <c r="P13" s="64" t="n"/>
      <c r="Q13" s="64" t="n"/>
      <c r="R13" s="64" t="n"/>
      <c r="S13" s="64" t="n"/>
      <c r="T13" s="64" t="n"/>
      <c r="U13" s="64" t="n"/>
      <c r="V13" s="64" t="n"/>
      <c r="W13" s="64" t="n"/>
      <c r="X13" s="543" t="n"/>
      <c r="Y13" s="64" t="n"/>
      <c r="Z13" s="96" t="n"/>
      <c r="AA13" s="2165" t="n"/>
      <c r="AB13" s="96" t="n"/>
      <c r="AC13" s="96" t="n"/>
      <c r="AD13" s="96" t="n"/>
      <c r="AE13" s="96" t="n"/>
      <c r="AF13" s="96" t="n"/>
      <c r="AG13" s="96" t="n"/>
      <c r="AH13" s="96" t="n"/>
      <c r="AI13" s="96" t="n"/>
      <c r="AJ13" s="96" t="n"/>
      <c r="AK13" s="96" t="n"/>
      <c r="AL13" s="96" t="n"/>
      <c r="AM13" s="96" t="n"/>
      <c r="AN13" s="96" t="n"/>
      <c r="AO13" s="96" t="n"/>
      <c r="AP13" s="96" t="n"/>
      <c r="AQ13" s="96" t="n"/>
      <c r="AR13" s="103" t="n"/>
      <c r="AS13" s="103" t="n"/>
      <c r="AT13" s="103" t="n"/>
      <c r="AU13" s="64" t="n"/>
      <c r="AV13" s="64" t="n"/>
      <c r="AW13" s="64" t="n"/>
      <c r="AX13" s="64" t="n"/>
      <c r="AY13" s="103" t="n"/>
    </row>
    <row r="14" ht="23.25" customHeight="1">
      <c r="A14" s="64" t="n"/>
      <c r="B14" s="64" t="n"/>
      <c r="C14" s="1964" t="inlineStr">
        <is>
          <t>wcÖq g‡nv`q,</t>
        </is>
      </c>
      <c r="D14" s="64" t="n"/>
      <c r="E14" s="64" t="n"/>
      <c r="F14" s="64" t="n"/>
      <c r="G14" s="64" t="n"/>
      <c r="H14" s="64" t="n"/>
      <c r="I14" s="64" t="n"/>
      <c r="J14" s="64" t="n"/>
      <c r="K14" s="64" t="n"/>
      <c r="L14" s="64" t="n"/>
      <c r="M14" s="64" t="n"/>
      <c r="N14" s="64" t="n"/>
      <c r="O14" s="64" t="n"/>
      <c r="P14" s="64" t="n"/>
      <c r="Q14" s="64" t="n"/>
      <c r="R14" s="64" t="n"/>
      <c r="S14" s="64" t="n"/>
      <c r="T14" s="64" t="n"/>
      <c r="U14" s="64" t="n"/>
      <c r="V14" s="64" t="n"/>
      <c r="W14" s="64" t="n"/>
      <c r="X14" s="543" t="n"/>
      <c r="Y14" s="64" t="n"/>
      <c r="Z14" s="96" t="n"/>
      <c r="AA14" s="2165" t="n"/>
      <c r="AB14" s="96" t="n"/>
      <c r="AC14" s="96" t="n"/>
      <c r="AD14" s="96" t="n"/>
      <c r="AE14" s="96" t="n"/>
      <c r="AF14" s="96" t="n"/>
      <c r="AG14" s="96" t="n"/>
      <c r="AH14" s="96" t="n"/>
      <c r="AI14" s="96" t="n"/>
      <c r="AJ14" s="96" t="n"/>
      <c r="AK14" s="96" t="n"/>
      <c r="AL14" s="96" t="n"/>
      <c r="AM14" s="96" t="n"/>
      <c r="AN14" s="96" t="n"/>
      <c r="AO14" s="96" t="n"/>
      <c r="AP14" s="96" t="n"/>
      <c r="AQ14" s="96" t="n"/>
      <c r="AR14" s="103" t="n"/>
      <c r="AS14" s="103" t="n"/>
      <c r="AT14" s="103" t="n"/>
      <c r="AU14" s="64" t="n"/>
      <c r="AV14" s="64" t="n"/>
      <c r="AW14" s="64" t="n"/>
      <c r="AX14" s="64" t="n"/>
      <c r="AY14" s="103" t="n"/>
    </row>
    <row r="15" ht="7.5" customHeight="1">
      <c r="A15" s="64" t="n"/>
      <c r="B15" s="64" t="n"/>
      <c r="C15" s="64" t="n"/>
      <c r="D15" s="64" t="n"/>
      <c r="E15" s="64" t="n"/>
      <c r="F15" s="64" t="n"/>
      <c r="G15" s="64" t="n"/>
      <c r="H15" s="64" t="n"/>
      <c r="I15" s="64" t="n"/>
      <c r="J15" s="64" t="n"/>
      <c r="K15" s="64" t="n"/>
      <c r="L15" s="64" t="n"/>
      <c r="M15" s="64" t="n"/>
      <c r="N15" s="64" t="n"/>
      <c r="O15" s="64" t="n"/>
      <c r="P15" s="64" t="n"/>
      <c r="Q15" s="64" t="n"/>
      <c r="R15" s="64" t="n"/>
      <c r="S15" s="64" t="n"/>
      <c r="T15" s="64" t="n"/>
      <c r="U15" s="64" t="n"/>
      <c r="V15" s="64" t="n"/>
      <c r="W15" s="64" t="n"/>
      <c r="X15" s="543" t="n"/>
      <c r="Y15" s="64" t="n"/>
      <c r="Z15" s="96" t="n"/>
      <c r="AA15" s="2165" t="n"/>
      <c r="AB15" s="96" t="n"/>
      <c r="AC15" s="96" t="n"/>
      <c r="AD15" s="96" t="n"/>
      <c r="AE15" s="96" t="n"/>
      <c r="AF15" s="96" t="n"/>
      <c r="AG15" s="96" t="n"/>
      <c r="AH15" s="96" t="n"/>
      <c r="AI15" s="96" t="n"/>
      <c r="AJ15" s="96" t="n"/>
      <c r="AK15" s="96" t="n"/>
      <c r="AL15" s="96" t="n"/>
      <c r="AM15" s="96" t="n"/>
      <c r="AN15" s="96" t="n"/>
      <c r="AO15" s="96" t="n"/>
      <c r="AP15" s="96" t="n"/>
      <c r="AQ15" s="96" t="n"/>
      <c r="AR15" s="103" t="n"/>
      <c r="AS15" s="103" t="n"/>
      <c r="AT15" s="103" t="n"/>
      <c r="AU15" s="64" t="n"/>
      <c r="AV15" s="64" t="n"/>
      <c r="AW15" s="64" t="n"/>
      <c r="AX15" s="64" t="n"/>
      <c r="AY15" s="103" t="n"/>
    </row>
    <row r="16" ht="108" customHeight="1">
      <c r="A16" s="64" t="n"/>
      <c r="B16" s="64" t="n"/>
      <c r="C16" s="206">
        <f>"Dchy©³ wel‡q Ó"&amp;'Data Input'!D8&amp;"Ó bvgxq "&amp;'Data Input'!D5&amp;"Gi Av‡e`b`bKvix "&amp;'Data Input'!D12&amp;", wcZv/¯^vgxt "&amp;'Data Input'!D13&amp;", wVKvbvt "&amp;+'Data Input'!D17&amp;", Gi "&amp;'Data Input'!D11&amp;"/-(wek jÿ) gvÎ UvKvi bM` cyuwR FY gÄyixi cÖ¯Íve AÎ kvLvi mycvwikmn Avcbvi m`q AeMwZ I cÖ‡qvRbxq e¨e¯’v MÖn‡Yi Rb¨ 02 (`yB) cÖ‡¯’ GZ`m‡½ †cÖiY Kiv n‡jv |"</f>
        <v/>
      </c>
      <c r="Z16" s="96" t="n"/>
      <c r="AA16" s="2165" t="n"/>
      <c r="AB16" s="96" t="n"/>
      <c r="AC16" s="96" t="n"/>
      <c r="AD16" s="96" t="n"/>
      <c r="AE16" s="96" t="n"/>
      <c r="AF16" s="96" t="n"/>
      <c r="AG16" s="96" t="n"/>
      <c r="AH16" s="96" t="n"/>
      <c r="AI16" s="96" t="n"/>
      <c r="AJ16" s="96" t="n"/>
      <c r="AK16" s="96" t="n"/>
      <c r="AL16" s="96" t="n"/>
      <c r="AM16" s="96" t="n"/>
      <c r="AN16" s="96" t="n"/>
      <c r="AO16" s="96" t="n"/>
      <c r="AP16" s="96" t="n"/>
      <c r="AQ16" s="96" t="n"/>
      <c r="AR16" s="103" t="n"/>
      <c r="AS16" s="103" t="n"/>
      <c r="AT16" s="103" t="n"/>
      <c r="AU16" s="64" t="n"/>
      <c r="AV16" s="64" t="n"/>
      <c r="AW16" s="64" t="n"/>
      <c r="AX16" s="64" t="n"/>
      <c r="AY16" s="103" t="n"/>
    </row>
    <row r="17" ht="41.25" customHeight="1">
      <c r="A17" s="64" t="n"/>
      <c r="B17" s="64" t="n"/>
      <c r="C17" s="64" t="n"/>
      <c r="D17" s="64" t="n"/>
      <c r="E17" s="64" t="n"/>
      <c r="F17" s="64" t="n"/>
      <c r="G17" s="64" t="n"/>
      <c r="H17" s="64" t="n"/>
      <c r="I17" s="64" t="n"/>
      <c r="J17" s="64" t="n"/>
      <c r="K17" s="64" t="n"/>
      <c r="L17" s="64" t="n"/>
      <c r="M17" s="64" t="n"/>
      <c r="N17" s="64" t="n"/>
      <c r="O17" s="64" t="n"/>
      <c r="P17" s="64" t="n"/>
      <c r="Q17" s="64" t="n"/>
      <c r="R17" s="64" t="n"/>
      <c r="S17" s="64" t="n"/>
      <c r="T17" s="64" t="n"/>
      <c r="U17" s="64" t="n"/>
      <c r="V17" s="64" t="n"/>
      <c r="W17" s="64" t="n"/>
      <c r="X17" s="543" t="n"/>
      <c r="Y17" s="64" t="n"/>
      <c r="Z17" s="96" t="n"/>
      <c r="AA17" s="2165" t="n"/>
      <c r="AB17" s="96" t="n"/>
      <c r="AC17" s="96" t="n"/>
      <c r="AD17" s="96" t="n"/>
      <c r="AE17" s="96" t="n"/>
      <c r="AF17" s="96" t="n"/>
      <c r="AG17" s="96" t="n"/>
      <c r="AH17" s="96" t="n"/>
      <c r="AI17" s="96" t="n"/>
      <c r="AJ17" s="96" t="n"/>
      <c r="AK17" s="96" t="n"/>
      <c r="AL17" s="96" t="n"/>
      <c r="AM17" s="96" t="n"/>
      <c r="AN17" s="96" t="n"/>
      <c r="AO17" s="96" t="n"/>
      <c r="AP17" s="96" t="n"/>
      <c r="AQ17" s="96" t="n"/>
      <c r="AR17" s="103" t="n"/>
      <c r="AS17" s="103" t="n"/>
      <c r="AT17" s="103" t="n"/>
      <c r="AU17" s="64" t="n"/>
      <c r="AV17" s="64" t="n"/>
      <c r="AW17" s="64" t="n"/>
      <c r="AX17" s="64" t="n"/>
      <c r="AY17" s="103" t="n"/>
    </row>
    <row r="18" ht="20.25" customHeight="1">
      <c r="A18" s="64" t="n"/>
      <c r="B18" s="64" t="n"/>
      <c r="C18" s="64" t="n"/>
      <c r="D18" s="64" t="n"/>
      <c r="E18" s="64" t="n"/>
      <c r="F18" s="64" t="n"/>
      <c r="G18" s="64" t="n"/>
      <c r="H18" s="64" t="n"/>
      <c r="I18" s="64" t="n"/>
      <c r="J18" s="64" t="n"/>
      <c r="K18" s="64" t="n"/>
      <c r="L18" s="64" t="n"/>
      <c r="M18" s="64" t="n"/>
      <c r="N18" s="64" t="n"/>
      <c r="O18" s="64" t="n"/>
      <c r="P18" s="64" t="n"/>
      <c r="Q18" s="64" t="n"/>
      <c r="R18" s="219" t="inlineStr">
        <is>
          <t>Avcbvi wek¦¯Í,</t>
        </is>
      </c>
      <c r="Z18" s="96" t="n"/>
      <c r="AA18" s="2165" t="n"/>
      <c r="AB18" s="96" t="n"/>
      <c r="AC18" s="96" t="n"/>
      <c r="AD18" s="96" t="n"/>
      <c r="AE18" s="96" t="n"/>
      <c r="AF18" s="96" t="n"/>
      <c r="AG18" s="96" t="n"/>
      <c r="AH18" s="96" t="n"/>
      <c r="AI18" s="96" t="n"/>
      <c r="AJ18" s="96" t="n"/>
      <c r="AK18" s="96" t="n"/>
      <c r="AL18" s="96" t="n"/>
      <c r="AM18" s="96" t="n"/>
      <c r="AN18" s="96" t="n"/>
      <c r="AO18" s="96" t="n"/>
      <c r="AP18" s="96" t="n"/>
      <c r="AQ18" s="96" t="n"/>
      <c r="AR18" s="103" t="n"/>
      <c r="AS18" s="103" t="n"/>
      <c r="AT18" s="103" t="n"/>
      <c r="AU18" s="64" t="n"/>
      <c r="AV18" s="64" t="n"/>
      <c r="AW18" s="64" t="n"/>
      <c r="AX18" s="64" t="n"/>
      <c r="AY18" s="103" t="n"/>
    </row>
    <row r="19" ht="70.5" customHeight="1">
      <c r="A19" s="64" t="n"/>
      <c r="B19" s="64" t="n"/>
      <c r="C19" s="64" t="n"/>
      <c r="D19" s="64" t="n"/>
      <c r="E19" s="64" t="n"/>
      <c r="F19" s="64" t="n"/>
      <c r="G19" s="64" t="n"/>
      <c r="H19" s="64" t="n"/>
      <c r="I19" s="64" t="n"/>
      <c r="J19" s="64" t="n"/>
      <c r="K19" s="64" t="n"/>
      <c r="L19" s="64" t="n"/>
      <c r="M19" s="64" t="n"/>
      <c r="N19" s="64" t="n"/>
      <c r="O19" s="64" t="n"/>
      <c r="P19" s="64" t="n"/>
      <c r="Q19" s="64" t="n"/>
      <c r="R19" s="219" t="n"/>
      <c r="Z19" s="96" t="n"/>
      <c r="AA19" s="2165" t="n"/>
      <c r="AB19" s="96" t="n"/>
      <c r="AC19" s="96" t="n"/>
      <c r="AD19" s="96" t="n"/>
      <c r="AE19" s="96" t="n"/>
      <c r="AF19" s="96" t="n"/>
      <c r="AG19" s="96" t="n"/>
      <c r="AH19" s="96" t="n"/>
      <c r="AI19" s="96" t="n"/>
      <c r="AJ19" s="96" t="n"/>
      <c r="AK19" s="96" t="n"/>
      <c r="AL19" s="96" t="n"/>
      <c r="AM19" s="96" t="n"/>
      <c r="AN19" s="96" t="n"/>
      <c r="AO19" s="96" t="n"/>
      <c r="AP19" s="96" t="n"/>
      <c r="AQ19" s="96" t="n"/>
      <c r="AR19" s="103" t="n"/>
      <c r="AS19" s="103" t="n"/>
      <c r="AT19" s="103" t="n"/>
      <c r="AU19" s="64" t="n"/>
      <c r="AV19" s="64" t="n"/>
      <c r="AW19" s="64" t="n"/>
      <c r="AX19" s="64" t="n"/>
      <c r="AY19" s="103" t="n"/>
    </row>
    <row r="20" ht="18" customHeight="1">
      <c r="A20" s="64" t="n"/>
      <c r="B20" s="64" t="n"/>
      <c r="C20" s="1964" t="inlineStr">
        <is>
          <t>mshyw³ t eY©bv †gvZv‡eK</t>
        </is>
      </c>
      <c r="D20" s="64" t="n"/>
      <c r="E20" s="64" t="n"/>
      <c r="F20" s="64" t="n"/>
      <c r="G20" s="64" t="n"/>
      <c r="H20" s="64" t="n"/>
      <c r="I20" s="64" t="n"/>
      <c r="J20" s="64" t="n"/>
      <c r="K20" s="64" t="n"/>
      <c r="L20" s="64" t="n"/>
      <c r="M20" s="64" t="n"/>
      <c r="N20" s="64" t="n"/>
      <c r="O20" s="64" t="n"/>
      <c r="P20" s="64" t="n"/>
      <c r="Q20" s="64" t="n"/>
      <c r="R20" s="2611" t="n"/>
      <c r="S20" s="2615" t="n"/>
      <c r="T20" s="2615" t="n"/>
      <c r="U20" s="2615" t="n"/>
      <c r="V20" s="2615" t="n"/>
      <c r="W20" s="2615" t="n"/>
      <c r="X20" s="2615" t="n"/>
      <c r="Y20" s="2616" t="n"/>
      <c r="Z20" s="96" t="n"/>
      <c r="AA20" s="2165" t="n"/>
      <c r="AB20" s="96" t="n"/>
      <c r="AC20" s="96" t="n"/>
      <c r="AD20" s="96" t="n"/>
      <c r="AE20" s="96" t="n"/>
      <c r="AF20" s="96" t="n"/>
      <c r="AG20" s="96" t="n"/>
      <c r="AH20" s="96" t="n"/>
      <c r="AI20" s="96" t="n"/>
      <c r="AJ20" s="96" t="n"/>
      <c r="AK20" s="96" t="n"/>
      <c r="AL20" s="96" t="n"/>
      <c r="AM20" s="96" t="n"/>
      <c r="AN20" s="96" t="n"/>
      <c r="AO20" s="96" t="n"/>
      <c r="AP20" s="96" t="n"/>
      <c r="AQ20" s="96" t="n"/>
      <c r="AR20" s="103" t="n"/>
      <c r="AS20" s="103" t="n"/>
      <c r="AT20" s="103" t="n"/>
      <c r="AU20" s="64" t="n"/>
      <c r="AV20" s="64" t="n"/>
      <c r="AW20" s="64" t="n"/>
      <c r="AX20" s="64" t="n"/>
      <c r="AY20" s="103" t="n"/>
    </row>
    <row r="21" ht="18" customHeight="1">
      <c r="A21" s="64" t="n"/>
      <c r="B21" s="64" t="n"/>
      <c r="C21" s="64" t="n"/>
      <c r="D21" s="64" t="n"/>
      <c r="E21" s="64" t="n"/>
      <c r="F21" s="64" t="n"/>
      <c r="G21" s="64" t="n"/>
      <c r="H21" s="64" t="n"/>
      <c r="I21" s="64" t="n"/>
      <c r="J21" s="64" t="n"/>
      <c r="K21" s="64" t="n"/>
      <c r="L21" s="64" t="n"/>
      <c r="M21" s="64" t="n"/>
      <c r="N21" s="64" t="n"/>
      <c r="O21" s="64" t="n"/>
      <c r="P21" s="64" t="n"/>
      <c r="Q21" s="64" t="n"/>
      <c r="R21" s="2611" t="inlineStr">
        <is>
          <t>e¨e¯’vcK</t>
        </is>
      </c>
      <c r="S21" s="2615" t="n"/>
      <c r="T21" s="2615" t="n"/>
      <c r="U21" s="2615" t="n"/>
      <c r="V21" s="2615" t="n"/>
      <c r="W21" s="2615" t="n"/>
      <c r="X21" s="2615" t="n"/>
      <c r="Y21" s="2616" t="n"/>
      <c r="Z21" s="96" t="n"/>
      <c r="AA21" s="2165" t="n"/>
      <c r="AB21" s="96" t="n"/>
      <c r="AC21" s="96" t="n"/>
      <c r="AD21" s="96" t="n"/>
      <c r="AE21" s="96" t="n"/>
      <c r="AF21" s="96" t="n"/>
      <c r="AG21" s="96" t="n"/>
      <c r="AH21" s="96" t="n"/>
      <c r="AI21" s="96" t="n"/>
      <c r="AJ21" s="96" t="n"/>
      <c r="AK21" s="96" t="n"/>
      <c r="AL21" s="96" t="n"/>
      <c r="AM21" s="96" t="n"/>
      <c r="AN21" s="96" t="n"/>
      <c r="AO21" s="96" t="n"/>
      <c r="AP21" s="96" t="n"/>
      <c r="AQ21" s="96" t="n"/>
      <c r="AR21" s="103" t="n"/>
      <c r="AS21" s="103" t="n"/>
      <c r="AT21" s="103" t="n"/>
      <c r="AU21" s="64" t="n"/>
      <c r="AV21" s="64" t="n"/>
      <c r="AW21" s="64" t="n"/>
      <c r="AX21" s="64" t="n"/>
      <c r="AY21" s="103" t="n"/>
    </row>
    <row r="22" ht="18.75" customHeight="1">
      <c r="A22" s="64" t="n"/>
      <c r="B22" s="64" t="n"/>
      <c r="C22" s="64" t="n"/>
      <c r="D22" s="64" t="n"/>
      <c r="E22" s="64" t="n"/>
      <c r="F22" s="64" t="n"/>
      <c r="G22" s="64" t="n"/>
      <c r="H22" s="64" t="n"/>
      <c r="I22" s="64" t="n"/>
      <c r="J22" s="64" t="n"/>
      <c r="K22" s="64" t="n"/>
      <c r="L22" s="64" t="n"/>
      <c r="M22" s="64" t="n"/>
      <c r="N22" s="64" t="n"/>
      <c r="O22" s="64" t="n"/>
      <c r="P22" s="64" t="n"/>
      <c r="Q22" s="64" t="n"/>
      <c r="R22" s="219">
        <f>+H1</f>
        <v/>
      </c>
      <c r="Z22" s="96" t="n"/>
      <c r="AA22" s="2165" t="n"/>
      <c r="AB22" s="96" t="n"/>
      <c r="AC22" s="96" t="n"/>
      <c r="AD22" s="96" t="n"/>
      <c r="AE22" s="96" t="n"/>
      <c r="AF22" s="96" t="n"/>
      <c r="AG22" s="96" t="n"/>
      <c r="AH22" s="96" t="n"/>
      <c r="AI22" s="96" t="n"/>
      <c r="AJ22" s="96" t="n"/>
      <c r="AK22" s="96" t="n"/>
      <c r="AL22" s="96" t="n"/>
      <c r="AM22" s="96" t="n"/>
      <c r="AN22" s="96" t="n"/>
      <c r="AO22" s="96" t="n"/>
      <c r="AP22" s="96" t="n"/>
      <c r="AQ22" s="96" t="n"/>
      <c r="AR22" s="103" t="n"/>
      <c r="AS22" s="103" t="n"/>
      <c r="AT22" s="103" t="n"/>
      <c r="AU22" s="64" t="n"/>
      <c r="AV22" s="64" t="n"/>
      <c r="AW22" s="64" t="n"/>
      <c r="AX22" s="64" t="n"/>
      <c r="AY22" s="103" t="n"/>
    </row>
    <row r="23" ht="18.75" customHeight="1">
      <c r="A23" s="64" t="n"/>
      <c r="B23" s="64" t="n"/>
      <c r="C23" s="64" t="n"/>
      <c r="D23" s="64" t="n"/>
      <c r="E23" s="64" t="n"/>
      <c r="F23" s="64" t="n"/>
      <c r="G23" s="64" t="n"/>
      <c r="H23" s="64" t="n"/>
      <c r="I23" s="64" t="n"/>
      <c r="J23" s="64" t="n"/>
      <c r="K23" s="64" t="n"/>
      <c r="L23" s="64" t="n"/>
      <c r="M23" s="64" t="n"/>
      <c r="N23" s="64" t="n"/>
      <c r="O23" s="64" t="n"/>
      <c r="P23" s="64" t="n"/>
      <c r="Q23" s="64" t="n"/>
      <c r="R23" s="219">
        <f>+'Data Input'!D2</f>
        <v/>
      </c>
      <c r="Z23" s="96" t="n"/>
      <c r="AA23" s="2165" t="n"/>
      <c r="AB23" s="96" t="n"/>
      <c r="AC23" s="96" t="n"/>
      <c r="AD23" s="96" t="n"/>
      <c r="AE23" s="96" t="n"/>
      <c r="AF23" s="96" t="n"/>
      <c r="AG23" s="96" t="n"/>
      <c r="AH23" s="96" t="n"/>
      <c r="AI23" s="96" t="n"/>
      <c r="AJ23" s="96" t="n"/>
      <c r="AK23" s="96" t="n"/>
      <c r="AL23" s="96" t="n"/>
      <c r="AM23" s="96" t="n"/>
      <c r="AN23" s="96" t="n"/>
      <c r="AO23" s="96" t="n"/>
      <c r="AP23" s="96" t="n"/>
      <c r="AQ23" s="96" t="n"/>
      <c r="AR23" s="103" t="n"/>
      <c r="AS23" s="103" t="n"/>
      <c r="AT23" s="103" t="n"/>
      <c r="AU23" s="64" t="n"/>
      <c r="AV23" s="64" t="n"/>
      <c r="AW23" s="64" t="n"/>
      <c r="AX23" s="64" t="n"/>
      <c r="AY23" s="103" t="n"/>
    </row>
    <row r="24" ht="18.75" customHeight="1">
      <c r="A24" s="64" t="n"/>
      <c r="B24" s="64" t="n"/>
      <c r="C24" s="64" t="n"/>
      <c r="D24" s="64" t="n"/>
      <c r="E24" s="64" t="n"/>
      <c r="F24" s="64" t="n"/>
      <c r="G24" s="64" t="n"/>
      <c r="H24" s="64" t="n"/>
      <c r="I24" s="64" t="n"/>
      <c r="J24" s="64" t="n"/>
      <c r="K24" s="64" t="n"/>
      <c r="L24" s="64" t="n"/>
      <c r="M24" s="64" t="n"/>
      <c r="N24" s="64" t="n"/>
      <c r="O24" s="64" t="n"/>
      <c r="P24" s="64" t="n"/>
      <c r="Q24" s="64" t="n"/>
      <c r="R24" s="64" t="n"/>
      <c r="S24" s="64" t="n"/>
      <c r="T24" s="64" t="n"/>
      <c r="U24" s="64" t="n"/>
      <c r="V24" s="64" t="n"/>
      <c r="W24" s="64" t="n"/>
      <c r="X24" s="543" t="n"/>
      <c r="Y24" s="64" t="n"/>
      <c r="Z24" s="96" t="n"/>
      <c r="AA24" s="2165" t="n"/>
      <c r="AB24" s="96" t="n"/>
      <c r="AC24" s="96" t="n"/>
      <c r="AD24" s="96" t="n"/>
      <c r="AE24" s="96" t="n"/>
      <c r="AF24" s="96" t="n"/>
      <c r="AG24" s="96" t="n"/>
      <c r="AH24" s="96" t="n"/>
      <c r="AI24" s="96" t="n"/>
      <c r="AJ24" s="96" t="n"/>
      <c r="AK24" s="96" t="n"/>
      <c r="AL24" s="96" t="n"/>
      <c r="AM24" s="96" t="n"/>
      <c r="AN24" s="96" t="n"/>
      <c r="AO24" s="96" t="n"/>
      <c r="AP24" s="96" t="n"/>
      <c r="AQ24" s="96" t="n"/>
      <c r="AR24" s="103" t="n"/>
      <c r="AS24" s="103" t="n"/>
      <c r="AT24" s="103" t="n"/>
      <c r="AU24" s="64" t="n"/>
      <c r="AV24" s="64" t="n"/>
      <c r="AW24" s="64" t="n"/>
      <c r="AX24" s="64" t="n"/>
      <c r="AY24" s="103" t="n"/>
    </row>
    <row r="25" ht="18.75" customHeight="1">
      <c r="A25" s="64" t="n"/>
      <c r="B25" s="64" t="n"/>
      <c r="C25" s="64" t="n"/>
      <c r="D25" s="64" t="n"/>
      <c r="E25" s="64" t="n"/>
      <c r="F25" s="64" t="n"/>
      <c r="G25" s="64" t="n"/>
      <c r="H25" s="64" t="n"/>
      <c r="I25" s="64" t="n"/>
      <c r="J25" s="64" t="n"/>
      <c r="K25" s="64" t="n"/>
      <c r="L25" s="64" t="n"/>
      <c r="M25" s="64" t="n"/>
      <c r="N25" s="64" t="n"/>
      <c r="O25" s="64" t="n"/>
      <c r="P25" s="64" t="n"/>
      <c r="Q25" s="64" t="n"/>
      <c r="R25" s="64" t="n"/>
      <c r="S25" s="64" t="n"/>
      <c r="T25" s="64" t="n"/>
      <c r="U25" s="64" t="n"/>
      <c r="V25" s="64" t="n"/>
      <c r="W25" s="64" t="n"/>
      <c r="X25" s="543" t="n"/>
      <c r="Y25" s="64" t="n"/>
      <c r="Z25" s="96" t="n"/>
      <c r="AA25" s="2165" t="n"/>
      <c r="AB25" s="96" t="n"/>
      <c r="AC25" s="96" t="n"/>
      <c r="AD25" s="96" t="n"/>
      <c r="AE25" s="96" t="n"/>
      <c r="AF25" s="96" t="n"/>
      <c r="AG25" s="96" t="n"/>
      <c r="AH25" s="96" t="n"/>
      <c r="AI25" s="96" t="n"/>
      <c r="AJ25" s="96" t="n"/>
      <c r="AK25" s="96" t="n"/>
      <c r="AL25" s="96" t="n"/>
      <c r="AM25" s="96" t="n"/>
      <c r="AN25" s="96" t="n"/>
      <c r="AO25" s="96" t="n"/>
      <c r="AP25" s="96" t="n"/>
      <c r="AQ25" s="96" t="n"/>
      <c r="AR25" s="103" t="n"/>
      <c r="AS25" s="103" t="n"/>
      <c r="AT25" s="103" t="n"/>
      <c r="AU25" s="64" t="n"/>
      <c r="AV25" s="64" t="n"/>
      <c r="AW25" s="64" t="n"/>
      <c r="AX25" s="64" t="n"/>
      <c r="AY25" s="103" t="n"/>
    </row>
    <row r="26" ht="18.75" customHeight="1">
      <c r="A26" s="64" t="n"/>
      <c r="B26" s="64" t="n"/>
      <c r="C26" s="64" t="n"/>
      <c r="D26" s="64" t="n"/>
      <c r="E26" s="64" t="n"/>
      <c r="F26" s="64" t="n"/>
      <c r="G26" s="64" t="n"/>
      <c r="H26" s="64" t="n"/>
      <c r="I26" s="64" t="n"/>
      <c r="J26" s="64" t="n"/>
      <c r="K26" s="64" t="n"/>
      <c r="L26" s="64" t="n"/>
      <c r="M26" s="64" t="n"/>
      <c r="N26" s="64" t="n"/>
      <c r="O26" s="64" t="n"/>
      <c r="P26" s="64" t="n"/>
      <c r="Q26" s="64" t="n"/>
      <c r="R26" s="64" t="n"/>
      <c r="S26" s="64" t="n"/>
      <c r="T26" s="64" t="n"/>
      <c r="U26" s="64" t="n"/>
      <c r="V26" s="64" t="n"/>
      <c r="W26" s="64" t="n"/>
      <c r="X26" s="543" t="n"/>
      <c r="Y26" s="64" t="n"/>
      <c r="Z26" s="96" t="n"/>
      <c r="AA26" s="2165" t="n"/>
      <c r="AB26" s="96" t="n"/>
      <c r="AC26" s="96" t="n"/>
      <c r="AD26" s="96" t="n"/>
      <c r="AE26" s="96" t="n"/>
      <c r="AF26" s="96" t="n"/>
      <c r="AG26" s="96" t="n"/>
      <c r="AH26" s="96" t="n"/>
      <c r="AI26" s="96" t="n"/>
      <c r="AJ26" s="96" t="n"/>
      <c r="AK26" s="96" t="n"/>
      <c r="AL26" s="96" t="n"/>
      <c r="AM26" s="96" t="n"/>
      <c r="AN26" s="96" t="n"/>
      <c r="AO26" s="96" t="n"/>
      <c r="AP26" s="96" t="n"/>
      <c r="AQ26" s="96" t="n"/>
      <c r="AR26" s="103" t="n"/>
      <c r="AS26" s="103" t="n"/>
      <c r="AT26" s="103" t="n"/>
      <c r="AU26" s="64" t="n"/>
      <c r="AV26" s="64" t="n"/>
      <c r="AW26" s="64" t="n"/>
      <c r="AX26" s="64" t="n"/>
      <c r="AY26" s="103" t="n"/>
    </row>
    <row r="27" ht="18.75" customHeight="1">
      <c r="A27" s="64" t="n"/>
      <c r="B27" s="64" t="n"/>
      <c r="C27" s="64" t="n"/>
      <c r="D27" s="64" t="n"/>
      <c r="E27" s="64" t="n"/>
      <c r="F27" s="64" t="n"/>
      <c r="G27" s="64" t="n"/>
      <c r="H27" s="64" t="n"/>
      <c r="I27" s="64" t="n"/>
      <c r="J27" s="64" t="n"/>
      <c r="K27" s="64" t="n"/>
      <c r="L27" s="64" t="n"/>
      <c r="M27" s="64" t="n"/>
      <c r="N27" s="64" t="n"/>
      <c r="O27" s="64" t="n"/>
      <c r="P27" s="64" t="n"/>
      <c r="Q27" s="64" t="n"/>
      <c r="R27" s="64" t="n"/>
      <c r="S27" s="64" t="n"/>
      <c r="T27" s="64" t="n"/>
      <c r="U27" s="64" t="n"/>
      <c r="V27" s="64" t="n"/>
      <c r="W27" s="64" t="n"/>
      <c r="X27" s="543" t="n"/>
      <c r="Y27" s="64" t="n"/>
      <c r="Z27" s="96" t="n"/>
      <c r="AA27" s="2165" t="n"/>
      <c r="AB27" s="96" t="n"/>
      <c r="AC27" s="96" t="n"/>
      <c r="AD27" s="96" t="n"/>
      <c r="AE27" s="96" t="n"/>
      <c r="AF27" s="96" t="n"/>
      <c r="AG27" s="96" t="n"/>
      <c r="AH27" s="96" t="n"/>
      <c r="AI27" s="96" t="n"/>
      <c r="AJ27" s="96" t="n"/>
      <c r="AK27" s="96" t="n"/>
      <c r="AL27" s="96" t="n"/>
      <c r="AM27" s="96" t="n"/>
      <c r="AN27" s="96" t="n"/>
      <c r="AO27" s="96" t="n"/>
      <c r="AP27" s="96" t="n"/>
      <c r="AQ27" s="96" t="n"/>
      <c r="AR27" s="103" t="n"/>
      <c r="AS27" s="103" t="n"/>
      <c r="AT27" s="103" t="n"/>
      <c r="AU27" s="64" t="n"/>
      <c r="AV27" s="64" t="n"/>
      <c r="AW27" s="64" t="n"/>
      <c r="AX27" s="64" t="n"/>
      <c r="AY27" s="103" t="n"/>
    </row>
    <row r="28" ht="18" customHeight="1">
      <c r="A28" s="64" t="n"/>
      <c r="B28" s="64" t="n"/>
      <c r="C28" s="64" t="n"/>
      <c r="D28" s="64" t="n"/>
      <c r="E28" s="64" t="n"/>
      <c r="F28" s="64" t="n"/>
      <c r="G28" s="64" t="n"/>
      <c r="H28" s="64" t="n"/>
      <c r="I28" s="64" t="n"/>
      <c r="J28" s="64" t="n"/>
      <c r="K28" s="64" t="n"/>
      <c r="L28" s="64" t="n"/>
      <c r="M28" s="64" t="n"/>
      <c r="N28" s="64" t="n"/>
      <c r="O28" s="64" t="n"/>
      <c r="P28" s="64" t="n"/>
      <c r="Q28" s="64" t="n"/>
      <c r="R28" s="64" t="n"/>
      <c r="S28" s="64" t="n"/>
      <c r="T28" s="64" t="n"/>
      <c r="U28" s="64" t="n"/>
      <c r="V28" s="64" t="n"/>
      <c r="W28" s="64" t="n"/>
      <c r="X28" s="543" t="n"/>
      <c r="Y28" s="64" t="n"/>
      <c r="Z28" s="64" t="n"/>
      <c r="AA28" s="136" t="n"/>
      <c r="AB28" s="64" t="n"/>
      <c r="AC28" s="64" t="n"/>
      <c r="AD28" s="64" t="n"/>
      <c r="AE28" s="64" t="n"/>
      <c r="AF28" s="64" t="n"/>
      <c r="AG28" s="64" t="n"/>
      <c r="AH28" s="64" t="n"/>
      <c r="AI28" s="64" t="n"/>
      <c r="AJ28" s="64" t="n"/>
      <c r="AK28" s="64" t="n"/>
      <c r="AL28" s="64" t="n"/>
      <c r="AM28" s="64" t="n"/>
      <c r="AN28" s="64" t="n"/>
      <c r="AO28" s="64" t="n"/>
      <c r="AP28" s="64" t="n"/>
      <c r="AQ28" s="64" t="n"/>
      <c r="AR28" s="103" t="n"/>
      <c r="AS28" s="103" t="n"/>
      <c r="AT28" s="103" t="n"/>
      <c r="AU28" s="64" t="n"/>
      <c r="AV28" s="64" t="n"/>
      <c r="AW28" s="64" t="n"/>
      <c r="AX28" s="64" t="n"/>
      <c r="AY28" s="103" t="n"/>
    </row>
    <row r="29" ht="18" customHeight="1">
      <c r="A29" s="64" t="n"/>
      <c r="B29" s="64" t="n"/>
      <c r="C29" s="64" t="n"/>
      <c r="D29" s="64" t="n"/>
      <c r="E29" s="64" t="n"/>
      <c r="F29" s="64" t="n"/>
      <c r="G29" s="64" t="n"/>
      <c r="H29" s="64" t="n"/>
      <c r="I29" s="64" t="n"/>
      <c r="J29" s="64" t="n"/>
      <c r="K29" s="64" t="n"/>
      <c r="L29" s="64" t="n"/>
      <c r="M29" s="64" t="n"/>
      <c r="N29" s="64" t="n"/>
      <c r="O29" s="64" t="n"/>
      <c r="P29" s="64" t="n"/>
      <c r="Q29" s="64" t="n"/>
      <c r="R29" s="64" t="n"/>
      <c r="S29" s="64" t="n"/>
      <c r="T29" s="64" t="n"/>
      <c r="U29" s="64" t="n"/>
      <c r="V29" s="64" t="n"/>
      <c r="W29" s="64" t="n"/>
      <c r="X29" s="543" t="n"/>
      <c r="Y29" s="64" t="n"/>
      <c r="Z29" s="64" t="n"/>
      <c r="AA29" s="136" t="n"/>
      <c r="AB29" s="64" t="n"/>
      <c r="AC29" s="64" t="n"/>
      <c r="AD29" s="64" t="n"/>
      <c r="AE29" s="64" t="n"/>
      <c r="AF29" s="64" t="n"/>
      <c r="AG29" s="64" t="n"/>
      <c r="AH29" s="64" t="n"/>
      <c r="AI29" s="64" t="n"/>
      <c r="AJ29" s="64" t="n"/>
      <c r="AK29" s="64" t="n"/>
      <c r="AL29" s="64" t="n"/>
      <c r="AM29" s="64" t="n"/>
      <c r="AN29" s="64" t="n"/>
      <c r="AO29" s="64" t="n"/>
      <c r="AP29" s="64" t="n"/>
      <c r="AQ29" s="64" t="n"/>
      <c r="AR29" s="103" t="n"/>
      <c r="AS29" s="103" t="n"/>
      <c r="AT29" s="103" t="n"/>
      <c r="AU29" s="64" t="n"/>
      <c r="AV29" s="64" t="n"/>
      <c r="AW29" s="64" t="n"/>
      <c r="AX29" s="64" t="n"/>
      <c r="AY29" s="103" t="n"/>
    </row>
    <row r="30" ht="18" customHeight="1">
      <c r="A30" s="64" t="n"/>
      <c r="B30" s="64" t="n"/>
      <c r="C30" s="64" t="n"/>
      <c r="D30" s="64" t="n"/>
      <c r="E30" s="64" t="n"/>
      <c r="F30" s="64" t="n"/>
      <c r="G30" s="64" t="n"/>
      <c r="H30" s="64" t="n"/>
      <c r="I30" s="64" t="n"/>
      <c r="J30" s="64" t="n"/>
      <c r="K30" s="64" t="n"/>
      <c r="L30" s="64" t="n"/>
      <c r="M30" s="64" t="n"/>
      <c r="N30" s="64" t="n"/>
      <c r="O30" s="64" t="n"/>
      <c r="P30" s="64" t="n"/>
      <c r="Q30" s="64" t="n"/>
      <c r="R30" s="64" t="n"/>
      <c r="S30" s="64" t="n"/>
      <c r="T30" s="64" t="n"/>
      <c r="U30" s="64" t="n"/>
      <c r="V30" s="64" t="n"/>
      <c r="W30" s="64" t="n"/>
      <c r="X30" s="543" t="n"/>
      <c r="Y30" s="64" t="n"/>
      <c r="Z30" s="64" t="n"/>
      <c r="AA30" s="136" t="n"/>
      <c r="AB30" s="64" t="n"/>
      <c r="AC30" s="64" t="n"/>
      <c r="AD30" s="64" t="n"/>
      <c r="AE30" s="64" t="n"/>
      <c r="AF30" s="64" t="n"/>
      <c r="AG30" s="64" t="n"/>
      <c r="AH30" s="64" t="n"/>
      <c r="AI30" s="64" t="n"/>
      <c r="AJ30" s="64" t="n"/>
      <c r="AK30" s="64" t="n"/>
      <c r="AL30" s="64" t="n"/>
      <c r="AM30" s="64" t="n"/>
      <c r="AN30" s="64" t="n"/>
      <c r="AO30" s="64" t="n"/>
      <c r="AP30" s="64" t="n"/>
      <c r="AQ30" s="64" t="n"/>
      <c r="AR30" s="103" t="n"/>
      <c r="AS30" s="103" t="n"/>
      <c r="AT30" s="103" t="n"/>
      <c r="AU30" s="64" t="n"/>
      <c r="AV30" s="64" t="n"/>
      <c r="AW30" s="64" t="n"/>
      <c r="AX30" s="64" t="n"/>
      <c r="AY30" s="103" t="n"/>
    </row>
    <row r="31" ht="18" customHeight="1">
      <c r="A31" s="64" t="n"/>
      <c r="B31" s="64" t="n"/>
      <c r="C31" s="64" t="n"/>
      <c r="D31" s="64" t="n"/>
      <c r="E31" s="64" t="n"/>
      <c r="F31" s="64" t="n"/>
      <c r="G31" s="64" t="n"/>
      <c r="H31" s="64" t="n"/>
      <c r="I31" s="64" t="n"/>
      <c r="J31" s="64" t="n"/>
      <c r="K31" s="64" t="n"/>
      <c r="L31" s="64" t="n"/>
      <c r="M31" s="64" t="n"/>
      <c r="N31" s="64" t="n"/>
      <c r="O31" s="64" t="n"/>
      <c r="P31" s="64" t="n"/>
      <c r="Q31" s="64" t="n"/>
      <c r="R31" s="64" t="n"/>
      <c r="S31" s="64" t="n"/>
      <c r="T31" s="64" t="n"/>
      <c r="U31" s="64" t="n"/>
      <c r="V31" s="64" t="n"/>
      <c r="W31" s="64" t="n"/>
      <c r="X31" s="543" t="n"/>
      <c r="Y31" s="64" t="n"/>
      <c r="Z31" s="64" t="n"/>
      <c r="AA31" s="136" t="n"/>
      <c r="AB31" s="64" t="n"/>
      <c r="AC31" s="64" t="n"/>
      <c r="AD31" s="64" t="n"/>
      <c r="AE31" s="64" t="n"/>
      <c r="AF31" s="64" t="n"/>
      <c r="AG31" s="64" t="n"/>
      <c r="AH31" s="64" t="n"/>
      <c r="AI31" s="64" t="n"/>
      <c r="AJ31" s="64" t="n"/>
      <c r="AK31" s="64" t="n"/>
      <c r="AL31" s="64" t="n"/>
      <c r="AM31" s="64" t="n"/>
      <c r="AN31" s="64" t="n"/>
      <c r="AO31" s="64" t="n"/>
      <c r="AP31" s="64" t="n"/>
      <c r="AQ31" s="64" t="n"/>
      <c r="AR31" s="103" t="n"/>
      <c r="AS31" s="103" t="n"/>
      <c r="AT31" s="103" t="n"/>
      <c r="AU31" s="64" t="n"/>
      <c r="AV31" s="64" t="n"/>
      <c r="AW31" s="64" t="n"/>
      <c r="AX31" s="64" t="n"/>
      <c r="AY31" s="103" t="n"/>
    </row>
  </sheetData>
  <mergeCells count="18">
    <mergeCell ref="R21:Y21"/>
    <mergeCell ref="V3:Y3"/>
    <mergeCell ref="C8:L8"/>
    <mergeCell ref="C9:L9"/>
    <mergeCell ref="R20:Y20"/>
    <mergeCell ref="R19:Y19"/>
    <mergeCell ref="C4:Y4"/>
    <mergeCell ref="H1:S2"/>
    <mergeCell ref="V2:Y2"/>
    <mergeCell ref="V5:W5"/>
    <mergeCell ref="D12:Y12"/>
    <mergeCell ref="H3:S3"/>
    <mergeCell ref="C16:Y16"/>
    <mergeCell ref="V1:Y1"/>
    <mergeCell ref="C10:L10"/>
    <mergeCell ref="R23:Y23"/>
    <mergeCell ref="R18:Y18"/>
    <mergeCell ref="R22:Y22"/>
  </mergeCells>
  <pageMargins left="0.7" right="0.7" top="0.75" bottom="0.75" header="0.3" footer="0.3"/>
</worksheet>
</file>

<file path=xl/worksheets/sheet2.xml><?xml version="1.0" encoding="utf-8"?>
<worksheet xmlns="http://schemas.openxmlformats.org/spreadsheetml/2006/main">
  <sheetPr>
    <outlinePr summaryBelow="0"/>
    <pageSetUpPr/>
  </sheetPr>
  <dimension ref="A1:D33"/>
  <sheetViews>
    <sheetView workbookViewId="0">
      <selection activeCell="A1" sqref="A1"/>
    </sheetView>
  </sheetViews>
  <sheetFormatPr baseColWidth="8" defaultRowHeight="15"/>
  <cols>
    <col width="7.005" bestFit="1" customWidth="1" style="374" min="1" max="1"/>
    <col width="50.71928571428572" bestFit="1" customWidth="1" style="375" min="2" max="2"/>
    <col width="10.71928571428571" bestFit="1" customWidth="1" style="354" min="3" max="3"/>
    <col width="11.86214285714286" bestFit="1" customWidth="1" style="354" min="4" max="4"/>
  </cols>
  <sheetData>
    <row r="1" ht="33.75" customFormat="1" customHeight="1" s="18">
      <c r="A1" s="318" t="inlineStr">
        <is>
          <t>evsjv‡`k K…wl e¨vsK</t>
        </is>
      </c>
    </row>
    <row r="2" ht="19.5" customFormat="1" customHeight="1" s="18">
      <c r="A2" s="319">
        <f>+'Data Input'!D2</f>
        <v/>
      </c>
    </row>
    <row r="3" ht="13.5" customFormat="1" customHeight="1" s="18">
      <c r="A3" s="320">
        <f>+'Data Input'!D3</f>
        <v/>
      </c>
    </row>
    <row r="4" ht="15.75" customFormat="1" customHeight="1" s="18">
      <c r="A4" s="321">
        <f>"Email: "&amp;+'Data Input'!D4</f>
        <v/>
      </c>
      <c r="B4" s="2613" t="n"/>
      <c r="C4" s="2613" t="n"/>
      <c r="D4" s="2613" t="n"/>
    </row>
    <row r="5" ht="18" customFormat="1" customHeight="1" s="18">
      <c r="A5" s="323" t="inlineStr">
        <is>
          <t>FY bw_ m~Px</t>
        </is>
      </c>
      <c r="B5" s="2614" t="n"/>
      <c r="C5" s="2614" t="n"/>
      <c r="D5" s="2614" t="n"/>
    </row>
    <row r="6" ht="40.5" customFormat="1" customHeight="1" s="18">
      <c r="A6" s="325">
        <f>'Data Input'!D5&amp;", "&amp;'Data Input'!D8&amp;",  ‡cÖvcvBUit "&amp;'Data Input'!D12</f>
        <v/>
      </c>
      <c r="B6" s="2614" t="n"/>
      <c r="C6" s="2614" t="n"/>
      <c r="D6" s="2614" t="n"/>
    </row>
    <row r="7" ht="20.25" customFormat="1" customHeight="1" s="18">
      <c r="A7" s="2585" t="inlineStr">
        <is>
          <t>µt bs</t>
        </is>
      </c>
      <c r="B7" s="2586" t="inlineStr">
        <is>
          <t>welq</t>
        </is>
      </c>
      <c r="C7" s="2587" t="inlineStr">
        <is>
          <t>c„ôv bs</t>
        </is>
      </c>
      <c r="D7" s="2617" t="n"/>
    </row>
    <row r="8" ht="23.25" customFormat="1" customHeight="1" s="18">
      <c r="A8" s="2618" t="n"/>
      <c r="B8" s="2618" t="n"/>
      <c r="C8" s="2589" t="inlineStr">
        <is>
          <t>nB‡Z</t>
        </is>
      </c>
      <c r="D8" s="2589" t="inlineStr">
        <is>
          <t>ch©šÍ</t>
        </is>
      </c>
    </row>
    <row r="9" ht="21" customFormat="1" customHeight="1" s="18">
      <c r="A9" s="2590">
        <f>IF(B9="","",_xlfn.AGGREGATE(3,5,$B$9:B9))</f>
        <v/>
      </c>
      <c r="B9" s="2591" t="inlineStr">
        <is>
          <t>myPxcÎ</t>
        </is>
      </c>
      <c r="C9" s="2592" t="n"/>
      <c r="D9" s="2593" t="n"/>
    </row>
    <row r="10" ht="21" customFormat="1" customHeight="1" s="18">
      <c r="A10" s="2594">
        <f>IF(B10="","",_xlfn.AGGREGATE(3,5,$B$9:B10))</f>
        <v/>
      </c>
      <c r="B10" s="2595" t="inlineStr">
        <is>
          <t>‡bvU mxU/ AMÖvqb cÎ-</t>
        </is>
      </c>
      <c r="C10" s="2596" t="n"/>
      <c r="D10" s="2597" t="n"/>
    </row>
    <row r="11" ht="21" customFormat="1" customHeight="1" s="18">
      <c r="A11" s="2594">
        <f>IF(B11="","",_xlfn.AGGREGATE(3,5,$B$9:B11))</f>
        <v/>
      </c>
      <c r="B11" s="2595" t="inlineStr">
        <is>
          <t>FY gÄyix cÖ¯Íve †cÖib msµvšÍ e¨e¯’vcK Z_¨mxU</t>
        </is>
      </c>
      <c r="C11" s="2596" t="n"/>
      <c r="D11" s="2597" t="n"/>
    </row>
    <row r="12" ht="21" customFormat="1" customHeight="1" s="18">
      <c r="A12" s="2594">
        <f>IF(B12="","",_xlfn.AGGREGATE(3,5,$B$9:B12))</f>
        <v/>
      </c>
      <c r="B12" s="2595" t="inlineStr">
        <is>
          <t>cvm‡cvU© mvB‡Ri Qwe I AvBwW Kv‡W©i d‡UvKwc</t>
        </is>
      </c>
      <c r="C12" s="2596" t="n"/>
      <c r="D12" s="2597" t="n"/>
    </row>
    <row r="13" ht="21" customFormat="1" customHeight="1" s="18">
      <c r="A13" s="2594">
        <f>IF(B13="","",_xlfn.AGGREGATE(3,5,$B$9:B13))</f>
        <v/>
      </c>
      <c r="B13" s="2595" t="inlineStr">
        <is>
          <t>Gj. Gd-5 (Avw_©K we‡kølY I mshyw³ Kwcmn)</t>
        </is>
      </c>
      <c r="C13" s="2596" t="n"/>
      <c r="D13" s="2597" t="n"/>
    </row>
    <row r="14" ht="21" customFormat="1" customHeight="1" s="18">
      <c r="A14" s="2594">
        <f>IF(B14="","",_xlfn.AGGREGATE(3,5,$B$9:B14))</f>
        <v/>
      </c>
      <c r="B14" s="2595" t="inlineStr">
        <is>
          <t>mve †iwRwóª Awd‡mi †gŠRvwfwËK g~j¨ ZvwjKv</t>
        </is>
      </c>
      <c r="C14" s="2596" t="n"/>
      <c r="D14" s="2597" t="n"/>
    </row>
    <row r="15" ht="21" customFormat="1" customHeight="1" s="18">
      <c r="A15" s="2594">
        <f>IF(B15="","",_xlfn.AGGREGATE(3,5,$B$9:B15))</f>
        <v/>
      </c>
      <c r="B15" s="2595" t="inlineStr">
        <is>
          <t>RvgvbwZ m¤úwËi g~j¨vqY KwgwU KZ©„K g~j¨vqb cªwZ‡e`b</t>
        </is>
      </c>
      <c r="C15" s="2596" t="n"/>
      <c r="D15" s="2597" t="n"/>
    </row>
    <row r="16" ht="21" customFormat="1" customHeight="1" s="18">
      <c r="A16" s="2594">
        <f>IF(B16="","",_xlfn.AGGREGATE(3,5,$B$9:B16))</f>
        <v/>
      </c>
      <c r="B16" s="2595" t="inlineStr">
        <is>
          <t>eÜKx m¤úwËi KvMR-cÎvw` I LvRbvi `vwLjv</t>
        </is>
      </c>
      <c r="C16" s="2596" t="n"/>
      <c r="D16" s="2597" t="n"/>
    </row>
    <row r="17" ht="21" customFormat="1" customHeight="1" s="18">
      <c r="A17" s="2594">
        <f>IF(B17="","",_xlfn.AGGREGATE(3,5,$B$9:B17))</f>
        <v/>
      </c>
      <c r="B17" s="2595" t="inlineStr">
        <is>
          <t>AvBb Dc‡`óvi gZvgZ</t>
        </is>
      </c>
      <c r="C17" s="2596" t="n"/>
      <c r="D17" s="2598" t="n"/>
    </row>
    <row r="18" ht="21" customFormat="1" customHeight="1" s="18">
      <c r="A18" s="2594">
        <f>IF(B18="","",_xlfn.AGGREGATE(3,5,$B$9:B18))</f>
        <v/>
      </c>
      <c r="B18" s="2595" t="inlineStr">
        <is>
          <t>†jb‡`b mxU</t>
        </is>
      </c>
      <c r="C18" s="2596" t="n"/>
      <c r="D18" s="2598" t="n"/>
    </row>
    <row r="19" ht="21" customFormat="1" customHeight="1" s="18">
      <c r="A19" s="2594">
        <f>IF(B19="","",_xlfn.AGGREGATE(3,5,$B$9:B19))</f>
        <v/>
      </c>
      <c r="B19" s="2595" t="inlineStr">
        <is>
          <t>‡UªW jvB‡mÝ</t>
        </is>
      </c>
      <c r="C19" s="2596" t="n"/>
      <c r="D19" s="2597" t="n"/>
    </row>
    <row r="20" ht="21" customFormat="1" customHeight="1" s="18">
      <c r="A20" s="2594">
        <f>IF(B20="","",_xlfn.AGGREGATE(3,5,$B$9:B20))</f>
        <v/>
      </c>
      <c r="B20" s="2595" t="inlineStr">
        <is>
          <t>wm. AvB. we cÖwZ‡e`b</t>
        </is>
      </c>
      <c r="C20" s="2596" t="n"/>
      <c r="D20" s="2598" t="n"/>
    </row>
    <row r="21" ht="21" customFormat="1" customHeight="1" s="18">
      <c r="A21" s="2594">
        <f>IF(B21="","",_xlfn.AGGREGATE(3,5,$B$9:B21))</f>
        <v/>
      </c>
      <c r="B21" s="2595" t="inlineStr">
        <is>
          <t>wm. Avi. wR</t>
        </is>
      </c>
      <c r="C21" s="2596" t="n"/>
      <c r="D21" s="2598" t="n"/>
    </row>
    <row r="22" ht="21" customFormat="1" customHeight="1" s="18">
      <c r="A22" s="2594">
        <f>IF(B22="","",_xlfn.AGGREGATE(3,5,$B$9:B22))</f>
        <v/>
      </c>
      <c r="B22" s="2595" t="inlineStr">
        <is>
          <t>wewfbœ ai‡bi cÖZ¨qYcÎ</t>
        </is>
      </c>
      <c r="C22" s="2596" t="n"/>
      <c r="D22" s="2598" t="n"/>
    </row>
    <row r="23" ht="21" customFormat="1" customHeight="1" s="18">
      <c r="A23" s="2594">
        <f>IF(B23="","",_xlfn.AGGREGATE(3,5,$B$9:B23))</f>
        <v/>
      </c>
      <c r="B23" s="2595" t="inlineStr">
        <is>
          <t>FY Av‡e`b dig- Gj Gd-8 I FY bevqb dig Gj Gd-58</t>
        </is>
      </c>
      <c r="C23" s="2596" t="n"/>
      <c r="D23" s="2598" t="n"/>
    </row>
    <row r="24" ht="21" customFormat="1" customHeight="1" s="18">
      <c r="A24" s="2594">
        <f>IF(B24="","",_xlfn.AGGREGATE(3,5,$B$9:B24))</f>
        <v/>
      </c>
      <c r="B24" s="2595" t="inlineStr">
        <is>
          <t>‡Ni/cÖK‡íi Ae¯’vb mswkøô Rwgi gvwjKvbv msµvšÍ KvMRcÎ</t>
        </is>
      </c>
      <c r="C24" s="2596" t="n"/>
      <c r="D24" s="2598" t="n"/>
    </row>
    <row r="25" ht="21" customFormat="1" customHeight="1" s="18">
      <c r="A25" s="2594">
        <f>IF(B25="","",_xlfn.AGGREGATE(3,5,$B$9:B25))</f>
        <v/>
      </c>
      <c r="B25" s="2595" t="inlineStr">
        <is>
          <t>‡gŠRv g¨v‡ci d‡UvKwc</t>
        </is>
      </c>
      <c r="C25" s="2596" t="n"/>
      <c r="D25" s="2598" t="n"/>
    </row>
    <row r="26" ht="21" customFormat="1" customHeight="1" s="18">
      <c r="A26" s="2594">
        <f>IF(B26="","",_xlfn.AGGREGATE(3,5,$B$9:B26))</f>
        <v/>
      </c>
      <c r="B26" s="2595" t="inlineStr">
        <is>
          <t>cye© F‡bi gÄyixcÎ</t>
        </is>
      </c>
      <c r="C26" s="2596" t="n"/>
      <c r="D26" s="2598" t="n"/>
    </row>
    <row r="27" ht="21" customFormat="1" customHeight="1" s="18">
      <c r="A27" s="2594">
        <f>IF(B27="","",_xlfn.AGGREGATE(3,5,$B$9:B27))</f>
        <v/>
      </c>
      <c r="B27" s="2599" t="n"/>
      <c r="C27" s="2600" t="n"/>
      <c r="D27" s="2598" t="n"/>
    </row>
    <row r="28" ht="21" customFormat="1" customHeight="1" s="18">
      <c r="A28" s="2594">
        <f>IF(B28="","",_xlfn.AGGREGATE(3,5,$B$9:B28))</f>
        <v/>
      </c>
      <c r="B28" s="2595" t="n"/>
      <c r="C28" s="2596" t="n"/>
      <c r="D28" s="2598" t="n"/>
    </row>
    <row r="29" ht="21" customFormat="1" customHeight="1" s="18">
      <c r="A29" s="2594">
        <f>IF(B29="","",_xlfn.AGGREGATE(3,5,$B$9:B29))</f>
        <v/>
      </c>
      <c r="B29" s="2599" t="n"/>
      <c r="C29" s="2600" t="n"/>
      <c r="D29" s="2598" t="n"/>
    </row>
    <row r="30" ht="21" customFormat="1" customHeight="1" s="18">
      <c r="A30" s="2594">
        <f>IF(B30="","",_xlfn.AGGREGATE(3,5,$B$9:B30))</f>
        <v/>
      </c>
      <c r="B30" s="2595" t="n"/>
      <c r="C30" s="2596" t="n"/>
      <c r="D30" s="2598" t="n"/>
    </row>
    <row r="31" ht="21" customFormat="1" customHeight="1" s="18">
      <c r="A31" s="2594">
        <f>IF(B31="","",_xlfn.AGGREGATE(3,5,$B$9:B31))</f>
        <v/>
      </c>
      <c r="B31" s="2599" t="n"/>
      <c r="C31" s="2600" t="n"/>
      <c r="D31" s="2598" t="n"/>
    </row>
    <row r="32" ht="57" customFormat="1" customHeight="1" s="18">
      <c r="A32" s="372" t="n"/>
      <c r="B32" s="76" t="n"/>
      <c r="C32" s="373" t="n"/>
      <c r="D32" s="373" t="n"/>
    </row>
    <row r="33" ht="20.25" customHeight="1">
      <c r="A33" s="350" t="inlineStr">
        <is>
          <t xml:space="preserve">             g~j¨vqbKvix </t>
        </is>
      </c>
      <c r="C33" s="352" t="inlineStr">
        <is>
          <t>e¨e¯’vcK</t>
        </is>
      </c>
    </row>
  </sheetData>
  <mergeCells count="11">
    <mergeCell ref="A1:D1"/>
    <mergeCell ref="A5:D5"/>
    <mergeCell ref="C7:D7"/>
    <mergeCell ref="A6:D6"/>
    <mergeCell ref="C33:D33"/>
    <mergeCell ref="A4:D4"/>
    <mergeCell ref="A33:B33"/>
    <mergeCell ref="A3:D3"/>
    <mergeCell ref="A7:A8"/>
    <mergeCell ref="B7:B8"/>
    <mergeCell ref="A2:D2"/>
  </mergeCells>
  <pageMargins left="0.7" right="0.7" top="0.75" bottom="0.75" header="0.3" footer="0.3"/>
</worksheet>
</file>

<file path=xl/worksheets/sheet3.xml><?xml version="1.0" encoding="utf-8"?>
<worksheet xmlns="http://schemas.openxmlformats.org/spreadsheetml/2006/main">
  <sheetPr>
    <outlinePr summaryBelow="0"/>
    <pageSetUpPr/>
  </sheetPr>
  <dimension ref="A1:AY61"/>
  <sheetViews>
    <sheetView workbookViewId="0">
      <selection activeCell="A1" sqref="A1"/>
    </sheetView>
  </sheetViews>
  <sheetFormatPr baseColWidth="8" defaultRowHeight="15"/>
  <cols>
    <col width="13.57642857142857" bestFit="1" customWidth="1" style="64" min="1" max="1"/>
    <col width="1.005" bestFit="1" customWidth="1" style="64" min="2" max="2"/>
    <col width="14.57642857142857" bestFit="1" customWidth="1" style="64" min="3" max="3"/>
    <col width="2.576428571428572" bestFit="1" customWidth="1" style="64" min="4" max="4"/>
    <col width="5.147857142857143" bestFit="1" customWidth="1" style="64" min="5" max="5"/>
    <col width="2.576428571428572" bestFit="1" customWidth="1" style="64" min="6" max="6"/>
    <col width="2.576428571428572" bestFit="1" customWidth="1" style="64" min="7" max="7"/>
    <col width="4.005" bestFit="1" customWidth="1" style="64" min="8" max="8"/>
    <col width="4.290714285714285" bestFit="1" customWidth="1" style="64" min="9" max="9"/>
    <col width="2.576428571428572" bestFit="1" customWidth="1" style="64" min="10" max="10"/>
    <col width="3.862142857142857" bestFit="1" customWidth="1" style="64" min="11" max="11"/>
    <col width="2.576428571428572" bestFit="1" customWidth="1" style="64" min="12" max="12"/>
    <col width="4.719285714285714" bestFit="1" customWidth="1" style="64" min="13" max="13"/>
    <col width="2.576428571428572" bestFit="1" customWidth="1" style="64" min="14" max="14"/>
    <col width="2.576428571428572" bestFit="1" customWidth="1" style="64" min="15" max="15"/>
    <col width="2.576428571428572" bestFit="1" customWidth="1" style="64" min="16" max="16"/>
    <col width="6.005" bestFit="1" customWidth="1" style="64" min="17" max="17"/>
    <col width="2.576428571428572" bestFit="1" customWidth="1" style="64" min="18" max="18"/>
    <col width="2.576428571428572" bestFit="1" customWidth="1" style="64" min="19" max="19"/>
    <col width="2.576428571428572" bestFit="1" customWidth="1" style="64" min="20" max="20"/>
    <col width="3.862142857142857" bestFit="1" customWidth="1" style="64" min="21" max="21"/>
    <col width="3.147857142857143" bestFit="1" customWidth="1" style="64" min="22" max="22"/>
    <col width="5.147857142857143" bestFit="1" customWidth="1" style="218" min="23" max="23"/>
    <col width="9.576428571428572" bestFit="1" customWidth="1" style="218" min="24" max="24"/>
    <col width="5.147857142857143" bestFit="1" customWidth="1" style="218" min="25" max="25"/>
    <col width="13.57642857142857" bestFit="1" customWidth="1" style="64" min="26" max="26"/>
    <col width="2.005" bestFit="1" customWidth="1" style="64" min="27" max="27"/>
    <col width="23.29071428571428" bestFit="1" customWidth="1" style="64" min="28" max="28"/>
    <col width="5.862142857142857" bestFit="1" customWidth="1" style="64" min="29" max="29"/>
    <col width="9.43357142857143" bestFit="1" customWidth="1" style="64" min="30" max="30"/>
    <col width="13.57642857142857" bestFit="1" customWidth="1" style="64" min="31" max="31"/>
    <col width="13.57642857142857" bestFit="1" customWidth="1" style="64" min="32" max="32"/>
    <col width="13.57642857142857" bestFit="1" customWidth="1" style="64" min="33" max="33"/>
    <col width="13.57642857142857" bestFit="1" customWidth="1" style="64" min="34" max="34"/>
    <col width="13.57642857142857" bestFit="1" customWidth="1" style="64" min="35" max="35"/>
    <col width="13.57642857142857" bestFit="1" customWidth="1" style="64" min="36" max="36"/>
    <col width="13.57642857142857" bestFit="1" customWidth="1" style="64" min="37" max="37"/>
    <col width="13.57642857142857" bestFit="1" customWidth="1" style="64" min="38" max="38"/>
    <col width="13.57642857142857" bestFit="1" customWidth="1" style="64" min="39" max="39"/>
    <col width="13.57642857142857" bestFit="1" customWidth="1" style="64" min="40" max="40"/>
    <col width="13.57642857142857" bestFit="1" customWidth="1" style="64" min="41" max="41"/>
    <col width="13.57642857142857" bestFit="1" customWidth="1" style="64" min="42" max="42"/>
    <col width="13.57642857142857" bestFit="1" customWidth="1" style="64" min="43" max="43"/>
    <col width="13.57642857142857" bestFit="1" customWidth="1" style="103" min="44" max="44"/>
    <col width="13.57642857142857" bestFit="1" customWidth="1" style="103" min="45" max="45"/>
    <col width="13.57642857142857" bestFit="1" customWidth="1" style="103" min="46" max="46"/>
    <col width="13.57642857142857" bestFit="1" customWidth="1" style="64" min="47" max="47"/>
    <col width="13.57642857142857" bestFit="1" customWidth="1" style="64" min="48" max="48"/>
    <col width="13.57642857142857" bestFit="1" customWidth="1" style="64" min="49" max="49"/>
    <col width="13.57642857142857" bestFit="1" customWidth="1" style="64" min="50" max="50"/>
    <col width="13.57642857142857" bestFit="1" customWidth="1" style="103" min="51" max="51"/>
  </cols>
  <sheetData>
    <row r="1" ht="15" customHeight="1">
      <c r="A1" s="64" t="n"/>
      <c r="B1" s="64" t="n"/>
      <c r="C1" s="2572" t="n"/>
      <c r="D1" s="2572" t="n"/>
      <c r="E1" s="2573" t="inlineStr">
        <is>
          <t>evsjv‡`k K…wl e¨vsK</t>
        </is>
      </c>
      <c r="F1" s="2619" t="n"/>
      <c r="G1" s="2619" t="n"/>
      <c r="H1" s="2619" t="n"/>
      <c r="I1" s="2619" t="n"/>
      <c r="J1" s="2619" t="n"/>
      <c r="K1" s="2619" t="n"/>
      <c r="L1" s="2619" t="n"/>
      <c r="M1" s="2619" t="n"/>
      <c r="N1" s="2619" t="n"/>
      <c r="O1" s="2619" t="n"/>
      <c r="P1" s="2620" t="n"/>
      <c r="Q1" s="64" t="n"/>
      <c r="R1" s="64" t="n"/>
      <c r="S1" s="2575">
        <f>'Data Input'!B5&amp;" "&amp;'Data Input'!D5</f>
        <v/>
      </c>
      <c r="Z1" s="64" t="n"/>
      <c r="AA1" s="64" t="n"/>
      <c r="AB1" s="64" t="n"/>
      <c r="AC1" s="64" t="n"/>
      <c r="AD1" s="64" t="n"/>
      <c r="AE1" s="64" t="n"/>
      <c r="AF1" s="64" t="n"/>
      <c r="AG1" s="64" t="n"/>
      <c r="AH1" s="64" t="n"/>
      <c r="AI1" s="64" t="n"/>
      <c r="AJ1" s="64" t="n"/>
      <c r="AK1" s="64" t="n"/>
      <c r="AL1" s="64" t="n"/>
      <c r="AM1" s="64" t="n"/>
      <c r="AN1" s="64" t="n"/>
      <c r="AO1" s="64" t="n"/>
      <c r="AP1" s="64" t="n"/>
      <c r="AQ1" s="64" t="n"/>
      <c r="AR1" s="69" t="n"/>
      <c r="AS1" s="69" t="n"/>
      <c r="AT1" s="69" t="n"/>
      <c r="AU1" s="64" t="n"/>
      <c r="AV1" s="64" t="n"/>
      <c r="AW1" s="64" t="n"/>
      <c r="AX1" s="64" t="n"/>
      <c r="AY1" s="69" t="n"/>
    </row>
    <row r="2" ht="15" customHeight="1">
      <c r="A2" s="64" t="n"/>
      <c r="B2" s="64" t="n"/>
      <c r="C2" s="2576" t="n"/>
      <c r="D2" s="2576" t="n"/>
      <c r="E2" s="2621" t="n"/>
      <c r="F2" s="2622" t="n"/>
      <c r="G2" s="2622" t="n"/>
      <c r="H2" s="2622" t="n"/>
      <c r="I2" s="2622" t="n"/>
      <c r="J2" s="2622" t="n"/>
      <c r="K2" s="2622" t="n"/>
      <c r="L2" s="2622" t="n"/>
      <c r="M2" s="2622" t="n"/>
      <c r="N2" s="2622" t="n"/>
      <c r="O2" s="2622" t="n"/>
      <c r="P2" s="2623" t="n"/>
      <c r="Q2" s="64" t="n"/>
      <c r="R2" s="64" t="n"/>
      <c r="S2" s="64" t="n"/>
      <c r="T2" s="382" t="n"/>
      <c r="U2" s="2575" t="inlineStr">
        <is>
          <t>wjwgU</t>
        </is>
      </c>
      <c r="W2" s="2575">
        <f>+'Data Input'!D11&amp;" UvKv"</f>
        <v/>
      </c>
      <c r="Z2" s="64" t="n"/>
      <c r="AA2" s="64" t="n"/>
      <c r="AB2" s="64" t="n"/>
      <c r="AC2" s="64" t="n"/>
      <c r="AD2" s="64" t="n"/>
      <c r="AE2" s="64" t="n"/>
      <c r="AF2" s="64" t="n"/>
      <c r="AG2" s="64" t="n"/>
      <c r="AH2" s="64" t="n"/>
      <c r="AI2" s="64" t="n"/>
      <c r="AJ2" s="64" t="n"/>
      <c r="AK2" s="64" t="n"/>
      <c r="AL2" s="64" t="n"/>
      <c r="AM2" s="64" t="n"/>
      <c r="AN2" s="64" t="n"/>
      <c r="AO2" s="64" t="n"/>
      <c r="AP2" s="64" t="n"/>
      <c r="AQ2" s="64" t="n"/>
      <c r="AR2" s="232" t="n"/>
      <c r="AS2" s="232" t="n"/>
      <c r="AT2" s="232" t="n"/>
      <c r="AU2" s="64" t="n"/>
      <c r="AV2" s="64" t="n"/>
      <c r="AW2" s="64" t="n"/>
      <c r="AX2" s="64" t="n"/>
      <c r="AY2" s="71" t="n"/>
    </row>
    <row r="3" ht="21" customHeight="1">
      <c r="A3" s="64" t="n"/>
      <c r="B3" s="64" t="n"/>
      <c r="C3" s="2577" t="n"/>
      <c r="D3" s="2578" t="n"/>
      <c r="E3" s="2579">
        <f>+'[1]Data Input'!D2</f>
        <v/>
      </c>
      <c r="Q3" s="64" t="n"/>
      <c r="R3" s="64" t="n"/>
      <c r="S3" s="64" t="n"/>
      <c r="T3" s="387" t="n"/>
      <c r="U3" s="64" t="n"/>
      <c r="V3" s="389" t="n"/>
      <c r="Z3" s="64" t="n"/>
      <c r="AA3" s="64" t="n"/>
      <c r="AB3" s="64" t="n"/>
      <c r="AC3" s="64" t="n"/>
      <c r="AD3" s="64" t="n"/>
      <c r="AE3" s="64" t="n"/>
      <c r="AF3" s="64" t="n"/>
      <c r="AG3" s="64" t="n"/>
      <c r="AH3" s="64" t="n"/>
      <c r="AI3" s="64" t="n"/>
      <c r="AJ3" s="64" t="n"/>
      <c r="AK3" s="64" t="n"/>
      <c r="AL3" s="64" t="n"/>
      <c r="AM3" s="64" t="n"/>
      <c r="AN3" s="64" t="n"/>
      <c r="AO3" s="64" t="n"/>
      <c r="AP3" s="64" t="n"/>
      <c r="AQ3" s="64" t="n"/>
      <c r="AR3" s="73" t="n"/>
      <c r="AS3" s="73" t="n"/>
      <c r="AT3" s="73" t="n"/>
      <c r="AU3" s="64" t="n"/>
      <c r="AV3" s="64" t="n"/>
      <c r="AW3" s="64" t="n"/>
      <c r="AX3" s="64" t="n"/>
      <c r="AY3" s="73" t="n"/>
    </row>
    <row r="4" ht="17.25" customHeight="1">
      <c r="A4" s="64" t="n"/>
      <c r="B4" s="64" t="n"/>
      <c r="C4" s="2580" t="n"/>
      <c r="D4" s="2615" t="n"/>
      <c r="E4" s="2615" t="n"/>
      <c r="F4" s="2615" t="n"/>
      <c r="G4" s="2615" t="n"/>
      <c r="H4" s="2615" t="n"/>
      <c r="I4" s="2615" t="n"/>
      <c r="J4" s="2615" t="n"/>
      <c r="K4" s="2615" t="n"/>
      <c r="L4" s="2615" t="n"/>
      <c r="M4" s="2615" t="n"/>
      <c r="N4" s="2615" t="n"/>
      <c r="O4" s="2615" t="n"/>
      <c r="P4" s="2615" t="n"/>
      <c r="Q4" s="2615" t="n"/>
      <c r="R4" s="2615" t="n"/>
      <c r="S4" s="2615" t="n"/>
      <c r="T4" s="2615" t="n"/>
      <c r="U4" s="2615" t="n"/>
      <c r="V4" s="2615" t="n"/>
      <c r="W4" s="2615" t="n"/>
      <c r="X4" s="2615" t="n"/>
      <c r="Y4" s="2616" t="n"/>
      <c r="Z4" s="64" t="n"/>
      <c r="AA4" s="64" t="n"/>
      <c r="AB4" s="64" t="n"/>
      <c r="AC4" s="64" t="n"/>
      <c r="AD4" s="64" t="n"/>
      <c r="AE4" s="64" t="n"/>
      <c r="AF4" s="64" t="n"/>
      <c r="AG4" s="64" t="n"/>
      <c r="AH4" s="64" t="n"/>
      <c r="AI4" s="64" t="n"/>
      <c r="AJ4" s="64" t="n"/>
      <c r="AK4" s="64" t="n"/>
      <c r="AL4" s="64" t="n"/>
      <c r="AM4" s="64" t="n"/>
      <c r="AN4" s="64" t="n"/>
      <c r="AO4" s="64" t="n"/>
      <c r="AP4" s="64" t="n"/>
      <c r="AQ4" s="64" t="n"/>
      <c r="AR4" s="75" t="n"/>
      <c r="AS4" s="75" t="n"/>
      <c r="AT4" s="75" t="n"/>
      <c r="AU4" s="64" t="n"/>
      <c r="AV4" s="64" t="n"/>
      <c r="AW4" s="64" t="n"/>
      <c r="AX4" s="64" t="n"/>
      <c r="AY4" s="75" t="n"/>
    </row>
    <row r="5" ht="18" customHeight="1">
      <c r="A5" s="2581" t="n"/>
      <c r="B5" s="2581" t="n"/>
      <c r="C5" s="2582" t="n"/>
      <c r="D5" s="2581" t="n"/>
      <c r="E5" s="2581" t="n"/>
      <c r="F5" s="2581" t="n"/>
      <c r="G5" s="2581" t="n"/>
      <c r="H5" s="2581" t="n"/>
      <c r="I5" s="2581" t="n"/>
      <c r="J5" s="2581" t="n"/>
      <c r="K5" s="2581" t="n"/>
      <c r="L5" s="2581" t="n"/>
      <c r="M5" s="2581" t="n"/>
      <c r="N5" s="2581" t="n"/>
      <c r="O5" s="2581" t="n"/>
      <c r="P5" s="2581" t="n"/>
      <c r="Q5" s="2581" t="n"/>
      <c r="R5" s="2581" t="n"/>
      <c r="S5" s="2582" t="n"/>
      <c r="T5" s="2581" t="n"/>
      <c r="U5" s="2581" t="n"/>
      <c r="V5" s="457" t="n"/>
      <c r="W5" s="2624" t="n"/>
      <c r="X5" s="782" t="n"/>
      <c r="Y5" s="782" t="n"/>
      <c r="Z5" s="64" t="n"/>
      <c r="AA5" s="64" t="n"/>
      <c r="AB5" s="64" t="n"/>
      <c r="AC5" s="64" t="n"/>
      <c r="AD5" s="64" t="n"/>
      <c r="AE5" s="64" t="n"/>
      <c r="AF5" s="64" t="n"/>
      <c r="AG5" s="64" t="n"/>
      <c r="AH5" s="64" t="n"/>
      <c r="AI5" s="64" t="n"/>
      <c r="AJ5" s="64" t="n"/>
      <c r="AK5" s="64" t="n"/>
      <c r="AL5" s="64" t="n"/>
      <c r="AM5" s="64" t="n"/>
      <c r="AN5" s="64" t="n"/>
      <c r="AO5" s="64" t="n"/>
      <c r="AP5" s="64" t="n"/>
      <c r="AQ5" s="64" t="n"/>
      <c r="AR5" s="103" t="n"/>
      <c r="AS5" s="103" t="n"/>
      <c r="AT5" s="103" t="n"/>
      <c r="AU5" s="64" t="n"/>
      <c r="AV5" s="64" t="n"/>
      <c r="AW5" s="64" t="n"/>
      <c r="AX5" s="64" t="n"/>
      <c r="AY5" s="103" t="n"/>
    </row>
    <row r="6" ht="3.75" customHeight="1">
      <c r="A6" s="64" t="n"/>
      <c r="B6" s="64" t="n"/>
      <c r="C6" s="239" t="n"/>
      <c r="D6" s="64" t="n"/>
      <c r="E6" s="64" t="n"/>
      <c r="F6" s="64" t="n"/>
      <c r="G6" s="64" t="n"/>
      <c r="H6" s="64" t="n"/>
      <c r="I6" s="64" t="n"/>
      <c r="J6" s="64" t="n"/>
      <c r="K6" s="64" t="n"/>
      <c r="L6" s="64" t="n"/>
      <c r="M6" s="64" t="n"/>
      <c r="N6" s="64" t="n"/>
      <c r="O6" s="64" t="n"/>
      <c r="P6" s="64" t="n"/>
      <c r="Q6" s="64" t="n"/>
      <c r="R6" s="64" t="n"/>
      <c r="S6" s="239" t="n"/>
      <c r="T6" s="64" t="n"/>
      <c r="U6" s="64" t="n"/>
      <c r="V6" s="64" t="n"/>
      <c r="W6" s="218" t="n"/>
      <c r="X6" s="218" t="n"/>
      <c r="Y6" s="218" t="n"/>
      <c r="Z6" s="64" t="n"/>
      <c r="AA6" s="64" t="n"/>
      <c r="AB6" s="64" t="n"/>
      <c r="AC6" s="64" t="n"/>
      <c r="AD6" s="64" t="n"/>
      <c r="AE6" s="64" t="n"/>
      <c r="AF6" s="64" t="n"/>
      <c r="AG6" s="64" t="n"/>
      <c r="AH6" s="64" t="n"/>
      <c r="AI6" s="64" t="n"/>
      <c r="AJ6" s="64" t="n"/>
      <c r="AK6" s="64" t="n"/>
      <c r="AL6" s="64" t="n"/>
      <c r="AM6" s="64" t="n"/>
      <c r="AN6" s="64" t="n"/>
      <c r="AO6" s="64" t="n"/>
      <c r="AP6" s="64" t="n"/>
      <c r="AQ6" s="64" t="n"/>
      <c r="AR6" s="103" t="n"/>
      <c r="AS6" s="103" t="n"/>
      <c r="AT6" s="103" t="n"/>
      <c r="AU6" s="64" t="n"/>
      <c r="AV6" s="64" t="n"/>
      <c r="AW6" s="64" t="n"/>
      <c r="AX6" s="64" t="n"/>
      <c r="AY6" s="103" t="n"/>
    </row>
    <row r="7" hidden="1" ht="18.75" customHeight="1">
      <c r="A7" s="64" t="n"/>
      <c r="B7" s="64" t="n"/>
      <c r="C7" s="398" t="inlineStr">
        <is>
          <t>c~e©m~Ît gyAvKv(mvZ)/Gj,wm,Avi,Gg-107/(wmwm-wPsox)/2018-19/2249, ZvwiL 12/02/2019 Bs</t>
        </is>
      </c>
      <c r="D7" s="2615" t="n"/>
      <c r="E7" s="2615" t="n"/>
      <c r="F7" s="2615" t="n"/>
      <c r="G7" s="2615" t="n"/>
      <c r="H7" s="2615" t="n"/>
      <c r="I7" s="2615" t="n"/>
      <c r="J7" s="2615" t="n"/>
      <c r="K7" s="2615" t="n"/>
      <c r="L7" s="2615" t="n"/>
      <c r="M7" s="2615" t="n"/>
      <c r="N7" s="2615" t="n"/>
      <c r="O7" s="2615" t="n"/>
      <c r="P7" s="2615" t="n"/>
      <c r="Q7" s="2615" t="n"/>
      <c r="R7" s="2615" t="n"/>
      <c r="S7" s="2615" t="n"/>
      <c r="T7" s="2615" t="n"/>
      <c r="U7" s="2615" t="n"/>
      <c r="V7" s="2615" t="n"/>
      <c r="W7" s="2615" t="n"/>
      <c r="X7" s="2615" t="n"/>
      <c r="Y7" s="2616" t="n"/>
      <c r="Z7" s="64" t="n"/>
      <c r="AA7" s="64" t="n"/>
      <c r="AB7" s="64" t="n"/>
      <c r="AC7" s="64" t="n"/>
      <c r="AD7" s="64" t="n"/>
      <c r="AE7" s="64" t="n"/>
      <c r="AF7" s="64" t="n"/>
      <c r="AG7" s="64" t="n"/>
      <c r="AH7" s="64" t="n"/>
      <c r="AI7" s="64" t="n"/>
      <c r="AJ7" s="64" t="n"/>
      <c r="AK7" s="64" t="n"/>
      <c r="AL7" s="64" t="n"/>
      <c r="AM7" s="64" t="n"/>
      <c r="AN7" s="64" t="n"/>
      <c r="AO7" s="64" t="n"/>
      <c r="AP7" s="64" t="n"/>
      <c r="AQ7" s="64" t="n"/>
      <c r="AR7" s="103" t="n"/>
      <c r="AS7" s="103" t="n"/>
      <c r="AT7" s="103" t="n"/>
      <c r="AU7" s="64" t="n"/>
      <c r="AV7" s="64" t="n"/>
      <c r="AW7" s="64" t="n"/>
      <c r="AX7" s="64" t="n"/>
      <c r="AY7" s="103" t="n"/>
    </row>
    <row r="8" ht="18" customHeight="1">
      <c r="A8" s="64" t="n"/>
      <c r="B8" s="1964" t="n"/>
      <c r="C8" s="1964">
        <f>+'Data Input'!B8</f>
        <v/>
      </c>
      <c r="D8" s="1964" t="inlineStr">
        <is>
          <t>t</t>
        </is>
      </c>
      <c r="E8" s="1964">
        <f>+'Data Input'!D8</f>
        <v/>
      </c>
      <c r="Z8" s="64" t="n"/>
      <c r="AA8" s="96" t="n"/>
      <c r="AB8" s="96" t="n"/>
      <c r="AC8" s="96" t="n"/>
      <c r="AD8" s="96" t="n"/>
      <c r="AE8" s="96" t="n"/>
      <c r="AF8" s="96" t="n"/>
      <c r="AG8" s="96" t="n"/>
      <c r="AH8" s="96" t="n"/>
      <c r="AI8" s="96" t="n"/>
      <c r="AJ8" s="96" t="n"/>
      <c r="AK8" s="96" t="n"/>
      <c r="AL8" s="96" t="n"/>
      <c r="AM8" s="96" t="n"/>
      <c r="AN8" s="96" t="n"/>
      <c r="AO8" s="96" t="n"/>
      <c r="AP8" s="64" t="n"/>
      <c r="AQ8" s="64" t="n"/>
      <c r="AR8" s="103" t="n"/>
      <c r="AS8" s="103" t="n"/>
      <c r="AT8" s="103" t="n"/>
      <c r="AU8" s="64" t="n"/>
      <c r="AV8" s="64" t="n"/>
      <c r="AW8" s="64" t="n"/>
      <c r="AX8" s="64" t="n"/>
      <c r="AY8" s="103" t="n"/>
    </row>
    <row r="9" ht="18" customHeight="1">
      <c r="A9" s="64" t="n"/>
      <c r="B9" s="64" t="n"/>
      <c r="C9" s="1964">
        <f>+'Data Input'!B12</f>
        <v/>
      </c>
      <c r="D9" s="1964" t="inlineStr">
        <is>
          <t>t</t>
        </is>
      </c>
      <c r="E9" s="1964">
        <f>+'Data Input'!D12</f>
        <v/>
      </c>
      <c r="Z9" s="64" t="n"/>
      <c r="AA9" s="96" t="n"/>
      <c r="AB9" s="96" t="n"/>
      <c r="AC9" s="96" t="n"/>
      <c r="AD9" s="96" t="n"/>
      <c r="AE9" s="96" t="n"/>
      <c r="AF9" s="96" t="n"/>
      <c r="AG9" s="96" t="n"/>
      <c r="AH9" s="96" t="n"/>
      <c r="AI9" s="96" t="n"/>
      <c r="AJ9" s="96" t="n"/>
      <c r="AK9" s="96" t="n"/>
      <c r="AL9" s="96" t="n"/>
      <c r="AM9" s="96" t="n"/>
      <c r="AN9" s="96" t="n"/>
      <c r="AO9" s="96" t="n"/>
      <c r="AP9" s="64" t="n"/>
      <c r="AQ9" s="64" t="n"/>
      <c r="AR9" s="103" t="n"/>
      <c r="AS9" s="103" t="n"/>
      <c r="AT9" s="103" t="n"/>
      <c r="AU9" s="64" t="n"/>
      <c r="AV9" s="64" t="n"/>
      <c r="AW9" s="64" t="n"/>
      <c r="AX9" s="64" t="n"/>
      <c r="AY9" s="103" t="n"/>
    </row>
    <row r="10" ht="18" customHeight="1">
      <c r="A10" s="64" t="n"/>
      <c r="B10" s="64" t="n"/>
      <c r="C10" s="1964">
        <f>+'Data Input'!B13</f>
        <v/>
      </c>
      <c r="D10" s="1964" t="inlineStr">
        <is>
          <t>t</t>
        </is>
      </c>
      <c r="E10" s="1964">
        <f>+'Data Input'!D13</f>
        <v/>
      </c>
      <c r="Z10" s="64" t="n"/>
      <c r="AA10" s="96" t="n"/>
      <c r="AB10" s="96" t="n"/>
      <c r="AC10" s="96" t="n"/>
      <c r="AD10" s="96" t="n"/>
      <c r="AE10" s="96" t="n"/>
      <c r="AF10" s="96" t="n"/>
      <c r="AG10" s="96" t="n"/>
      <c r="AH10" s="96" t="n"/>
      <c r="AI10" s="96" t="n"/>
      <c r="AJ10" s="96" t="n"/>
      <c r="AK10" s="96" t="n"/>
      <c r="AL10" s="96" t="n"/>
      <c r="AM10" s="96" t="n"/>
      <c r="AN10" s="96" t="n"/>
      <c r="AO10" s="96" t="n"/>
      <c r="AP10" s="64" t="n"/>
      <c r="AQ10" s="64" t="n"/>
      <c r="AR10" s="103" t="n"/>
      <c r="AS10" s="103" t="n"/>
      <c r="AT10" s="103" t="n"/>
      <c r="AU10" s="64" t="n"/>
      <c r="AV10" s="64" t="n"/>
      <c r="AW10" s="64" t="n"/>
      <c r="AX10" s="64" t="n"/>
      <c r="AY10" s="103" t="n"/>
    </row>
    <row r="11" ht="18" customHeight="1">
      <c r="A11" s="64" t="n"/>
      <c r="B11" s="64" t="n"/>
      <c r="C11" s="1964" t="inlineStr">
        <is>
          <t>wVKvbv</t>
        </is>
      </c>
      <c r="D11" s="1964" t="inlineStr">
        <is>
          <t>t</t>
        </is>
      </c>
      <c r="E11" s="199">
        <f>+'Data Input'!D17&amp;", Dc‡Rjvt "&amp;'Data Input'!D22&amp;", ‡Rjvt "&amp;'Data Input'!D23</f>
        <v/>
      </c>
      <c r="Z11" s="64" t="n"/>
      <c r="AA11" s="96" t="n"/>
      <c r="AB11" s="96" t="n"/>
      <c r="AC11" s="96" t="n"/>
      <c r="AD11" s="96" t="n"/>
      <c r="AE11" s="96" t="n"/>
      <c r="AF11" s="96" t="n"/>
      <c r="AG11" s="96" t="n"/>
      <c r="AH11" s="96" t="n"/>
      <c r="AI11" s="96" t="n"/>
      <c r="AJ11" s="96" t="n"/>
      <c r="AK11" s="96" t="n"/>
      <c r="AL11" s="96" t="n"/>
      <c r="AM11" s="96" t="n"/>
      <c r="AN11" s="96" t="n"/>
      <c r="AO11" s="96" t="n"/>
      <c r="AP11" s="64" t="n"/>
      <c r="AQ11" s="64" t="n"/>
      <c r="AR11" s="103" t="n"/>
      <c r="AS11" s="103" t="n"/>
      <c r="AT11" s="103" t="n"/>
      <c r="AU11" s="64" t="n"/>
      <c r="AV11" s="64" t="n"/>
      <c r="AW11" s="64" t="n"/>
      <c r="AX11" s="64" t="n"/>
      <c r="AY11" s="103" t="n"/>
    </row>
    <row r="12" ht="18" customHeight="1">
      <c r="A12" s="64" t="n"/>
      <c r="B12" s="1964" t="n"/>
      <c r="C12" s="1964" t="inlineStr">
        <is>
          <t>‡gvevBj bs</t>
        </is>
      </c>
      <c r="D12" s="1964" t="inlineStr">
        <is>
          <t>t</t>
        </is>
      </c>
      <c r="E12" s="1964">
        <f>+'Data Input'!D16</f>
        <v/>
      </c>
      <c r="F12" s="64" t="n"/>
      <c r="G12" s="64" t="n"/>
      <c r="H12" s="64" t="n"/>
      <c r="I12" s="64" t="n"/>
      <c r="J12" s="64" t="n"/>
      <c r="K12" s="64" t="n"/>
      <c r="L12" s="64" t="n"/>
      <c r="M12" s="64" t="n"/>
      <c r="N12" s="64" t="n"/>
      <c r="O12" s="64" t="n"/>
      <c r="P12" s="64" t="n"/>
      <c r="Q12" s="64" t="n"/>
      <c r="R12" s="64" t="n"/>
      <c r="S12" s="64" t="n"/>
      <c r="T12" s="64" t="n"/>
      <c r="U12" s="64" t="n"/>
      <c r="V12" s="64" t="n"/>
      <c r="W12" s="218" t="n"/>
      <c r="X12" s="218" t="n"/>
      <c r="Y12" s="218" t="n"/>
      <c r="Z12" s="64" t="n"/>
      <c r="AA12" s="96" t="n"/>
      <c r="AB12" s="96" t="n"/>
      <c r="AC12" s="96" t="n"/>
      <c r="AD12" s="96" t="n"/>
      <c r="AE12" s="96" t="n"/>
      <c r="AF12" s="96" t="n"/>
      <c r="AG12" s="96" t="n"/>
      <c r="AH12" s="96" t="n"/>
      <c r="AI12" s="96" t="n"/>
      <c r="AJ12" s="96" t="n"/>
      <c r="AK12" s="96" t="n"/>
      <c r="AL12" s="96" t="n"/>
      <c r="AM12" s="96" t="n"/>
      <c r="AN12" s="96" t="n"/>
      <c r="AO12" s="96" t="n"/>
      <c r="AP12" s="64" t="n"/>
      <c r="AQ12" s="64" t="n"/>
      <c r="AR12" s="103" t="n"/>
      <c r="AS12" s="103" t="n"/>
      <c r="AT12" s="103" t="n"/>
      <c r="AU12" s="64" t="n"/>
      <c r="AV12" s="64" t="n"/>
      <c r="AW12" s="64" t="n"/>
      <c r="AX12" s="64" t="n"/>
      <c r="AY12" s="103" t="n"/>
    </row>
    <row r="13" ht="15" customHeight="1">
      <c r="A13" s="64" t="n"/>
      <c r="B13" s="99" t="n"/>
      <c r="C13" s="1964" t="n"/>
      <c r="D13" s="1964" t="n"/>
      <c r="E13" s="1964" t="n"/>
      <c r="F13" s="64" t="n"/>
      <c r="G13" s="64" t="n"/>
      <c r="H13" s="64" t="n"/>
      <c r="I13" s="64" t="n"/>
      <c r="J13" s="64" t="n"/>
      <c r="K13" s="64" t="n"/>
      <c r="L13" s="64" t="n"/>
      <c r="M13" s="64" t="n"/>
      <c r="N13" s="64" t="n"/>
      <c r="O13" s="64" t="n"/>
      <c r="P13" s="64" t="n"/>
      <c r="Q13" s="64" t="n"/>
      <c r="R13" s="64" t="n"/>
      <c r="S13" s="64" t="n"/>
      <c r="T13" s="64" t="n"/>
      <c r="U13" s="64" t="n"/>
      <c r="V13" s="64" t="n"/>
      <c r="W13" s="218" t="n"/>
      <c r="X13" s="218" t="n"/>
      <c r="Y13" s="218" t="n"/>
      <c r="Z13" s="64" t="n"/>
      <c r="AA13" s="64" t="n"/>
      <c r="AB13" s="64" t="n"/>
      <c r="AC13" s="64" t="n"/>
      <c r="AD13" s="64" t="n"/>
      <c r="AE13" s="64" t="n"/>
      <c r="AF13" s="64" t="n"/>
      <c r="AG13" s="64" t="n"/>
      <c r="AH13" s="64" t="n"/>
      <c r="AI13" s="64" t="n"/>
      <c r="AJ13" s="64" t="n"/>
      <c r="AK13" s="64" t="n"/>
      <c r="AL13" s="64" t="n"/>
      <c r="AM13" s="64" t="n"/>
      <c r="AN13" s="64" t="n"/>
      <c r="AO13" s="64" t="n"/>
      <c r="AP13" s="64" t="n"/>
      <c r="AQ13" s="64" t="n"/>
      <c r="AR13" s="103" t="n"/>
      <c r="AS13" s="103" t="n"/>
      <c r="AT13" s="103" t="n"/>
      <c r="AU13" s="64" t="n"/>
      <c r="AV13" s="64" t="n"/>
      <c r="AW13" s="64" t="n"/>
      <c r="AX13" s="64" t="n"/>
      <c r="AY13" s="103" t="n"/>
    </row>
    <row r="14" ht="22.5" customFormat="1" customHeight="1" s="18">
      <c r="A14" s="103" t="n"/>
      <c r="B14" s="103" t="n"/>
      <c r="C14" s="2583">
        <f>+'Data Input'!B49</f>
        <v/>
      </c>
      <c r="Z14" s="103" t="n"/>
      <c r="AA14" s="103" t="n"/>
      <c r="AB14" s="103" t="n"/>
      <c r="AC14" s="103" t="n"/>
      <c r="AD14" s="103" t="n"/>
      <c r="AE14" s="103" t="n"/>
      <c r="AF14" s="103" t="n"/>
      <c r="AG14" s="103" t="n"/>
      <c r="AH14" s="103" t="n"/>
      <c r="AI14" s="103" t="n"/>
      <c r="AJ14" s="103" t="n"/>
      <c r="AK14" s="103" t="n"/>
      <c r="AL14" s="103" t="n"/>
      <c r="AM14" s="103" t="n"/>
      <c r="AN14" s="103" t="n"/>
      <c r="AO14" s="103" t="n"/>
      <c r="AP14" s="103" t="n"/>
      <c r="AQ14" s="103" t="n"/>
      <c r="AR14" s="103" t="n"/>
      <c r="AS14" s="103" t="n"/>
      <c r="AT14" s="103" t="n"/>
      <c r="AU14" s="103" t="n"/>
      <c r="AV14" s="103" t="n"/>
      <c r="AW14" s="103" t="n"/>
      <c r="AX14" s="103" t="n"/>
      <c r="AY14" s="103" t="n"/>
    </row>
    <row r="15" ht="148.5" customHeight="1">
      <c r="A15" s="64" t="n"/>
      <c r="B15" s="197" t="n"/>
      <c r="Z15" s="64" t="n"/>
      <c r="AA15" s="64" t="n"/>
      <c r="AB15" s="64" t="n"/>
      <c r="AC15" s="64" t="n"/>
      <c r="AD15" s="64" t="n"/>
      <c r="AE15" s="64" t="n"/>
      <c r="AF15" s="64" t="n"/>
      <c r="AG15" s="64" t="n"/>
      <c r="AH15" s="64" t="n"/>
      <c r="AI15" s="64" t="n"/>
      <c r="AJ15" s="64" t="n"/>
      <c r="AK15" s="64" t="n"/>
      <c r="AL15" s="64" t="n"/>
      <c r="AM15" s="64" t="n"/>
      <c r="AN15" s="64" t="n"/>
      <c r="AO15" s="64" t="n"/>
      <c r="AP15" s="64" t="n"/>
      <c r="AQ15" s="64" t="n"/>
      <c r="AR15" s="103" t="n"/>
      <c r="AS15" s="103" t="n"/>
      <c r="AT15" s="103" t="n"/>
      <c r="AU15" s="64" t="n"/>
      <c r="AV15" s="64" t="n"/>
      <c r="AW15" s="64" t="n"/>
      <c r="AX15" s="64" t="n"/>
      <c r="AY15" s="103" t="n"/>
    </row>
    <row r="16" ht="21" customHeight="1">
      <c r="A16" s="64" t="n"/>
      <c r="B16" s="197" t="n"/>
      <c r="C16" s="589" t="n"/>
      <c r="D16" s="589" t="n"/>
      <c r="E16" s="589" t="n"/>
      <c r="F16" s="589" t="n"/>
      <c r="G16" s="589" t="n"/>
      <c r="H16" s="589" t="n"/>
      <c r="I16" s="589" t="n"/>
      <c r="J16" s="589" t="n"/>
      <c r="K16" s="589" t="n"/>
      <c r="L16" s="589" t="n"/>
      <c r="M16" s="589" t="n"/>
      <c r="N16" s="589" t="n"/>
      <c r="O16" s="589" t="n"/>
      <c r="P16" s="589" t="n"/>
      <c r="Q16" s="589" t="n"/>
      <c r="R16" s="589" t="n"/>
      <c r="S16" s="589" t="n"/>
      <c r="T16" s="589" t="n"/>
      <c r="U16" s="589" t="n"/>
      <c r="V16" s="589" t="n"/>
      <c r="W16" s="589" t="n"/>
      <c r="X16" s="589" t="n"/>
      <c r="Y16" s="589" t="n"/>
      <c r="Z16" s="64" t="n"/>
      <c r="AA16" s="64" t="n"/>
      <c r="AB16" s="64" t="n"/>
      <c r="AC16" s="64" t="n"/>
      <c r="AD16" s="64" t="n"/>
      <c r="AE16" s="64" t="n"/>
      <c r="AF16" s="64" t="n"/>
      <c r="AG16" s="64" t="n"/>
      <c r="AH16" s="64" t="n"/>
      <c r="AI16" s="64" t="n"/>
      <c r="AJ16" s="64" t="n"/>
      <c r="AK16" s="64" t="n"/>
      <c r="AL16" s="64" t="n"/>
      <c r="AM16" s="64" t="n"/>
      <c r="AN16" s="64" t="n"/>
      <c r="AO16" s="64" t="n"/>
      <c r="AP16" s="64" t="n"/>
      <c r="AQ16" s="64" t="n"/>
      <c r="AR16" s="103" t="n"/>
      <c r="AS16" s="103" t="n"/>
      <c r="AT16" s="103" t="n"/>
      <c r="AU16" s="64" t="n"/>
      <c r="AV16" s="64" t="n"/>
      <c r="AW16" s="64" t="n"/>
      <c r="AX16" s="64" t="n"/>
      <c r="AY16" s="103" t="n"/>
    </row>
    <row r="17" ht="18" customHeight="1">
      <c r="A17" s="64" t="n"/>
      <c r="B17" s="403" t="n"/>
      <c r="C17" s="589" t="n"/>
      <c r="D17" s="589" t="n"/>
      <c r="E17" s="589" t="n"/>
      <c r="F17" s="589" t="n"/>
      <c r="G17" s="589" t="n"/>
      <c r="H17" s="589" t="n"/>
      <c r="I17" s="589" t="n"/>
      <c r="J17" s="589" t="n"/>
      <c r="K17" s="589" t="n"/>
      <c r="L17" s="589" t="n"/>
      <c r="M17" s="589" t="n"/>
      <c r="N17" s="589" t="n"/>
      <c r="O17" s="589" t="n"/>
      <c r="P17" s="589" t="n"/>
      <c r="Q17" s="589" t="n"/>
      <c r="R17" s="589" t="n"/>
      <c r="S17" s="589" t="n"/>
      <c r="T17" s="589" t="n"/>
      <c r="U17" s="589" t="n"/>
      <c r="V17" s="589" t="n"/>
      <c r="W17" s="589" t="n"/>
      <c r="X17" s="589" t="n"/>
      <c r="Y17" s="589" t="n"/>
      <c r="Z17" s="64" t="n"/>
      <c r="AA17" s="64" t="n"/>
      <c r="AB17" s="64" t="n"/>
      <c r="AC17" s="64" t="n"/>
      <c r="AD17" s="64" t="n"/>
      <c r="AE17" s="64" t="n"/>
      <c r="AF17" s="64" t="n"/>
      <c r="AG17" s="64" t="n"/>
      <c r="AH17" s="64" t="n"/>
      <c r="AI17" s="64" t="n"/>
      <c r="AJ17" s="64" t="n"/>
      <c r="AK17" s="64" t="n"/>
      <c r="AL17" s="64" t="n"/>
      <c r="AM17" s="64" t="n"/>
      <c r="AN17" s="64" t="n"/>
      <c r="AO17" s="64" t="n"/>
      <c r="AP17" s="64" t="n"/>
      <c r="AQ17" s="64" t="n"/>
      <c r="AR17" s="103" t="n"/>
      <c r="AS17" s="103" t="n"/>
      <c r="AT17" s="103" t="n"/>
      <c r="AU17" s="64" t="n"/>
      <c r="AV17" s="64" t="n"/>
      <c r="AW17" s="64" t="n"/>
      <c r="AX17" s="64" t="n"/>
      <c r="AY17" s="103" t="n"/>
    </row>
    <row r="18" ht="20.25" customHeight="1">
      <c r="A18" s="64" t="n"/>
      <c r="B18" s="403" t="n"/>
      <c r="C18" s="64" t="n"/>
      <c r="D18" s="64" t="n"/>
      <c r="E18" s="64" t="n"/>
      <c r="F18" s="64" t="n"/>
      <c r="G18" s="64" t="n"/>
      <c r="H18" s="64" t="n"/>
      <c r="I18" s="64" t="n"/>
      <c r="J18" s="64" t="n"/>
      <c r="K18" s="64" t="n"/>
      <c r="L18" s="64" t="n"/>
      <c r="M18" s="64" t="n"/>
      <c r="N18" s="64" t="n"/>
      <c r="O18" s="64" t="n"/>
      <c r="P18" s="64" t="n"/>
      <c r="Q18" s="64" t="n"/>
      <c r="R18" s="64" t="n"/>
      <c r="S18" s="64" t="n"/>
      <c r="T18" s="64" t="n"/>
      <c r="U18" s="64" t="n"/>
      <c r="V18" s="64" t="n"/>
      <c r="W18" s="600" t="inlineStr">
        <is>
          <t>(mycvwikKvix Kg©KZ©v)</t>
        </is>
      </c>
      <c r="Z18" s="64" t="n"/>
      <c r="AA18" s="64" t="n"/>
      <c r="AB18" s="64" t="n"/>
      <c r="AC18" s="64" t="n"/>
      <c r="AD18" s="64" t="n"/>
      <c r="AE18" s="64" t="n"/>
      <c r="AF18" s="64" t="n"/>
      <c r="AG18" s="64" t="n"/>
      <c r="AH18" s="64" t="n"/>
      <c r="AI18" s="64" t="n"/>
      <c r="AJ18" s="64" t="n"/>
      <c r="AK18" s="64" t="n"/>
      <c r="AL18" s="64" t="n"/>
      <c r="AM18" s="64" t="n"/>
      <c r="AN18" s="64" t="n"/>
      <c r="AO18" s="64" t="n"/>
      <c r="AP18" s="64" t="n"/>
      <c r="AQ18" s="64" t="n"/>
      <c r="AR18" s="103" t="n"/>
      <c r="AS18" s="103" t="n"/>
      <c r="AT18" s="103" t="n"/>
      <c r="AU18" s="64" t="n"/>
      <c r="AV18" s="64" t="n"/>
      <c r="AW18" s="64" t="n"/>
      <c r="AX18" s="64" t="n"/>
      <c r="AY18" s="103" t="n"/>
    </row>
    <row r="19" ht="3.75" customHeight="1">
      <c r="A19" s="64" t="n"/>
      <c r="B19" s="403" t="n"/>
      <c r="C19" s="88" t="n"/>
      <c r="D19" s="64" t="n"/>
      <c r="E19" s="64" t="n"/>
      <c r="F19" s="64" t="n"/>
      <c r="G19" s="64" t="n"/>
      <c r="H19" s="64" t="n"/>
      <c r="I19" s="64" t="n"/>
      <c r="J19" s="64" t="n"/>
      <c r="K19" s="64" t="n"/>
      <c r="L19" s="64" t="n"/>
      <c r="M19" s="64" t="n"/>
      <c r="N19" s="64" t="n"/>
      <c r="O19" s="64" t="n"/>
      <c r="P19" s="64" t="n"/>
      <c r="Q19" s="64" t="n"/>
      <c r="R19" s="64" t="n"/>
      <c r="S19" s="64" t="n"/>
      <c r="T19" s="64" t="n"/>
      <c r="U19" s="64" t="n"/>
      <c r="V19" s="64" t="n"/>
      <c r="W19" s="404" t="n"/>
      <c r="X19" s="404" t="n"/>
      <c r="Y19" s="404" t="n"/>
      <c r="Z19" s="64" t="n"/>
      <c r="AA19" s="64" t="n"/>
      <c r="AB19" s="64" t="n"/>
      <c r="AC19" s="64" t="n"/>
      <c r="AD19" s="64" t="n"/>
      <c r="AE19" s="64" t="n"/>
      <c r="AF19" s="64" t="n"/>
      <c r="AG19" s="64" t="n"/>
      <c r="AH19" s="64" t="n"/>
      <c r="AI19" s="64" t="n"/>
      <c r="AJ19" s="64" t="n"/>
      <c r="AK19" s="64" t="n"/>
      <c r="AL19" s="64" t="n"/>
      <c r="AM19" s="64" t="n"/>
      <c r="AN19" s="64" t="n"/>
      <c r="AO19" s="64" t="n"/>
      <c r="AP19" s="64" t="n"/>
      <c r="AQ19" s="64" t="n"/>
      <c r="AR19" s="103" t="n"/>
      <c r="AS19" s="103" t="n"/>
      <c r="AT19" s="103" t="n"/>
      <c r="AU19" s="64" t="n"/>
      <c r="AV19" s="64" t="n"/>
      <c r="AW19" s="64" t="n"/>
      <c r="AX19" s="64" t="n"/>
      <c r="AY19" s="103" t="n"/>
    </row>
    <row r="20" ht="18" customHeight="1">
      <c r="A20" s="64" t="n"/>
      <c r="B20" s="403" t="n"/>
      <c r="C20" s="88" t="n"/>
      <c r="D20" s="64" t="n"/>
      <c r="E20" s="64" t="n"/>
      <c r="F20" s="64" t="n"/>
      <c r="G20" s="64" t="n"/>
      <c r="H20" s="64" t="n"/>
      <c r="I20" s="64" t="n"/>
      <c r="J20" s="64" t="n"/>
      <c r="K20" s="64" t="n"/>
      <c r="L20" s="64" t="n"/>
      <c r="M20" s="64" t="n"/>
      <c r="N20" s="64" t="n"/>
      <c r="O20" s="64" t="n"/>
      <c r="P20" s="64" t="n"/>
      <c r="Q20" s="64" t="n"/>
      <c r="R20" s="64" t="n"/>
      <c r="S20" s="64" t="n"/>
      <c r="T20" s="64" t="n"/>
      <c r="U20" s="64" t="n"/>
      <c r="V20" s="64" t="n"/>
      <c r="W20" s="404" t="n"/>
      <c r="X20" s="404" t="n"/>
      <c r="Y20" s="404" t="n"/>
      <c r="Z20" s="64" t="n"/>
      <c r="AA20" s="64" t="n"/>
      <c r="AB20" s="64" t="n"/>
      <c r="AC20" s="64" t="n"/>
      <c r="AD20" s="64" t="n"/>
      <c r="AE20" s="64" t="n"/>
      <c r="AF20" s="64" t="n"/>
      <c r="AG20" s="64" t="n"/>
      <c r="AH20" s="64" t="n"/>
      <c r="AI20" s="64" t="n"/>
      <c r="AJ20" s="64" t="n"/>
      <c r="AK20" s="64" t="n"/>
      <c r="AL20" s="64" t="n"/>
      <c r="AM20" s="64" t="n"/>
      <c r="AN20" s="64" t="n"/>
      <c r="AO20" s="64" t="n"/>
      <c r="AP20" s="64" t="n"/>
      <c r="AQ20" s="64" t="n"/>
      <c r="AR20" s="103" t="n"/>
      <c r="AS20" s="103" t="n"/>
      <c r="AT20" s="103" t="n"/>
      <c r="AU20" s="64" t="n"/>
      <c r="AV20" s="64" t="n"/>
      <c r="AW20" s="64" t="n"/>
      <c r="AX20" s="64" t="n"/>
      <c r="AY20" s="103" t="n"/>
    </row>
    <row r="21" ht="12" customHeight="1">
      <c r="A21" s="64" t="n"/>
      <c r="B21" s="403" t="n"/>
      <c r="C21" s="88" t="n"/>
      <c r="D21" s="64" t="n"/>
      <c r="E21" s="64" t="n"/>
      <c r="F21" s="64" t="n"/>
      <c r="G21" s="64" t="n"/>
      <c r="H21" s="64" t="n"/>
      <c r="I21" s="64" t="n"/>
      <c r="J21" s="64" t="n"/>
      <c r="K21" s="64" t="n"/>
      <c r="L21" s="64" t="n"/>
      <c r="M21" s="64" t="n"/>
      <c r="N21" s="64" t="n"/>
      <c r="O21" s="64" t="n"/>
      <c r="P21" s="64" t="n"/>
      <c r="Q21" s="64" t="n"/>
      <c r="R21" s="64" t="n"/>
      <c r="S21" s="64" t="n"/>
      <c r="T21" s="64" t="n"/>
      <c r="U21" s="64" t="n"/>
      <c r="V21" s="64" t="n"/>
      <c r="W21" s="404" t="n"/>
      <c r="X21" s="404" t="n"/>
      <c r="Y21" s="404" t="n"/>
      <c r="Z21" s="64" t="n"/>
      <c r="AA21" s="64" t="n"/>
      <c r="AB21" s="64" t="n"/>
      <c r="AC21" s="64" t="n"/>
      <c r="AD21" s="64" t="n"/>
      <c r="AE21" s="64" t="n"/>
      <c r="AF21" s="64" t="n"/>
      <c r="AG21" s="64" t="n"/>
      <c r="AH21" s="64" t="n"/>
      <c r="AI21" s="64" t="n"/>
      <c r="AJ21" s="64" t="n"/>
      <c r="AK21" s="64" t="n"/>
      <c r="AL21" s="64" t="n"/>
      <c r="AM21" s="64" t="n"/>
      <c r="AN21" s="64" t="n"/>
      <c r="AO21" s="64" t="n"/>
      <c r="AP21" s="64" t="n"/>
      <c r="AQ21" s="64" t="n"/>
      <c r="AR21" s="103" t="n"/>
      <c r="AS21" s="103" t="n"/>
      <c r="AT21" s="103" t="n"/>
      <c r="AU21" s="64" t="n"/>
      <c r="AV21" s="64" t="n"/>
      <c r="AW21" s="64" t="n"/>
      <c r="AX21" s="64" t="n"/>
      <c r="AY21" s="103" t="n"/>
    </row>
    <row r="22" ht="18" customFormat="1" customHeight="1" s="18">
      <c r="A22" s="103" t="n"/>
      <c r="B22" s="103" t="n"/>
      <c r="C22" s="2583">
        <f>+'Data Input'!B64&amp;" gÄyixcÎ Bm¨y K‡i `wjjvqb m¤úv`b Kiv nDK Ges FY wnmve †Lv‡j †PK eB cÖ`vb Kiv nDK|"</f>
        <v/>
      </c>
      <c r="Z22" s="103" t="n"/>
      <c r="AA22" s="103" t="n"/>
      <c r="AB22" s="103" t="n"/>
      <c r="AC22" s="103" t="n"/>
      <c r="AD22" s="103" t="n"/>
      <c r="AE22" s="103" t="n"/>
      <c r="AF22" s="103" t="n"/>
      <c r="AG22" s="103" t="n"/>
      <c r="AH22" s="103" t="n"/>
      <c r="AI22" s="103" t="n"/>
      <c r="AJ22" s="103" t="n"/>
      <c r="AK22" s="103" t="n"/>
      <c r="AL22" s="103" t="n"/>
      <c r="AM22" s="103" t="n"/>
      <c r="AN22" s="103" t="n"/>
      <c r="AO22" s="103" t="n"/>
      <c r="AP22" s="103" t="n"/>
      <c r="AQ22" s="103" t="n"/>
      <c r="AR22" s="103" t="n"/>
      <c r="AS22" s="103" t="n"/>
      <c r="AT22" s="103" t="n"/>
      <c r="AU22" s="103" t="n"/>
      <c r="AV22" s="103" t="n"/>
      <c r="AW22" s="103" t="n"/>
      <c r="AX22" s="103" t="n"/>
      <c r="AY22" s="103" t="n"/>
    </row>
    <row r="23" ht="18" customHeight="1">
      <c r="A23" s="64" t="n"/>
      <c r="B23" s="22" t="n"/>
      <c r="Z23" s="64" t="n"/>
      <c r="AA23" s="64" t="n"/>
      <c r="AB23" s="64" t="n"/>
      <c r="AC23" s="64" t="n"/>
      <c r="AD23" s="64" t="n"/>
      <c r="AE23" s="64" t="n"/>
      <c r="AF23" s="64" t="n"/>
      <c r="AG23" s="64" t="n"/>
      <c r="AH23" s="64" t="n"/>
      <c r="AI23" s="64" t="n"/>
      <c r="AJ23" s="64" t="n"/>
      <c r="AK23" s="64" t="n"/>
      <c r="AL23" s="64" t="n"/>
      <c r="AM23" s="64" t="n"/>
      <c r="AN23" s="64" t="n"/>
      <c r="AO23" s="64" t="n"/>
      <c r="AP23" s="64" t="n"/>
      <c r="AQ23" s="64" t="n"/>
      <c r="AR23" s="103" t="n"/>
      <c r="AS23" s="103" t="n"/>
      <c r="AT23" s="103" t="n"/>
      <c r="AU23" s="64" t="n"/>
      <c r="AV23" s="64" t="n"/>
      <c r="AW23" s="64" t="n"/>
      <c r="AX23" s="64" t="n"/>
      <c r="AY23" s="103" t="n"/>
    </row>
    <row r="24" ht="27.75" customFormat="1" customHeight="1" s="18">
      <c r="A24" s="103" t="n"/>
      <c r="B24" s="103" t="n"/>
      <c r="Z24" s="103" t="n"/>
      <c r="AA24" s="103" t="n"/>
      <c r="AB24" s="103" t="n"/>
      <c r="AC24" s="103" t="n"/>
      <c r="AD24" s="103" t="n"/>
      <c r="AE24" s="103" t="n"/>
      <c r="AF24" s="103" t="n"/>
      <c r="AG24" s="103" t="n"/>
      <c r="AH24" s="103" t="n"/>
      <c r="AI24" s="103" t="n"/>
      <c r="AJ24" s="103" t="n"/>
      <c r="AK24" s="103" t="n"/>
      <c r="AL24" s="103" t="n"/>
      <c r="AM24" s="103" t="n"/>
      <c r="AN24" s="103" t="n"/>
      <c r="AO24" s="103" t="n"/>
      <c r="AP24" s="103" t="n"/>
      <c r="AQ24" s="103" t="n"/>
      <c r="AR24" s="103" t="n"/>
      <c r="AS24" s="103" t="n"/>
      <c r="AT24" s="103" t="n"/>
      <c r="AU24" s="103" t="n"/>
      <c r="AV24" s="103" t="n"/>
      <c r="AW24" s="103" t="n"/>
      <c r="AX24" s="103" t="n"/>
      <c r="AY24" s="103" t="n"/>
    </row>
    <row r="25" ht="45" customFormat="1" customHeight="1" s="18">
      <c r="A25" s="103" t="n"/>
      <c r="B25" s="103" t="n"/>
      <c r="C25" s="589" t="n"/>
      <c r="D25" s="589" t="n"/>
      <c r="E25" s="589" t="n"/>
      <c r="F25" s="589" t="n"/>
      <c r="G25" s="589" t="n"/>
      <c r="H25" s="589" t="n"/>
      <c r="I25" s="589" t="n"/>
      <c r="J25" s="589" t="n"/>
      <c r="K25" s="589" t="n"/>
      <c r="L25" s="589" t="n"/>
      <c r="M25" s="589" t="n"/>
      <c r="N25" s="589" t="n"/>
      <c r="O25" s="589" t="n"/>
      <c r="P25" s="589" t="n"/>
      <c r="Q25" s="589" t="n"/>
      <c r="R25" s="589" t="n"/>
      <c r="S25" s="589" t="n"/>
      <c r="T25" s="589" t="n"/>
      <c r="U25" s="589" t="n"/>
      <c r="V25" s="589" t="n"/>
      <c r="W25" s="589" t="n"/>
      <c r="X25" s="589" t="n"/>
      <c r="Y25" s="589" t="n"/>
      <c r="Z25" s="103" t="n"/>
      <c r="AA25" s="103" t="n"/>
      <c r="AB25" s="103" t="n"/>
      <c r="AC25" s="103" t="n"/>
      <c r="AD25" s="103" t="n"/>
      <c r="AE25" s="103" t="n"/>
      <c r="AF25" s="103" t="n"/>
      <c r="AG25" s="103" t="n"/>
      <c r="AH25" s="103" t="n"/>
      <c r="AI25" s="103" t="n"/>
      <c r="AJ25" s="103" t="n"/>
      <c r="AK25" s="103" t="n"/>
      <c r="AL25" s="103" t="n"/>
      <c r="AM25" s="103" t="n"/>
      <c r="AN25" s="103" t="n"/>
      <c r="AO25" s="103" t="n"/>
      <c r="AP25" s="103" t="n"/>
      <c r="AQ25" s="103" t="n"/>
      <c r="AR25" s="103" t="n"/>
      <c r="AS25" s="103" t="n"/>
      <c r="AT25" s="103" t="n"/>
      <c r="AU25" s="103" t="n"/>
      <c r="AV25" s="103" t="n"/>
      <c r="AW25" s="103" t="n"/>
      <c r="AX25" s="103" t="n"/>
      <c r="AY25" s="103" t="n"/>
    </row>
    <row r="26" ht="20.25" customHeight="1">
      <c r="A26" s="64" t="n"/>
      <c r="B26" s="403" t="n"/>
      <c r="C26" s="64" t="n"/>
      <c r="D26" s="64" t="n"/>
      <c r="E26" s="64" t="n"/>
      <c r="F26" s="64" t="n"/>
      <c r="G26" s="64" t="n"/>
      <c r="H26" s="64" t="n"/>
      <c r="I26" s="64" t="n"/>
      <c r="J26" s="64" t="n"/>
      <c r="K26" s="64" t="n"/>
      <c r="L26" s="64" t="n"/>
      <c r="M26" s="64" t="n"/>
      <c r="N26" s="64" t="n"/>
      <c r="O26" s="64" t="n"/>
      <c r="P26" s="64" t="n"/>
      <c r="Q26" s="64" t="n"/>
      <c r="R26" s="64" t="n"/>
      <c r="S26" s="64" t="n"/>
      <c r="T26" s="64" t="n"/>
      <c r="U26" s="64" t="n"/>
      <c r="V26" s="64" t="n"/>
      <c r="W26" s="614" t="inlineStr">
        <is>
          <t>(e¨e¯’vc‡Ki mxj I ¯^vÿi)</t>
        </is>
      </c>
      <c r="Z26" s="64" t="n"/>
      <c r="AA26" s="64" t="n"/>
      <c r="AB26" s="64" t="n"/>
      <c r="AC26" s="64" t="n"/>
      <c r="AD26" s="64" t="n"/>
      <c r="AE26" s="64" t="n"/>
      <c r="AF26" s="64" t="n"/>
      <c r="AG26" s="64" t="n"/>
      <c r="AH26" s="64" t="n"/>
      <c r="AI26" s="64" t="n"/>
      <c r="AJ26" s="64" t="n"/>
      <c r="AK26" s="64" t="n"/>
      <c r="AL26" s="64" t="n"/>
      <c r="AM26" s="64" t="n"/>
      <c r="AN26" s="64" t="n"/>
      <c r="AO26" s="64" t="n"/>
      <c r="AP26" s="64" t="n"/>
      <c r="AQ26" s="64" t="n"/>
      <c r="AR26" s="103" t="n"/>
      <c r="AS26" s="103" t="n"/>
      <c r="AT26" s="103" t="n"/>
      <c r="AU26" s="64" t="n"/>
      <c r="AV26" s="64" t="n"/>
      <c r="AW26" s="64" t="n"/>
      <c r="AX26" s="64" t="n"/>
      <c r="AY26" s="103" t="n"/>
    </row>
    <row r="27" ht="20.25" customHeight="1">
      <c r="A27" s="64" t="n"/>
      <c r="B27" s="403" t="n"/>
      <c r="C27" s="64" t="n"/>
      <c r="D27" s="64" t="n"/>
      <c r="E27" s="64" t="n"/>
      <c r="F27" s="64" t="n"/>
      <c r="G27" s="64" t="n"/>
      <c r="H27" s="64" t="n"/>
      <c r="I27" s="64" t="n"/>
      <c r="J27" s="64" t="n"/>
      <c r="K27" s="64" t="n"/>
      <c r="L27" s="64" t="n"/>
      <c r="M27" s="64" t="n"/>
      <c r="N27" s="64" t="n"/>
      <c r="O27" s="64" t="n"/>
      <c r="P27" s="64" t="n"/>
      <c r="Q27" s="64" t="n"/>
      <c r="R27" s="64" t="n"/>
      <c r="S27" s="64" t="n"/>
      <c r="T27" s="64" t="n"/>
      <c r="U27" s="64" t="n"/>
      <c r="V27" s="64" t="n"/>
      <c r="W27" s="614" t="n"/>
      <c r="X27" s="614" t="n"/>
      <c r="Y27" s="614" t="n"/>
      <c r="Z27" s="64" t="n"/>
      <c r="AA27" s="64" t="n"/>
      <c r="AB27" s="64" t="n"/>
      <c r="AC27" s="64" t="n"/>
      <c r="AD27" s="64" t="n"/>
      <c r="AE27" s="64" t="n"/>
      <c r="AF27" s="64" t="n"/>
      <c r="AG27" s="64" t="n"/>
      <c r="AH27" s="64" t="n"/>
      <c r="AI27" s="64" t="n"/>
      <c r="AJ27" s="64" t="n"/>
      <c r="AK27" s="64" t="n"/>
      <c r="AL27" s="64" t="n"/>
      <c r="AM27" s="64" t="n"/>
      <c r="AN27" s="64" t="n"/>
      <c r="AO27" s="64" t="n"/>
      <c r="AP27" s="64" t="n"/>
      <c r="AQ27" s="64" t="n"/>
      <c r="AR27" s="103" t="n"/>
      <c r="AS27" s="103" t="n"/>
      <c r="AT27" s="103" t="n"/>
      <c r="AU27" s="64" t="n"/>
      <c r="AV27" s="64" t="n"/>
      <c r="AW27" s="64" t="n"/>
      <c r="AX27" s="64" t="n"/>
      <c r="AY27" s="103" t="n"/>
    </row>
    <row r="28" ht="13.5" customFormat="1" customHeight="1" s="18">
      <c r="A28" s="103" t="n"/>
      <c r="B28" s="103" t="n"/>
      <c r="C28" s="2583" t="inlineStr">
        <is>
          <t xml:space="preserve">gÄyixcÎ Bm¨y Kiv n‡q‡Q| FY MÖnxZv gÄyixc‡Îi kZ© †g‡b wb¤œwjwLZ `wjjvqb m¤úv`b K‡i‡Qb| </t>
        </is>
      </c>
      <c r="Z28" s="103" t="n"/>
      <c r="AA28" s="103" t="n"/>
      <c r="AB28" s="103" t="n"/>
      <c r="AC28" s="103" t="n"/>
      <c r="AD28" s="103" t="n"/>
      <c r="AE28" s="103" t="n"/>
      <c r="AF28" s="103" t="n"/>
      <c r="AG28" s="103" t="n"/>
      <c r="AH28" s="103" t="n"/>
      <c r="AI28" s="103" t="n"/>
      <c r="AJ28" s="103" t="n"/>
      <c r="AK28" s="103" t="n"/>
      <c r="AL28" s="103" t="n"/>
      <c r="AM28" s="103" t="n"/>
      <c r="AN28" s="103" t="n"/>
      <c r="AO28" s="103" t="n"/>
      <c r="AP28" s="103" t="n"/>
      <c r="AQ28" s="103" t="n"/>
      <c r="AR28" s="103" t="n"/>
      <c r="AS28" s="103" t="n"/>
      <c r="AT28" s="103" t="n"/>
      <c r="AU28" s="103" t="n"/>
      <c r="AV28" s="103" t="n"/>
      <c r="AW28" s="103" t="n"/>
      <c r="AX28" s="103" t="n"/>
      <c r="AY28" s="103" t="n"/>
    </row>
    <row r="29" ht="15.75" customHeight="1">
      <c r="A29" s="64" t="n"/>
      <c r="B29" s="405" t="n"/>
      <c r="Z29" s="64" t="n"/>
      <c r="AA29" s="64" t="n"/>
      <c r="AB29" s="64" t="n"/>
      <c r="AC29" s="64" t="n"/>
      <c r="AD29" s="64" t="n"/>
      <c r="AE29" s="64" t="n"/>
      <c r="AF29" s="64" t="n"/>
      <c r="AG29" s="64" t="n"/>
      <c r="AH29" s="64" t="n"/>
      <c r="AI29" s="64" t="n"/>
      <c r="AJ29" s="64" t="n"/>
      <c r="AK29" s="64" t="n"/>
      <c r="AL29" s="64" t="n"/>
      <c r="AM29" s="64" t="n"/>
      <c r="AN29" s="64" t="n"/>
      <c r="AO29" s="64" t="n"/>
      <c r="AP29" s="64" t="n"/>
      <c r="AQ29" s="64" t="n"/>
      <c r="AR29" s="103" t="n"/>
      <c r="AS29" s="103" t="n"/>
      <c r="AT29" s="103" t="n"/>
      <c r="AU29" s="64" t="n"/>
      <c r="AV29" s="64" t="n"/>
      <c r="AW29" s="64" t="n"/>
      <c r="AX29" s="64" t="n"/>
      <c r="AY29" s="103" t="n"/>
    </row>
    <row r="30" ht="19.5" customHeight="1">
      <c r="A30" s="64" t="n"/>
      <c r="B30" s="405" t="n"/>
      <c r="C30" s="199" t="inlineStr">
        <is>
          <t>K) wWwc †bvU</t>
        </is>
      </c>
      <c r="Y30" s="589" t="n"/>
      <c r="Z30" s="64" t="n"/>
      <c r="AA30" s="64" t="n"/>
      <c r="AB30" s="64" t="n"/>
      <c r="AC30" s="64" t="n"/>
      <c r="AD30" s="64" t="n"/>
      <c r="AE30" s="64" t="n"/>
      <c r="AF30" s="64" t="n"/>
      <c r="AG30" s="64" t="n"/>
      <c r="AH30" s="64" t="n"/>
      <c r="AI30" s="64" t="n"/>
      <c r="AJ30" s="64" t="n"/>
      <c r="AK30" s="64" t="n"/>
      <c r="AL30" s="64" t="n"/>
      <c r="AM30" s="64" t="n"/>
      <c r="AN30" s="64" t="n"/>
      <c r="AO30" s="64" t="n"/>
      <c r="AP30" s="64" t="n"/>
      <c r="AQ30" s="64" t="n"/>
      <c r="AR30" s="103" t="n"/>
      <c r="AS30" s="103" t="n"/>
      <c r="AT30" s="103" t="n"/>
      <c r="AU30" s="64" t="n"/>
      <c r="AV30" s="64" t="n"/>
      <c r="AW30" s="64" t="n"/>
      <c r="AX30" s="64" t="n"/>
      <c r="AY30" s="103" t="n"/>
    </row>
    <row r="31" ht="19.5" customHeight="1">
      <c r="A31" s="64" t="n"/>
      <c r="B31" s="405" t="n"/>
      <c r="C31" s="199" t="inlineStr">
        <is>
          <t>L) A½xKvibvgv</t>
        </is>
      </c>
      <c r="Y31" s="589" t="n"/>
      <c r="Z31" s="64" t="n"/>
      <c r="AA31" s="64" t="n"/>
      <c r="AB31" s="64" t="n"/>
      <c r="AC31" s="64" t="n"/>
      <c r="AD31" s="64" t="n"/>
      <c r="AE31" s="64" t="n"/>
      <c r="AF31" s="64" t="n"/>
      <c r="AG31" s="64" t="n"/>
      <c r="AH31" s="64" t="n"/>
      <c r="AI31" s="64" t="n"/>
      <c r="AJ31" s="64" t="n"/>
      <c r="AK31" s="64" t="n"/>
      <c r="AL31" s="64" t="n"/>
      <c r="AM31" s="64" t="n"/>
      <c r="AN31" s="64" t="n"/>
      <c r="AO31" s="64" t="n"/>
      <c r="AP31" s="64" t="n"/>
      <c r="AQ31" s="64" t="n"/>
      <c r="AR31" s="103" t="n"/>
      <c r="AS31" s="103" t="n"/>
      <c r="AT31" s="103" t="n"/>
      <c r="AU31" s="64" t="n"/>
      <c r="AV31" s="64" t="n"/>
      <c r="AW31" s="64" t="n"/>
      <c r="AX31" s="64" t="n"/>
      <c r="AY31" s="103" t="n"/>
    </row>
    <row r="32" ht="19.5" customHeight="1">
      <c r="A32" s="64" t="n"/>
      <c r="B32" s="405" t="n"/>
      <c r="C32" s="199" t="inlineStr">
        <is>
          <t>M) †jUvi Ae nvB‡dvw_‡Kkb</t>
        </is>
      </c>
      <c r="Y32" s="589" t="n"/>
      <c r="Z32" s="64" t="n"/>
      <c r="AA32" s="64" t="n"/>
      <c r="AB32" s="64" t="n"/>
      <c r="AC32" s="64" t="n"/>
      <c r="AD32" s="64" t="n"/>
      <c r="AE32" s="64" t="n"/>
      <c r="AF32" s="64" t="n"/>
      <c r="AG32" s="64" t="n"/>
      <c r="AH32" s="64" t="n"/>
      <c r="AI32" s="64" t="n"/>
      <c r="AJ32" s="64" t="n"/>
      <c r="AK32" s="64" t="n"/>
      <c r="AL32" s="64" t="n"/>
      <c r="AM32" s="64" t="n"/>
      <c r="AN32" s="64" t="n"/>
      <c r="AO32" s="64" t="n"/>
      <c r="AP32" s="64" t="n"/>
      <c r="AQ32" s="64" t="n"/>
      <c r="AR32" s="103" t="n"/>
      <c r="AS32" s="103" t="n"/>
      <c r="AT32" s="103" t="n"/>
      <c r="AU32" s="64" t="n"/>
      <c r="AV32" s="64" t="n"/>
      <c r="AW32" s="64" t="n"/>
      <c r="AX32" s="64" t="n"/>
      <c r="AY32" s="103" t="n"/>
    </row>
    <row r="33" ht="19.5" customHeight="1">
      <c r="A33" s="64" t="n"/>
      <c r="B33" s="405" t="n"/>
      <c r="C33" s="199" t="inlineStr">
        <is>
          <t>N) †jUvi Ae GK‡mc‡UÝ</t>
        </is>
      </c>
      <c r="Y33" s="589" t="n"/>
      <c r="Z33" s="64" t="n"/>
      <c r="AA33" s="64" t="n"/>
      <c r="AB33" s="64" t="n"/>
      <c r="AC33" s="64" t="n"/>
      <c r="AD33" s="64" t="n"/>
      <c r="AE33" s="64" t="n"/>
      <c r="AF33" s="64" t="n"/>
      <c r="AG33" s="64" t="n"/>
      <c r="AH33" s="64" t="n"/>
      <c r="AI33" s="64" t="n"/>
      <c r="AJ33" s="64" t="n"/>
      <c r="AK33" s="64" t="n"/>
      <c r="AL33" s="64" t="n"/>
      <c r="AM33" s="64" t="n"/>
      <c r="AN33" s="64" t="n"/>
      <c r="AO33" s="64" t="n"/>
      <c r="AP33" s="64" t="n"/>
      <c r="AQ33" s="64" t="n"/>
      <c r="AR33" s="103" t="n"/>
      <c r="AS33" s="103" t="n"/>
      <c r="AT33" s="103" t="n"/>
      <c r="AU33" s="64" t="n"/>
      <c r="AV33" s="64" t="n"/>
      <c r="AW33" s="64" t="n"/>
      <c r="AX33" s="64" t="n"/>
      <c r="AY33" s="103" t="n"/>
    </row>
    <row r="34" ht="19.5" customHeight="1">
      <c r="A34" s="64" t="n"/>
      <c r="B34" s="405" t="n"/>
      <c r="C34" s="199" t="inlineStr">
        <is>
          <t>O) †jUvi Ae Kw›UwbDwU</t>
        </is>
      </c>
      <c r="Y34" s="589" t="n"/>
      <c r="Z34" s="64" t="n"/>
      <c r="AA34" s="64" t="n"/>
      <c r="AB34" s="64" t="n"/>
      <c r="AC34" s="64" t="n"/>
      <c r="AD34" s="64" t="n"/>
      <c r="AE34" s="64" t="n"/>
      <c r="AF34" s="64" t="n"/>
      <c r="AG34" s="64" t="n"/>
      <c r="AH34" s="64" t="n"/>
      <c r="AI34" s="64" t="n"/>
      <c r="AJ34" s="64" t="n"/>
      <c r="AK34" s="64" t="n"/>
      <c r="AL34" s="64" t="n"/>
      <c r="AM34" s="64" t="n"/>
      <c r="AN34" s="64" t="n"/>
      <c r="AO34" s="64" t="n"/>
      <c r="AP34" s="64" t="n"/>
      <c r="AQ34" s="64" t="n"/>
      <c r="AR34" s="103" t="n"/>
      <c r="AS34" s="103" t="n"/>
      <c r="AT34" s="103" t="n"/>
      <c r="AU34" s="64" t="n"/>
      <c r="AV34" s="64" t="n"/>
      <c r="AW34" s="64" t="n"/>
      <c r="AX34" s="64" t="n"/>
      <c r="AY34" s="103" t="n"/>
    </row>
    <row r="35" ht="19.5" customHeight="1">
      <c r="A35" s="64" t="n"/>
      <c r="B35" s="405" t="n"/>
      <c r="C35" s="199" t="inlineStr">
        <is>
          <t>P) wifvB‡ej †jUvi</t>
        </is>
      </c>
      <c r="Y35" s="589" t="n"/>
      <c r="Z35" s="64" t="n"/>
      <c r="AA35" s="64" t="n"/>
      <c r="AB35" s="64" t="n"/>
      <c r="AC35" s="64" t="n"/>
      <c r="AD35" s="64" t="n"/>
      <c r="AE35" s="64" t="n"/>
      <c r="AF35" s="64" t="n"/>
      <c r="AG35" s="64" t="n"/>
      <c r="AH35" s="64" t="n"/>
      <c r="AI35" s="64" t="n"/>
      <c r="AJ35" s="64" t="n"/>
      <c r="AK35" s="64" t="n"/>
      <c r="AL35" s="64" t="n"/>
      <c r="AM35" s="64" t="n"/>
      <c r="AN35" s="64" t="n"/>
      <c r="AO35" s="64" t="n"/>
      <c r="AP35" s="64" t="n"/>
      <c r="AQ35" s="64" t="n"/>
      <c r="AR35" s="103" t="n"/>
      <c r="AS35" s="103" t="n"/>
      <c r="AT35" s="103" t="n"/>
      <c r="AU35" s="64" t="n"/>
      <c r="AV35" s="64" t="n"/>
      <c r="AW35" s="64" t="n"/>
      <c r="AX35" s="64" t="n"/>
      <c r="AY35" s="103" t="n"/>
    </row>
    <row r="36" ht="19.5" customHeight="1">
      <c r="A36" s="64" t="n"/>
      <c r="B36" s="405" t="n"/>
      <c r="C36" s="199" t="inlineStr">
        <is>
          <t>Q) GwMÖ‡g›U di K¨vk †µwWU 60(d)</t>
        </is>
      </c>
      <c r="Y36" s="589" t="n"/>
      <c r="Z36" s="64" t="n"/>
      <c r="AA36" s="64" t="n"/>
      <c r="AB36" s="64" t="n"/>
      <c r="AC36" s="64" t="n"/>
      <c r="AD36" s="64" t="n"/>
      <c r="AE36" s="64" t="n"/>
      <c r="AF36" s="64" t="n"/>
      <c r="AG36" s="64" t="n"/>
      <c r="AH36" s="64" t="n"/>
      <c r="AI36" s="64" t="n"/>
      <c r="AJ36" s="64" t="n"/>
      <c r="AK36" s="64" t="n"/>
      <c r="AL36" s="64" t="n"/>
      <c r="AM36" s="64" t="n"/>
      <c r="AN36" s="64" t="n"/>
      <c r="AO36" s="64" t="n"/>
      <c r="AP36" s="64" t="n"/>
      <c r="AQ36" s="64" t="n"/>
      <c r="AR36" s="103" t="n"/>
      <c r="AS36" s="103" t="n"/>
      <c r="AT36" s="103" t="n"/>
      <c r="AU36" s="64" t="n"/>
      <c r="AV36" s="64" t="n"/>
      <c r="AW36" s="64" t="n"/>
      <c r="AX36" s="64" t="n"/>
      <c r="AY36" s="103" t="n"/>
    </row>
    <row r="37" ht="19.5" customHeight="1">
      <c r="A37" s="64" t="n"/>
      <c r="B37" s="405" t="n"/>
      <c r="C37" s="199" t="inlineStr">
        <is>
          <t>R) GwMÖ‡g›U di K¨vk †µwWU 60(b)</t>
        </is>
      </c>
      <c r="Y37" s="589" t="n"/>
      <c r="Z37" s="64" t="n"/>
      <c r="AA37" s="64" t="n"/>
      <c r="AB37" s="64" t="n"/>
      <c r="AC37" s="64" t="n"/>
      <c r="AD37" s="64" t="n"/>
      <c r="AE37" s="64" t="n"/>
      <c r="AF37" s="64" t="n"/>
      <c r="AG37" s="64" t="n"/>
      <c r="AH37" s="64" t="n"/>
      <c r="AI37" s="64" t="n"/>
      <c r="AJ37" s="64" t="n"/>
      <c r="AK37" s="64" t="n"/>
      <c r="AL37" s="64" t="n"/>
      <c r="AM37" s="64" t="n"/>
      <c r="AN37" s="64" t="n"/>
      <c r="AO37" s="64" t="n"/>
      <c r="AP37" s="64" t="n"/>
      <c r="AQ37" s="64" t="n"/>
      <c r="AR37" s="103" t="n"/>
      <c r="AS37" s="103" t="n"/>
      <c r="AT37" s="103" t="n"/>
      <c r="AU37" s="64" t="n"/>
      <c r="AV37" s="64" t="n"/>
      <c r="AW37" s="64" t="n"/>
      <c r="AX37" s="64" t="n"/>
      <c r="AY37" s="103" t="n"/>
    </row>
    <row r="38" ht="19.5" customHeight="1">
      <c r="A38" s="64" t="n"/>
      <c r="B38" s="405" t="n"/>
      <c r="C38" s="199" t="inlineStr">
        <is>
          <t>S) cvi‡mvbvj M¨vivw›U 60(i)</t>
        </is>
      </c>
      <c r="Y38" s="589" t="n"/>
      <c r="Z38" s="64" t="n"/>
      <c r="AA38" s="64" t="n"/>
      <c r="AB38" s="64" t="n"/>
      <c r="AC38" s="64" t="n"/>
      <c r="AD38" s="64" t="n"/>
      <c r="AE38" s="64" t="n"/>
      <c r="AF38" s="64" t="n"/>
      <c r="AG38" s="64" t="n"/>
      <c r="AH38" s="64" t="n"/>
      <c r="AI38" s="64" t="n"/>
      <c r="AJ38" s="64" t="n"/>
      <c r="AK38" s="64" t="n"/>
      <c r="AL38" s="64" t="n"/>
      <c r="AM38" s="64" t="n"/>
      <c r="AN38" s="64" t="n"/>
      <c r="AO38" s="64" t="n"/>
      <c r="AP38" s="64" t="n"/>
      <c r="AQ38" s="64" t="n"/>
      <c r="AR38" s="103" t="n"/>
      <c r="AS38" s="103" t="n"/>
      <c r="AT38" s="103" t="n"/>
      <c r="AU38" s="64" t="n"/>
      <c r="AV38" s="64" t="n"/>
      <c r="AW38" s="64" t="n"/>
      <c r="AX38" s="64" t="n"/>
      <c r="AY38" s="103" t="n"/>
    </row>
    <row r="39" ht="19.5" customHeight="1">
      <c r="A39" s="64" t="n"/>
      <c r="B39" s="405" t="n"/>
      <c r="C39" s="199" t="inlineStr">
        <is>
          <t>T) LF-19</t>
        </is>
      </c>
      <c r="Y39" s="589" t="n"/>
      <c r="Z39" s="64" t="n"/>
      <c r="AA39" s="64" t="n"/>
      <c r="AB39" s="64" t="n"/>
      <c r="AC39" s="64" t="n"/>
      <c r="AD39" s="64" t="n"/>
      <c r="AE39" s="64" t="n"/>
      <c r="AF39" s="64" t="n"/>
      <c r="AG39" s="64" t="n"/>
      <c r="AH39" s="64" t="n"/>
      <c r="AI39" s="64" t="n"/>
      <c r="AJ39" s="64" t="n"/>
      <c r="AK39" s="64" t="n"/>
      <c r="AL39" s="64" t="n"/>
      <c r="AM39" s="64" t="n"/>
      <c r="AN39" s="64" t="n"/>
      <c r="AO39" s="64" t="n"/>
      <c r="AP39" s="64" t="n"/>
      <c r="AQ39" s="64" t="n"/>
      <c r="AR39" s="103" t="n"/>
      <c r="AS39" s="103" t="n"/>
      <c r="AT39" s="103" t="n"/>
      <c r="AU39" s="64" t="n"/>
      <c r="AV39" s="64" t="n"/>
      <c r="AW39" s="64" t="n"/>
      <c r="AX39" s="64" t="n"/>
      <c r="AY39" s="103" t="n"/>
    </row>
    <row r="40" ht="19.5" customHeight="1">
      <c r="A40" s="64" t="n"/>
      <c r="B40" s="405" t="n"/>
      <c r="C40" s="199" t="inlineStr">
        <is>
          <t>U) eÜKx `wjj</t>
        </is>
      </c>
      <c r="Y40" s="589" t="n"/>
      <c r="Z40" s="64" t="n"/>
      <c r="AA40" s="64" t="n"/>
      <c r="AB40" s="64" t="n"/>
      <c r="AC40" s="64" t="n"/>
      <c r="AD40" s="64" t="n"/>
      <c r="AE40" s="64" t="n"/>
      <c r="AF40" s="64" t="n"/>
      <c r="AG40" s="64" t="n"/>
      <c r="AH40" s="64" t="n"/>
      <c r="AI40" s="64" t="n"/>
      <c r="AJ40" s="64" t="n"/>
      <c r="AK40" s="64" t="n"/>
      <c r="AL40" s="64" t="n"/>
      <c r="AM40" s="64" t="n"/>
      <c r="AN40" s="64" t="n"/>
      <c r="AO40" s="64" t="n"/>
      <c r="AP40" s="64" t="n"/>
      <c r="AQ40" s="64" t="n"/>
      <c r="AR40" s="103" t="n"/>
      <c r="AS40" s="103" t="n"/>
      <c r="AT40" s="103" t="n"/>
      <c r="AU40" s="64" t="n"/>
      <c r="AV40" s="64" t="n"/>
      <c r="AW40" s="64" t="n"/>
      <c r="AX40" s="64" t="n"/>
      <c r="AY40" s="103" t="n"/>
    </row>
    <row r="41" ht="19.5" customHeight="1">
      <c r="A41" s="64" t="n"/>
      <c r="B41" s="405" t="n"/>
      <c r="C41" s="199" t="inlineStr">
        <is>
          <t>V) cvIqvi Ae GUwb©</t>
        </is>
      </c>
      <c r="Y41" s="589" t="n"/>
      <c r="Z41" s="64" t="n"/>
      <c r="AA41" s="64" t="n"/>
      <c r="AB41" s="64" t="n"/>
      <c r="AC41" s="64" t="n"/>
      <c r="AD41" s="64" t="n"/>
      <c r="AE41" s="64" t="n"/>
      <c r="AF41" s="64" t="n"/>
      <c r="AG41" s="64" t="n"/>
      <c r="AH41" s="64" t="n"/>
      <c r="AI41" s="64" t="n"/>
      <c r="AJ41" s="64" t="n"/>
      <c r="AK41" s="64" t="n"/>
      <c r="AL41" s="64" t="n"/>
      <c r="AM41" s="64" t="n"/>
      <c r="AN41" s="64" t="n"/>
      <c r="AO41" s="64" t="n"/>
      <c r="AP41" s="64" t="n"/>
      <c r="AQ41" s="64" t="n"/>
      <c r="AR41" s="103" t="n"/>
      <c r="AS41" s="103" t="n"/>
      <c r="AT41" s="103" t="n"/>
      <c r="AU41" s="64" t="n"/>
      <c r="AV41" s="64" t="n"/>
      <c r="AW41" s="64" t="n"/>
      <c r="AX41" s="64" t="n"/>
      <c r="AY41" s="103" t="n"/>
    </row>
    <row r="42" ht="19.5" customHeight="1">
      <c r="A42" s="64" t="n"/>
      <c r="B42" s="405" t="n"/>
      <c r="C42" s="199" t="inlineStr">
        <is>
          <t>W) mvK‡mkb cøvb</t>
        </is>
      </c>
      <c r="Y42" s="589" t="n"/>
      <c r="Z42" s="64" t="n"/>
      <c r="AA42" s="64" t="n"/>
      <c r="AB42" s="64" t="n"/>
      <c r="AC42" s="64" t="n"/>
      <c r="AD42" s="64" t="n"/>
      <c r="AE42" s="64" t="n"/>
      <c r="AF42" s="64" t="n"/>
      <c r="AG42" s="64" t="n"/>
      <c r="AH42" s="64" t="n"/>
      <c r="AI42" s="64" t="n"/>
      <c r="AJ42" s="64" t="n"/>
      <c r="AK42" s="64" t="n"/>
      <c r="AL42" s="64" t="n"/>
      <c r="AM42" s="64" t="n"/>
      <c r="AN42" s="64" t="n"/>
      <c r="AO42" s="64" t="n"/>
      <c r="AP42" s="64" t="n"/>
      <c r="AQ42" s="64" t="n"/>
      <c r="AR42" s="103" t="n"/>
      <c r="AS42" s="103" t="n"/>
      <c r="AT42" s="103" t="n"/>
      <c r="AU42" s="64" t="n"/>
      <c r="AV42" s="64" t="n"/>
      <c r="AW42" s="64" t="n"/>
      <c r="AX42" s="64" t="n"/>
      <c r="AY42" s="103" t="n"/>
    </row>
    <row r="43" ht="21.75" customHeight="1">
      <c r="A43" s="64" t="n"/>
      <c r="B43" s="405" t="n"/>
      <c r="C43" s="589" t="n"/>
      <c r="D43" s="589" t="n"/>
      <c r="E43" s="589" t="n"/>
      <c r="F43" s="589" t="n"/>
      <c r="G43" s="589" t="n"/>
      <c r="H43" s="589" t="n"/>
      <c r="I43" s="589" t="n"/>
      <c r="J43" s="589" t="n"/>
      <c r="K43" s="589" t="n"/>
      <c r="L43" s="589" t="n"/>
      <c r="M43" s="589" t="n"/>
      <c r="N43" s="589" t="n"/>
      <c r="O43" s="589" t="n"/>
      <c r="P43" s="589" t="n"/>
      <c r="Q43" s="589" t="n"/>
      <c r="R43" s="589" t="n"/>
      <c r="S43" s="589" t="n"/>
      <c r="T43" s="589" t="n"/>
      <c r="U43" s="589" t="n"/>
      <c r="V43" s="589" t="n"/>
      <c r="W43" s="589" t="n"/>
      <c r="X43" s="589" t="n"/>
      <c r="Y43" s="589" t="n"/>
      <c r="Z43" s="64" t="n"/>
      <c r="AA43" s="64" t="n"/>
      <c r="AB43" s="64" t="n"/>
      <c r="AC43" s="64" t="n"/>
      <c r="AD43" s="64" t="n"/>
      <c r="AE43" s="64" t="n"/>
      <c r="AF43" s="64" t="n"/>
      <c r="AG43" s="64" t="n"/>
      <c r="AH43" s="64" t="n"/>
      <c r="AI43" s="64" t="n"/>
      <c r="AJ43" s="64" t="n"/>
      <c r="AK43" s="64" t="n"/>
      <c r="AL43" s="64" t="n"/>
      <c r="AM43" s="64" t="n"/>
      <c r="AN43" s="64" t="n"/>
      <c r="AO43" s="64" t="n"/>
      <c r="AP43" s="64" t="n"/>
      <c r="AQ43" s="64" t="n"/>
      <c r="AR43" s="103" t="n"/>
      <c r="AS43" s="103" t="n"/>
      <c r="AT43" s="103" t="n"/>
      <c r="AU43" s="64" t="n"/>
      <c r="AV43" s="64" t="n"/>
      <c r="AW43" s="64" t="n"/>
      <c r="AX43" s="64" t="n"/>
      <c r="AY43" s="103" t="n"/>
    </row>
    <row r="44" ht="20.25" customHeight="1">
      <c r="A44" s="64" t="n"/>
      <c r="B44" s="403" t="n"/>
      <c r="C44" s="64" t="n"/>
      <c r="D44" s="64" t="n"/>
      <c r="E44" s="64" t="n"/>
      <c r="F44" s="64" t="n"/>
      <c r="G44" s="64" t="n"/>
      <c r="H44" s="64" t="n"/>
      <c r="I44" s="64" t="n"/>
      <c r="J44" s="64" t="n"/>
      <c r="K44" s="64" t="n"/>
      <c r="L44" s="64" t="n"/>
      <c r="M44" s="64" t="n"/>
      <c r="N44" s="64" t="n"/>
      <c r="O44" s="64" t="n"/>
      <c r="P44" s="64" t="n"/>
      <c r="Q44" s="64" t="n"/>
      <c r="R44" s="64" t="n"/>
      <c r="S44" s="64" t="n"/>
      <c r="T44" s="64" t="n"/>
      <c r="U44" s="64" t="n"/>
      <c r="V44" s="64" t="n"/>
      <c r="W44" s="600" t="inlineStr">
        <is>
          <t>(mycvwikKvix Kg©KZ©v)</t>
        </is>
      </c>
      <c r="Z44" s="64" t="n"/>
      <c r="AA44" s="64" t="n"/>
      <c r="AB44" s="64" t="n"/>
      <c r="AC44" s="64" t="n"/>
      <c r="AD44" s="64" t="n"/>
      <c r="AE44" s="64" t="n"/>
      <c r="AF44" s="64" t="n"/>
      <c r="AG44" s="64" t="n"/>
      <c r="AH44" s="64" t="n"/>
      <c r="AI44" s="64" t="n"/>
      <c r="AJ44" s="64" t="n"/>
      <c r="AK44" s="64" t="n"/>
      <c r="AL44" s="64" t="n"/>
      <c r="AM44" s="64" t="n"/>
      <c r="AN44" s="64" t="n"/>
      <c r="AO44" s="64" t="n"/>
      <c r="AP44" s="64" t="n"/>
      <c r="AQ44" s="64" t="n"/>
      <c r="AR44" s="103" t="n"/>
      <c r="AS44" s="103" t="n"/>
      <c r="AT44" s="103" t="n"/>
      <c r="AU44" s="64" t="n"/>
      <c r="AV44" s="64" t="n"/>
      <c r="AW44" s="64" t="n"/>
      <c r="AX44" s="64" t="n"/>
      <c r="AY44" s="103" t="n"/>
    </row>
    <row r="45" ht="20.25" customHeight="1">
      <c r="A45" s="64" t="n"/>
      <c r="B45" s="403" t="n"/>
      <c r="C45" s="64" t="n"/>
      <c r="D45" s="64" t="n"/>
      <c r="E45" s="64" t="n"/>
      <c r="F45" s="64" t="n"/>
      <c r="G45" s="64" t="n"/>
      <c r="H45" s="64" t="n"/>
      <c r="I45" s="64" t="n"/>
      <c r="J45" s="64" t="n"/>
      <c r="K45" s="64" t="n"/>
      <c r="L45" s="64" t="n"/>
      <c r="M45" s="64" t="n"/>
      <c r="N45" s="64" t="n"/>
      <c r="O45" s="64" t="n"/>
      <c r="P45" s="64" t="n"/>
      <c r="Q45" s="64" t="n"/>
      <c r="R45" s="64" t="n"/>
      <c r="S45" s="64" t="n"/>
      <c r="T45" s="64" t="n"/>
      <c r="U45" s="64" t="n"/>
      <c r="V45" s="64" t="n"/>
      <c r="W45" s="404" t="n"/>
      <c r="X45" s="404" t="n"/>
      <c r="Y45" s="404" t="n"/>
      <c r="Z45" s="64" t="n"/>
      <c r="AA45" s="64" t="n"/>
      <c r="AB45" s="64" t="n"/>
      <c r="AC45" s="64" t="n"/>
      <c r="AD45" s="64" t="n"/>
      <c r="AE45" s="64" t="n"/>
      <c r="AF45" s="64" t="n"/>
      <c r="AG45" s="64" t="n"/>
      <c r="AH45" s="64" t="n"/>
      <c r="AI45" s="64" t="n"/>
      <c r="AJ45" s="64" t="n"/>
      <c r="AK45" s="64" t="n"/>
      <c r="AL45" s="64" t="n"/>
      <c r="AM45" s="64" t="n"/>
      <c r="AN45" s="64" t="n"/>
      <c r="AO45" s="64" t="n"/>
      <c r="AP45" s="64" t="n"/>
      <c r="AQ45" s="64" t="n"/>
      <c r="AR45" s="103" t="n"/>
      <c r="AS45" s="103" t="n"/>
      <c r="AT45" s="103" t="n"/>
      <c r="AU45" s="64" t="n"/>
      <c r="AV45" s="64" t="n"/>
      <c r="AW45" s="64" t="n"/>
      <c r="AX45" s="64" t="n"/>
      <c r="AY45" s="103" t="n"/>
    </row>
    <row r="46" ht="20.25" customHeight="1">
      <c r="A46" s="64" t="n"/>
      <c r="B46" s="403" t="n"/>
      <c r="C46" s="1964" t="inlineStr">
        <is>
          <t>AZ&amp;Ge Zv‡K FY wnmv‡e †jb‡`b I UvKv D‡Ëvj‡bi Aby‡gv`b cÖ`v‡bi mycvwik Kiv n‡jv|</t>
        </is>
      </c>
      <c r="Y46" s="404" t="n"/>
      <c r="Z46" s="64" t="n"/>
      <c r="AA46" s="64" t="n"/>
      <c r="AB46" s="64" t="n"/>
      <c r="AC46" s="64" t="n"/>
      <c r="AD46" s="64" t="n"/>
      <c r="AE46" s="64" t="n"/>
      <c r="AF46" s="64" t="n"/>
      <c r="AG46" s="64" t="n"/>
      <c r="AH46" s="64" t="n"/>
      <c r="AI46" s="64" t="n"/>
      <c r="AJ46" s="64" t="n"/>
      <c r="AK46" s="64" t="n"/>
      <c r="AL46" s="64" t="n"/>
      <c r="AM46" s="64" t="n"/>
      <c r="AN46" s="64" t="n"/>
      <c r="AO46" s="64" t="n"/>
      <c r="AP46" s="64" t="n"/>
      <c r="AQ46" s="64" t="n"/>
      <c r="AR46" s="103" t="n"/>
      <c r="AS46" s="103" t="n"/>
      <c r="AT46" s="103" t="n"/>
      <c r="AU46" s="64" t="n"/>
      <c r="AV46" s="64" t="n"/>
      <c r="AW46" s="64" t="n"/>
      <c r="AX46" s="64" t="n"/>
      <c r="AY46" s="103" t="n"/>
    </row>
    <row r="47" ht="20.25" customHeight="1">
      <c r="A47" s="64" t="n"/>
      <c r="B47" s="403" t="n"/>
      <c r="C47" s="64" t="n"/>
      <c r="D47" s="64" t="n"/>
      <c r="E47" s="64" t="n"/>
      <c r="F47" s="64" t="n"/>
      <c r="G47" s="64" t="n"/>
      <c r="H47" s="64" t="n"/>
      <c r="I47" s="64" t="n"/>
      <c r="J47" s="64" t="n"/>
      <c r="K47" s="64" t="n"/>
      <c r="L47" s="64" t="n"/>
      <c r="M47" s="64" t="n"/>
      <c r="N47" s="64" t="n"/>
      <c r="O47" s="64" t="n"/>
      <c r="P47" s="64" t="n"/>
      <c r="Q47" s="64" t="n"/>
      <c r="R47" s="64" t="n"/>
      <c r="S47" s="64" t="n"/>
      <c r="T47" s="64" t="n"/>
      <c r="U47" s="64" t="n"/>
      <c r="V47" s="64" t="n"/>
      <c r="W47" s="404" t="n"/>
      <c r="X47" s="404" t="n"/>
      <c r="Y47" s="404" t="n"/>
      <c r="Z47" s="64" t="n"/>
      <c r="AA47" s="64" t="n"/>
      <c r="AB47" s="64" t="n"/>
      <c r="AC47" s="64" t="n"/>
      <c r="AD47" s="64" t="n"/>
      <c r="AE47" s="64" t="n"/>
      <c r="AF47" s="64" t="n"/>
      <c r="AG47" s="64" t="n"/>
      <c r="AH47" s="64" t="n"/>
      <c r="AI47" s="64" t="n"/>
      <c r="AJ47" s="64" t="n"/>
      <c r="AK47" s="64" t="n"/>
      <c r="AL47" s="64" t="n"/>
      <c r="AM47" s="64" t="n"/>
      <c r="AN47" s="64" t="n"/>
      <c r="AO47" s="64" t="n"/>
      <c r="AP47" s="64" t="n"/>
      <c r="AQ47" s="64" t="n"/>
      <c r="AR47" s="103" t="n"/>
      <c r="AS47" s="103" t="n"/>
      <c r="AT47" s="103" t="n"/>
      <c r="AU47" s="64" t="n"/>
      <c r="AV47" s="64" t="n"/>
      <c r="AW47" s="64" t="n"/>
      <c r="AX47" s="64" t="n"/>
      <c r="AY47" s="103" t="n"/>
    </row>
    <row r="48" ht="20.25" customHeight="1">
      <c r="A48" s="64" t="n"/>
      <c r="B48" s="403" t="n"/>
      <c r="C48" s="64" t="n"/>
      <c r="D48" s="64" t="n"/>
      <c r="E48" s="64" t="n"/>
      <c r="F48" s="64" t="n"/>
      <c r="G48" s="64" t="n"/>
      <c r="H48" s="64" t="n"/>
      <c r="I48" s="64" t="n"/>
      <c r="J48" s="64" t="n"/>
      <c r="K48" s="64" t="n"/>
      <c r="L48" s="64" t="n"/>
      <c r="M48" s="64" t="n"/>
      <c r="N48" s="64" t="n"/>
      <c r="O48" s="64" t="n"/>
      <c r="P48" s="64" t="n"/>
      <c r="Q48" s="64" t="n"/>
      <c r="R48" s="64" t="n"/>
      <c r="S48" s="64" t="n"/>
      <c r="T48" s="64" t="n"/>
      <c r="U48" s="64" t="n"/>
      <c r="V48" s="64" t="n"/>
      <c r="W48" s="600" t="inlineStr">
        <is>
          <t>(mycvwikKvix Kg©KZ©v)</t>
        </is>
      </c>
      <c r="Z48" s="64" t="n"/>
      <c r="AA48" s="64" t="n"/>
      <c r="AB48" s="64" t="n"/>
      <c r="AC48" s="64" t="n"/>
      <c r="AD48" s="64" t="n"/>
      <c r="AE48" s="64" t="n"/>
      <c r="AF48" s="64" t="n"/>
      <c r="AG48" s="64" t="n"/>
      <c r="AH48" s="64" t="n"/>
      <c r="AI48" s="64" t="n"/>
      <c r="AJ48" s="64" t="n"/>
      <c r="AK48" s="64" t="n"/>
      <c r="AL48" s="64" t="n"/>
      <c r="AM48" s="64" t="n"/>
      <c r="AN48" s="64" t="n"/>
      <c r="AO48" s="64" t="n"/>
      <c r="AP48" s="64" t="n"/>
      <c r="AQ48" s="64" t="n"/>
      <c r="AR48" s="103" t="n"/>
      <c r="AS48" s="103" t="n"/>
      <c r="AT48" s="103" t="n"/>
      <c r="AU48" s="64" t="n"/>
      <c r="AV48" s="64" t="n"/>
      <c r="AW48" s="64" t="n"/>
      <c r="AX48" s="64" t="n"/>
      <c r="AY48" s="103" t="n"/>
    </row>
    <row r="49" ht="20.25" customHeight="1">
      <c r="A49" s="64" t="n"/>
      <c r="B49" s="403" t="n"/>
      <c r="C49" s="64" t="n"/>
      <c r="D49" s="64" t="n"/>
      <c r="E49" s="64" t="n"/>
      <c r="F49" s="64" t="n"/>
      <c r="G49" s="64" t="n"/>
      <c r="H49" s="64" t="n"/>
      <c r="I49" s="64" t="n"/>
      <c r="J49" s="64" t="n"/>
      <c r="K49" s="64" t="n"/>
      <c r="L49" s="64" t="n"/>
      <c r="M49" s="64" t="n"/>
      <c r="N49" s="64" t="n"/>
      <c r="O49" s="64" t="n"/>
      <c r="P49" s="64" t="n"/>
      <c r="Q49" s="64" t="n"/>
      <c r="R49" s="64" t="n"/>
      <c r="S49" s="64" t="n"/>
      <c r="T49" s="64" t="n"/>
      <c r="U49" s="64" t="n"/>
      <c r="V49" s="64" t="n"/>
      <c r="W49" s="600" t="n"/>
      <c r="X49" s="600" t="n"/>
      <c r="Y49" s="600" t="n"/>
      <c r="Z49" s="64" t="n"/>
      <c r="AA49" s="64" t="n"/>
      <c r="AB49" s="64" t="n"/>
      <c r="AC49" s="64" t="n"/>
      <c r="AD49" s="64" t="n"/>
      <c r="AE49" s="64" t="n"/>
      <c r="AF49" s="64" t="n"/>
      <c r="AG49" s="64" t="n"/>
      <c r="AH49" s="64" t="n"/>
      <c r="AI49" s="64" t="n"/>
      <c r="AJ49" s="64" t="n"/>
      <c r="AK49" s="64" t="n"/>
      <c r="AL49" s="64" t="n"/>
      <c r="AM49" s="64" t="n"/>
      <c r="AN49" s="64" t="n"/>
      <c r="AO49" s="64" t="n"/>
      <c r="AP49" s="64" t="n"/>
      <c r="AQ49" s="64" t="n"/>
      <c r="AR49" s="103" t="n"/>
      <c r="AS49" s="103" t="n"/>
      <c r="AT49" s="103" t="n"/>
      <c r="AU49" s="64" t="n"/>
      <c r="AV49" s="64" t="n"/>
      <c r="AW49" s="64" t="n"/>
      <c r="AX49" s="64" t="n"/>
      <c r="AY49" s="103" t="n"/>
    </row>
    <row r="50" ht="20.25" customHeight="1">
      <c r="A50" s="64" t="n"/>
      <c r="B50" s="403" t="n"/>
      <c r="C50" s="64" t="n"/>
      <c r="D50" s="64" t="n"/>
      <c r="E50" s="64" t="n"/>
      <c r="F50" s="64" t="n"/>
      <c r="G50" s="64" t="n"/>
      <c r="H50" s="64" t="n"/>
      <c r="I50" s="64" t="n"/>
      <c r="J50" s="64" t="n"/>
      <c r="K50" s="64" t="n"/>
      <c r="L50" s="64" t="n"/>
      <c r="M50" s="64" t="n"/>
      <c r="N50" s="64" t="n"/>
      <c r="O50" s="64" t="n"/>
      <c r="P50" s="64" t="n"/>
      <c r="Q50" s="64" t="n"/>
      <c r="R50" s="64" t="n"/>
      <c r="S50" s="64" t="n"/>
      <c r="T50" s="64" t="n"/>
      <c r="U50" s="64" t="n"/>
      <c r="V50" s="64" t="n"/>
      <c r="W50" s="600" t="n"/>
      <c r="X50" s="600" t="n"/>
      <c r="Y50" s="600" t="n"/>
      <c r="Z50" s="64" t="n"/>
      <c r="AA50" s="64" t="n"/>
      <c r="AB50" s="64" t="n"/>
      <c r="AC50" s="64" t="n"/>
      <c r="AD50" s="64" t="n"/>
      <c r="AE50" s="64" t="n"/>
      <c r="AF50" s="64" t="n"/>
      <c r="AG50" s="64" t="n"/>
      <c r="AH50" s="64" t="n"/>
      <c r="AI50" s="64" t="n"/>
      <c r="AJ50" s="64" t="n"/>
      <c r="AK50" s="64" t="n"/>
      <c r="AL50" s="64" t="n"/>
      <c r="AM50" s="64" t="n"/>
      <c r="AN50" s="64" t="n"/>
      <c r="AO50" s="64" t="n"/>
      <c r="AP50" s="64" t="n"/>
      <c r="AQ50" s="64" t="n"/>
      <c r="AR50" s="103" t="n"/>
      <c r="AS50" s="103" t="n"/>
      <c r="AT50" s="103" t="n"/>
      <c r="AU50" s="64" t="n"/>
      <c r="AV50" s="64" t="n"/>
      <c r="AW50" s="64" t="n"/>
      <c r="AX50" s="64" t="n"/>
      <c r="AY50" s="103" t="n"/>
    </row>
    <row r="51" ht="20.25" customHeight="1">
      <c r="A51" s="64" t="n"/>
      <c r="B51" s="403" t="n"/>
      <c r="C51" s="64" t="n"/>
      <c r="D51" s="64" t="n"/>
      <c r="E51" s="64" t="n"/>
      <c r="F51" s="64" t="n"/>
      <c r="G51" s="64" t="n"/>
      <c r="H51" s="64" t="n"/>
      <c r="I51" s="64" t="n"/>
      <c r="J51" s="64" t="n"/>
      <c r="K51" s="64" t="n"/>
      <c r="L51" s="64" t="n"/>
      <c r="M51" s="64" t="n"/>
      <c r="N51" s="64" t="n"/>
      <c r="O51" s="64" t="n"/>
      <c r="P51" s="64" t="n"/>
      <c r="Q51" s="64" t="n"/>
      <c r="R51" s="64" t="n"/>
      <c r="S51" s="64" t="n"/>
      <c r="T51" s="64" t="n"/>
      <c r="U51" s="64" t="n"/>
      <c r="V51" s="64" t="n"/>
      <c r="W51" s="404" t="n"/>
      <c r="X51" s="404" t="n"/>
      <c r="Y51" s="404" t="n"/>
      <c r="Z51" s="64" t="n"/>
      <c r="AA51" s="64" t="n"/>
      <c r="AB51" s="64" t="n"/>
      <c r="AC51" s="64" t="n"/>
      <c r="AD51" s="64" t="n"/>
      <c r="AE51" s="64" t="n"/>
      <c r="AF51" s="64" t="n"/>
      <c r="AG51" s="64" t="n"/>
      <c r="AH51" s="64" t="n"/>
      <c r="AI51" s="64" t="n"/>
      <c r="AJ51" s="64" t="n"/>
      <c r="AK51" s="64" t="n"/>
      <c r="AL51" s="64" t="n"/>
      <c r="AM51" s="64" t="n"/>
      <c r="AN51" s="64" t="n"/>
      <c r="AO51" s="64" t="n"/>
      <c r="AP51" s="64" t="n"/>
      <c r="AQ51" s="64" t="n"/>
      <c r="AR51" s="103" t="n"/>
      <c r="AS51" s="103" t="n"/>
      <c r="AT51" s="103" t="n"/>
      <c r="AU51" s="64" t="n"/>
      <c r="AV51" s="64" t="n"/>
      <c r="AW51" s="64" t="n"/>
      <c r="AX51" s="64" t="n"/>
      <c r="AY51" s="103" t="n"/>
    </row>
    <row r="52" ht="20.25" customHeight="1">
      <c r="A52" s="64" t="n"/>
      <c r="B52" s="403" t="n"/>
      <c r="C52" s="64" t="n"/>
      <c r="D52" s="64" t="n"/>
      <c r="E52" s="64" t="n"/>
      <c r="F52" s="64" t="n"/>
      <c r="G52" s="64" t="n"/>
      <c r="H52" s="64" t="n"/>
      <c r="I52" s="64" t="n"/>
      <c r="J52" s="64" t="n"/>
      <c r="K52" s="64" t="n"/>
      <c r="L52" s="64" t="n"/>
      <c r="M52" s="64" t="n"/>
      <c r="N52" s="64" t="n"/>
      <c r="O52" s="64" t="n"/>
      <c r="P52" s="64" t="n"/>
      <c r="Q52" s="64" t="n"/>
      <c r="R52" s="64" t="n"/>
      <c r="S52" s="64" t="n"/>
      <c r="T52" s="64" t="n"/>
      <c r="U52" s="64" t="n"/>
      <c r="V52" s="64" t="n"/>
      <c r="W52" s="404" t="n"/>
      <c r="X52" s="404" t="n"/>
      <c r="Y52" s="404" t="n"/>
      <c r="Z52" s="64" t="n"/>
      <c r="AA52" s="64" t="n"/>
      <c r="AB52" s="64" t="n"/>
      <c r="AC52" s="64" t="n"/>
      <c r="AD52" s="64" t="n"/>
      <c r="AE52" s="64" t="n"/>
      <c r="AF52" s="64" t="n"/>
      <c r="AG52" s="64" t="n"/>
      <c r="AH52" s="64" t="n"/>
      <c r="AI52" s="64" t="n"/>
      <c r="AJ52" s="64" t="n"/>
      <c r="AK52" s="64" t="n"/>
      <c r="AL52" s="64" t="n"/>
      <c r="AM52" s="64" t="n"/>
      <c r="AN52" s="64" t="n"/>
      <c r="AO52" s="64" t="n"/>
      <c r="AP52" s="64" t="n"/>
      <c r="AQ52" s="64" t="n"/>
      <c r="AR52" s="103" t="n"/>
      <c r="AS52" s="103" t="n"/>
      <c r="AT52" s="103" t="n"/>
      <c r="AU52" s="64" t="n"/>
      <c r="AV52" s="64" t="n"/>
      <c r="AW52" s="64" t="n"/>
      <c r="AX52" s="64" t="n"/>
      <c r="AY52" s="103" t="n"/>
    </row>
    <row r="53" ht="18" customHeight="1">
      <c r="A53" s="64" t="n"/>
      <c r="B53" s="64" t="n"/>
      <c r="C53" s="2583" t="inlineStr">
        <is>
          <t>mKj cÖKvi `wjjvqb mwVKfv‡e m¤úvw`Z n‡q‡Q| FY wnmve †Lv‡j †PK eB cÖ`vb Kiv n‡q‡Q| GgZve¯’vq, Av‡e`bKvix‡K gÂzixK…Z FY mxgvi g‡a¨ FY wnmv‡e †jb‡`b Kivi I UvKv D‡Ëvj‡bi AbygwZ cÖ`vb Kiv †h‡Z cv‡i|</t>
        </is>
      </c>
      <c r="Z53" s="295" t="inlineStr">
        <is>
          <t>wnmve bs</t>
        </is>
      </c>
      <c r="AA53" s="295" t="inlineStr">
        <is>
          <t>t</t>
        </is>
      </c>
      <c r="AB53" s="2584" t="n"/>
      <c r="AC53" s="809" t="n"/>
      <c r="AD53" s="809" t="n"/>
      <c r="AE53" s="64" t="n"/>
      <c r="AF53" s="64" t="n"/>
      <c r="AG53" s="64" t="n"/>
      <c r="AH53" s="64" t="n"/>
      <c r="AI53" s="64" t="n"/>
      <c r="AJ53" s="64" t="n"/>
      <c r="AK53" s="64" t="n"/>
      <c r="AL53" s="64" t="n"/>
      <c r="AM53" s="64" t="n"/>
      <c r="AN53" s="64" t="n"/>
      <c r="AO53" s="64" t="n"/>
      <c r="AP53" s="64" t="n"/>
      <c r="AQ53" s="64" t="n"/>
      <c r="AR53" s="103" t="n"/>
      <c r="AS53" s="103" t="n"/>
      <c r="AT53" s="103" t="n"/>
      <c r="AU53" s="64" t="n"/>
      <c r="AV53" s="64" t="n"/>
      <c r="AW53" s="64" t="n"/>
      <c r="AX53" s="64" t="n"/>
      <c r="AY53" s="103" t="n"/>
    </row>
    <row r="54" ht="18" customFormat="1" customHeight="1" s="18">
      <c r="A54" s="103" t="n"/>
      <c r="B54" s="103" t="n"/>
      <c r="Z54" s="103" t="n"/>
      <c r="AA54" s="103" t="n"/>
      <c r="AB54" s="103" t="n"/>
      <c r="AC54" s="103" t="n"/>
      <c r="AD54" s="103" t="n"/>
      <c r="AE54" s="103" t="n"/>
      <c r="AF54" s="103" t="n"/>
      <c r="AG54" s="103" t="n"/>
      <c r="AH54" s="103" t="n"/>
      <c r="AI54" s="103" t="n"/>
      <c r="AJ54" s="103" t="n"/>
      <c r="AK54" s="103" t="n"/>
      <c r="AL54" s="103" t="n"/>
      <c r="AM54" s="103" t="n"/>
      <c r="AN54" s="103" t="n"/>
      <c r="AO54" s="103" t="n"/>
      <c r="AP54" s="103" t="n"/>
      <c r="AQ54" s="103" t="n"/>
      <c r="AR54" s="103" t="n"/>
      <c r="AS54" s="103" t="n"/>
      <c r="AT54" s="103" t="n"/>
      <c r="AU54" s="103" t="n"/>
      <c r="AV54" s="103" t="n"/>
      <c r="AW54" s="103" t="n"/>
      <c r="AX54" s="103" t="n"/>
      <c r="AY54" s="103" t="n"/>
    </row>
    <row r="55" ht="45" customFormat="1" customHeight="1" s="18">
      <c r="A55" s="103" t="n"/>
      <c r="B55" s="103" t="n"/>
      <c r="Z55" s="103" t="n"/>
      <c r="AA55" s="103" t="n"/>
      <c r="AB55" s="103" t="n"/>
      <c r="AC55" s="103" t="n"/>
      <c r="AD55" s="103" t="n"/>
      <c r="AE55" s="103" t="n"/>
      <c r="AF55" s="103" t="n"/>
      <c r="AG55" s="103" t="n"/>
      <c r="AH55" s="103" t="n"/>
      <c r="AI55" s="103" t="n"/>
      <c r="AJ55" s="103" t="n"/>
      <c r="AK55" s="103" t="n"/>
      <c r="AL55" s="103" t="n"/>
      <c r="AM55" s="103" t="n"/>
      <c r="AN55" s="103" t="n"/>
      <c r="AO55" s="103" t="n"/>
      <c r="AP55" s="103" t="n"/>
      <c r="AQ55" s="103" t="n"/>
      <c r="AR55" s="103" t="n"/>
      <c r="AS55" s="103" t="n"/>
      <c r="AT55" s="103" t="n"/>
      <c r="AU55" s="103" t="n"/>
      <c r="AV55" s="103" t="n"/>
      <c r="AW55" s="103" t="n"/>
      <c r="AX55" s="103" t="n"/>
      <c r="AY55" s="103" t="n"/>
    </row>
    <row r="56" ht="32.25" customHeight="1">
      <c r="A56" s="64" t="n"/>
      <c r="B56" s="64" t="n"/>
      <c r="C56" s="64" t="n"/>
      <c r="D56" s="64" t="n"/>
      <c r="E56" s="64" t="n"/>
      <c r="F56" s="64" t="n"/>
      <c r="G56" s="64" t="n"/>
      <c r="H56" s="64" t="n"/>
      <c r="I56" s="64" t="n"/>
      <c r="J56" s="64" t="n"/>
      <c r="K56" s="64" t="n"/>
      <c r="L56" s="64" t="n"/>
      <c r="M56" s="64" t="n"/>
      <c r="N56" s="64" t="n"/>
      <c r="O56" s="64" t="n"/>
      <c r="P56" s="64" t="n"/>
      <c r="Q56" s="64" t="n"/>
      <c r="R56" s="64" t="n"/>
      <c r="S56" s="64" t="n"/>
      <c r="T56" s="64" t="n"/>
      <c r="U56" s="64" t="n"/>
      <c r="V56" s="64" t="n"/>
      <c r="W56" s="218" t="n"/>
      <c r="X56" s="218" t="n"/>
      <c r="Y56" s="218" t="n"/>
      <c r="Z56" s="64" t="n"/>
      <c r="AA56" s="64" t="n"/>
      <c r="AB56" s="64" t="n"/>
      <c r="AC56" s="64" t="n"/>
      <c r="AD56" s="64" t="n"/>
      <c r="AE56" s="64" t="n"/>
      <c r="AF56" s="64" t="n"/>
      <c r="AG56" s="64" t="n"/>
      <c r="AH56" s="64" t="n"/>
      <c r="AI56" s="64" t="n"/>
      <c r="AJ56" s="64" t="n"/>
      <c r="AK56" s="64" t="n"/>
      <c r="AL56" s="64" t="n"/>
      <c r="AM56" s="64" t="n"/>
      <c r="AN56" s="64" t="n"/>
      <c r="AO56" s="64" t="n"/>
      <c r="AP56" s="64" t="n"/>
      <c r="AQ56" s="64" t="n"/>
      <c r="AR56" s="103" t="n"/>
      <c r="AS56" s="103" t="n"/>
      <c r="AT56" s="103" t="n"/>
      <c r="AU56" s="64" t="n"/>
      <c r="AV56" s="64" t="n"/>
      <c r="AW56" s="64" t="n"/>
      <c r="AX56" s="64" t="n"/>
      <c r="AY56" s="103" t="n"/>
    </row>
    <row r="57" ht="18" customHeight="1">
      <c r="A57" s="64" t="n"/>
      <c r="B57" s="64" t="n"/>
      <c r="C57" s="64" t="n"/>
      <c r="D57" s="64" t="n"/>
      <c r="E57" s="64" t="n"/>
      <c r="F57" s="64" t="n"/>
      <c r="G57" s="64" t="n"/>
      <c r="H57" s="64" t="n"/>
      <c r="I57" s="64" t="n"/>
      <c r="J57" s="64" t="n"/>
      <c r="K57" s="64" t="n"/>
      <c r="L57" s="64" t="n"/>
      <c r="M57" s="64" t="n"/>
      <c r="N57" s="64" t="n"/>
      <c r="O57" s="64" t="n"/>
      <c r="P57" s="64" t="n"/>
      <c r="Q57" s="64" t="n"/>
      <c r="R57" s="64" t="n"/>
      <c r="S57" s="64" t="n"/>
      <c r="T57" s="64" t="n"/>
      <c r="U57" s="64" t="n"/>
      <c r="V57" s="64" t="n"/>
      <c r="W57" s="819" t="inlineStr">
        <is>
          <t>(2q Kg©KZ©vi mxj I ¯^vÿi)</t>
        </is>
      </c>
      <c r="Z57" s="64" t="n"/>
      <c r="AA57" s="64" t="n"/>
      <c r="AB57" s="64" t="n"/>
      <c r="AC57" s="64" t="n"/>
      <c r="AD57" s="64" t="n"/>
      <c r="AE57" s="64" t="n"/>
      <c r="AF57" s="64" t="n"/>
      <c r="AG57" s="64" t="n"/>
      <c r="AH57" s="64" t="n"/>
      <c r="AI57" s="64" t="n"/>
      <c r="AJ57" s="64" t="n"/>
      <c r="AK57" s="64" t="n"/>
      <c r="AL57" s="64" t="n"/>
      <c r="AM57" s="64" t="n"/>
      <c r="AN57" s="64" t="n"/>
      <c r="AO57" s="64" t="n"/>
      <c r="AP57" s="64" t="n"/>
      <c r="AQ57" s="64" t="n"/>
      <c r="AR57" s="103" t="n"/>
      <c r="AS57" s="103" t="n"/>
      <c r="AT57" s="103" t="n"/>
      <c r="AU57" s="64" t="n"/>
      <c r="AV57" s="64" t="n"/>
      <c r="AW57" s="64" t="n"/>
      <c r="AX57" s="64" t="n"/>
      <c r="AY57" s="103" t="n"/>
    </row>
    <row r="58" ht="7.5" customHeight="1">
      <c r="A58" s="64" t="n"/>
      <c r="B58" s="64" t="n"/>
      <c r="C58" s="64" t="n"/>
      <c r="D58" s="64" t="n"/>
      <c r="E58" s="64" t="n"/>
      <c r="F58" s="64" t="n"/>
      <c r="G58" s="64" t="n"/>
      <c r="H58" s="64" t="n"/>
      <c r="I58" s="64" t="n"/>
      <c r="J58" s="64" t="n"/>
      <c r="K58" s="64" t="n"/>
      <c r="L58" s="64" t="n"/>
      <c r="M58" s="64" t="n"/>
      <c r="N58" s="64" t="n"/>
      <c r="O58" s="64" t="n"/>
      <c r="P58" s="64" t="n"/>
      <c r="Q58" s="64" t="n"/>
      <c r="R58" s="64" t="n"/>
      <c r="S58" s="64" t="n"/>
      <c r="T58" s="64" t="n"/>
      <c r="U58" s="64" t="n"/>
      <c r="V58" s="64" t="n"/>
      <c r="W58" s="218" t="n"/>
      <c r="X58" s="218" t="n"/>
      <c r="Y58" s="218" t="n"/>
      <c r="Z58" s="64" t="n"/>
      <c r="AA58" s="64" t="n"/>
      <c r="AB58" s="64" t="n"/>
      <c r="AC58" s="64" t="n"/>
      <c r="AD58" s="64" t="n"/>
      <c r="AE58" s="64" t="n"/>
      <c r="AF58" s="64" t="n"/>
      <c r="AG58" s="64" t="n"/>
      <c r="AH58" s="64" t="n"/>
      <c r="AI58" s="64" t="n"/>
      <c r="AJ58" s="64" t="n"/>
      <c r="AK58" s="64" t="n"/>
      <c r="AL58" s="64" t="n"/>
      <c r="AM58" s="64" t="n"/>
      <c r="AN58" s="64" t="n"/>
      <c r="AO58" s="64" t="n"/>
      <c r="AP58" s="64" t="n"/>
      <c r="AQ58" s="64" t="n"/>
      <c r="AR58" s="103" t="n"/>
      <c r="AS58" s="103" t="n"/>
      <c r="AT58" s="103" t="n"/>
      <c r="AU58" s="64" t="n"/>
      <c r="AV58" s="64" t="n"/>
      <c r="AW58" s="64" t="n"/>
      <c r="AX58" s="64" t="n"/>
      <c r="AY58" s="103" t="n"/>
    </row>
    <row r="59" ht="18" customFormat="1" customHeight="1" s="18">
      <c r="A59" s="103" t="n"/>
      <c r="B59" s="103" t="n"/>
      <c r="C59" s="199" t="inlineStr">
        <is>
          <t>Av‡e`bKvix‡K gÄyixK…Z FY mxgvi g‡a¨ †jb‡`b Kivi I UvKv D‡Ëvj‡bi AbygwZ cÖ`vb Kiv n‡jv|</t>
        </is>
      </c>
      <c r="Z59" s="103" t="n"/>
      <c r="AA59" s="103" t="n"/>
      <c r="AB59" s="103" t="n"/>
      <c r="AC59" s="103" t="n"/>
      <c r="AD59" s="103" t="n"/>
      <c r="AE59" s="103" t="n"/>
      <c r="AF59" s="103" t="n"/>
      <c r="AG59" s="103" t="n"/>
      <c r="AH59" s="103" t="n"/>
      <c r="AI59" s="103" t="n"/>
      <c r="AJ59" s="103" t="n"/>
      <c r="AK59" s="103" t="n"/>
      <c r="AL59" s="103" t="n"/>
      <c r="AM59" s="103" t="n"/>
      <c r="AN59" s="103" t="n"/>
      <c r="AO59" s="103" t="n"/>
      <c r="AP59" s="103" t="n"/>
      <c r="AQ59" s="103" t="n"/>
      <c r="AR59" s="103" t="n"/>
      <c r="AS59" s="103" t="n"/>
      <c r="AT59" s="103" t="n"/>
      <c r="AU59" s="103" t="n"/>
      <c r="AV59" s="103" t="n"/>
      <c r="AW59" s="103" t="n"/>
      <c r="AX59" s="103" t="n"/>
      <c r="AY59" s="103" t="n"/>
    </row>
    <row r="60" ht="38.25" customFormat="1" customHeight="1" s="18">
      <c r="A60" s="103" t="n"/>
      <c r="B60" s="103" t="n"/>
      <c r="C60" s="76" t="n"/>
      <c r="D60" s="76" t="n"/>
      <c r="E60" s="76" t="n"/>
      <c r="F60" s="76" t="n"/>
      <c r="G60" s="76" t="n"/>
      <c r="H60" s="76" t="n"/>
      <c r="I60" s="76" t="n"/>
      <c r="J60" s="76" t="n"/>
      <c r="K60" s="76" t="n"/>
      <c r="L60" s="76" t="n"/>
      <c r="M60" s="76" t="n"/>
      <c r="N60" s="76" t="n"/>
      <c r="O60" s="76" t="n"/>
      <c r="P60" s="76" t="n"/>
      <c r="Q60" s="76" t="n"/>
      <c r="R60" s="76" t="n"/>
      <c r="S60" s="76" t="n"/>
      <c r="T60" s="76" t="n"/>
      <c r="U60" s="76" t="n"/>
      <c r="V60" s="76" t="n"/>
      <c r="W60" s="76" t="n"/>
      <c r="X60" s="76" t="n"/>
      <c r="Y60" s="76" t="n"/>
      <c r="Z60" s="103" t="n"/>
      <c r="AA60" s="103" t="n"/>
      <c r="AB60" s="103" t="n"/>
      <c r="AC60" s="103" t="n"/>
      <c r="AD60" s="103" t="n"/>
      <c r="AE60" s="103" t="n"/>
      <c r="AF60" s="103" t="n"/>
      <c r="AG60" s="103" t="n"/>
      <c r="AH60" s="103" t="n"/>
      <c r="AI60" s="103" t="n"/>
      <c r="AJ60" s="103" t="n"/>
      <c r="AK60" s="103" t="n"/>
      <c r="AL60" s="103" t="n"/>
      <c r="AM60" s="103" t="n"/>
      <c r="AN60" s="103" t="n"/>
      <c r="AO60" s="103" t="n"/>
      <c r="AP60" s="103" t="n"/>
      <c r="AQ60" s="103" t="n"/>
      <c r="AR60" s="103" t="n"/>
      <c r="AS60" s="103" t="n"/>
      <c r="AT60" s="103" t="n"/>
      <c r="AU60" s="103" t="n"/>
      <c r="AV60" s="103" t="n"/>
      <c r="AW60" s="103" t="n"/>
      <c r="AX60" s="103" t="n"/>
      <c r="AY60" s="103" t="n"/>
    </row>
    <row r="61" ht="18" customHeight="1">
      <c r="A61" s="64" t="n"/>
      <c r="B61" s="64" t="n"/>
      <c r="C61" s="76" t="n"/>
      <c r="D61" s="76" t="n"/>
      <c r="E61" s="76" t="n"/>
      <c r="F61" s="76" t="n"/>
      <c r="G61" s="76" t="n"/>
      <c r="H61" s="76" t="n"/>
      <c r="I61" s="76" t="n"/>
      <c r="J61" s="76" t="n"/>
      <c r="K61" s="76" t="n"/>
      <c r="L61" s="76" t="n"/>
      <c r="M61" s="76" t="n"/>
      <c r="N61" s="76" t="n"/>
      <c r="O61" s="76" t="n"/>
      <c r="P61" s="76" t="n"/>
      <c r="Q61" s="76" t="n"/>
      <c r="R61" s="76" t="n"/>
      <c r="S61" s="76" t="n"/>
      <c r="T61" s="76" t="n"/>
      <c r="U61" s="76" t="n"/>
      <c r="V61" s="76" t="n"/>
      <c r="W61" s="819" t="inlineStr">
        <is>
          <t>(e¨e¯’vc‡Ki mxj I ¯^vÿi)</t>
        </is>
      </c>
      <c r="Z61" s="64" t="n"/>
      <c r="AA61" s="64" t="n"/>
      <c r="AB61" s="64" t="n"/>
      <c r="AC61" s="64" t="n"/>
      <c r="AD61" s="64" t="n"/>
      <c r="AE61" s="64" t="n"/>
      <c r="AF61" s="64" t="n"/>
      <c r="AG61" s="64" t="n"/>
      <c r="AH61" s="64" t="n"/>
      <c r="AI61" s="64" t="n"/>
      <c r="AJ61" s="64" t="n"/>
      <c r="AK61" s="64" t="n"/>
      <c r="AL61" s="64" t="n"/>
      <c r="AM61" s="64" t="n"/>
      <c r="AN61" s="64" t="n"/>
      <c r="AO61" s="64" t="n"/>
      <c r="AP61" s="64" t="n"/>
      <c r="AQ61" s="64" t="n"/>
      <c r="AR61" s="103" t="n"/>
      <c r="AS61" s="103" t="n"/>
      <c r="AT61" s="103" t="n"/>
      <c r="AU61" s="64" t="n"/>
      <c r="AV61" s="64" t="n"/>
      <c r="AW61" s="64" t="n"/>
      <c r="AX61" s="64" t="n"/>
      <c r="AY61" s="103" t="n"/>
    </row>
  </sheetData>
  <mergeCells count="38">
    <mergeCell ref="C46:X46"/>
    <mergeCell ref="C36:X36"/>
    <mergeCell ref="C53:Y55"/>
    <mergeCell ref="E10:Y10"/>
    <mergeCell ref="V5:W5"/>
    <mergeCell ref="C39:X39"/>
    <mergeCell ref="S1:Y1"/>
    <mergeCell ref="E9:Y9"/>
    <mergeCell ref="C32:X32"/>
    <mergeCell ref="C38:X38"/>
    <mergeCell ref="U2:V2"/>
    <mergeCell ref="V3:Y3"/>
    <mergeCell ref="C37:X37"/>
    <mergeCell ref="C4:Y4"/>
    <mergeCell ref="E11:Y11"/>
    <mergeCell ref="W61:Y61"/>
    <mergeCell ref="W18:Y18"/>
    <mergeCell ref="C34:X34"/>
    <mergeCell ref="W48:Y48"/>
    <mergeCell ref="C30:X30"/>
    <mergeCell ref="W2:Y2"/>
    <mergeCell ref="C42:X42"/>
    <mergeCell ref="C33:X33"/>
    <mergeCell ref="E1:P2"/>
    <mergeCell ref="W57:Y57"/>
    <mergeCell ref="C35:X35"/>
    <mergeCell ref="C28:Y29"/>
    <mergeCell ref="C59:Y59"/>
    <mergeCell ref="W44:Y44"/>
    <mergeCell ref="C22:Y24"/>
    <mergeCell ref="E3:P3"/>
    <mergeCell ref="C14:Y15"/>
    <mergeCell ref="C41:X41"/>
    <mergeCell ref="C31:X31"/>
    <mergeCell ref="C40:X40"/>
    <mergeCell ref="C7:Y7"/>
    <mergeCell ref="E8:Y8"/>
    <mergeCell ref="W26:Y26"/>
  </mergeCells>
  <pageMargins left="0.7" right="0.7" top="0.75" bottom="0.75" header="0.3" footer="0.3"/>
</worksheet>
</file>

<file path=xl/worksheets/sheet4.xml><?xml version="1.0" encoding="utf-8"?>
<worksheet xmlns="http://schemas.openxmlformats.org/spreadsheetml/2006/main">
  <sheetPr>
    <outlinePr summaryBelow="0"/>
    <pageSetUpPr/>
  </sheetPr>
  <dimension ref="A1:CO99"/>
  <sheetViews>
    <sheetView workbookViewId="0">
      <selection activeCell="A1" sqref="A1"/>
    </sheetView>
  </sheetViews>
  <sheetFormatPr baseColWidth="8" defaultRowHeight="15"/>
  <cols>
    <col width="2.433571428571428" bestFit="1" customWidth="1" style="64" min="1" max="1"/>
    <col width="17.005" bestFit="1" customWidth="1" style="64" min="2" max="2"/>
    <col width="1.719285714285714" bestFit="1" customWidth="1" style="64" min="3" max="3"/>
    <col width="42.57642857142857" bestFit="1" customWidth="1" style="545" min="4" max="4"/>
    <col width="0.7192857142857143" bestFit="1" customWidth="1" style="64" min="5" max="5"/>
    <col width="24.005" bestFit="1" customWidth="1" style="64" min="6" max="6"/>
    <col width="10.14785714285714" bestFit="1" customWidth="1" style="2570" min="7" max="7"/>
    <col width="8.576428571428572" bestFit="1" customWidth="1" style="64" min="8" max="8"/>
    <col width="2.576428571428572" bestFit="1" customWidth="1" style="64" min="9" max="9"/>
    <col width="10.86214285714286" bestFit="1" customWidth="1" style="64" min="10" max="10"/>
    <col width="15.43357142857143" bestFit="1" customWidth="1" style="64" min="11" max="11"/>
    <col width="14.86214285714286" bestFit="1" customWidth="1" style="64" min="12" max="12"/>
    <col width="9.005000000000001" bestFit="1" customWidth="1" style="64" min="13" max="13"/>
    <col width="10.86214285714286" bestFit="1" customWidth="1" style="2571" min="14" max="14"/>
    <col width="9.576428571428572" bestFit="1" customWidth="1" style="64" min="15" max="15"/>
    <col width="4.005" bestFit="1" customWidth="1" style="64" min="16" max="16"/>
    <col width="14.29071428571429" bestFit="1" customWidth="1" style="64" min="17" max="17"/>
    <col width="8.576428571428572" bestFit="1" customWidth="1" style="136" min="18" max="18"/>
    <col width="10.005" bestFit="1" customWidth="1" style="64" min="19" max="19"/>
    <col width="1.576428571428571" bestFit="1" customWidth="1" style="64" min="20" max="20"/>
    <col width="22.71928571428571" bestFit="1" customWidth="1" style="64" min="21" max="21"/>
    <col width="8.576428571428572" bestFit="1" customWidth="1" style="136" min="22" max="22"/>
    <col width="8.576428571428572" bestFit="1" customWidth="1" style="136" min="23" max="23"/>
    <col width="2.290714285714285" bestFit="1" customWidth="1" style="64" min="24" max="24"/>
    <col width="16.005" bestFit="1" customWidth="1" style="64" min="25" max="25"/>
    <col width="8.576428571428572" bestFit="1" customWidth="1" style="136" min="26" max="26"/>
    <col width="8.576428571428572" bestFit="1" customWidth="1" style="64" min="27" max="27"/>
    <col width="2.290714285714285" bestFit="1" customWidth="1" style="64" min="28" max="28"/>
    <col width="16.57642857142857" bestFit="1" customWidth="1" style="64" min="29" max="29"/>
    <col width="8.576428571428572" bestFit="1" customWidth="1" style="136" min="30" max="30"/>
    <col width="8.576428571428572" bestFit="1" customWidth="1" style="64" min="31" max="31"/>
    <col width="2.147857142857143" bestFit="1" customWidth="1" style="64" min="32" max="32"/>
    <col width="17.43357142857143" bestFit="1" customWidth="1" style="64" min="33" max="33"/>
    <col width="8.576428571428572" bestFit="1" customWidth="1" style="136" min="34" max="34"/>
    <col width="8.576428571428572" bestFit="1" customWidth="1" style="64" min="35" max="35"/>
    <col width="2.290714285714285" bestFit="1" customWidth="1" style="64" min="36" max="36"/>
    <col width="13.71928571428571" bestFit="1" customWidth="1" style="64" min="37" max="37"/>
    <col width="8.576428571428572" bestFit="1" customWidth="1" style="136" min="38" max="38"/>
    <col width="8.576428571428572" bestFit="1" customWidth="1" style="64" min="39" max="39"/>
    <col width="2.719285714285714" bestFit="1" customWidth="1" style="64" min="40" max="40"/>
    <col width="15.86214285714286" bestFit="1" customWidth="1" style="64" min="41" max="41"/>
    <col width="10.14785714285714" bestFit="1" customWidth="1" style="136" min="42" max="42"/>
    <col width="8.576428571428572" bestFit="1" customWidth="1" style="64" min="43" max="43"/>
    <col width="1.719285714285714" bestFit="1" customWidth="1" style="64" min="44" max="44"/>
    <col width="16.43357142857143" bestFit="1" customWidth="1" style="64" min="45" max="45"/>
    <col width="8.576428571428572" bestFit="1" customWidth="1" style="136" min="46" max="46"/>
    <col width="8.576428571428572" bestFit="1" customWidth="1" style="64" min="47" max="47"/>
    <col width="1.576428571428571" bestFit="1" customWidth="1" style="64" min="48" max="48"/>
    <col width="16.29071428571428" bestFit="1" customWidth="1" style="64" min="49" max="49"/>
    <col width="9.862142857142858" bestFit="1" customWidth="1" style="136" min="50" max="50"/>
    <col width="8.576428571428572" bestFit="1" customWidth="1" style="308" min="51" max="51"/>
    <col width="1.433571428571429" bestFit="1" customWidth="1" style="64" min="52" max="52"/>
    <col width="17.14785714285714" bestFit="1" customWidth="1" style="64" min="53" max="53"/>
    <col width="8.576428571428572" bestFit="1" customWidth="1" style="136" min="54" max="54"/>
    <col width="8.576428571428572" bestFit="1" customWidth="1" style="64" min="55" max="55"/>
    <col width="1.433571428571429" bestFit="1" customWidth="1" style="64" min="56" max="56"/>
    <col width="14.43357142857143" bestFit="1" customWidth="1" style="64" min="57" max="57"/>
    <col width="8.576428571428572" bestFit="1" customWidth="1" style="136" min="58" max="58"/>
    <col width="9.147857142857141" bestFit="1" customWidth="1" style="64" min="59" max="59"/>
    <col width="2.433571428571428" bestFit="1" customWidth="1" style="64" min="60" max="60"/>
    <col width="15.005" bestFit="1" customWidth="1" style="136" min="61" max="61"/>
    <col width="9.147857142857141" bestFit="1" customWidth="1" style="136" min="62" max="62"/>
    <col width="9.147857142857141" bestFit="1" customWidth="1" style="136" min="63" max="63"/>
    <col width="2.576428571428572" bestFit="1" customWidth="1" style="64" min="64" max="64"/>
    <col width="15.14785714285714" bestFit="1" customWidth="1" style="64" min="65" max="65"/>
    <col width="9.147857142857141" bestFit="1" customWidth="1" style="136" min="66" max="66"/>
    <col width="9.147857142857141" bestFit="1" customWidth="1" style="136" min="67" max="67"/>
    <col width="1.576428571428571" bestFit="1" customWidth="1" style="64" min="68" max="68"/>
    <col width="15.71928571428571" bestFit="1" customWidth="1" style="64" min="69" max="69"/>
    <col width="10.005" bestFit="1" customWidth="1" style="136" min="70" max="70"/>
    <col width="9.290714285714287" bestFit="1" customWidth="1" style="136" min="71" max="71"/>
    <col width="1.862142857142857" bestFit="1" customWidth="1" style="64" min="72" max="72"/>
    <col width="18.43357142857143" bestFit="1" customWidth="1" style="64" min="73" max="73"/>
    <col width="9.147857142857141" bestFit="1" customWidth="1" style="136" min="74" max="74"/>
    <col width="9.147857142857141" bestFit="1" customWidth="1" style="308" min="75" max="75"/>
    <col width="1.862142857142857" bestFit="1" customWidth="1" style="64" min="76" max="76"/>
    <col width="9.147857142857141" bestFit="1" customWidth="1" style="64" min="77" max="77"/>
    <col width="9.147857142857141" bestFit="1" customWidth="1" style="64" min="78" max="78"/>
    <col width="9.147857142857141" bestFit="1" customWidth="1" style="64" min="79" max="79"/>
    <col width="2.005" bestFit="1" customWidth="1" style="64" min="80" max="80"/>
    <col width="13.57642857142857" bestFit="1" customWidth="1" style="64" min="81" max="81"/>
    <col width="13.57642857142857" bestFit="1" customWidth="1" style="64" min="82" max="82"/>
    <col width="13.57642857142857" bestFit="1" customWidth="1" style="64" min="83" max="83"/>
    <col width="13.57642857142857" bestFit="1" customWidth="1" style="64" min="84" max="84"/>
    <col width="13.57642857142857" bestFit="1" customWidth="1" style="64" min="85" max="85"/>
    <col width="13.57642857142857" bestFit="1" customWidth="1" style="64" min="86" max="86"/>
    <col width="13.57642857142857" bestFit="1" customWidth="1" style="64" min="87" max="87"/>
    <col width="13.57642857142857" bestFit="1" customWidth="1" style="64" min="88" max="88"/>
    <col width="13.57642857142857" bestFit="1" customWidth="1" style="64" min="89" max="89"/>
    <col width="13.57642857142857" bestFit="1" customWidth="1" style="64" min="90" max="90"/>
    <col width="13.57642857142857" bestFit="1" customWidth="1" style="64" min="91" max="91"/>
    <col width="13.57642857142857" bestFit="1" customWidth="1" style="64" min="92" max="92"/>
    <col width="13.57642857142857" bestFit="1" customWidth="1" style="64" min="93" max="93"/>
  </cols>
  <sheetData>
    <row r="1" ht="6" customHeight="1">
      <c r="A1" s="64" t="n"/>
      <c r="B1" s="64" t="n"/>
      <c r="C1" s="64" t="n"/>
      <c r="D1" s="545" t="n"/>
      <c r="E1" s="64" t="n"/>
      <c r="F1" s="64" t="n"/>
      <c r="G1" s="2570" t="n"/>
      <c r="H1" s="64" t="n"/>
      <c r="I1" s="64" t="n"/>
      <c r="J1" s="64" t="n"/>
      <c r="K1" s="64" t="n"/>
      <c r="L1" s="64" t="n"/>
      <c r="M1" s="64" t="n"/>
      <c r="N1" s="2571" t="n"/>
      <c r="O1" s="64" t="n"/>
      <c r="P1" s="64" t="n"/>
      <c r="Q1" s="64" t="n"/>
      <c r="R1" s="136" t="n"/>
      <c r="S1" s="64" t="n"/>
      <c r="T1" s="64" t="n"/>
      <c r="U1" s="64" t="n"/>
      <c r="V1" s="136" t="n"/>
      <c r="W1" s="136" t="n"/>
      <c r="X1" s="64" t="n"/>
      <c r="Y1" s="64" t="n"/>
      <c r="Z1" s="136" t="n"/>
      <c r="AA1" s="64" t="n"/>
      <c r="AB1" s="64" t="n"/>
      <c r="AC1" s="64" t="n"/>
      <c r="AD1" s="136" t="n"/>
      <c r="AE1" s="64" t="n"/>
      <c r="AF1" s="64" t="n"/>
      <c r="AG1" s="64" t="n"/>
      <c r="AH1" s="136" t="n"/>
      <c r="AI1" s="64" t="n"/>
      <c r="AJ1" s="64" t="n"/>
      <c r="AK1" s="64" t="n"/>
      <c r="AL1" s="136" t="n"/>
      <c r="AM1" s="64" t="n"/>
      <c r="AN1" s="64" t="n"/>
      <c r="AO1" s="64" t="n"/>
      <c r="AP1" s="136" t="n"/>
      <c r="AQ1" s="64" t="n"/>
      <c r="AR1" s="64" t="n"/>
      <c r="AS1" s="64" t="n"/>
      <c r="AT1" s="136" t="n"/>
      <c r="AU1" s="64" t="n"/>
      <c r="AV1" s="64" t="n"/>
      <c r="AW1" s="64" t="n"/>
      <c r="AX1" s="136" t="n"/>
      <c r="AY1" s="308" t="n"/>
      <c r="AZ1" s="64" t="n"/>
      <c r="BA1" s="64" t="n"/>
      <c r="BB1" s="136" t="n"/>
      <c r="BC1" s="64" t="n"/>
      <c r="BD1" s="64" t="n"/>
      <c r="BE1" s="64" t="n"/>
      <c r="BF1" s="136" t="n"/>
      <c r="BG1" s="64" t="n"/>
      <c r="BH1" s="64" t="n"/>
      <c r="BI1" s="136" t="n"/>
      <c r="BJ1" s="136" t="n"/>
      <c r="BK1" s="136" t="n"/>
      <c r="BL1" s="64" t="n"/>
      <c r="BM1" s="64" t="n"/>
      <c r="BN1" s="136" t="n"/>
      <c r="BO1" s="136" t="n"/>
      <c r="BP1" s="64" t="n"/>
      <c r="BQ1" s="64" t="n"/>
      <c r="BR1" s="136" t="n"/>
      <c r="BS1" s="136" t="n"/>
      <c r="BT1" s="64" t="n"/>
      <c r="BU1" s="64" t="n"/>
      <c r="BV1" s="136" t="n"/>
      <c r="BW1" s="308" t="n"/>
      <c r="BX1" s="64" t="n"/>
      <c r="BY1" s="64" t="n"/>
      <c r="BZ1" s="64" t="n"/>
      <c r="CA1" s="64" t="n"/>
      <c r="CB1" s="64" t="n"/>
      <c r="CC1" s="64" t="n"/>
      <c r="CD1" s="64" t="n"/>
      <c r="CE1" s="64" t="n"/>
      <c r="CF1" s="64" t="n"/>
      <c r="CG1" s="64" t="n"/>
      <c r="CH1" s="64" t="n"/>
      <c r="CI1" s="64" t="n"/>
      <c r="CJ1" s="64" t="n"/>
      <c r="CK1" s="64" t="n"/>
      <c r="CL1" s="64" t="n"/>
      <c r="CM1" s="64" t="n"/>
      <c r="CN1" s="64" t="n"/>
      <c r="CO1" s="64" t="n"/>
    </row>
    <row r="2" ht="18" customHeight="1">
      <c r="A2" s="64" t="n"/>
      <c r="B2" s="2354" t="inlineStr">
        <is>
          <t>kvLvi bvg</t>
        </is>
      </c>
      <c r="C2" s="2355" t="inlineStr">
        <is>
          <t>t</t>
        </is>
      </c>
      <c r="D2" s="2356" t="inlineStr">
        <is>
          <t>wmw×iMÄ kvLv, bvivqYMÄ</t>
        </is>
      </c>
      <c r="E2" s="64" t="n"/>
      <c r="F2" s="2357">
        <f>+D10</f>
        <v/>
      </c>
      <c r="G2" s="2358" t="inlineStr">
        <is>
          <t>`vg</t>
        </is>
      </c>
      <c r="H2" s="2359" t="inlineStr">
        <is>
          <t>cwigvb</t>
        </is>
      </c>
      <c r="I2" s="64" t="n"/>
      <c r="J2" s="2360" t="inlineStr">
        <is>
          <t>_vbv  t</t>
        </is>
      </c>
      <c r="K2" s="2361" t="inlineStr">
        <is>
          <t>wmw×iMÄ</t>
        </is>
      </c>
      <c r="L2" s="2362" t="inlineStr">
        <is>
          <t>‡Rjv      t</t>
        </is>
      </c>
      <c r="M2" s="2363">
        <f>+D23</f>
        <v/>
      </c>
      <c r="N2" s="2625" t="n"/>
      <c r="O2" s="64" t="n"/>
      <c r="P2" s="2365" t="inlineStr">
        <is>
          <t>bgybv †cÖvdvBj</t>
        </is>
      </c>
      <c r="Q2" s="2366" t="inlineStr">
        <is>
          <t>Jla wecYb e¨emvq</t>
        </is>
      </c>
      <c r="R2" s="2367" t="inlineStr">
        <is>
          <t>`vg</t>
        </is>
      </c>
      <c r="S2" s="2368" t="inlineStr">
        <is>
          <t>cwigvb</t>
        </is>
      </c>
      <c r="T2" s="64" t="n"/>
      <c r="U2" s="2369" t="inlineStr">
        <is>
          <t>mvi I KxUbvkK wecYb</t>
        </is>
      </c>
      <c r="V2" s="2370" t="inlineStr">
        <is>
          <t>`vg</t>
        </is>
      </c>
      <c r="W2" s="2371" t="inlineStr">
        <is>
          <t>cwigvb</t>
        </is>
      </c>
      <c r="X2" s="64" t="n"/>
      <c r="Y2" s="2372" t="inlineStr">
        <is>
          <t>Mv‡g©›Um e¨emvq</t>
        </is>
      </c>
      <c r="Z2" s="2373" t="inlineStr">
        <is>
          <t>`vg</t>
        </is>
      </c>
      <c r="AA2" s="2374" t="inlineStr">
        <is>
          <t>cwigvb</t>
        </is>
      </c>
      <c r="AB2" s="64" t="n"/>
      <c r="AC2" s="2375" t="inlineStr">
        <is>
          <t xml:space="preserve">mvB‡Kj, f¨vb BZ¨vw`i hš¿vsk wecYb I †givgZ e¨emv </t>
        </is>
      </c>
      <c r="AD2" s="2376" t="inlineStr">
        <is>
          <t>`vg</t>
        </is>
      </c>
      <c r="AE2" s="2375" t="inlineStr">
        <is>
          <t>cwigvb</t>
        </is>
      </c>
      <c r="AF2" s="64" t="n"/>
      <c r="AG2" s="2377" t="inlineStr">
        <is>
          <t>jvB‡eªix e¨emvq</t>
        </is>
      </c>
      <c r="AH2" s="2378" t="inlineStr">
        <is>
          <t>`vg</t>
        </is>
      </c>
      <c r="AI2" s="2379" t="inlineStr">
        <is>
          <t>cwigvb</t>
        </is>
      </c>
      <c r="AJ2" s="64" t="n"/>
      <c r="AK2" s="2380" t="inlineStr">
        <is>
          <t>†cvwë wdW e¨emvq</t>
        </is>
      </c>
      <c r="AL2" s="2381" t="inlineStr">
        <is>
          <t>`vg</t>
        </is>
      </c>
      <c r="AM2" s="2380" t="inlineStr">
        <is>
          <t>cwigvb</t>
        </is>
      </c>
      <c r="AN2" s="64" t="n"/>
      <c r="AO2" s="2382" t="inlineStr">
        <is>
          <t>gyw` †`vKvb e¨emvq</t>
        </is>
      </c>
      <c r="AP2" s="2383" t="inlineStr">
        <is>
          <t>`vg</t>
        </is>
      </c>
      <c r="AQ2" s="2382" t="inlineStr">
        <is>
          <t>cwigvb</t>
        </is>
      </c>
      <c r="AR2" s="64" t="n"/>
      <c r="AS2" s="2384" t="inlineStr">
        <is>
          <t>Mevw` cï cvjb e¨emvq</t>
        </is>
      </c>
      <c r="AT2" s="2385" t="inlineStr">
        <is>
          <t>`vg</t>
        </is>
      </c>
      <c r="AU2" s="2384" t="inlineStr">
        <is>
          <t>cwigvb</t>
        </is>
      </c>
      <c r="AV2" s="64" t="n"/>
      <c r="AW2" s="2386" t="inlineStr">
        <is>
          <t>evM`v wPsox Pvl e¨emvq</t>
        </is>
      </c>
      <c r="AX2" s="2387" t="inlineStr">
        <is>
          <t>`vg</t>
        </is>
      </c>
      <c r="AY2" s="2388" t="inlineStr">
        <is>
          <t>cwigvb</t>
        </is>
      </c>
      <c r="AZ2" s="64" t="n"/>
      <c r="BA2" s="2389" t="inlineStr">
        <is>
          <t>Mevw` cï cvjb I †WBix dvg© e¨emvq</t>
        </is>
      </c>
      <c r="BB2" s="2390" t="inlineStr">
        <is>
          <t>`vg</t>
        </is>
      </c>
      <c r="BC2" s="2389" t="inlineStr">
        <is>
          <t>cwigvb</t>
        </is>
      </c>
      <c r="BD2" s="64" t="n"/>
      <c r="BE2" s="2372" t="inlineStr">
        <is>
          <t>cwëª GÛ d¨vUvwbs e¨emvq</t>
        </is>
      </c>
      <c r="BF2" s="2373" t="inlineStr">
        <is>
          <t>`vg</t>
        </is>
      </c>
      <c r="BG2" s="2374" t="inlineStr">
        <is>
          <t>cwigvb</t>
        </is>
      </c>
      <c r="BH2" s="64" t="n"/>
      <c r="BI2" s="2391" t="inlineStr">
        <is>
          <t>‰Zix †cvkvK wecYb e¨emv</t>
        </is>
      </c>
      <c r="BJ2" s="2370" t="inlineStr">
        <is>
          <t>`vg</t>
        </is>
      </c>
      <c r="BK2" s="2392" t="inlineStr">
        <is>
          <t>cwigvb</t>
        </is>
      </c>
      <c r="BL2" s="64" t="n"/>
      <c r="BM2" s="2389" t="inlineStr">
        <is>
          <t>Mv‡g©›Um mvgMÖx</t>
        </is>
      </c>
      <c r="BN2" s="2390" t="inlineStr">
        <is>
          <t>`vg</t>
        </is>
      </c>
      <c r="BO2" s="2393" t="inlineStr">
        <is>
          <t>cwigvb</t>
        </is>
      </c>
      <c r="BP2" s="2394" t="n"/>
      <c r="BQ2" s="2395" t="inlineStr">
        <is>
          <t>ivBP wgj I ZzlKvV e¨emvq</t>
        </is>
      </c>
      <c r="BR2" s="2396" t="inlineStr">
        <is>
          <t>`vg</t>
        </is>
      </c>
      <c r="BS2" s="2397" t="inlineStr">
        <is>
          <t>cwigvb</t>
        </is>
      </c>
      <c r="BT2" s="64" t="n"/>
      <c r="BU2" s="64" t="n"/>
      <c r="BV2" s="136" t="n"/>
      <c r="BW2" s="308" t="n"/>
      <c r="BX2" s="64" t="n"/>
      <c r="BY2" s="64" t="n"/>
      <c r="BZ2" s="64" t="n"/>
      <c r="CA2" s="64" t="n"/>
      <c r="CB2" s="64" t="n"/>
      <c r="CC2" s="64" t="n"/>
      <c r="CD2" s="64" t="n"/>
      <c r="CE2" s="64" t="n"/>
      <c r="CF2" s="64" t="n"/>
      <c r="CG2" s="64" t="n"/>
      <c r="CH2" s="64" t="n"/>
      <c r="CI2" s="64" t="n"/>
      <c r="CJ2" s="64" t="n"/>
      <c r="CK2" s="64" t="n"/>
      <c r="CL2" s="64" t="n"/>
      <c r="CM2" s="64" t="n"/>
      <c r="CN2" s="64" t="n"/>
      <c r="CO2" s="64" t="n"/>
    </row>
    <row r="3" ht="18" customHeight="1">
      <c r="A3" s="64" t="n"/>
      <c r="B3" s="2398" t="inlineStr">
        <is>
          <t>kvLvi †dvb bs</t>
        </is>
      </c>
      <c r="C3" s="2399" t="inlineStr">
        <is>
          <t>t</t>
        </is>
      </c>
      <c r="D3" s="2400" t="inlineStr">
        <is>
          <t>Mobile: 01730-708739</t>
        </is>
      </c>
      <c r="E3" s="64" t="n"/>
      <c r="F3" s="2401" t="n"/>
      <c r="G3" s="2402" t="n"/>
      <c r="H3" s="2403" t="n"/>
      <c r="I3" s="64" t="n"/>
      <c r="J3" s="2360" t="inlineStr">
        <is>
          <t xml:space="preserve"> †gŠRv</t>
        </is>
      </c>
      <c r="K3" s="2362" t="inlineStr">
        <is>
          <t xml:space="preserve">LwZqvb bs </t>
        </is>
      </c>
      <c r="L3" s="2362" t="inlineStr">
        <is>
          <t>`vM bs</t>
        </is>
      </c>
      <c r="M3" s="2404" t="inlineStr">
        <is>
          <t xml:space="preserve">Rwgi cwigvY </t>
        </is>
      </c>
      <c r="N3" s="2625" t="n"/>
      <c r="O3" s="64" t="n"/>
      <c r="P3" s="2626" t="n"/>
      <c r="Q3" s="2407" t="inlineStr">
        <is>
          <t>evwýK e¨envh© Jla</t>
        </is>
      </c>
      <c r="R3" s="2408" t="n">
        <v>130</v>
      </c>
      <c r="S3" s="2409" t="n"/>
      <c r="T3" s="64" t="n"/>
      <c r="U3" s="2410" t="inlineStr">
        <is>
          <t>BDwiqv (e¯Ív)</t>
        </is>
      </c>
      <c r="V3" s="2411" t="n">
        <v>1400</v>
      </c>
      <c r="W3" s="2411" t="n">
        <v>300</v>
      </c>
      <c r="X3" s="64" t="n"/>
      <c r="Y3" s="2412" t="inlineStr">
        <is>
          <t>_vb Kvco (wgt)</t>
        </is>
      </c>
      <c r="Z3" s="2413" t="n">
        <v>70</v>
      </c>
      <c r="AA3" s="2414" t="n"/>
      <c r="AB3" s="64" t="n"/>
      <c r="AC3" s="2375" t="inlineStr">
        <is>
          <t xml:space="preserve">mvB‡K‡ji hš¿vsk </t>
        </is>
      </c>
      <c r="AD3" s="2415" t="n">
        <v>100</v>
      </c>
      <c r="AE3" s="2416" t="n"/>
      <c r="AF3" s="64" t="n"/>
      <c r="AG3" s="2417" t="inlineStr">
        <is>
          <t>wewfbœ ai‡bi MvBW eB</t>
        </is>
      </c>
      <c r="AH3" s="2418" t="n">
        <v>350</v>
      </c>
      <c r="AI3" s="2419" t="n"/>
      <c r="AJ3" s="64" t="n"/>
      <c r="AK3" s="2380" t="inlineStr">
        <is>
          <t>wewfbœ ai‡Yi cwëª wdW</t>
        </is>
      </c>
      <c r="AL3" s="2420" t="n">
        <v>3000</v>
      </c>
      <c r="AM3" s="2380" t="n"/>
      <c r="AN3" s="64" t="n"/>
      <c r="AO3" s="2382" t="inlineStr">
        <is>
          <t>gyw` cb¨</t>
        </is>
      </c>
      <c r="AP3" s="2421" t="n">
        <v>150000</v>
      </c>
      <c r="AQ3" s="2382" t="n"/>
      <c r="AR3" s="64" t="n"/>
      <c r="AS3" s="2384" t="inlineStr">
        <is>
          <t>wewfbœ cÖKvi evQzi</t>
        </is>
      </c>
      <c r="AT3" s="2422" t="n">
        <v>25000</v>
      </c>
      <c r="AU3" s="2384" t="n"/>
      <c r="AV3" s="64" t="n"/>
      <c r="AW3" s="2401" t="inlineStr">
        <is>
          <t>cyKzi/‡Ni ms®‹vi</t>
        </is>
      </c>
      <c r="AX3" s="2423" t="n">
        <v>126500</v>
      </c>
      <c r="AY3" s="2424" t="n">
        <v>6.5</v>
      </c>
      <c r="AZ3" s="64" t="n"/>
      <c r="BA3" s="2389" t="inlineStr">
        <is>
          <t>wewfbœ cÖKvi evQzi</t>
        </is>
      </c>
      <c r="BB3" s="2390" t="n">
        <v>28000</v>
      </c>
      <c r="BC3" s="2389" t="n"/>
      <c r="BD3" s="64" t="n"/>
      <c r="BE3" s="2412" t="inlineStr">
        <is>
          <t>wewfbœ cÖKvi evQzi</t>
        </is>
      </c>
      <c r="BF3" s="2390" t="n">
        <v>60000</v>
      </c>
      <c r="BG3" s="2414" t="n"/>
      <c r="BH3" s="64" t="n"/>
      <c r="BI3" s="2425" t="inlineStr">
        <is>
          <t>wewfbœ ai‡bi ‡jwWm Rvgv</t>
        </is>
      </c>
      <c r="BJ3" s="2421" t="n">
        <v>850</v>
      </c>
      <c r="BK3" s="2411" t="n">
        <v>200</v>
      </c>
      <c r="BL3" s="64" t="n"/>
      <c r="BM3" s="2426" t="inlineStr">
        <is>
          <t>wRÝ c¨v›U  (†R›Um/‡jwWm)</t>
        </is>
      </c>
      <c r="BN3" s="2427" t="n">
        <v>670</v>
      </c>
      <c r="BO3" s="2427" t="n">
        <v>300</v>
      </c>
      <c r="BP3" s="2394" t="n"/>
      <c r="BQ3" s="2395" t="inlineStr">
        <is>
          <t>PvDj ‰Zixi KvPvgvj (e¯Ív cÖwZ)</t>
        </is>
      </c>
      <c r="BR3" s="2428" t="n">
        <v>1500</v>
      </c>
      <c r="BS3" s="2429" t="n">
        <v>5850</v>
      </c>
      <c r="BT3" s="64" t="n"/>
      <c r="BU3" s="2401" t="inlineStr">
        <is>
          <t>‡givgZ I ms¯‹vi (GKKvjxb)</t>
        </is>
      </c>
      <c r="BV3" s="2430" t="n">
        <v>700000</v>
      </c>
      <c r="BW3" s="2424" t="n">
        <v>1.5</v>
      </c>
      <c r="BX3" s="64" t="n"/>
      <c r="BY3" s="64" t="n"/>
      <c r="BZ3" s="64" t="n"/>
      <c r="CA3" s="64" t="n"/>
      <c r="CB3" s="64" t="n"/>
      <c r="CC3" s="64" t="n"/>
      <c r="CD3" s="64" t="n"/>
      <c r="CE3" s="64" t="n"/>
      <c r="CF3" s="64" t="n"/>
      <c r="CG3" s="64" t="n"/>
      <c r="CH3" s="64" t="n"/>
      <c r="CI3" s="64" t="n"/>
      <c r="CJ3" s="64" t="n"/>
      <c r="CK3" s="64" t="n"/>
      <c r="CL3" s="64" t="n"/>
      <c r="CM3" s="64" t="n"/>
      <c r="CN3" s="64" t="n"/>
      <c r="CO3" s="64" t="n"/>
    </row>
    <row r="4" ht="18" customHeight="1">
      <c r="A4" s="64" t="n"/>
      <c r="B4" s="2398" t="inlineStr">
        <is>
          <t>kvLvi B‡gBj</t>
        </is>
      </c>
      <c r="C4" s="2431" t="inlineStr">
        <is>
          <t>t</t>
        </is>
      </c>
      <c r="D4" s="2432" t="inlineStr">
        <is>
          <t>mgrsiddhirgonj@krishibank.org.bd</t>
        </is>
      </c>
      <c r="E4" s="64" t="n"/>
      <c r="F4" s="2401" t="n"/>
      <c r="G4" s="2402" t="n"/>
      <c r="H4" s="2403" t="n"/>
      <c r="I4" s="2433" t="n"/>
      <c r="J4" s="2434" t="n"/>
      <c r="K4" s="2435" t="n"/>
      <c r="L4" s="2435" t="n"/>
      <c r="M4" s="2436" t="n"/>
      <c r="N4" s="2437" t="n"/>
      <c r="O4" s="64" t="n"/>
      <c r="P4" s="2626" t="n"/>
      <c r="Q4" s="2407" t="inlineStr">
        <is>
          <t>wewfbœ cÖKvi U¨ve‡jU</t>
        </is>
      </c>
      <c r="R4" s="2408" t="n">
        <v>150</v>
      </c>
      <c r="S4" s="2409" t="n"/>
      <c r="T4" s="64" t="n"/>
      <c r="U4" s="2410" t="inlineStr">
        <is>
          <t>wUGmwc (e¯Ív)</t>
        </is>
      </c>
      <c r="V4" s="2411" t="n">
        <v>1500</v>
      </c>
      <c r="W4" s="2411" t="n">
        <v>250</v>
      </c>
      <c r="X4" s="64" t="n"/>
      <c r="Y4" s="2412" t="inlineStr">
        <is>
          <t>w_ªwcP (wcQ)</t>
        </is>
      </c>
      <c r="Z4" s="2413" t="n">
        <v>450</v>
      </c>
      <c r="AA4" s="2414" t="n"/>
      <c r="AB4" s="64" t="n"/>
      <c r="AC4" s="2375" t="inlineStr">
        <is>
          <t xml:space="preserve">f¨v‡bi hš¿vsk </t>
        </is>
      </c>
      <c r="AD4" s="2415" t="n">
        <v>100</v>
      </c>
      <c r="AE4" s="2416" t="n"/>
      <c r="AF4" s="64" t="n"/>
      <c r="AG4" s="2417" t="inlineStr">
        <is>
          <t>wewfbœ ai‡bi LvZv</t>
        </is>
      </c>
      <c r="AH4" s="2418" t="n">
        <v>200</v>
      </c>
      <c r="AI4" s="2419" t="n"/>
      <c r="AJ4" s="64" t="n"/>
      <c r="AK4" s="2380" t="inlineStr">
        <is>
          <t>ev”Qv</t>
        </is>
      </c>
      <c r="AL4" s="2420" t="n">
        <v>1000</v>
      </c>
      <c r="AM4" s="2380" t="n"/>
      <c r="AN4" s="64" t="n"/>
      <c r="AO4" s="2382" t="inlineStr">
        <is>
          <t>Km‡gwUK cb¨</t>
        </is>
      </c>
      <c r="AP4" s="2421" t="n">
        <v>100000</v>
      </c>
      <c r="AQ4" s="2382" t="n"/>
      <c r="AR4" s="64" t="n"/>
      <c r="AS4" s="2384" t="inlineStr">
        <is>
          <t>wewfbœ cÖKvi Mvfx</t>
        </is>
      </c>
      <c r="AT4" s="2422" t="n">
        <v>45000</v>
      </c>
      <c r="AU4" s="2384" t="n"/>
      <c r="AV4" s="64" t="n"/>
      <c r="AW4" s="2401" t="inlineStr">
        <is>
          <t>‰Re /A‰Re mvi I m¤úyiK Lv`¨</t>
        </is>
      </c>
      <c r="AX4" s="2423">
        <f>82500+16500</f>
        <v/>
      </c>
      <c r="AY4" s="2424" t="n">
        <v>6.5</v>
      </c>
      <c r="AZ4" s="64" t="n"/>
      <c r="BA4" s="2389" t="inlineStr">
        <is>
          <t>wewfbœ cÖKvi Mvfx</t>
        </is>
      </c>
      <c r="BB4" s="2390" t="n">
        <v>60000</v>
      </c>
      <c r="BC4" s="2389" t="n"/>
      <c r="BD4" s="64" t="n"/>
      <c r="BE4" s="2412" t="inlineStr">
        <is>
          <t>wewfbœ cÖKvi Mvfx</t>
        </is>
      </c>
      <c r="BF4" s="2390" t="n">
        <v>110000</v>
      </c>
      <c r="BG4" s="2414" t="n"/>
      <c r="BH4" s="64" t="n"/>
      <c r="BI4" s="2425" t="inlineStr">
        <is>
          <t>wewfbœ ai‡bi ‡jwWm cvqRvgv</t>
        </is>
      </c>
      <c r="BJ4" s="2421" t="n">
        <v>250</v>
      </c>
      <c r="BK4" s="2411" t="n">
        <v>100</v>
      </c>
      <c r="BL4" s="64" t="n"/>
      <c r="BM4" s="2426" t="inlineStr">
        <is>
          <t>kvU©</t>
        </is>
      </c>
      <c r="BN4" s="2427" t="n">
        <v>500</v>
      </c>
      <c r="BO4" s="2427" t="n">
        <v>320</v>
      </c>
      <c r="BP4" s="2394" t="n"/>
      <c r="BQ4" s="2395" t="inlineStr">
        <is>
          <t>cwienb LiP (e¯Ív cÖwZ)</t>
        </is>
      </c>
      <c r="BR4" s="2428" t="n">
        <v>100</v>
      </c>
      <c r="BS4" s="2429" t="n">
        <v>5850</v>
      </c>
      <c r="BT4" s="64" t="n"/>
      <c r="BU4" s="2401" t="inlineStr">
        <is>
          <t>wewfbœ ai‡Yi wdW (cÖwZ nvR‡i)</t>
        </is>
      </c>
      <c r="BV4" s="2430" t="n">
        <v>450000</v>
      </c>
      <c r="BW4" s="2424" t="n">
        <v>1.5</v>
      </c>
      <c r="BX4" s="64" t="n"/>
      <c r="BY4" s="64" t="n"/>
      <c r="BZ4" s="64" t="n"/>
      <c r="CA4" s="64" t="n"/>
      <c r="CB4" s="64" t="n"/>
      <c r="CC4" s="64" t="n"/>
      <c r="CD4" s="64" t="n"/>
      <c r="CE4" s="64" t="n"/>
      <c r="CF4" s="64" t="n"/>
      <c r="CG4" s="64" t="n"/>
      <c r="CH4" s="64" t="n"/>
      <c r="CI4" s="64" t="n"/>
      <c r="CJ4" s="64" t="n"/>
      <c r="CK4" s="64" t="n"/>
      <c r="CL4" s="64" t="n"/>
      <c r="CM4" s="64" t="n"/>
      <c r="CN4" s="64" t="n"/>
      <c r="CO4" s="64" t="n"/>
    </row>
    <row r="5" ht="18" customHeight="1">
      <c r="A5" s="64" t="n"/>
      <c r="B5" s="2438" t="inlineStr">
        <is>
          <t>FY †KBm bs</t>
        </is>
      </c>
      <c r="C5" s="2439" t="inlineStr">
        <is>
          <t>t</t>
        </is>
      </c>
      <c r="D5" s="2440" t="inlineStr">
        <is>
          <t xml:space="preserve">64(wmGgGmGgB)/2024-25 </t>
        </is>
      </c>
      <c r="E5" s="64" t="n"/>
      <c r="F5" s="2441" t="n"/>
      <c r="G5" s="2402" t="n"/>
      <c r="H5" s="2403" t="n"/>
      <c r="I5" s="64" t="n"/>
      <c r="J5" s="2434" t="n"/>
      <c r="K5" s="2442" t="n"/>
      <c r="L5" s="2443" t="n"/>
      <c r="M5" s="2444" t="n"/>
      <c r="N5" s="2445" t="n"/>
      <c r="O5" s="64" t="n"/>
      <c r="P5" s="2626" t="n"/>
      <c r="Q5" s="2407" t="inlineStr">
        <is>
          <t>wewfbœ cÖKvi K¨vcmyj</t>
        </is>
      </c>
      <c r="R5" s="2408" t="n">
        <v>180</v>
      </c>
      <c r="S5" s="2409" t="n"/>
      <c r="T5" s="64" t="n"/>
      <c r="U5" s="2410" t="inlineStr">
        <is>
          <t>GgIwc (e¯Ív)</t>
        </is>
      </c>
      <c r="V5" s="2411" t="n">
        <v>1400</v>
      </c>
      <c r="W5" s="2411" t="n">
        <v>200</v>
      </c>
      <c r="X5" s="64" t="n"/>
      <c r="Y5" s="2412" t="inlineStr">
        <is>
          <t>Qvcv kvwo (wcQ)</t>
        </is>
      </c>
      <c r="Z5" s="2413" t="n">
        <v>280</v>
      </c>
      <c r="AA5" s="2414" t="n"/>
      <c r="AB5" s="64" t="n"/>
      <c r="AC5" s="2416" t="inlineStr">
        <is>
          <t>Ab¨vb¨ Uzjm</t>
        </is>
      </c>
      <c r="AD5" s="2415" t="n">
        <v>100</v>
      </c>
      <c r="AE5" s="2416" t="n"/>
      <c r="AF5" s="64" t="n"/>
      <c r="AG5" s="2417" t="inlineStr">
        <is>
          <t>wewfbœ ai‡bi ‡óbvix</t>
        </is>
      </c>
      <c r="AH5" s="2418" t="n">
        <v>120</v>
      </c>
      <c r="AI5" s="2419" t="n"/>
      <c r="AJ5" s="64" t="n"/>
      <c r="AK5" s="2380" t="inlineStr">
        <is>
          <t>&amp;Jla</t>
        </is>
      </c>
      <c r="AL5" s="2420" t="n">
        <v>5000</v>
      </c>
      <c r="AM5" s="2380" t="n"/>
      <c r="AN5" s="64" t="n"/>
      <c r="AO5" s="2382" t="inlineStr">
        <is>
          <t>nvW©Iqvi cb¨</t>
        </is>
      </c>
      <c r="AP5" s="2421" t="n">
        <v>150000</v>
      </c>
      <c r="AQ5" s="2382" t="n"/>
      <c r="AR5" s="64" t="n"/>
      <c r="AS5" s="2384" t="n"/>
      <c r="AT5" s="2385" t="n"/>
      <c r="AU5" s="2384" t="n"/>
      <c r="AV5" s="64" t="n"/>
      <c r="AW5" s="2401" t="inlineStr">
        <is>
          <t>hš¿cvwZ/cvwbi cv®ú</t>
        </is>
      </c>
      <c r="AX5" s="2423" t="n">
        <v>110000</v>
      </c>
      <c r="AY5" s="2424" t="n">
        <v>6.5</v>
      </c>
      <c r="AZ5" s="64" t="n"/>
      <c r="BA5" s="2389" t="inlineStr">
        <is>
          <t>Miæi Lvevi</t>
        </is>
      </c>
      <c r="BB5" s="2390" t="n">
        <v>42000</v>
      </c>
      <c r="BC5" s="2389" t="n"/>
      <c r="BD5" s="64" t="n"/>
      <c r="BE5" s="2412" t="inlineStr">
        <is>
          <t>Miæi Lvevi</t>
        </is>
      </c>
      <c r="BF5" s="2390" t="n">
        <v>42000</v>
      </c>
      <c r="BG5" s="2414" t="n"/>
      <c r="BH5" s="64" t="n"/>
      <c r="BI5" s="2425" t="inlineStr">
        <is>
          <t>wewfbœ ai‡bi ‡jwWm Iobv</t>
        </is>
      </c>
      <c r="BJ5" s="2421" t="n">
        <v>200</v>
      </c>
      <c r="BK5" s="2411" t="n">
        <v>100</v>
      </c>
      <c r="BL5" s="64" t="n"/>
      <c r="BM5" s="2426" t="inlineStr">
        <is>
          <t>kvwo -wmé/mywZ/wcÖ›U (wcQ)</t>
        </is>
      </c>
      <c r="BN5" s="2427" t="n">
        <v>750</v>
      </c>
      <c r="BO5" s="2427" t="n">
        <v>180</v>
      </c>
      <c r="BP5" s="2394" t="n"/>
      <c r="BQ5" s="2395" t="inlineStr">
        <is>
          <t>we`¨yZ I R¡jvbx LiP (cÖwZ P‡µ)</t>
        </is>
      </c>
      <c r="BR5" s="2428" t="n">
        <v>105000</v>
      </c>
      <c r="BS5" s="2429" t="n">
        <v>1</v>
      </c>
      <c r="BT5" s="64" t="n"/>
      <c r="BU5" s="2441" t="inlineStr">
        <is>
          <t>ev”Qv µq  (cÖwZ nvR‡i)</t>
        </is>
      </c>
      <c r="BV5" s="2430" t="n">
        <v>40000</v>
      </c>
      <c r="BW5" s="2424" t="n">
        <v>1.5</v>
      </c>
      <c r="BX5" s="64" t="n"/>
      <c r="BY5" s="64" t="n"/>
      <c r="BZ5" s="64" t="n"/>
      <c r="CA5" s="64" t="n"/>
      <c r="CB5" s="64" t="n"/>
      <c r="CC5" s="64" t="n"/>
      <c r="CD5" s="64" t="n"/>
      <c r="CE5" s="64" t="n"/>
      <c r="CF5" s="64" t="n"/>
      <c r="CG5" s="64" t="n"/>
      <c r="CH5" s="64" t="n"/>
      <c r="CI5" s="64" t="n"/>
      <c r="CJ5" s="64" t="n"/>
      <c r="CK5" s="64" t="n"/>
      <c r="CL5" s="64" t="n"/>
      <c r="CM5" s="64" t="n"/>
      <c r="CN5" s="64" t="n"/>
      <c r="CO5" s="64" t="n"/>
    </row>
    <row r="6" ht="18" customHeight="1">
      <c r="A6" s="64" t="n"/>
      <c r="B6" s="2398" t="inlineStr">
        <is>
          <t>gvVKg©KZ©vi bvg</t>
        </is>
      </c>
      <c r="C6" s="2446" t="inlineStr">
        <is>
          <t>t</t>
        </is>
      </c>
      <c r="D6" s="2447" t="inlineStr">
        <is>
          <t>‡gvt AvwRRyj nK</t>
        </is>
      </c>
      <c r="E6" s="64" t="n"/>
      <c r="F6" s="2441" t="n"/>
      <c r="G6" s="2402" t="n"/>
      <c r="H6" s="2403" t="n"/>
      <c r="I6" s="64" t="n"/>
      <c r="J6" s="2434" t="n"/>
      <c r="K6" s="2448" t="n"/>
      <c r="L6" s="2449" t="n"/>
      <c r="M6" s="2444" t="n"/>
      <c r="N6" s="2450" t="n"/>
      <c r="O6" s="64" t="n"/>
      <c r="P6" s="2626" t="n"/>
      <c r="Q6" s="2407" t="n"/>
      <c r="R6" s="2408" t="n"/>
      <c r="S6" s="2409" t="n"/>
      <c r="T6" s="64" t="n"/>
      <c r="U6" s="2410" t="n"/>
      <c r="V6" s="2411" t="n"/>
      <c r="W6" s="2451" t="n"/>
      <c r="X6" s="64" t="n"/>
      <c r="Y6" s="2412" t="n"/>
      <c r="Z6" s="2390" t="n"/>
      <c r="AA6" s="2414" t="n"/>
      <c r="AB6" s="64" t="n"/>
      <c r="AC6" s="2416" t="n"/>
      <c r="AD6" s="2452" t="n"/>
      <c r="AE6" s="2416" t="n"/>
      <c r="AF6" s="64" t="n"/>
      <c r="AG6" s="2417" t="n"/>
      <c r="AH6" s="2453" t="n"/>
      <c r="AI6" s="2419" t="n"/>
      <c r="AJ6" s="64" t="n"/>
      <c r="AK6" s="2380" t="n"/>
      <c r="AL6" s="2381" t="n"/>
      <c r="AM6" s="2380" t="n"/>
      <c r="AN6" s="64" t="n"/>
      <c r="AO6" s="2382" t="n"/>
      <c r="AP6" s="2383" t="n"/>
      <c r="AQ6" s="2382" t="n"/>
      <c r="AR6" s="64" t="n"/>
      <c r="AS6" s="2384" t="n"/>
      <c r="AT6" s="2385" t="n"/>
      <c r="AU6" s="2384" t="n"/>
      <c r="AV6" s="64" t="n"/>
      <c r="AW6" s="2401" t="n"/>
      <c r="AX6" s="2423" t="n"/>
      <c r="AY6" s="2454" t="n"/>
      <c r="AZ6" s="64" t="n"/>
      <c r="BA6" s="2389" t="n"/>
      <c r="BB6" s="2390" t="n"/>
      <c r="BC6" s="2389" t="n"/>
      <c r="BD6" s="64" t="n"/>
      <c r="BE6" s="2412" t="n"/>
      <c r="BF6" s="2390" t="n"/>
      <c r="BG6" s="2414" t="n"/>
      <c r="BH6" s="64" t="n"/>
      <c r="BI6" s="2425" t="n"/>
      <c r="BJ6" s="2383" t="n"/>
      <c r="BK6" s="2451" t="n"/>
      <c r="BL6" s="64" t="n"/>
      <c r="BM6" s="2426" t="n"/>
      <c r="BN6" s="2455" t="n"/>
      <c r="BO6" s="2455" t="n"/>
      <c r="BP6" s="2394" t="n"/>
      <c r="BQ6" s="2395" t="n"/>
      <c r="BR6" s="2396" t="n"/>
      <c r="BS6" s="2397" t="n"/>
      <c r="BT6" s="64" t="n"/>
      <c r="BU6" s="2441" t="n"/>
      <c r="BV6" s="2387" t="n"/>
      <c r="BW6" s="2454" t="n"/>
      <c r="BX6" s="64" t="n"/>
      <c r="BY6" s="64" t="n"/>
      <c r="BZ6" s="64" t="n"/>
      <c r="CA6" s="64" t="n"/>
      <c r="CB6" s="64" t="n"/>
      <c r="CC6" s="64" t="n"/>
      <c r="CD6" s="64" t="n"/>
      <c r="CE6" s="64" t="n"/>
      <c r="CF6" s="64" t="n"/>
      <c r="CG6" s="64" t="n"/>
      <c r="CH6" s="64" t="n"/>
      <c r="CI6" s="64" t="n"/>
      <c r="CJ6" s="64" t="n"/>
      <c r="CK6" s="64" t="n"/>
      <c r="CL6" s="64" t="n"/>
      <c r="CM6" s="64" t="n"/>
      <c r="CN6" s="64" t="n"/>
      <c r="CO6" s="64" t="n"/>
    </row>
    <row r="7" ht="18" customHeight="1">
      <c r="A7" s="64" t="n"/>
      <c r="B7" s="2398" t="inlineStr">
        <is>
          <t>c`ex</t>
        </is>
      </c>
      <c r="C7" s="2446" t="inlineStr">
        <is>
          <t>t</t>
        </is>
      </c>
      <c r="D7" s="2447" t="inlineStr">
        <is>
          <t>DaŸ©Zb Kg©KZ©v</t>
        </is>
      </c>
      <c r="E7" s="64" t="n"/>
      <c r="F7" s="2441" t="n"/>
      <c r="G7" s="2402" t="n"/>
      <c r="H7" s="2403" t="n"/>
      <c r="I7" s="64" t="n"/>
      <c r="J7" s="2434" t="n"/>
      <c r="K7" s="2448" t="n"/>
      <c r="L7" s="2449" t="n"/>
      <c r="M7" s="2444" t="n"/>
      <c r="N7" s="2450" t="n"/>
      <c r="O7" s="64" t="n"/>
      <c r="P7" s="2626" t="n"/>
      <c r="Q7" s="2407" t="n"/>
      <c r="R7" s="2408" t="n"/>
      <c r="S7" s="2409" t="n"/>
      <c r="T7" s="64" t="n"/>
      <c r="U7" s="2410" t="n"/>
      <c r="V7" s="2411" t="n"/>
      <c r="W7" s="2451" t="n"/>
      <c r="X7" s="64" t="n"/>
      <c r="Y7" s="2412" t="n"/>
      <c r="Z7" s="2390" t="n"/>
      <c r="AA7" s="2414" t="n"/>
      <c r="AB7" s="64" t="n"/>
      <c r="AC7" s="2416" t="n"/>
      <c r="AD7" s="2452" t="n"/>
      <c r="AE7" s="2416" t="n"/>
      <c r="AF7" s="64" t="n"/>
      <c r="AG7" s="2417" t="n"/>
      <c r="AH7" s="2453" t="n"/>
      <c r="AI7" s="2419" t="n"/>
      <c r="AJ7" s="64" t="n"/>
      <c r="AK7" s="2380" t="n"/>
      <c r="AL7" s="2381" t="n"/>
      <c r="AM7" s="2380" t="n"/>
      <c r="AN7" s="64" t="n"/>
      <c r="AO7" s="2382" t="n"/>
      <c r="AP7" s="2383" t="n"/>
      <c r="AQ7" s="2382" t="n"/>
      <c r="AR7" s="64" t="n"/>
      <c r="AS7" s="2384" t="n"/>
      <c r="AT7" s="2385" t="n"/>
      <c r="AU7" s="2384" t="n"/>
      <c r="AV7" s="64" t="n"/>
      <c r="AW7" s="2401" t="n"/>
      <c r="AX7" s="2423" t="n"/>
      <c r="AY7" s="2454" t="n"/>
      <c r="AZ7" s="64" t="n"/>
      <c r="BA7" s="2389" t="n"/>
      <c r="BB7" s="2390" t="n"/>
      <c r="BC7" s="2389" t="n"/>
      <c r="BD7" s="64" t="n"/>
      <c r="BE7" s="2412" t="n"/>
      <c r="BF7" s="2390" t="n"/>
      <c r="BG7" s="2414" t="n"/>
      <c r="BH7" s="64" t="n"/>
      <c r="BI7" s="2425" t="n"/>
      <c r="BJ7" s="2383" t="n"/>
      <c r="BK7" s="2451" t="n"/>
      <c r="BL7" s="64" t="n"/>
      <c r="BM7" s="2426" t="n"/>
      <c r="BN7" s="2455" t="n"/>
      <c r="BO7" s="2455" t="n"/>
      <c r="BP7" s="2394" t="n"/>
      <c r="BQ7" s="2395" t="n"/>
      <c r="BR7" s="2396" t="n"/>
      <c r="BS7" s="2397" t="n"/>
      <c r="BT7" s="64" t="n"/>
      <c r="BU7" s="2441" t="n"/>
      <c r="BV7" s="2387" t="n"/>
      <c r="BW7" s="2454" t="n"/>
      <c r="BX7" s="64" t="n"/>
      <c r="BY7" s="64" t="n"/>
      <c r="BZ7" s="64" t="n"/>
      <c r="CA7" s="64" t="n"/>
      <c r="CB7" s="64" t="n"/>
      <c r="CC7" s="64" t="n"/>
      <c r="CD7" s="64" t="n"/>
      <c r="CE7" s="64" t="n"/>
      <c r="CF7" s="64" t="n"/>
      <c r="CG7" s="64" t="n"/>
      <c r="CH7" s="64" t="n"/>
      <c r="CI7" s="64" t="n"/>
      <c r="CJ7" s="64" t="n"/>
      <c r="CK7" s="64" t="n"/>
      <c r="CL7" s="64" t="n"/>
      <c r="CM7" s="64" t="n"/>
      <c r="CN7" s="64" t="n"/>
      <c r="CO7" s="64" t="n"/>
    </row>
    <row r="8" ht="16.5" customHeight="1">
      <c r="A8" s="64" t="n"/>
      <c r="B8" s="2398" t="inlineStr">
        <is>
          <t>cÖK‡íi bvg</t>
        </is>
      </c>
      <c r="C8" s="2446" t="inlineStr">
        <is>
          <t>t</t>
        </is>
      </c>
      <c r="D8" s="2456" t="inlineStr">
        <is>
          <t>‡gmvm© mvbd¬vIqvi †UBjvm© GÛ †dweªK&amp;ª</t>
        </is>
      </c>
      <c r="E8" s="64" t="n"/>
      <c r="F8" s="2441" t="n"/>
      <c r="G8" s="2402" t="n"/>
      <c r="H8" s="2403" t="n"/>
      <c r="I8" s="64" t="n"/>
      <c r="J8" s="2434" t="n"/>
      <c r="K8" s="2448" t="n"/>
      <c r="L8" s="2449" t="n"/>
      <c r="M8" s="2444" t="n"/>
      <c r="N8" s="2450" t="n"/>
      <c r="O8" s="64" t="n"/>
      <c r="P8" s="2626" t="n"/>
      <c r="Q8" s="2407" t="inlineStr">
        <is>
          <t>wewfbœ cÖKvi wmivc</t>
        </is>
      </c>
      <c r="R8" s="2408" t="n">
        <v>60</v>
      </c>
      <c r="S8" s="2409" t="n"/>
      <c r="T8" s="64" t="n"/>
      <c r="U8" s="2457" t="inlineStr">
        <is>
          <t>wWGwc (e¯Ív)</t>
        </is>
      </c>
      <c r="V8" s="2411" t="n">
        <v>1500</v>
      </c>
      <c r="W8" s="2411" t="n">
        <v>250</v>
      </c>
      <c r="X8" s="64" t="n"/>
      <c r="Y8" s="2412" t="inlineStr">
        <is>
          <t>wcÖ‡›Ui kvwo (wcQ)</t>
        </is>
      </c>
      <c r="Z8" s="2413" t="n">
        <v>250</v>
      </c>
      <c r="AA8" s="2414" t="n"/>
      <c r="AB8" s="64" t="n"/>
      <c r="AC8" s="2416" t="inlineStr">
        <is>
          <t>‡givgZ</t>
        </is>
      </c>
      <c r="AD8" s="2415" t="n">
        <v>100</v>
      </c>
      <c r="AE8" s="2416" t="n"/>
      <c r="AF8" s="64" t="n"/>
      <c r="AG8" s="2417" t="inlineStr">
        <is>
          <t>-</t>
        </is>
      </c>
      <c r="AH8" s="2453" t="inlineStr">
        <is>
          <t>-</t>
        </is>
      </c>
      <c r="AI8" s="2419" t="n"/>
      <c r="AJ8" s="64" t="n"/>
      <c r="AK8" s="2380" t="n"/>
      <c r="AL8" s="2381" t="n"/>
      <c r="AM8" s="2380" t="n"/>
      <c r="AN8" s="64" t="n"/>
      <c r="AO8" s="2382" t="inlineStr">
        <is>
          <t>K…wl cb¨</t>
        </is>
      </c>
      <c r="AP8" s="2421" t="n">
        <v>100000</v>
      </c>
      <c r="AQ8" s="2382" t="n"/>
      <c r="AR8" s="64" t="n"/>
      <c r="AS8" s="2384" t="n"/>
      <c r="AT8" s="2385" t="n"/>
      <c r="AU8" s="2384" t="n"/>
      <c r="AV8" s="64" t="n"/>
      <c r="AW8" s="2441" t="inlineStr">
        <is>
          <t>Jla/RxevbybvkK</t>
        </is>
      </c>
      <c r="AX8" s="2423">
        <f>16500+22000</f>
        <v/>
      </c>
      <c r="AY8" s="2424" t="n">
        <v>6.5</v>
      </c>
      <c r="AZ8" s="64" t="n"/>
      <c r="BA8" s="2389" t="inlineStr">
        <is>
          <t>Jla I Ab¨vb¨ mvgMÖx</t>
        </is>
      </c>
      <c r="BB8" s="2390" t="n">
        <v>35000</v>
      </c>
      <c r="BC8" s="2389" t="n"/>
      <c r="BD8" s="64" t="n"/>
      <c r="BE8" s="2412" t="inlineStr">
        <is>
          <t>Jla I Ab¨vb¨ mvgMÖx</t>
        </is>
      </c>
      <c r="BF8" s="2390" t="n">
        <v>35000</v>
      </c>
      <c r="BG8" s="2414" t="n"/>
      <c r="BH8" s="64" t="n"/>
      <c r="BI8" s="2458" t="inlineStr">
        <is>
          <t>wewfbœ ai‡bi dzjnvZv kvU©</t>
        </is>
      </c>
      <c r="BJ8" s="2459" t="n">
        <v>550</v>
      </c>
      <c r="BK8" s="2411" t="n">
        <v>100</v>
      </c>
      <c r="BL8" s="64" t="n"/>
      <c r="BM8" s="2426" t="inlineStr">
        <is>
          <t>kvwo -‡ebviwm/KvZvb (wcQ)</t>
        </is>
      </c>
      <c r="BN8" s="2427" t="n">
        <v>900</v>
      </c>
      <c r="BO8" s="2427" t="n">
        <v>350</v>
      </c>
      <c r="BP8" s="2394" t="n"/>
      <c r="BQ8" s="2395" t="inlineStr">
        <is>
          <t>LyPiv hš¿vsk I iÿbv‡eÿY LiP (cÖwZ P‡µ)</t>
        </is>
      </c>
      <c r="BR8" s="2428" t="n">
        <v>30000</v>
      </c>
      <c r="BS8" s="2429" t="n">
        <v>1</v>
      </c>
      <c r="BT8" s="64" t="n"/>
      <c r="BU8" s="2441" t="inlineStr">
        <is>
          <t>wdWvi I cvwbi cvÎ µq</t>
        </is>
      </c>
      <c r="BV8" s="2430" t="n">
        <v>20000</v>
      </c>
      <c r="BW8" s="2424" t="n">
        <v>1.5</v>
      </c>
      <c r="BX8" s="64" t="n"/>
      <c r="BY8" s="64" t="n"/>
      <c r="BZ8" s="64" t="n"/>
      <c r="CA8" s="64" t="n"/>
      <c r="CB8" s="64" t="n"/>
      <c r="CC8" s="64" t="n"/>
      <c r="CD8" s="64" t="n"/>
      <c r="CE8" s="64" t="n"/>
      <c r="CF8" s="64" t="n"/>
      <c r="CG8" s="64" t="n"/>
      <c r="CH8" s="64" t="n"/>
      <c r="CI8" s="64" t="n"/>
      <c r="CJ8" s="64" t="n"/>
      <c r="CK8" s="64" t="n"/>
      <c r="CL8" s="64" t="n"/>
      <c r="CM8" s="64" t="n"/>
      <c r="CN8" s="64" t="n"/>
      <c r="CO8" s="64" t="n"/>
    </row>
    <row r="9" ht="16.5" customHeight="1">
      <c r="A9" s="64" t="n"/>
      <c r="B9" s="2398" t="inlineStr">
        <is>
          <t>cÖK‡íi Ae¯’vb/wVKvbv</t>
        </is>
      </c>
      <c r="C9" s="2446" t="inlineStr">
        <is>
          <t>t</t>
        </is>
      </c>
      <c r="D9" s="2456" t="inlineStr">
        <is>
          <t>`vcv B`ªvKcyi, dZzjøv, bvivqYMÄ</t>
        </is>
      </c>
      <c r="E9" s="64" t="n"/>
      <c r="F9" s="2441" t="n"/>
      <c r="G9" s="2402" t="n"/>
      <c r="H9" s="2403" t="n"/>
      <c r="I9" s="64" t="n"/>
      <c r="J9" s="2434" t="n"/>
      <c r="K9" s="2448" t="n"/>
      <c r="L9" s="2449" t="n"/>
      <c r="M9" s="2444" t="n"/>
      <c r="N9" s="2450" t="n"/>
      <c r="O9" s="64" t="n"/>
      <c r="P9" s="2626" t="n"/>
      <c r="Q9" s="2407" t="inlineStr">
        <is>
          <t>wewfbœ cÖKvi Bb‡RKkb</t>
        </is>
      </c>
      <c r="R9" s="2460" t="n">
        <v>180</v>
      </c>
      <c r="S9" s="2461" t="n"/>
      <c r="T9" s="64" t="n"/>
      <c r="U9" s="2457" t="inlineStr">
        <is>
          <t>BbwRwbqvm -eªvÛ wmgjv KxUbvkK</t>
        </is>
      </c>
      <c r="V9" s="2411" t="n">
        <v>4150</v>
      </c>
      <c r="W9" s="2411" t="n">
        <v>20</v>
      </c>
      <c r="X9" s="64" t="n"/>
      <c r="Y9" s="2412" t="inlineStr">
        <is>
          <t>jyw½ (wcQ)</t>
        </is>
      </c>
      <c r="Z9" s="2413" t="n">
        <v>250</v>
      </c>
      <c r="AA9" s="2414" t="n"/>
      <c r="AB9" s="64" t="n"/>
      <c r="AC9" s="2416" t="inlineStr">
        <is>
          <t>-</t>
        </is>
      </c>
      <c r="AD9" s="2452" t="inlineStr">
        <is>
          <t>-</t>
        </is>
      </c>
      <c r="AE9" s="2416" t="n"/>
      <c r="AF9" s="64" t="n"/>
      <c r="AG9" s="2417" t="inlineStr">
        <is>
          <t>-</t>
        </is>
      </c>
      <c r="AH9" s="2453" t="inlineStr">
        <is>
          <t>-</t>
        </is>
      </c>
      <c r="AI9" s="2419" t="n"/>
      <c r="AJ9" s="64" t="n"/>
      <c r="AK9" s="2462" t="n"/>
      <c r="AL9" s="2463" t="n"/>
      <c r="AM9" s="2462" t="n"/>
      <c r="AN9" s="64" t="n"/>
      <c r="AO9" s="2382" t="n"/>
      <c r="AP9" s="2383" t="n"/>
      <c r="AQ9" s="2382" t="n"/>
      <c r="AR9" s="64" t="n"/>
      <c r="AS9" s="2384" t="n"/>
      <c r="AT9" s="2385" t="n"/>
      <c r="AU9" s="2384" t="n"/>
      <c r="AV9" s="64" t="n"/>
      <c r="AW9" s="2441" t="inlineStr">
        <is>
          <t>‡cvbv µq</t>
        </is>
      </c>
      <c r="AX9" s="2423" t="n">
        <v>39600</v>
      </c>
      <c r="AY9" s="2424" t="n">
        <v>6.5</v>
      </c>
      <c r="AZ9" s="64" t="n"/>
      <c r="BA9" s="2389" t="inlineStr">
        <is>
          <t>Miæi Ni †givgZ</t>
        </is>
      </c>
      <c r="BB9" s="2390" t="n">
        <v>25000</v>
      </c>
      <c r="BC9" s="2389" t="n"/>
      <c r="BD9" s="64" t="n"/>
      <c r="BE9" s="2412" t="inlineStr">
        <is>
          <t>†givgZ</t>
        </is>
      </c>
      <c r="BF9" s="2390" t="n">
        <v>25000</v>
      </c>
      <c r="BG9" s="2414" t="n"/>
      <c r="BH9" s="64" t="n"/>
      <c r="BI9" s="2458" t="inlineStr">
        <is>
          <t>wewfbœ ai‡bi ‡R›Um c¨v›U</t>
        </is>
      </c>
      <c r="BJ9" s="2459" t="n">
        <v>450</v>
      </c>
      <c r="BK9" s="2411" t="n">
        <v>100</v>
      </c>
      <c r="BL9" s="64" t="n"/>
      <c r="BM9" s="2426" t="inlineStr">
        <is>
          <t>cvÄvex (wcQ)</t>
        </is>
      </c>
      <c r="BN9" s="2427" t="n">
        <v>600</v>
      </c>
      <c r="BO9" s="2427" t="n">
        <v>250</v>
      </c>
      <c r="BP9" s="2394" t="n"/>
      <c r="BQ9" s="2395" t="inlineStr">
        <is>
          <t>gRyix I †eZb (cÖwZ P‡µ)</t>
        </is>
      </c>
      <c r="BR9" s="2428" t="n">
        <v>270000</v>
      </c>
      <c r="BS9" s="2429" t="n">
        <v>1</v>
      </c>
      <c r="BT9" s="600" t="n"/>
      <c r="BU9" s="2441" t="inlineStr">
        <is>
          <t>wUKv, Jla I wfUvwgb µq</t>
        </is>
      </c>
      <c r="BV9" s="2430" t="n">
        <v>5000</v>
      </c>
      <c r="BW9" s="2424" t="n">
        <v>1.5</v>
      </c>
      <c r="BX9" s="600" t="n"/>
      <c r="BY9" s="600" t="n"/>
      <c r="BZ9" s="600" t="n"/>
      <c r="CA9" s="600" t="n"/>
      <c r="CB9" s="600" t="n"/>
      <c r="CC9" s="600" t="n"/>
      <c r="CD9" s="600" t="n"/>
      <c r="CE9" s="600" t="n"/>
      <c r="CF9" s="600" t="n"/>
      <c r="CG9" s="600" t="n"/>
      <c r="CH9" s="600" t="n"/>
      <c r="CI9" s="600" t="n"/>
      <c r="CJ9" s="600" t="n"/>
      <c r="CK9" s="600" t="n"/>
      <c r="CL9" s="600" t="n"/>
      <c r="CM9" s="600" t="n"/>
      <c r="CN9" s="600" t="n"/>
      <c r="CO9" s="600" t="n"/>
    </row>
    <row r="10" ht="16.5" customHeight="1">
      <c r="A10" s="64" t="n"/>
      <c r="B10" s="2398" t="inlineStr">
        <is>
          <t>cÖK‡íi aiY</t>
        </is>
      </c>
      <c r="C10" s="2446" t="inlineStr">
        <is>
          <t>t</t>
        </is>
      </c>
      <c r="D10" s="2464" t="inlineStr">
        <is>
          <t>gyw` cY¨ e¨emv</t>
        </is>
      </c>
      <c r="E10" s="64" t="n"/>
      <c r="F10" s="2441" t="n"/>
      <c r="G10" s="2402" t="n"/>
      <c r="H10" s="2403" t="n"/>
      <c r="I10" s="64" t="n"/>
      <c r="J10" s="2434" t="n"/>
      <c r="K10" s="2448" t="n"/>
      <c r="L10" s="2449" t="n"/>
      <c r="M10" s="2444" t="n"/>
      <c r="N10" s="2450" t="n"/>
      <c r="O10" s="64" t="n"/>
      <c r="P10" s="2626" t="n"/>
      <c r="Q10" s="2407" t="inlineStr">
        <is>
          <t>Ab¨vb¨ Jla</t>
        </is>
      </c>
      <c r="R10" s="2460" t="n">
        <v>100</v>
      </c>
      <c r="S10" s="2461" t="n"/>
      <c r="T10" s="64" t="n"/>
      <c r="U10" s="2457" t="inlineStr">
        <is>
          <t>BbwRwbqvm -eªvÛ ‡døv‡iÝ KxUbvkK</t>
        </is>
      </c>
      <c r="V10" s="2411" t="n">
        <v>4200</v>
      </c>
      <c r="W10" s="2411" t="n">
        <v>15</v>
      </c>
      <c r="X10" s="64" t="n"/>
      <c r="Y10" s="2412" t="inlineStr">
        <is>
          <t>MvgQv (wcQ)</t>
        </is>
      </c>
      <c r="Z10" s="2413" t="n">
        <v>70</v>
      </c>
      <c r="AA10" s="2414" t="n"/>
      <c r="AB10" s="64" t="n"/>
      <c r="AC10" s="2416" t="inlineStr">
        <is>
          <t>-</t>
        </is>
      </c>
      <c r="AD10" s="2452" t="inlineStr">
        <is>
          <t>-</t>
        </is>
      </c>
      <c r="AE10" s="2416" t="n"/>
      <c r="AF10" s="64" t="n"/>
      <c r="AG10" s="2417" t="inlineStr">
        <is>
          <t>-</t>
        </is>
      </c>
      <c r="AH10" s="2453" t="inlineStr">
        <is>
          <t>-</t>
        </is>
      </c>
      <c r="AI10" s="2419" t="n"/>
      <c r="AJ10" s="64" t="n"/>
      <c r="AK10" s="2462" t="n"/>
      <c r="AL10" s="2463" t="n"/>
      <c r="AM10" s="2462" t="n"/>
      <c r="AN10" s="64" t="n"/>
      <c r="AO10" s="2382" t="n"/>
      <c r="AP10" s="2383" t="n"/>
      <c r="AQ10" s="2382" t="n"/>
      <c r="AR10" s="64" t="n"/>
      <c r="AS10" s="2465" t="n"/>
      <c r="AT10" s="2466" t="n"/>
      <c r="AU10" s="2465" t="n"/>
      <c r="AV10" s="64" t="n"/>
      <c r="AW10" s="2441" t="inlineStr">
        <is>
          <t>kÖwgK I gRywi</t>
        </is>
      </c>
      <c r="AX10" s="2423" t="n">
        <v>44000</v>
      </c>
      <c r="AY10" s="2424" t="n">
        <v>6.5</v>
      </c>
      <c r="AZ10" s="64" t="n"/>
      <c r="BA10" s="2389" t="inlineStr">
        <is>
          <t>ivLvj LiP</t>
        </is>
      </c>
      <c r="BB10" s="2390" t="inlineStr">
        <is>
          <t>-</t>
        </is>
      </c>
      <c r="BC10" s="2389" t="n"/>
      <c r="BD10" s="64" t="n"/>
      <c r="BE10" s="2412" t="inlineStr">
        <is>
          <t>‡cvëªi ev”Qv</t>
        </is>
      </c>
      <c r="BF10" s="2390" t="n">
        <v>1600</v>
      </c>
      <c r="BG10" s="2414" t="n"/>
      <c r="BH10" s="64" t="n"/>
      <c r="BI10" s="2458" t="inlineStr">
        <is>
          <t>wewfbœ emqx wkï‡`i ‰Zix †cvkvK</t>
        </is>
      </c>
      <c r="BJ10" s="2459" t="n">
        <v>650</v>
      </c>
      <c r="BK10" s="2411" t="n">
        <v>100</v>
      </c>
      <c r="BL10" s="64" t="n"/>
      <c r="BM10" s="2426" t="inlineStr">
        <is>
          <t>Mv‡g©›Um mvgMÖx</t>
        </is>
      </c>
      <c r="BN10" s="2427" t="n">
        <v>750</v>
      </c>
      <c r="BO10" s="2427" t="n">
        <v>400</v>
      </c>
      <c r="BP10" s="2394" t="n"/>
      <c r="BQ10" s="2395" t="inlineStr">
        <is>
          <t>wewea e¨q (cÖwZ P‡µ)</t>
        </is>
      </c>
      <c r="BR10" s="2428" t="n">
        <v>60000</v>
      </c>
      <c r="BS10" s="2429" t="n">
        <v>1</v>
      </c>
      <c r="BT10" s="64" t="n"/>
      <c r="BU10" s="2441" t="inlineStr">
        <is>
          <t>we`¨yt I R¡vjvbx</t>
        </is>
      </c>
      <c r="BV10" s="2430" t="n">
        <v>50000</v>
      </c>
      <c r="BW10" s="2424" t="n">
        <v>1.5</v>
      </c>
      <c r="BX10" s="64" t="n"/>
      <c r="BY10" s="64" t="n"/>
      <c r="BZ10" s="64" t="n"/>
      <c r="CA10" s="64" t="n"/>
      <c r="CB10" s="64" t="n"/>
      <c r="CC10" s="64" t="n"/>
      <c r="CD10" s="64" t="n"/>
      <c r="CE10" s="64" t="n"/>
      <c r="CF10" s="64" t="n"/>
      <c r="CG10" s="64" t="n"/>
      <c r="CH10" s="64" t="n"/>
      <c r="CI10" s="64" t="n"/>
      <c r="CJ10" s="64" t="n"/>
      <c r="CK10" s="64" t="n"/>
      <c r="CL10" s="64" t="n"/>
      <c r="CM10" s="64" t="n"/>
      <c r="CN10" s="64" t="n"/>
      <c r="CO10" s="64" t="n"/>
    </row>
    <row r="11" ht="16.5" customHeight="1">
      <c r="A11" s="64" t="n"/>
      <c r="B11" s="2467" t="inlineStr">
        <is>
          <t>UvKvi cwigvb</t>
        </is>
      </c>
      <c r="C11" s="2468" t="inlineStr">
        <is>
          <t>t</t>
        </is>
      </c>
      <c r="D11" s="2469" t="n">
        <v>500000</v>
      </c>
      <c r="E11" s="64" t="n"/>
      <c r="F11" s="2441" t="n"/>
      <c r="G11" s="2402" t="n"/>
      <c r="H11" s="2403" t="n"/>
      <c r="I11" s="64" t="n"/>
      <c r="J11" s="2434" t="n"/>
      <c r="K11" s="2448" t="n"/>
      <c r="L11" s="2449" t="n"/>
      <c r="M11" s="2444" t="n"/>
      <c r="N11" s="2450" t="n"/>
      <c r="O11" s="64" t="n"/>
      <c r="P11" s="2626" t="n"/>
      <c r="Q11" s="2407" t="inlineStr">
        <is>
          <t>-</t>
        </is>
      </c>
      <c r="R11" s="2470" t="inlineStr">
        <is>
          <t>-</t>
        </is>
      </c>
      <c r="S11" s="2461" t="n"/>
      <c r="T11" s="64" t="n"/>
      <c r="U11" s="2457" t="inlineStr">
        <is>
          <t>GwmAvB KxUbvkK eªvÛt ev¤úvi g‡bvwRsK</t>
        </is>
      </c>
      <c r="V11" s="2411" t="n">
        <v>3600</v>
      </c>
      <c r="W11" s="2411" t="n">
        <v>20</v>
      </c>
      <c r="X11" s="64" t="n"/>
      <c r="Y11" s="2412" t="inlineStr">
        <is>
          <t>‡MwÄ (wcQ)</t>
        </is>
      </c>
      <c r="Z11" s="2413" t="n">
        <v>50</v>
      </c>
      <c r="AA11" s="2414" t="n"/>
      <c r="AB11" s="64" t="n"/>
      <c r="AC11" s="2416" t="inlineStr">
        <is>
          <t>-</t>
        </is>
      </c>
      <c r="AD11" s="2452" t="inlineStr">
        <is>
          <t>-</t>
        </is>
      </c>
      <c r="AE11" s="2416" t="n"/>
      <c r="AF11" s="64" t="n"/>
      <c r="AG11" s="2417" t="inlineStr">
        <is>
          <t>-</t>
        </is>
      </c>
      <c r="AH11" s="2453" t="inlineStr">
        <is>
          <t>-</t>
        </is>
      </c>
      <c r="AI11" s="2419" t="n"/>
      <c r="AJ11" s="64" t="n"/>
      <c r="AK11" s="2462" t="n"/>
      <c r="AL11" s="2463" t="n"/>
      <c r="AM11" s="2462" t="n"/>
      <c r="AN11" s="64" t="n"/>
      <c r="AO11" s="2382" t="n"/>
      <c r="AP11" s="2383" t="n"/>
      <c r="AQ11" s="2382" t="n"/>
      <c r="AR11" s="64" t="n"/>
      <c r="AS11" s="2384" t="n"/>
      <c r="AT11" s="2385" t="n"/>
      <c r="AU11" s="2384" t="n"/>
      <c r="AV11" s="64" t="n"/>
      <c r="AW11" s="2441" t="inlineStr">
        <is>
          <t>we`¨yr/R¡vjvbx</t>
        </is>
      </c>
      <c r="AX11" s="2423" t="n">
        <v>11000</v>
      </c>
      <c r="AY11" s="2424" t="n">
        <v>6.5</v>
      </c>
      <c r="AZ11" s="64" t="n"/>
      <c r="BA11" s="2389" t="inlineStr">
        <is>
          <t>-</t>
        </is>
      </c>
      <c r="BB11" s="2390" t="inlineStr">
        <is>
          <t>-</t>
        </is>
      </c>
      <c r="BC11" s="2389" t="n"/>
      <c r="BD11" s="64" t="n"/>
      <c r="BE11" s="2412" t="inlineStr">
        <is>
          <t>‡cvëª Lv`¨</t>
        </is>
      </c>
      <c r="BF11" s="2390" t="n">
        <v>3500</v>
      </c>
      <c r="BG11" s="2414" t="n"/>
      <c r="BH11" s="64" t="n"/>
      <c r="BI11" s="2458" t="inlineStr">
        <is>
          <t>Ab¨vb¨ ‰Zix †cvkvK</t>
        </is>
      </c>
      <c r="BJ11" s="2459" t="n">
        <v>500</v>
      </c>
      <c r="BK11" s="2411" t="n">
        <v>500</v>
      </c>
      <c r="BL11" s="64" t="n"/>
      <c r="BM11" s="2426" t="inlineStr">
        <is>
          <t>my</t>
        </is>
      </c>
      <c r="BN11" s="2427" t="n">
        <v>250</v>
      </c>
      <c r="BO11" s="2427" t="n">
        <v>300</v>
      </c>
      <c r="BP11" s="2394" t="n"/>
      <c r="BQ11" s="2395" t="n"/>
      <c r="BR11" s="2396" t="n"/>
      <c r="BS11" s="2397" t="n"/>
      <c r="BT11" s="64" t="n"/>
      <c r="BU11" s="2441" t="inlineStr">
        <is>
          <t>kÖwgK e¨q</t>
        </is>
      </c>
      <c r="BV11" s="2430" t="n">
        <v>60000</v>
      </c>
      <c r="BW11" s="2424" t="n">
        <v>1.5</v>
      </c>
      <c r="BX11" s="64" t="n"/>
      <c r="BY11" s="64" t="n"/>
      <c r="BZ11" s="64" t="n"/>
      <c r="CA11" s="64" t="n"/>
      <c r="CB11" s="64" t="n"/>
      <c r="CC11" s="64" t="n"/>
      <c r="CD11" s="64" t="n"/>
      <c r="CE11" s="64" t="n"/>
      <c r="CF11" s="64" t="n"/>
      <c r="CG11" s="64" t="n"/>
      <c r="CH11" s="64" t="n"/>
      <c r="CI11" s="64" t="n"/>
      <c r="CJ11" s="64" t="n"/>
      <c r="CK11" s="64" t="n"/>
      <c r="CL11" s="64" t="n"/>
      <c r="CM11" s="64" t="n"/>
      <c r="CN11" s="64" t="n"/>
      <c r="CO11" s="64" t="n"/>
    </row>
    <row r="12" ht="16.5" customHeight="1">
      <c r="A12" s="64" t="n"/>
      <c r="B12" s="2398" t="inlineStr">
        <is>
          <t>‡cÖvcvBUi</t>
        </is>
      </c>
      <c r="C12" s="2446" t="inlineStr">
        <is>
          <t>t</t>
        </is>
      </c>
      <c r="D12" s="2456" t="inlineStr">
        <is>
          <t>‡gvt Rwb</t>
        </is>
      </c>
      <c r="E12" s="64" t="n"/>
      <c r="F12" s="2441" t="n"/>
      <c r="G12" s="2402" t="n"/>
      <c r="H12" s="2403" t="n"/>
      <c r="I12" s="64" t="n"/>
      <c r="J12" s="2434" t="n"/>
      <c r="K12" s="2448" t="n"/>
      <c r="L12" s="2449" t="n"/>
      <c r="M12" s="2444" t="n"/>
      <c r="N12" s="2450" t="n"/>
      <c r="O12" s="64" t="n"/>
      <c r="P12" s="2626" t="n"/>
      <c r="Q12" s="2407" t="inlineStr">
        <is>
          <t>-</t>
        </is>
      </c>
      <c r="R12" s="2470" t="inlineStr">
        <is>
          <t>-</t>
        </is>
      </c>
      <c r="S12" s="2461" t="n"/>
      <c r="T12" s="64" t="n"/>
      <c r="U12" s="2457" t="inlineStr">
        <is>
          <t>GwmAvB KxUbvkK eªvÛt ev‡qv‡dvwU</t>
        </is>
      </c>
      <c r="V12" s="2411" t="n">
        <v>2500</v>
      </c>
      <c r="W12" s="2411" t="n">
        <v>15</v>
      </c>
      <c r="X12" s="64" t="n"/>
      <c r="Y12" s="2412" t="inlineStr">
        <is>
          <t>weQvbvi Pv`i (wcQ)</t>
        </is>
      </c>
      <c r="Z12" s="2413" t="n">
        <v>270</v>
      </c>
      <c r="AA12" s="2414" t="n"/>
      <c r="AB12" s="64" t="n"/>
      <c r="AC12" s="2416" t="inlineStr">
        <is>
          <t>-</t>
        </is>
      </c>
      <c r="AD12" s="2452" t="inlineStr">
        <is>
          <t>-</t>
        </is>
      </c>
      <c r="AE12" s="2416" t="n"/>
      <c r="AF12" s="64" t="n"/>
      <c r="AG12" s="2417" t="inlineStr">
        <is>
          <t>-</t>
        </is>
      </c>
      <c r="AH12" s="2453" t="inlineStr">
        <is>
          <t>-</t>
        </is>
      </c>
      <c r="AI12" s="2419" t="n"/>
      <c r="AJ12" s="64" t="n"/>
      <c r="AK12" s="2462" t="n"/>
      <c r="AL12" s="2463" t="n"/>
      <c r="AM12" s="2462" t="n"/>
      <c r="AN12" s="64" t="n"/>
      <c r="AO12" s="2382" t="n"/>
      <c r="AP12" s="2383" t="n"/>
      <c r="AQ12" s="2382" t="n"/>
      <c r="AR12" s="64" t="n"/>
      <c r="AS12" s="2384" t="n"/>
      <c r="AT12" s="2385" t="n"/>
      <c r="AU12" s="2384" t="n"/>
      <c r="AV12" s="64" t="n"/>
      <c r="AW12" s="2441" t="inlineStr">
        <is>
          <t>wPsox Avnib</t>
        </is>
      </c>
      <c r="AX12" s="2423" t="n">
        <v>11000</v>
      </c>
      <c r="AY12" s="2424" t="n">
        <v>6.5</v>
      </c>
      <c r="AZ12" s="64" t="n"/>
      <c r="BA12" s="2389" t="inlineStr">
        <is>
          <t>-</t>
        </is>
      </c>
      <c r="BB12" s="2390" t="inlineStr">
        <is>
          <t>-</t>
        </is>
      </c>
      <c r="BC12" s="2389" t="n"/>
      <c r="BD12" s="64" t="n"/>
      <c r="BE12" s="2412" t="inlineStr">
        <is>
          <t>-</t>
        </is>
      </c>
      <c r="BF12" s="2390" t="inlineStr">
        <is>
          <t>-</t>
        </is>
      </c>
      <c r="BG12" s="2414" t="n"/>
      <c r="BH12" s="64" t="n"/>
      <c r="BI12" s="2471" t="n">
        <v>0</v>
      </c>
      <c r="BJ12" s="2459" t="n">
        <v>0</v>
      </c>
      <c r="BK12" s="2451" t="n"/>
      <c r="BL12" s="64" t="n"/>
      <c r="BM12" s="2472" t="n"/>
      <c r="BN12" s="2473" t="n"/>
      <c r="BO12" s="2473" t="n"/>
      <c r="BP12" s="2394" t="n"/>
      <c r="BQ12" s="2395" t="n"/>
      <c r="BR12" s="2396" t="n"/>
      <c r="BS12" s="2397" t="n"/>
      <c r="BT12" s="64" t="n"/>
      <c r="BU12" s="2441" t="inlineStr">
        <is>
          <t>weµq Avbylw½K e¨q</t>
        </is>
      </c>
      <c r="BV12" s="2430" t="n">
        <v>35000</v>
      </c>
      <c r="BW12" s="2424" t="n">
        <v>1.5</v>
      </c>
      <c r="BX12" s="64" t="n"/>
      <c r="BY12" s="64" t="n"/>
      <c r="BZ12" s="64" t="n"/>
      <c r="CA12" s="64" t="n"/>
      <c r="CB12" s="64" t="n"/>
      <c r="CC12" s="64" t="n"/>
      <c r="CD12" s="64" t="n"/>
      <c r="CE12" s="64" t="n"/>
      <c r="CF12" s="64" t="n"/>
      <c r="CG12" s="64" t="n"/>
      <c r="CH12" s="64" t="n"/>
      <c r="CI12" s="64" t="n"/>
      <c r="CJ12" s="64" t="n"/>
      <c r="CK12" s="64" t="n"/>
      <c r="CL12" s="64" t="n"/>
      <c r="CM12" s="64" t="n"/>
      <c r="CN12" s="64" t="n"/>
      <c r="CO12" s="64" t="n"/>
    </row>
    <row r="13" ht="18" customHeight="1">
      <c r="A13" s="64" t="n"/>
      <c r="B13" s="2398" t="inlineStr">
        <is>
          <t>wcZv/¯^vgxi bvg</t>
        </is>
      </c>
      <c r="C13" s="2446" t="inlineStr">
        <is>
          <t>t</t>
        </is>
      </c>
      <c r="D13" s="2456" t="inlineStr">
        <is>
          <t>g„Z †gvt Bw`ªm Avjx</t>
        </is>
      </c>
      <c r="E13" s="64" t="n"/>
      <c r="F13" s="2441" t="n"/>
      <c r="G13" s="2402" t="n"/>
      <c r="H13" s="2403" t="n"/>
      <c r="I13" s="64" t="n"/>
      <c r="J13" s="2434" t="n"/>
      <c r="K13" s="2448" t="n"/>
      <c r="L13" s="2449" t="n"/>
      <c r="M13" s="2444" t="n"/>
      <c r="N13" s="2450" t="n"/>
      <c r="O13" s="64" t="n"/>
      <c r="P13" s="2626" t="n"/>
      <c r="Q13" s="2407" t="inlineStr">
        <is>
          <t>-</t>
        </is>
      </c>
      <c r="R13" s="2470" t="inlineStr">
        <is>
          <t>-</t>
        </is>
      </c>
      <c r="S13" s="2461" t="n"/>
      <c r="T13" s="64" t="n"/>
      <c r="U13" s="2457" t="n"/>
      <c r="V13" s="2451" t="n"/>
      <c r="W13" s="2451" t="n"/>
      <c r="X13" s="64" t="n"/>
      <c r="Y13" s="2412" t="inlineStr">
        <is>
          <t>cvÄvex (wcQ)</t>
        </is>
      </c>
      <c r="Z13" s="2413" t="n">
        <v>350</v>
      </c>
      <c r="AA13" s="2414" t="n"/>
      <c r="AB13" s="64" t="n"/>
      <c r="AC13" s="2416" t="inlineStr">
        <is>
          <t>-</t>
        </is>
      </c>
      <c r="AD13" s="2452" t="inlineStr">
        <is>
          <t>-</t>
        </is>
      </c>
      <c r="AE13" s="2416" t="n"/>
      <c r="AF13" s="64" t="n"/>
      <c r="AG13" s="2417" t="inlineStr">
        <is>
          <t>-</t>
        </is>
      </c>
      <c r="AH13" s="2453" t="inlineStr">
        <is>
          <t>-</t>
        </is>
      </c>
      <c r="AI13" s="2419" t="n"/>
      <c r="AJ13" s="64" t="n"/>
      <c r="AK13" s="2462" t="n"/>
      <c r="AL13" s="2463" t="n"/>
      <c r="AM13" s="2462" t="n"/>
      <c r="AN13" s="64" t="n"/>
      <c r="AO13" s="2382" t="n"/>
      <c r="AP13" s="2383" t="n"/>
      <c r="AQ13" s="2382" t="n"/>
      <c r="AR13" s="64" t="n"/>
      <c r="AS13" s="2384" t="n"/>
      <c r="AT13" s="2385" t="n"/>
      <c r="AU13" s="2384" t="n"/>
      <c r="AV13" s="64" t="n"/>
      <c r="AW13" s="2441" t="inlineStr">
        <is>
          <t>‡Ni jxR/fvov</t>
        </is>
      </c>
      <c r="AX13" s="2423" t="n">
        <v>22000</v>
      </c>
      <c r="AY13" s="2423" t="n">
        <v>5</v>
      </c>
      <c r="AZ13" s="64" t="n"/>
      <c r="BA13" s="2389" t="inlineStr">
        <is>
          <t>-</t>
        </is>
      </c>
      <c r="BB13" s="2390" t="inlineStr">
        <is>
          <t>-</t>
        </is>
      </c>
      <c r="BC13" s="2389" t="n"/>
      <c r="BD13" s="64" t="n"/>
      <c r="BE13" s="2412" t="inlineStr">
        <is>
          <t>-</t>
        </is>
      </c>
      <c r="BF13" s="2390" t="inlineStr">
        <is>
          <t>-</t>
        </is>
      </c>
      <c r="BG13" s="2414" t="n"/>
      <c r="BH13" s="64" t="n"/>
      <c r="BI13" s="2471" t="n">
        <v>0</v>
      </c>
      <c r="BJ13" s="2459" t="n">
        <v>0</v>
      </c>
      <c r="BK13" s="2451" t="n"/>
      <c r="BL13" s="64" t="n"/>
      <c r="BM13" s="2472" t="n"/>
      <c r="BN13" s="2473" t="n"/>
      <c r="BO13" s="2473" t="n"/>
      <c r="BP13" s="2394" t="n"/>
      <c r="BQ13" s="2395" t="n"/>
      <c r="BR13" s="2396" t="n"/>
      <c r="BS13" s="2397" t="n"/>
      <c r="BT13" s="64" t="n"/>
      <c r="BU13" s="64" t="n"/>
      <c r="BV13" s="136" t="n"/>
      <c r="BW13" s="308" t="n"/>
      <c r="BX13" s="64" t="n"/>
      <c r="BY13" s="64" t="n"/>
      <c r="BZ13" s="64" t="n"/>
      <c r="CA13" s="64" t="n"/>
      <c r="CB13" s="64" t="n"/>
      <c r="CC13" s="64" t="n"/>
      <c r="CD13" s="64" t="n"/>
      <c r="CE13" s="64" t="n"/>
      <c r="CF13" s="64" t="n"/>
      <c r="CG13" s="64" t="n"/>
      <c r="CH13" s="64" t="n"/>
      <c r="CI13" s="64" t="n"/>
      <c r="CJ13" s="64" t="n"/>
      <c r="CK13" s="64" t="n"/>
      <c r="CL13" s="64" t="n"/>
      <c r="CM13" s="64" t="n"/>
      <c r="CN13" s="64" t="n"/>
      <c r="CO13" s="64" t="n"/>
    </row>
    <row r="14" ht="18.75" customHeight="1">
      <c r="A14" s="64" t="n"/>
      <c r="B14" s="2398" t="inlineStr">
        <is>
          <t>gvZvi bvg</t>
        </is>
      </c>
      <c r="C14" s="2446" t="inlineStr">
        <is>
          <t>t</t>
        </is>
      </c>
      <c r="D14" s="2456" t="inlineStr">
        <is>
          <t>gvmvt Avgexqv LvZzb</t>
        </is>
      </c>
      <c r="E14" s="64" t="n"/>
      <c r="F14" s="2474" t="n"/>
      <c r="G14" s="2475" t="n"/>
      <c r="H14" s="2403" t="n"/>
      <c r="I14" s="64" t="n"/>
      <c r="J14" s="2434" t="n"/>
      <c r="K14" s="2448" t="n"/>
      <c r="L14" s="2449" t="n"/>
      <c r="M14" s="2444" t="n"/>
      <c r="N14" s="2450" t="n"/>
      <c r="O14" s="64" t="n"/>
      <c r="P14" s="2626" t="n"/>
      <c r="Q14" s="2476" t="inlineStr">
        <is>
          <t>-</t>
        </is>
      </c>
      <c r="R14" s="2477" t="inlineStr">
        <is>
          <t>-</t>
        </is>
      </c>
      <c r="S14" s="2478" t="n"/>
      <c r="T14" s="64" t="n"/>
      <c r="U14" s="2479" t="n"/>
      <c r="V14" s="2480" t="n"/>
      <c r="W14" s="2480" t="n"/>
      <c r="X14" s="64" t="n"/>
      <c r="Y14" s="2481" t="inlineStr">
        <is>
          <t>Mv‡g©›Um mvgMÖx</t>
        </is>
      </c>
      <c r="Z14" s="2482" t="n">
        <v>150</v>
      </c>
      <c r="AA14" s="2483" t="n"/>
      <c r="AB14" s="64" t="n"/>
      <c r="AC14" s="2416" t="inlineStr">
        <is>
          <t>-</t>
        </is>
      </c>
      <c r="AD14" s="2452" t="inlineStr">
        <is>
          <t>-</t>
        </is>
      </c>
      <c r="AE14" s="2416" t="n"/>
      <c r="AF14" s="64" t="n"/>
      <c r="AG14" s="2484" t="inlineStr">
        <is>
          <t>-</t>
        </is>
      </c>
      <c r="AH14" s="2485" t="inlineStr">
        <is>
          <t>-</t>
        </is>
      </c>
      <c r="AI14" s="2486" t="n"/>
      <c r="AJ14" s="64" t="n"/>
      <c r="AK14" s="2462" t="n"/>
      <c r="AL14" s="2463" t="n"/>
      <c r="AM14" s="2462" t="n"/>
      <c r="AN14" s="64" t="n"/>
      <c r="AO14" s="2382" t="n"/>
      <c r="AP14" s="2383" t="n"/>
      <c r="AQ14" s="2382" t="n"/>
      <c r="AR14" s="64" t="n"/>
      <c r="AS14" s="2384" t="n"/>
      <c r="AT14" s="2385" t="n"/>
      <c r="AU14" s="2384" t="n"/>
      <c r="AV14" s="64" t="n"/>
      <c r="AW14" s="2487" t="inlineStr">
        <is>
          <t>wewea e¨q</t>
        </is>
      </c>
      <c r="AX14" s="2488" t="n">
        <v>22000</v>
      </c>
      <c r="AY14" s="2424" t="n">
        <v>6.5</v>
      </c>
      <c r="AZ14" s="64" t="n"/>
      <c r="BA14" s="2389" t="inlineStr">
        <is>
          <t>-</t>
        </is>
      </c>
      <c r="BB14" s="2390" t="inlineStr">
        <is>
          <t>-</t>
        </is>
      </c>
      <c r="BC14" s="2389" t="n"/>
      <c r="BD14" s="64" t="n"/>
      <c r="BE14" s="2481" t="inlineStr">
        <is>
          <t>-</t>
        </is>
      </c>
      <c r="BF14" s="2489" t="inlineStr">
        <is>
          <t>-</t>
        </is>
      </c>
      <c r="BG14" s="2483" t="n"/>
      <c r="BH14" s="64" t="n"/>
      <c r="BI14" s="2490" t="n">
        <v>0</v>
      </c>
      <c r="BJ14" s="2491" t="n">
        <v>0</v>
      </c>
      <c r="BK14" s="2480" t="n"/>
      <c r="BL14" s="64" t="n"/>
      <c r="BM14" s="2472" t="n"/>
      <c r="BN14" s="2473" t="n"/>
      <c r="BO14" s="2473" t="n"/>
      <c r="BP14" s="2394" t="n"/>
      <c r="BQ14" s="2492" t="n"/>
      <c r="BR14" s="2493" t="n"/>
      <c r="BS14" s="2494" t="n"/>
      <c r="BT14" s="64" t="n"/>
      <c r="BU14" s="64" t="n"/>
      <c r="BV14" s="136" t="n"/>
      <c r="BW14" s="308" t="n"/>
      <c r="BX14" s="64" t="n"/>
      <c r="BY14" s="64" t="n"/>
      <c r="BZ14" s="64" t="n"/>
      <c r="CA14" s="64" t="n"/>
      <c r="CB14" s="64" t="n"/>
      <c r="CC14" s="64" t="n"/>
      <c r="CD14" s="64" t="n"/>
      <c r="CE14" s="64" t="n"/>
      <c r="CF14" s="64" t="n"/>
      <c r="CG14" s="64" t="n"/>
      <c r="CH14" s="64" t="n"/>
      <c r="CI14" s="64" t="n"/>
      <c r="CJ14" s="64" t="n"/>
      <c r="CK14" s="64" t="n"/>
      <c r="CL14" s="64" t="n"/>
      <c r="CM14" s="64" t="n"/>
      <c r="CN14" s="64" t="n"/>
      <c r="CO14" s="64" t="n"/>
    </row>
    <row r="15" ht="18.75" customHeight="1">
      <c r="A15" s="64" t="n"/>
      <c r="B15" s="2398" t="inlineStr">
        <is>
          <t>RvZxq cwiPqcÎ bs</t>
        </is>
      </c>
      <c r="C15" s="2446" t="inlineStr">
        <is>
          <t>t</t>
        </is>
      </c>
      <c r="D15" s="2456" t="n">
        <v>3757664531</v>
      </c>
      <c r="E15" s="64" t="n"/>
      <c r="F15" s="2354" t="inlineStr">
        <is>
          <t>D‡`¨v³vi wewb‡qvM</t>
        </is>
      </c>
      <c r="G15" s="2495">
        <f>SUMPRODUCT(G3:G14,H3:H14)</f>
        <v/>
      </c>
      <c r="H15" s="2627" t="n"/>
      <c r="I15" s="64" t="n"/>
      <c r="J15" s="2434" t="n"/>
      <c r="K15" s="2448" t="n"/>
      <c r="L15" s="2449" t="n"/>
      <c r="M15" s="2444" t="n"/>
      <c r="N15" s="2450" t="n"/>
      <c r="O15" s="64" t="n"/>
      <c r="P15" s="64" t="n"/>
      <c r="Q15" s="64" t="n"/>
      <c r="R15" s="136" t="n"/>
      <c r="S15" s="64" t="n"/>
      <c r="T15" s="64" t="n"/>
      <c r="U15" s="64" t="n"/>
      <c r="V15" s="136" t="n"/>
      <c r="W15" s="136" t="n"/>
      <c r="X15" s="64" t="n"/>
      <c r="Y15" s="64" t="n"/>
      <c r="Z15" s="136" t="n"/>
      <c r="AA15" s="64" t="n"/>
      <c r="AB15" s="64" t="n"/>
      <c r="AC15" s="64" t="n"/>
      <c r="AD15" s="136" t="n"/>
      <c r="AE15" s="64" t="n"/>
      <c r="AF15" s="64" t="n"/>
      <c r="AG15" s="64" t="n"/>
      <c r="AH15" s="136" t="n"/>
      <c r="AI15" s="64" t="n"/>
      <c r="AJ15" s="64" t="n"/>
      <c r="AK15" s="64" t="n"/>
      <c r="AL15" s="136" t="n"/>
      <c r="AM15" s="64" t="n"/>
      <c r="AN15" s="64" t="n"/>
      <c r="AO15" s="64" t="n"/>
      <c r="AP15" s="136" t="n"/>
      <c r="AQ15" s="64" t="n"/>
      <c r="AR15" s="64" t="n"/>
      <c r="AS15" s="64" t="n"/>
      <c r="AT15" s="136" t="n"/>
      <c r="AU15" s="64" t="n"/>
      <c r="AV15" s="64" t="n"/>
      <c r="AW15" s="64" t="n"/>
      <c r="AX15" s="136" t="n"/>
      <c r="AY15" s="308" t="n"/>
      <c r="AZ15" s="64" t="n"/>
      <c r="BA15" s="64" t="n"/>
      <c r="BB15" s="136" t="n"/>
      <c r="BC15" s="64" t="n"/>
      <c r="BD15" s="64" t="n"/>
      <c r="BE15" s="64" t="n"/>
      <c r="BF15" s="136" t="n"/>
      <c r="BG15" s="64" t="n"/>
      <c r="BH15" s="64" t="n"/>
      <c r="BI15" s="136" t="n"/>
      <c r="BJ15" s="136" t="n"/>
      <c r="BK15" s="136" t="n"/>
      <c r="BL15" s="64" t="n"/>
      <c r="BM15" s="64" t="n"/>
      <c r="BN15" s="136" t="n"/>
      <c r="BO15" s="136" t="n"/>
      <c r="BP15" s="64" t="n"/>
      <c r="BQ15" s="64" t="n"/>
      <c r="BR15" s="136" t="n"/>
      <c r="BS15" s="136" t="n"/>
      <c r="BT15" s="64" t="n"/>
      <c r="BU15" s="64" t="n"/>
      <c r="BV15" s="136" t="n"/>
      <c r="BW15" s="308" t="n"/>
      <c r="BX15" s="64" t="n"/>
      <c r="BY15" s="64" t="n"/>
      <c r="BZ15" s="64" t="n"/>
      <c r="CA15" s="64" t="n"/>
      <c r="CB15" s="64" t="n"/>
      <c r="CC15" s="64" t="n"/>
      <c r="CD15" s="64" t="n"/>
      <c r="CE15" s="64" t="n"/>
      <c r="CF15" s="64" t="n"/>
      <c r="CG15" s="64" t="n"/>
      <c r="CH15" s="64" t="n"/>
      <c r="CI15" s="64" t="n"/>
      <c r="CJ15" s="64" t="n"/>
      <c r="CK15" s="64" t="n"/>
      <c r="CL15" s="64" t="n"/>
      <c r="CM15" s="64" t="n"/>
      <c r="CN15" s="64" t="n"/>
      <c r="CO15" s="64" t="n"/>
    </row>
    <row r="16" ht="18.75" customHeight="1">
      <c r="A16" s="64" t="n"/>
      <c r="B16" s="2398" t="inlineStr">
        <is>
          <t>‡gvevBj</t>
        </is>
      </c>
      <c r="C16" s="2446" t="inlineStr">
        <is>
          <t>t</t>
        </is>
      </c>
      <c r="D16" s="2456" t="inlineStr">
        <is>
          <t>01923-401539</t>
        </is>
      </c>
      <c r="E16" s="64" t="n"/>
      <c r="F16" s="2497">
        <f>"FY t  wewb‡qvM "&amp;TEXT(D11/G15*100,0)&amp;" t "&amp;TEXT(G16/G15*100,0)</f>
        <v/>
      </c>
      <c r="G16" s="2498">
        <f>+G15-D11</f>
        <v/>
      </c>
      <c r="H16" s="2628" t="n"/>
      <c r="I16" s="64" t="n"/>
      <c r="J16" s="2434" t="n"/>
      <c r="K16" s="2448" t="n"/>
      <c r="L16" s="2449" t="n"/>
      <c r="M16" s="2444" t="n"/>
      <c r="N16" s="2450" t="n"/>
      <c r="O16" s="64" t="n"/>
      <c r="P16" s="64" t="n"/>
      <c r="Q16" s="64" t="n"/>
      <c r="R16" s="136" t="n"/>
      <c r="S16" s="64" t="n"/>
      <c r="T16" s="64" t="n"/>
      <c r="U16" s="64" t="n"/>
      <c r="V16" s="136" t="n"/>
      <c r="W16" s="136" t="n"/>
      <c r="X16" s="64" t="n"/>
      <c r="Y16" s="64" t="n"/>
      <c r="Z16" s="136" t="n"/>
      <c r="AA16" s="64" t="n"/>
      <c r="AB16" s="64" t="n"/>
      <c r="AC16" s="64" t="n"/>
      <c r="AD16" s="136" t="n"/>
      <c r="AE16" s="64" t="n"/>
      <c r="AF16" s="64" t="n"/>
      <c r="AG16" s="64" t="n"/>
      <c r="AH16" s="136" t="n"/>
      <c r="AI16" s="64" t="n"/>
      <c r="AJ16" s="64" t="n"/>
      <c r="AK16" s="64" t="n"/>
      <c r="AL16" s="136" t="n"/>
      <c r="AM16" s="64" t="n"/>
      <c r="AN16" s="64" t="n"/>
      <c r="AO16" s="64" t="n"/>
      <c r="AP16" s="136" t="n"/>
      <c r="AQ16" s="64" t="n"/>
      <c r="AR16" s="64" t="n"/>
      <c r="AS16" s="64" t="n"/>
      <c r="AT16" s="136" t="n"/>
      <c r="AU16" s="64" t="n"/>
      <c r="AV16" s="64" t="n"/>
      <c r="AW16" s="64" t="n"/>
      <c r="AX16" s="136" t="n"/>
      <c r="AY16" s="308" t="n"/>
      <c r="AZ16" s="64" t="n"/>
      <c r="BA16" s="64" t="n"/>
      <c r="BB16" s="136" t="n"/>
      <c r="BC16" s="64" t="n"/>
      <c r="BD16" s="64" t="n"/>
      <c r="BE16" s="64" t="n"/>
      <c r="BF16" s="136" t="n"/>
      <c r="BG16" s="64" t="n"/>
      <c r="BH16" s="64" t="n"/>
      <c r="BI16" s="136" t="n"/>
      <c r="BJ16" s="136" t="n"/>
      <c r="BK16" s="136" t="n"/>
      <c r="BL16" s="64" t="n"/>
      <c r="BM16" s="64" t="n"/>
      <c r="BN16" s="136" t="n"/>
      <c r="BO16" s="136" t="n"/>
      <c r="BP16" s="64" t="n"/>
      <c r="BQ16" s="64" t="n"/>
      <c r="BR16" s="136" t="n"/>
      <c r="BS16" s="136" t="n"/>
      <c r="BT16" s="64" t="n"/>
      <c r="BU16" s="64" t="n"/>
      <c r="BV16" s="136" t="n"/>
      <c r="BW16" s="308" t="n"/>
      <c r="BX16" s="64" t="n"/>
      <c r="BY16" s="64" t="n"/>
      <c r="BZ16" s="64" t="n"/>
      <c r="CA16" s="64" t="n"/>
      <c r="CB16" s="64" t="n"/>
      <c r="CC16" s="64" t="n"/>
      <c r="CD16" s="64" t="n"/>
      <c r="CE16" s="64" t="n"/>
      <c r="CF16" s="64" t="n"/>
      <c r="CG16" s="64" t="n"/>
      <c r="CH16" s="64" t="n"/>
      <c r="CI16" s="64" t="n"/>
      <c r="CJ16" s="64" t="n"/>
      <c r="CK16" s="64" t="n"/>
      <c r="CL16" s="64" t="n"/>
      <c r="CM16" s="64" t="n"/>
      <c r="CN16" s="64" t="n"/>
      <c r="CO16" s="64" t="n"/>
    </row>
    <row r="17" ht="18.75" customHeight="1">
      <c r="A17" s="64" t="n"/>
      <c r="B17" s="2398" t="inlineStr">
        <is>
          <t>eZ©gvb wVKvbv</t>
        </is>
      </c>
      <c r="C17" s="2446" t="inlineStr">
        <is>
          <t>t</t>
        </is>
      </c>
      <c r="D17" s="2500" t="inlineStr">
        <is>
          <t>`vcv B`ªvKcyi, dZzjøv, bvivqYMÄ</t>
        </is>
      </c>
      <c r="E17" s="64" t="n"/>
      <c r="F17" s="64" t="n"/>
      <c r="G17" s="2570" t="n"/>
      <c r="H17" s="64" t="n"/>
      <c r="I17" s="64" t="n"/>
      <c r="J17" s="2434" t="n"/>
      <c r="K17" s="2448" t="n"/>
      <c r="L17" s="2449" t="n"/>
      <c r="M17" s="2444" t="n"/>
      <c r="N17" s="2450" t="n"/>
      <c r="O17" s="64" t="n"/>
      <c r="P17" s="64" t="n"/>
      <c r="Q17" s="64" t="n"/>
      <c r="R17" s="136" t="n"/>
      <c r="S17" s="64" t="n"/>
      <c r="T17" s="64" t="n"/>
      <c r="U17" s="64" t="n"/>
      <c r="V17" s="136" t="n"/>
      <c r="W17" s="136" t="n"/>
      <c r="X17" s="64" t="n"/>
      <c r="Y17" s="64" t="n"/>
      <c r="Z17" s="136" t="n"/>
      <c r="AA17" s="64" t="n"/>
      <c r="AB17" s="64" t="n"/>
      <c r="AC17" s="64" t="n"/>
      <c r="AD17" s="136" t="n"/>
      <c r="AE17" s="64" t="n"/>
      <c r="AF17" s="64" t="n"/>
      <c r="AG17" s="64" t="n"/>
      <c r="AH17" s="136" t="n"/>
      <c r="AI17" s="64" t="n"/>
      <c r="AJ17" s="64" t="n"/>
      <c r="AK17" s="64" t="n"/>
      <c r="AL17" s="136" t="n"/>
      <c r="AM17" s="64" t="n"/>
      <c r="AN17" s="64" t="n"/>
      <c r="AO17" s="64" t="n"/>
      <c r="AP17" s="136" t="n"/>
      <c r="AQ17" s="64" t="n"/>
      <c r="AR17" s="64" t="n"/>
      <c r="AS17" s="64" t="n"/>
      <c r="AT17" s="136" t="n"/>
      <c r="AU17" s="64" t="n"/>
      <c r="AV17" s="64" t="n"/>
      <c r="AW17" s="64" t="n"/>
      <c r="AX17" s="136" t="n"/>
      <c r="AY17" s="308" t="n"/>
      <c r="AZ17" s="64" t="n"/>
      <c r="BA17" s="64" t="n"/>
      <c r="BB17" s="136" t="n"/>
      <c r="BC17" s="64" t="n"/>
      <c r="BD17" s="64" t="n"/>
      <c r="BE17" s="64" t="n"/>
      <c r="BF17" s="136" t="n"/>
      <c r="BG17" s="64" t="n"/>
      <c r="BH17" s="64" t="n"/>
      <c r="BI17" s="136" t="n"/>
      <c r="BJ17" s="136" t="n"/>
      <c r="BK17" s="136" t="n"/>
      <c r="BL17" s="64" t="n"/>
      <c r="BM17" s="64" t="n"/>
      <c r="BN17" s="136" t="n"/>
      <c r="BO17" s="136" t="n"/>
      <c r="BP17" s="64" t="n"/>
      <c r="BQ17" s="64" t="n"/>
      <c r="BR17" s="136" t="n"/>
      <c r="BS17" s="136" t="n"/>
      <c r="BT17" s="64" t="n"/>
      <c r="BU17" s="64" t="n"/>
      <c r="BV17" s="136" t="n"/>
      <c r="BW17" s="308" t="n"/>
      <c r="BX17" s="64" t="n"/>
      <c r="BY17" s="64" t="n"/>
      <c r="BZ17" s="64" t="n"/>
      <c r="CA17" s="64" t="n"/>
      <c r="CB17" s="64" t="n"/>
      <c r="CC17" s="64" t="n"/>
      <c r="CD17" s="64" t="n"/>
      <c r="CE17" s="64" t="n"/>
      <c r="CF17" s="64" t="n"/>
      <c r="CG17" s="64" t="n"/>
      <c r="CH17" s="64" t="n"/>
      <c r="CI17" s="64" t="n"/>
      <c r="CJ17" s="64" t="n"/>
      <c r="CK17" s="64" t="n"/>
      <c r="CL17" s="64" t="n"/>
      <c r="CM17" s="64" t="n"/>
      <c r="CN17" s="64" t="n"/>
      <c r="CO17" s="64" t="n"/>
    </row>
    <row r="18" ht="18.75" customHeight="1">
      <c r="A18" s="64" t="n"/>
      <c r="B18" s="2398" t="inlineStr">
        <is>
          <t>MÖvg</t>
        </is>
      </c>
      <c r="C18" s="2446" t="inlineStr">
        <is>
          <t>t</t>
        </is>
      </c>
      <c r="D18" s="2456" t="inlineStr">
        <is>
          <t>`vcv B`ªvKcyi</t>
        </is>
      </c>
      <c r="E18" s="64" t="n"/>
      <c r="F18" s="2501" t="inlineStr">
        <is>
          <t>Pµ KZ gv‡mi?</t>
        </is>
      </c>
      <c r="G18" s="2502" t="n">
        <v>2.999768518518518</v>
      </c>
      <c r="H18" s="2625" t="n"/>
      <c r="I18" s="64" t="n"/>
      <c r="J18" s="2434" t="n"/>
      <c r="K18" s="2448" t="n"/>
      <c r="L18" s="2449" t="n"/>
      <c r="M18" s="2444" t="n"/>
      <c r="N18" s="2450" t="n"/>
      <c r="O18" s="64" t="n"/>
      <c r="P18" s="64" t="n"/>
      <c r="Q18" s="64" t="n"/>
      <c r="R18" s="136" t="n"/>
      <c r="S18" s="64" t="n"/>
      <c r="T18" s="64" t="n"/>
      <c r="U18" s="64" t="n"/>
      <c r="V18" s="136" t="n"/>
      <c r="W18" s="136" t="n"/>
      <c r="X18" s="64" t="n"/>
      <c r="Y18" s="64" t="n"/>
      <c r="Z18" s="136" t="n"/>
      <c r="AA18" s="64" t="n"/>
      <c r="AB18" s="64" t="n"/>
      <c r="AC18" s="64" t="n"/>
      <c r="AD18" s="136" t="n"/>
      <c r="AE18" s="64" t="n"/>
      <c r="AF18" s="64" t="n"/>
      <c r="AG18" s="64" t="n"/>
      <c r="AH18" s="136" t="n"/>
      <c r="AI18" s="64" t="n"/>
      <c r="AJ18" s="64" t="n"/>
      <c r="AK18" s="64" t="n"/>
      <c r="AL18" s="136" t="n"/>
      <c r="AM18" s="64" t="n"/>
      <c r="AN18" s="64" t="n"/>
      <c r="AO18" s="64" t="n"/>
      <c r="AP18" s="136" t="n"/>
      <c r="AQ18" s="64" t="n"/>
      <c r="AR18" s="64" t="n"/>
      <c r="AS18" s="64" t="n"/>
      <c r="AT18" s="136" t="n"/>
      <c r="AU18" s="64" t="n"/>
      <c r="AV18" s="64" t="n"/>
      <c r="AW18" s="64" t="n"/>
      <c r="AX18" s="136" t="n"/>
      <c r="AY18" s="308" t="n"/>
      <c r="AZ18" s="64" t="n"/>
      <c r="BA18" s="64" t="n"/>
      <c r="BB18" s="136" t="n"/>
      <c r="BC18" s="64" t="n"/>
      <c r="BD18" s="64" t="n"/>
      <c r="BE18" s="64" t="n"/>
      <c r="BF18" s="136" t="n"/>
      <c r="BG18" s="64" t="n"/>
      <c r="BH18" s="64" t="n"/>
      <c r="BI18" s="136" t="n"/>
      <c r="BJ18" s="136" t="n"/>
      <c r="BK18" s="136" t="n"/>
      <c r="BL18" s="64" t="n"/>
      <c r="BM18" s="64" t="n"/>
      <c r="BN18" s="136" t="n"/>
      <c r="BO18" s="136" t="n"/>
      <c r="BP18" s="64" t="n"/>
      <c r="BQ18" s="64" t="n"/>
      <c r="BR18" s="136" t="n"/>
      <c r="BS18" s="136" t="n"/>
      <c r="BT18" s="64" t="n"/>
      <c r="BU18" s="64" t="n"/>
      <c r="BV18" s="136" t="n"/>
      <c r="BW18" s="308" t="n"/>
      <c r="BX18" s="64" t="n"/>
      <c r="BY18" s="64" t="n"/>
      <c r="BZ18" s="64" t="n"/>
      <c r="CA18" s="64" t="n"/>
      <c r="CB18" s="64" t="n"/>
      <c r="CC18" s="64" t="n"/>
      <c r="CD18" s="64" t="n"/>
      <c r="CE18" s="64" t="n"/>
      <c r="CF18" s="64" t="n"/>
      <c r="CG18" s="64" t="n"/>
      <c r="CH18" s="64" t="n"/>
      <c r="CI18" s="64" t="n"/>
      <c r="CJ18" s="64" t="n"/>
      <c r="CK18" s="64" t="n"/>
      <c r="CL18" s="64" t="n"/>
      <c r="CM18" s="64" t="n"/>
      <c r="CN18" s="64" t="n"/>
      <c r="CO18" s="64" t="n"/>
    </row>
    <row r="19" ht="18.75" customHeight="1">
      <c r="A19" s="64" t="n"/>
      <c r="B19" s="2398" t="inlineStr">
        <is>
          <t>BDwbqb</t>
        </is>
      </c>
      <c r="C19" s="2446" t="inlineStr">
        <is>
          <t>t</t>
        </is>
      </c>
      <c r="D19" s="2456" t="inlineStr">
        <is>
          <t>dZzjøv</t>
        </is>
      </c>
      <c r="E19" s="64" t="n"/>
      <c r="F19" s="64" t="n"/>
      <c r="G19" s="2570" t="n"/>
      <c r="H19" s="64" t="n"/>
      <c r="I19" s="64" t="n"/>
      <c r="J19" s="2434" t="n"/>
      <c r="K19" s="2448" t="n"/>
      <c r="L19" s="2449" t="n"/>
      <c r="M19" s="2444" t="n"/>
      <c r="N19" s="2450" t="n"/>
      <c r="O19" s="64" t="n"/>
      <c r="P19" s="64" t="n"/>
      <c r="Q19" s="64" t="n"/>
      <c r="R19" s="136" t="n"/>
      <c r="S19" s="64" t="n"/>
      <c r="T19" s="64" t="n"/>
      <c r="U19" s="64" t="n"/>
      <c r="V19" s="136" t="n"/>
      <c r="W19" s="136" t="n"/>
      <c r="X19" s="64" t="n"/>
      <c r="Y19" s="64" t="n"/>
      <c r="Z19" s="136" t="n"/>
      <c r="AA19" s="64" t="n"/>
      <c r="AB19" s="64" t="n"/>
      <c r="AC19" s="64" t="n"/>
      <c r="AD19" s="136" t="n"/>
      <c r="AE19" s="64" t="n"/>
      <c r="AF19" s="64" t="n"/>
      <c r="AG19" s="64" t="n"/>
      <c r="AH19" s="136" t="n"/>
      <c r="AI19" s="64" t="n"/>
      <c r="AJ19" s="64" t="n"/>
      <c r="AK19" s="64" t="n"/>
      <c r="AL19" s="136" t="n"/>
      <c r="AM19" s="64" t="n"/>
      <c r="AN19" s="64" t="n"/>
      <c r="AO19" s="64" t="n"/>
      <c r="AP19" s="136" t="n"/>
      <c r="AQ19" s="64" t="n"/>
      <c r="AR19" s="64" t="n"/>
      <c r="AS19" s="64" t="n"/>
      <c r="AT19" s="136" t="n"/>
      <c r="AU19" s="64" t="n"/>
      <c r="AV19" s="64" t="n"/>
      <c r="AW19" s="64" t="n"/>
      <c r="AX19" s="136" t="n"/>
      <c r="AY19" s="308" t="n"/>
      <c r="AZ19" s="64" t="n"/>
      <c r="BA19" s="64" t="n"/>
      <c r="BB19" s="136" t="n"/>
      <c r="BC19" s="64" t="n"/>
      <c r="BD19" s="64" t="n"/>
      <c r="BE19" s="64" t="n"/>
      <c r="BF19" s="136" t="n"/>
      <c r="BG19" s="64" t="n"/>
      <c r="BH19" s="64" t="n"/>
      <c r="BI19" s="136" t="n"/>
      <c r="BJ19" s="136" t="n"/>
      <c r="BK19" s="136" t="n"/>
      <c r="BL19" s="64" t="n"/>
      <c r="BM19" s="64" t="n"/>
      <c r="BN19" s="136" t="n"/>
      <c r="BO19" s="136" t="n"/>
      <c r="BP19" s="64" t="n"/>
      <c r="BQ19" s="64" t="n"/>
      <c r="BR19" s="136" t="n"/>
      <c r="BS19" s="136" t="n"/>
      <c r="BT19" s="64" t="n"/>
      <c r="BU19" s="64" t="n"/>
      <c r="BV19" s="136" t="n"/>
      <c r="BW19" s="308" t="n"/>
      <c r="BX19" s="64" t="n"/>
      <c r="BY19" s="64" t="n"/>
      <c r="BZ19" s="64" t="n"/>
      <c r="CA19" s="64" t="n"/>
      <c r="CB19" s="64" t="n"/>
      <c r="CC19" s="64" t="n"/>
      <c r="CD19" s="64" t="n"/>
      <c r="CE19" s="64" t="n"/>
      <c r="CF19" s="64" t="n"/>
      <c r="CG19" s="64" t="n"/>
      <c r="CH19" s="64" t="n"/>
      <c r="CI19" s="64" t="n"/>
      <c r="CJ19" s="64" t="n"/>
      <c r="CK19" s="64" t="n"/>
      <c r="CL19" s="64" t="n"/>
      <c r="CM19" s="64" t="n"/>
      <c r="CN19" s="64" t="n"/>
      <c r="CO19" s="64" t="n"/>
    </row>
    <row r="20" ht="18.75" customHeight="1">
      <c r="A20" s="64" t="n"/>
      <c r="B20" s="2398" t="inlineStr">
        <is>
          <t>WvKNi</t>
        </is>
      </c>
      <c r="C20" s="2446" t="inlineStr">
        <is>
          <t>t</t>
        </is>
      </c>
      <c r="D20" s="2456" t="inlineStr">
        <is>
          <t>bvivqYMÄ-1430</t>
        </is>
      </c>
      <c r="E20" s="64" t="n"/>
      <c r="F20" s="64" t="n"/>
      <c r="G20" s="2570" t="n"/>
      <c r="H20" s="64" t="n"/>
      <c r="I20" s="64" t="n"/>
      <c r="J20" s="2434" t="n"/>
      <c r="K20" s="2448" t="n"/>
      <c r="L20" s="2449" t="n"/>
      <c r="M20" s="2444" t="n"/>
      <c r="N20" s="2450" t="n"/>
      <c r="O20" s="64" t="n"/>
      <c r="P20" s="64" t="n"/>
      <c r="Q20" s="64" t="n"/>
      <c r="R20" s="136" t="n"/>
      <c r="S20" s="64" t="n"/>
      <c r="T20" s="64" t="n"/>
      <c r="U20" s="64" t="n"/>
      <c r="V20" s="136" t="n"/>
      <c r="W20" s="136" t="n"/>
      <c r="X20" s="64" t="n"/>
      <c r="Y20" s="64" t="n"/>
      <c r="Z20" s="136" t="n"/>
      <c r="AA20" s="64" t="n"/>
      <c r="AB20" s="64" t="n"/>
      <c r="AC20" s="64" t="n"/>
      <c r="AD20" s="136" t="n"/>
      <c r="AE20" s="64" t="n"/>
      <c r="AF20" s="64" t="n"/>
      <c r="AG20" s="64" t="n"/>
      <c r="AH20" s="136" t="n"/>
      <c r="AI20" s="64" t="n"/>
      <c r="AJ20" s="64" t="n"/>
      <c r="AK20" s="64" t="n"/>
      <c r="AL20" s="136" t="n"/>
      <c r="AM20" s="64" t="n"/>
      <c r="AN20" s="64" t="n"/>
      <c r="AO20" s="64" t="n"/>
      <c r="AP20" s="136" t="n"/>
      <c r="AQ20" s="64" t="n"/>
      <c r="AR20" s="64" t="n"/>
      <c r="AS20" s="64" t="n"/>
      <c r="AT20" s="136" t="n"/>
      <c r="AU20" s="64" t="n"/>
      <c r="AV20" s="64" t="n"/>
      <c r="AW20" s="64" t="n"/>
      <c r="AX20" s="136" t="n"/>
      <c r="AY20" s="308" t="n"/>
      <c r="AZ20" s="64" t="n"/>
      <c r="BA20" s="64" t="n"/>
      <c r="BB20" s="136" t="n"/>
      <c r="BC20" s="64" t="n"/>
      <c r="BD20" s="64" t="n"/>
      <c r="BE20" s="64" t="n"/>
      <c r="BF20" s="136" t="n"/>
      <c r="BG20" s="64" t="n"/>
      <c r="BH20" s="64" t="n"/>
      <c r="BI20" s="136" t="n"/>
      <c r="BJ20" s="136" t="n"/>
      <c r="BK20" s="136" t="n"/>
      <c r="BL20" s="64" t="n"/>
      <c r="BM20" s="64" t="n"/>
      <c r="BN20" s="136" t="n"/>
      <c r="BO20" s="136" t="n"/>
      <c r="BP20" s="64" t="n"/>
      <c r="BQ20" s="64" t="n"/>
      <c r="BR20" s="136" t="n"/>
      <c r="BS20" s="136" t="n"/>
      <c r="BT20" s="64" t="n"/>
      <c r="BU20" s="64" t="n"/>
      <c r="BV20" s="136" t="n"/>
      <c r="BW20" s="308" t="n"/>
      <c r="BX20" s="64" t="n"/>
      <c r="BY20" s="64" t="n"/>
      <c r="BZ20" s="64" t="n"/>
      <c r="CA20" s="64" t="n"/>
      <c r="CB20" s="64" t="n"/>
      <c r="CC20" s="64" t="n"/>
      <c r="CD20" s="64" t="n"/>
      <c r="CE20" s="64" t="n"/>
      <c r="CF20" s="64" t="n"/>
      <c r="CG20" s="64" t="n"/>
      <c r="CH20" s="64" t="n"/>
      <c r="CI20" s="64" t="n"/>
      <c r="CJ20" s="64" t="n"/>
      <c r="CK20" s="64" t="n"/>
      <c r="CL20" s="64" t="n"/>
      <c r="CM20" s="64" t="n"/>
      <c r="CN20" s="64" t="n"/>
      <c r="CO20" s="64" t="n"/>
    </row>
    <row r="21" ht="18.75" customHeight="1">
      <c r="A21" s="64" t="n"/>
      <c r="B21" s="2398" t="inlineStr">
        <is>
          <t>_vbv</t>
        </is>
      </c>
      <c r="C21" s="2446" t="inlineStr">
        <is>
          <t>t</t>
        </is>
      </c>
      <c r="D21" s="2456" t="inlineStr">
        <is>
          <t>dZzjøv</t>
        </is>
      </c>
      <c r="E21" s="64" t="n"/>
      <c r="F21" s="64" t="n"/>
      <c r="G21" s="2570" t="n"/>
      <c r="H21" s="64" t="n"/>
      <c r="I21" s="64" t="n"/>
      <c r="J21" s="2434" t="n"/>
      <c r="K21" s="2448" t="n"/>
      <c r="L21" s="2449" t="n"/>
      <c r="M21" s="2444" t="n"/>
      <c r="N21" s="2450" t="n"/>
      <c r="O21" s="64" t="n"/>
      <c r="P21" s="64" t="n"/>
      <c r="Q21" s="64" t="n"/>
      <c r="R21" s="136" t="n"/>
      <c r="S21" s="64" t="n"/>
      <c r="T21" s="64" t="n"/>
      <c r="U21" s="64" t="n"/>
      <c r="V21" s="136" t="n"/>
      <c r="W21" s="136" t="n"/>
      <c r="X21" s="64" t="n"/>
      <c r="Y21" s="64" t="n"/>
      <c r="Z21" s="136" t="n"/>
      <c r="AA21" s="64" t="n"/>
      <c r="AB21" s="64" t="n"/>
      <c r="AC21" s="64" t="n"/>
      <c r="AD21" s="136" t="n"/>
      <c r="AE21" s="64" t="n"/>
      <c r="AF21" s="64" t="n"/>
      <c r="AG21" s="64" t="n"/>
      <c r="AH21" s="136" t="n"/>
      <c r="AI21" s="64" t="n"/>
      <c r="AJ21" s="64" t="n"/>
      <c r="AK21" s="64" t="n"/>
      <c r="AL21" s="136" t="n"/>
      <c r="AM21" s="64" t="n"/>
      <c r="AN21" s="64" t="n"/>
      <c r="AO21" s="64" t="n"/>
      <c r="AP21" s="136" t="n"/>
      <c r="AQ21" s="64" t="n"/>
      <c r="AR21" s="64" t="n"/>
      <c r="AS21" s="64" t="n"/>
      <c r="AT21" s="136" t="n"/>
      <c r="AU21" s="64" t="n"/>
      <c r="AV21" s="64" t="n"/>
      <c r="AW21" s="64" t="n"/>
      <c r="AX21" s="136" t="n"/>
      <c r="AY21" s="308" t="n"/>
      <c r="AZ21" s="64" t="n"/>
      <c r="BA21" s="64" t="n"/>
      <c r="BB21" s="136" t="n"/>
      <c r="BC21" s="64" t="n"/>
      <c r="BD21" s="64" t="n"/>
      <c r="BE21" s="64" t="n"/>
      <c r="BF21" s="136" t="n"/>
      <c r="BG21" s="64" t="n"/>
      <c r="BH21" s="64" t="n"/>
      <c r="BI21" s="136" t="n"/>
      <c r="BJ21" s="136" t="n"/>
      <c r="BK21" s="136" t="n"/>
      <c r="BL21" s="64" t="n"/>
      <c r="BM21" s="64" t="n"/>
      <c r="BN21" s="136" t="n"/>
      <c r="BO21" s="136" t="n"/>
      <c r="BP21" s="64" t="n"/>
      <c r="BQ21" s="64" t="n"/>
      <c r="BR21" s="136" t="n"/>
      <c r="BS21" s="136" t="n"/>
      <c r="BT21" s="64" t="n"/>
      <c r="BU21" s="64" t="n"/>
      <c r="BV21" s="136" t="n"/>
      <c r="BW21" s="308" t="n"/>
      <c r="BX21" s="64" t="n"/>
      <c r="BY21" s="64" t="n"/>
      <c r="BZ21" s="64" t="n"/>
      <c r="CA21" s="64" t="n"/>
      <c r="CB21" s="64" t="n"/>
      <c r="CC21" s="64" t="n"/>
      <c r="CD21" s="64" t="n"/>
      <c r="CE21" s="64" t="n"/>
      <c r="CF21" s="64" t="n"/>
      <c r="CG21" s="64" t="n"/>
      <c r="CH21" s="64" t="n"/>
      <c r="CI21" s="64" t="n"/>
      <c r="CJ21" s="64" t="n"/>
      <c r="CK21" s="64" t="n"/>
      <c r="CL21" s="64" t="n"/>
      <c r="CM21" s="64" t="n"/>
      <c r="CN21" s="64" t="n"/>
      <c r="CO21" s="64" t="n"/>
    </row>
    <row r="22" ht="18.75" customHeight="1">
      <c r="A22" s="64" t="n"/>
      <c r="B22" s="2398" t="inlineStr">
        <is>
          <t>Dc‡Rjv</t>
        </is>
      </c>
      <c r="C22" s="2446" t="inlineStr">
        <is>
          <t>t</t>
        </is>
      </c>
      <c r="D22" s="2504" t="inlineStr">
        <is>
          <t>bvivqYMÄ m`i</t>
        </is>
      </c>
      <c r="E22" s="64" t="n"/>
      <c r="F22" s="64" t="n"/>
      <c r="G22" s="2570" t="n"/>
      <c r="H22" s="64" t="n"/>
      <c r="I22" s="64" t="n"/>
      <c r="J22" s="2434" t="n"/>
      <c r="K22" s="2448" t="n"/>
      <c r="L22" s="2449" t="n"/>
      <c r="M22" s="2444" t="n"/>
      <c r="N22" s="2450" t="n"/>
      <c r="O22" s="64" t="n"/>
      <c r="P22" s="64" t="n"/>
      <c r="Q22" s="64" t="n"/>
      <c r="R22" s="136" t="n"/>
      <c r="S22" s="64" t="n"/>
      <c r="T22" s="64" t="n"/>
      <c r="U22" s="64" t="n"/>
      <c r="V22" s="136" t="n"/>
      <c r="W22" s="136" t="n"/>
      <c r="X22" s="64" t="n"/>
      <c r="Y22" s="64" t="n"/>
      <c r="Z22" s="136" t="n"/>
      <c r="AA22" s="64" t="n"/>
      <c r="AB22" s="64" t="n"/>
      <c r="AC22" s="64" t="n"/>
      <c r="AD22" s="136" t="n"/>
      <c r="AE22" s="64" t="n"/>
      <c r="AF22" s="64" t="n"/>
      <c r="AG22" s="64" t="n"/>
      <c r="AH22" s="136" t="n"/>
      <c r="AI22" s="64" t="n"/>
      <c r="AJ22" s="64" t="n"/>
      <c r="AK22" s="64" t="n"/>
      <c r="AL22" s="136" t="n"/>
      <c r="AM22" s="64" t="n"/>
      <c r="AN22" s="64" t="n"/>
      <c r="AO22" s="64" t="n"/>
      <c r="AP22" s="136" t="n"/>
      <c r="AQ22" s="64" t="n"/>
      <c r="AR22" s="64" t="n"/>
      <c r="AS22" s="64" t="n"/>
      <c r="AT22" s="136" t="n"/>
      <c r="AU22" s="64" t="n"/>
      <c r="AV22" s="64" t="n"/>
      <c r="AW22" s="64" t="n"/>
      <c r="AX22" s="136" t="n"/>
      <c r="AY22" s="308" t="n"/>
      <c r="AZ22" s="64" t="n"/>
      <c r="BA22" s="64" t="n"/>
      <c r="BB22" s="136" t="n"/>
      <c r="BC22" s="64" t="n"/>
      <c r="BD22" s="64" t="n"/>
      <c r="BE22" s="64" t="n"/>
      <c r="BF22" s="136" t="n"/>
      <c r="BG22" s="64" t="n"/>
      <c r="BH22" s="64" t="n"/>
      <c r="BI22" s="136" t="n"/>
      <c r="BJ22" s="136" t="n"/>
      <c r="BK22" s="136" t="n"/>
      <c r="BL22" s="64" t="n"/>
      <c r="BM22" s="64" t="n"/>
      <c r="BN22" s="136" t="n"/>
      <c r="BO22" s="136" t="n"/>
      <c r="BP22" s="64" t="n"/>
      <c r="BQ22" s="64" t="n"/>
      <c r="BR22" s="136" t="n"/>
      <c r="BS22" s="136" t="n"/>
      <c r="BT22" s="64" t="n"/>
      <c r="BU22" s="64" t="n"/>
      <c r="BV22" s="136" t="n"/>
      <c r="BW22" s="308" t="n"/>
      <c r="BX22" s="64" t="n"/>
      <c r="BY22" s="64" t="n"/>
      <c r="BZ22" s="64" t="n"/>
      <c r="CA22" s="64" t="n"/>
      <c r="CB22" s="64" t="n"/>
      <c r="CC22" s="64" t="n"/>
      <c r="CD22" s="64" t="n"/>
      <c r="CE22" s="64" t="n"/>
      <c r="CF22" s="64" t="n"/>
      <c r="CG22" s="64" t="n"/>
      <c r="CH22" s="64" t="n"/>
      <c r="CI22" s="64" t="n"/>
      <c r="CJ22" s="64" t="n"/>
      <c r="CK22" s="64" t="n"/>
      <c r="CL22" s="64" t="n"/>
      <c r="CM22" s="64" t="n"/>
      <c r="CN22" s="64" t="n"/>
      <c r="CO22" s="64" t="n"/>
    </row>
    <row r="23" ht="18.75" customHeight="1">
      <c r="A23" s="64" t="n"/>
      <c r="B23" s="2398" t="inlineStr">
        <is>
          <t>‡Rjv</t>
        </is>
      </c>
      <c r="C23" s="2446" t="inlineStr">
        <is>
          <t>t</t>
        </is>
      </c>
      <c r="D23" s="2504" t="inlineStr">
        <is>
          <t>bvivqYMÄ</t>
        </is>
      </c>
      <c r="E23" s="64" t="n"/>
      <c r="F23" s="64" t="n"/>
      <c r="G23" s="2570" t="n"/>
      <c r="H23" s="64" t="n"/>
      <c r="I23" s="64" t="n"/>
      <c r="J23" s="2434" t="n"/>
      <c r="K23" s="2448" t="n"/>
      <c r="L23" s="2449" t="n"/>
      <c r="M23" s="2444" t="n"/>
      <c r="N23" s="2450" t="n"/>
      <c r="O23" s="64" t="n"/>
      <c r="P23" s="64" t="n"/>
      <c r="Q23" s="64" t="n"/>
      <c r="R23" s="136" t="n"/>
      <c r="S23" s="64" t="n"/>
      <c r="T23" s="64" t="n"/>
      <c r="U23" s="64" t="n"/>
      <c r="V23" s="136" t="n"/>
      <c r="W23" s="136" t="n"/>
      <c r="X23" s="64" t="n"/>
      <c r="Y23" s="64" t="n"/>
      <c r="Z23" s="136" t="n"/>
      <c r="AA23" s="64" t="n"/>
      <c r="AB23" s="64" t="n"/>
      <c r="AC23" s="64" t="n"/>
      <c r="AD23" s="136" t="n"/>
      <c r="AE23" s="64" t="n"/>
      <c r="AF23" s="64" t="n"/>
      <c r="AG23" s="64" t="n"/>
      <c r="AH23" s="136" t="n"/>
      <c r="AI23" s="64" t="n"/>
      <c r="AJ23" s="64" t="n"/>
      <c r="AK23" s="64" t="n"/>
      <c r="AL23" s="136" t="n"/>
      <c r="AM23" s="64" t="n"/>
      <c r="AN23" s="64" t="n"/>
      <c r="AO23" s="64" t="n"/>
      <c r="AP23" s="136" t="n"/>
      <c r="AQ23" s="64" t="n"/>
      <c r="AR23" s="64" t="n"/>
      <c r="AS23" s="64" t="n"/>
      <c r="AT23" s="136" t="n"/>
      <c r="AU23" s="64" t="n"/>
      <c r="AV23" s="64" t="n"/>
      <c r="AW23" s="64" t="n"/>
      <c r="AX23" s="136" t="n"/>
      <c r="AY23" s="308" t="n"/>
      <c r="AZ23" s="64" t="n"/>
      <c r="BA23" s="64" t="n"/>
      <c r="BB23" s="136" t="n"/>
      <c r="BC23" s="64" t="n"/>
      <c r="BD23" s="64" t="n"/>
      <c r="BE23" s="64" t="n"/>
      <c r="BF23" s="136" t="n"/>
      <c r="BG23" s="64" t="n"/>
      <c r="BH23" s="64" t="n"/>
      <c r="BI23" s="136" t="n"/>
      <c r="BJ23" s="136" t="n"/>
      <c r="BK23" s="136" t="n"/>
      <c r="BL23" s="64" t="n"/>
      <c r="BM23" s="64" t="n"/>
      <c r="BN23" s="136" t="n"/>
      <c r="BO23" s="136" t="n"/>
      <c r="BP23" s="64" t="n"/>
      <c r="BQ23" s="64" t="n"/>
      <c r="BR23" s="136" t="n"/>
      <c r="BS23" s="136" t="n"/>
      <c r="BT23" s="64" t="n"/>
      <c r="BU23" s="64" t="n"/>
      <c r="BV23" s="136" t="n"/>
      <c r="BW23" s="308" t="n"/>
      <c r="BX23" s="64" t="n"/>
      <c r="BY23" s="64" t="n"/>
      <c r="BZ23" s="64" t="n"/>
      <c r="CA23" s="64" t="n"/>
      <c r="CB23" s="64" t="n"/>
      <c r="CC23" s="64" t="n"/>
      <c r="CD23" s="64" t="n"/>
      <c r="CE23" s="64" t="n"/>
      <c r="CF23" s="64" t="n"/>
      <c r="CG23" s="64" t="n"/>
      <c r="CH23" s="64" t="n"/>
      <c r="CI23" s="64" t="n"/>
      <c r="CJ23" s="64" t="n"/>
      <c r="CK23" s="64" t="n"/>
      <c r="CL23" s="64" t="n"/>
      <c r="CM23" s="64" t="n"/>
      <c r="CN23" s="64" t="n"/>
      <c r="CO23" s="64" t="n"/>
    </row>
    <row r="24" ht="18.75" customHeight="1">
      <c r="A24" s="64" t="n"/>
      <c r="B24" s="2398" t="inlineStr">
        <is>
          <t>PjwZ wnmve bs</t>
        </is>
      </c>
      <c r="C24" s="2446" t="inlineStr">
        <is>
          <t>t</t>
        </is>
      </c>
      <c r="D24" s="2505" t="inlineStr">
        <is>
          <t>P wnt bs-3678</t>
        </is>
      </c>
      <c r="E24" s="64" t="n"/>
      <c r="F24" s="64" t="n"/>
      <c r="G24" s="2570" t="n"/>
      <c r="H24" s="64" t="n"/>
      <c r="I24" s="64" t="n"/>
      <c r="J24" s="2434" t="n"/>
      <c r="K24" s="2448" t="n"/>
      <c r="L24" s="2449" t="n"/>
      <c r="M24" s="2444" t="n"/>
      <c r="N24" s="2450" t="n"/>
      <c r="O24" s="64" t="n"/>
      <c r="P24" s="64" t="n"/>
      <c r="Q24" s="64" t="n"/>
      <c r="R24" s="136" t="n"/>
      <c r="S24" s="64" t="n"/>
      <c r="T24" s="64" t="n"/>
      <c r="U24" s="64" t="n"/>
      <c r="V24" s="136" t="n"/>
      <c r="W24" s="136" t="n"/>
      <c r="X24" s="64" t="n"/>
      <c r="Y24" s="64" t="n"/>
      <c r="Z24" s="136" t="n"/>
      <c r="AA24" s="64" t="n"/>
      <c r="AB24" s="64" t="n"/>
      <c r="AC24" s="64" t="n"/>
      <c r="AD24" s="136" t="n"/>
      <c r="AE24" s="64" t="n"/>
      <c r="AF24" s="64" t="n"/>
      <c r="AG24" s="64" t="n"/>
      <c r="AH24" s="136" t="n"/>
      <c r="AI24" s="64" t="n"/>
      <c r="AJ24" s="64" t="n"/>
      <c r="AK24" s="64" t="n"/>
      <c r="AL24" s="136" t="n"/>
      <c r="AM24" s="64" t="n"/>
      <c r="AN24" s="64" t="n"/>
      <c r="AO24" s="64" t="n"/>
      <c r="AP24" s="136" t="n"/>
      <c r="AQ24" s="64" t="n"/>
      <c r="AR24" s="64" t="n"/>
      <c r="AS24" s="64" t="n"/>
      <c r="AT24" s="136" t="n"/>
      <c r="AU24" s="64" t="n"/>
      <c r="AV24" s="64" t="n"/>
      <c r="AW24" s="64" t="n"/>
      <c r="AX24" s="136" t="n"/>
      <c r="AY24" s="308" t="n"/>
      <c r="AZ24" s="64" t="n"/>
      <c r="BA24" s="64" t="n"/>
      <c r="BB24" s="136" t="n"/>
      <c r="BC24" s="64" t="n"/>
      <c r="BD24" s="64" t="n"/>
      <c r="BE24" s="64" t="n"/>
      <c r="BF24" s="136" t="n"/>
      <c r="BG24" s="64" t="n"/>
      <c r="BH24" s="64" t="n"/>
      <c r="BI24" s="136" t="n"/>
      <c r="BJ24" s="136" t="n"/>
      <c r="BK24" s="136" t="n"/>
      <c r="BL24" s="64" t="n"/>
      <c r="BM24" s="64" t="n"/>
      <c r="BN24" s="136" t="n"/>
      <c r="BO24" s="136" t="n"/>
      <c r="BP24" s="64" t="n"/>
      <c r="BQ24" s="64" t="n"/>
      <c r="BR24" s="136" t="n"/>
      <c r="BS24" s="136" t="n"/>
      <c r="BT24" s="64" t="n"/>
      <c r="BU24" s="64" t="n"/>
      <c r="BV24" s="136" t="n"/>
      <c r="BW24" s="308" t="n"/>
      <c r="BX24" s="64" t="n"/>
      <c r="BY24" s="64" t="n"/>
      <c r="BZ24" s="64" t="n"/>
      <c r="CA24" s="64" t="n"/>
      <c r="CB24" s="64" t="n"/>
      <c r="CC24" s="64" t="n"/>
      <c r="CD24" s="64" t="n"/>
      <c r="CE24" s="64" t="n"/>
      <c r="CF24" s="64" t="n"/>
      <c r="CG24" s="64" t="n"/>
      <c r="CH24" s="64" t="n"/>
      <c r="CI24" s="64" t="n"/>
      <c r="CJ24" s="64" t="n"/>
      <c r="CK24" s="64" t="n"/>
      <c r="CL24" s="64" t="n"/>
      <c r="CM24" s="64" t="n"/>
      <c r="CN24" s="64" t="n"/>
      <c r="CO24" s="64" t="n"/>
    </row>
    <row r="25" ht="18.75" customHeight="1">
      <c r="A25" s="64" t="n"/>
      <c r="B25" s="2398" t="inlineStr">
        <is>
          <t>wnmve ‡Lvjvi ZvwiL</t>
        </is>
      </c>
      <c r="C25" s="2446" t="inlineStr">
        <is>
          <t>t</t>
        </is>
      </c>
      <c r="D25" s="2504" t="inlineStr">
        <is>
          <t>19/12/2024 wLªt</t>
        </is>
      </c>
      <c r="E25" s="64" t="n"/>
      <c r="F25" s="64" t="n"/>
      <c r="G25" s="2570" t="n"/>
      <c r="H25" s="64" t="n"/>
      <c r="I25" s="64" t="n"/>
      <c r="J25" s="2434" t="n"/>
      <c r="K25" s="2448" t="n"/>
      <c r="L25" s="2449" t="n"/>
      <c r="M25" s="2444" t="n"/>
      <c r="N25" s="2450" t="n"/>
      <c r="O25" s="64" t="n"/>
      <c r="P25" s="64" t="n"/>
      <c r="Q25" s="64" t="n"/>
      <c r="R25" s="136" t="n"/>
      <c r="S25" s="64" t="n"/>
      <c r="T25" s="64" t="n"/>
      <c r="U25" s="64" t="n"/>
      <c r="V25" s="136" t="n"/>
      <c r="W25" s="136" t="n"/>
      <c r="X25" s="64" t="n"/>
      <c r="Y25" s="64" t="n"/>
      <c r="Z25" s="136" t="n"/>
      <c r="AA25" s="64" t="n"/>
      <c r="AB25" s="64" t="n"/>
      <c r="AC25" s="64" t="n"/>
      <c r="AD25" s="136" t="n"/>
      <c r="AE25" s="64" t="n"/>
      <c r="AF25" s="64" t="n"/>
      <c r="AG25" s="64" t="n"/>
      <c r="AH25" s="136" t="n"/>
      <c r="AI25" s="64" t="n"/>
      <c r="AJ25" s="64" t="n"/>
      <c r="AK25" s="64" t="n"/>
      <c r="AL25" s="136" t="n"/>
      <c r="AM25" s="64" t="n"/>
      <c r="AN25" s="64" t="n"/>
      <c r="AO25" s="64" t="n"/>
      <c r="AP25" s="136" t="n"/>
      <c r="AQ25" s="64" t="n"/>
      <c r="AR25" s="64" t="n"/>
      <c r="AS25" s="64" t="n"/>
      <c r="AT25" s="136" t="n"/>
      <c r="AU25" s="64" t="n"/>
      <c r="AV25" s="64" t="n"/>
      <c r="AW25" s="64" t="n"/>
      <c r="AX25" s="136" t="n"/>
      <c r="AY25" s="308" t="n"/>
      <c r="AZ25" s="64" t="n"/>
      <c r="BA25" s="64" t="n"/>
      <c r="BB25" s="136" t="n"/>
      <c r="BC25" s="64" t="n"/>
      <c r="BD25" s="64" t="n"/>
      <c r="BE25" s="64" t="n"/>
      <c r="BF25" s="136" t="n"/>
      <c r="BG25" s="64" t="n"/>
      <c r="BH25" s="64" t="n"/>
      <c r="BI25" s="136" t="n"/>
      <c r="BJ25" s="136" t="n"/>
      <c r="BK25" s="136" t="n"/>
      <c r="BL25" s="64" t="n"/>
      <c r="BM25" s="64" t="n"/>
      <c r="BN25" s="136" t="n"/>
      <c r="BO25" s="136" t="n"/>
      <c r="BP25" s="64" t="n"/>
      <c r="BQ25" s="64" t="n"/>
      <c r="BR25" s="136" t="n"/>
      <c r="BS25" s="136" t="n"/>
      <c r="BT25" s="64" t="n"/>
      <c r="BU25" s="64" t="n"/>
      <c r="BV25" s="136" t="n"/>
      <c r="BW25" s="308" t="n"/>
      <c r="BX25" s="64" t="n"/>
      <c r="BY25" s="64" t="n"/>
      <c r="BZ25" s="64" t="n"/>
      <c r="CA25" s="64" t="n"/>
      <c r="CB25" s="64" t="n"/>
      <c r="CC25" s="64" t="n"/>
      <c r="CD25" s="64" t="n"/>
      <c r="CE25" s="64" t="n"/>
      <c r="CF25" s="64" t="n"/>
      <c r="CG25" s="64" t="n"/>
      <c r="CH25" s="64" t="n"/>
      <c r="CI25" s="64" t="n"/>
      <c r="CJ25" s="64" t="n"/>
      <c r="CK25" s="64" t="n"/>
      <c r="CL25" s="64" t="n"/>
      <c r="CM25" s="64" t="n"/>
      <c r="CN25" s="64" t="n"/>
      <c r="CO25" s="64" t="n"/>
    </row>
    <row r="26" ht="18.75" customHeight="1">
      <c r="A26" s="64" t="n"/>
      <c r="B26" s="2506" t="inlineStr">
        <is>
          <t>TIN</t>
        </is>
      </c>
      <c r="C26" s="2446" t="inlineStr">
        <is>
          <t>t</t>
        </is>
      </c>
      <c r="D26" s="2507" t="n">
        <v>186078663120</v>
      </c>
      <c r="E26" s="64" t="n"/>
      <c r="F26" s="64" t="n"/>
      <c r="G26" s="2570" t="n"/>
      <c r="H26" s="64" t="n"/>
      <c r="I26" s="64" t="n"/>
      <c r="J26" s="2434" t="n"/>
      <c r="K26" s="2448" t="n"/>
      <c r="L26" s="2449" t="n"/>
      <c r="M26" s="2444" t="n"/>
      <c r="N26" s="2450" t="n"/>
      <c r="O26" s="64" t="n"/>
      <c r="P26" s="64" t="n"/>
      <c r="Q26" s="64" t="n"/>
      <c r="R26" s="136" t="n"/>
      <c r="S26" s="64" t="n"/>
      <c r="T26" s="64" t="n"/>
      <c r="U26" s="64" t="n"/>
      <c r="V26" s="136" t="n"/>
      <c r="W26" s="136" t="n"/>
      <c r="X26" s="64" t="n"/>
      <c r="Y26" s="64" t="n"/>
      <c r="Z26" s="136" t="n"/>
      <c r="AA26" s="64" t="n"/>
      <c r="AB26" s="64" t="n"/>
      <c r="AC26" s="64" t="n"/>
      <c r="AD26" s="136" t="n"/>
      <c r="AE26" s="64" t="n"/>
      <c r="AF26" s="64" t="n"/>
      <c r="AG26" s="64" t="n"/>
      <c r="AH26" s="136" t="n"/>
      <c r="AI26" s="64" t="n"/>
      <c r="AJ26" s="64" t="n"/>
      <c r="AK26" s="64" t="n"/>
      <c r="AL26" s="136" t="n"/>
      <c r="AM26" s="64" t="n"/>
      <c r="AN26" s="64" t="n"/>
      <c r="AO26" s="64" t="n"/>
      <c r="AP26" s="136" t="n"/>
      <c r="AQ26" s="64" t="n"/>
      <c r="AR26" s="64" t="n"/>
      <c r="AS26" s="64" t="n"/>
      <c r="AT26" s="136" t="n"/>
      <c r="AU26" s="64" t="n"/>
      <c r="AV26" s="64" t="n"/>
      <c r="AW26" s="64" t="n"/>
      <c r="AX26" s="136" t="n"/>
      <c r="AY26" s="308" t="n"/>
      <c r="AZ26" s="64" t="n"/>
      <c r="BA26" s="64" t="n"/>
      <c r="BB26" s="136" t="n"/>
      <c r="BC26" s="64" t="n"/>
      <c r="BD26" s="64" t="n"/>
      <c r="BE26" s="64" t="n"/>
      <c r="BF26" s="136" t="n"/>
      <c r="BG26" s="64" t="n"/>
      <c r="BH26" s="64" t="n"/>
      <c r="BI26" s="136" t="n"/>
      <c r="BJ26" s="136" t="n"/>
      <c r="BK26" s="136" t="n"/>
      <c r="BL26" s="64" t="n"/>
      <c r="BM26" s="64" t="n"/>
      <c r="BN26" s="136" t="n"/>
      <c r="BO26" s="136" t="n"/>
      <c r="BP26" s="64" t="n"/>
      <c r="BQ26" s="64" t="n"/>
      <c r="BR26" s="136" t="n"/>
      <c r="BS26" s="136" t="n"/>
      <c r="BT26" s="64" t="n"/>
      <c r="BU26" s="64" t="n"/>
      <c r="BV26" s="136" t="n"/>
      <c r="BW26" s="308" t="n"/>
      <c r="BX26" s="64" t="n"/>
      <c r="BY26" s="64" t="n"/>
      <c r="BZ26" s="64" t="n"/>
      <c r="CA26" s="64" t="n"/>
      <c r="CB26" s="64" t="n"/>
      <c r="CC26" s="64" t="n"/>
      <c r="CD26" s="64" t="n"/>
      <c r="CE26" s="64" t="n"/>
      <c r="CF26" s="64" t="n"/>
      <c r="CG26" s="64" t="n"/>
      <c r="CH26" s="64" t="n"/>
      <c r="CI26" s="64" t="n"/>
      <c r="CJ26" s="64" t="n"/>
      <c r="CK26" s="64" t="n"/>
      <c r="CL26" s="64" t="n"/>
      <c r="CM26" s="64" t="n"/>
      <c r="CN26" s="64" t="n"/>
      <c r="CO26" s="64" t="n"/>
    </row>
    <row r="27" ht="18.75" customHeight="1">
      <c r="A27" s="64" t="n"/>
      <c r="B27" s="2508" t="inlineStr">
        <is>
          <t xml:space="preserve">¯’vqx wVKvbv </t>
        </is>
      </c>
      <c r="C27" s="2509" t="inlineStr">
        <is>
          <t>t</t>
        </is>
      </c>
      <c r="D27" s="2500" t="inlineStr">
        <is>
          <t>`vcv B`ªvKcyi, dZzjøv, bvivqYMÄ</t>
        </is>
      </c>
      <c r="E27" s="64" t="n"/>
      <c r="F27" s="64" t="n"/>
      <c r="G27" s="2570" t="n"/>
      <c r="H27" s="64" t="n"/>
      <c r="I27" s="64" t="n"/>
      <c r="J27" s="2434" t="n"/>
      <c r="K27" s="2448" t="n"/>
      <c r="L27" s="2449" t="n"/>
      <c r="M27" s="2444" t="n"/>
      <c r="N27" s="2450" t="n"/>
      <c r="O27" s="64" t="n"/>
      <c r="P27" s="64" t="n"/>
      <c r="Q27" s="64" t="n"/>
      <c r="R27" s="136" t="n"/>
      <c r="S27" s="64" t="n"/>
      <c r="T27" s="64" t="n"/>
      <c r="U27" s="64" t="n"/>
      <c r="V27" s="136" t="n"/>
      <c r="W27" s="136" t="n"/>
      <c r="X27" s="64" t="n"/>
      <c r="Y27" s="64" t="n"/>
      <c r="Z27" s="136" t="n"/>
      <c r="AA27" s="64" t="n"/>
      <c r="AB27" s="64" t="n"/>
      <c r="AC27" s="64" t="n"/>
      <c r="AD27" s="136" t="n"/>
      <c r="AE27" s="64" t="n"/>
      <c r="AF27" s="64" t="n"/>
      <c r="AG27" s="64" t="n"/>
      <c r="AH27" s="136" t="n"/>
      <c r="AI27" s="64" t="n"/>
      <c r="AJ27" s="64" t="n"/>
      <c r="AK27" s="64" t="n"/>
      <c r="AL27" s="136" t="n"/>
      <c r="AM27" s="64" t="n"/>
      <c r="AN27" s="64" t="n"/>
      <c r="AO27" s="64" t="n"/>
      <c r="AP27" s="136" t="n"/>
      <c r="AQ27" s="64" t="n"/>
      <c r="AR27" s="64" t="n"/>
      <c r="AS27" s="64" t="n"/>
      <c r="AT27" s="136" t="n"/>
      <c r="AU27" s="64" t="n"/>
      <c r="AV27" s="64" t="n"/>
      <c r="AW27" s="64" t="n"/>
      <c r="AX27" s="136" t="n"/>
      <c r="AY27" s="308" t="n"/>
      <c r="AZ27" s="64" t="n"/>
      <c r="BA27" s="64" t="n"/>
      <c r="BB27" s="136" t="n"/>
      <c r="BC27" s="64" t="n"/>
      <c r="BD27" s="64" t="n"/>
      <c r="BE27" s="64" t="n"/>
      <c r="BF27" s="136" t="n"/>
      <c r="BG27" s="64" t="n"/>
      <c r="BH27" s="64" t="n"/>
      <c r="BI27" s="136" t="n"/>
      <c r="BJ27" s="136" t="n"/>
      <c r="BK27" s="136" t="n"/>
      <c r="BL27" s="64" t="n"/>
      <c r="BM27" s="64" t="n"/>
      <c r="BN27" s="136" t="n"/>
      <c r="BO27" s="136" t="n"/>
      <c r="BP27" s="64" t="n"/>
      <c r="BQ27" s="64" t="n"/>
      <c r="BR27" s="136" t="n"/>
      <c r="BS27" s="136" t="n"/>
      <c r="BT27" s="64" t="n"/>
      <c r="BU27" s="64" t="n"/>
      <c r="BV27" s="136" t="n"/>
      <c r="BW27" s="308" t="n"/>
      <c r="BX27" s="64" t="n"/>
      <c r="BY27" s="64" t="n"/>
      <c r="BZ27" s="64" t="n"/>
      <c r="CA27" s="64" t="n"/>
      <c r="CB27" s="64" t="n"/>
      <c r="CC27" s="64" t="n"/>
      <c r="CD27" s="64" t="n"/>
      <c r="CE27" s="64" t="n"/>
      <c r="CF27" s="64" t="n"/>
      <c r="CG27" s="64" t="n"/>
      <c r="CH27" s="64" t="n"/>
      <c r="CI27" s="64" t="n"/>
      <c r="CJ27" s="64" t="n"/>
      <c r="CK27" s="64" t="n"/>
      <c r="CL27" s="64" t="n"/>
      <c r="CM27" s="64" t="n"/>
      <c r="CN27" s="64" t="n"/>
      <c r="CO27" s="64" t="n"/>
    </row>
    <row r="28" ht="18.75" customHeight="1">
      <c r="A28" s="64" t="n"/>
      <c r="B28" s="64" t="n"/>
      <c r="C28" s="64" t="n"/>
      <c r="D28" s="545" t="n"/>
      <c r="E28" s="64" t="n"/>
      <c r="F28" s="64" t="n"/>
      <c r="G28" s="2570" t="n"/>
      <c r="H28" s="64" t="n"/>
      <c r="I28" s="64" t="n"/>
      <c r="J28" s="2434" t="n"/>
      <c r="K28" s="2448" t="n"/>
      <c r="L28" s="2449" t="n"/>
      <c r="M28" s="2444" t="n"/>
      <c r="N28" s="2450" t="n"/>
      <c r="O28" s="64" t="n"/>
      <c r="P28" s="64" t="n"/>
      <c r="Q28" s="64" t="n"/>
      <c r="R28" s="136" t="n"/>
      <c r="S28" s="64" t="n"/>
      <c r="T28" s="64" t="n"/>
      <c r="U28" s="64" t="n"/>
      <c r="V28" s="136" t="n"/>
      <c r="W28" s="136" t="n"/>
      <c r="X28" s="64" t="n"/>
      <c r="Y28" s="64" t="n"/>
      <c r="Z28" s="136" t="n"/>
      <c r="AA28" s="64" t="n"/>
      <c r="AB28" s="64" t="n"/>
      <c r="AC28" s="64" t="n"/>
      <c r="AD28" s="136" t="n"/>
      <c r="AE28" s="64" t="n"/>
      <c r="AF28" s="64" t="n"/>
      <c r="AG28" s="64" t="n"/>
      <c r="AH28" s="136" t="n"/>
      <c r="AI28" s="64" t="n"/>
      <c r="AJ28" s="64" t="n"/>
      <c r="AK28" s="64" t="n"/>
      <c r="AL28" s="136" t="n"/>
      <c r="AM28" s="64" t="n"/>
      <c r="AN28" s="64" t="n"/>
      <c r="AO28" s="64" t="n"/>
      <c r="AP28" s="136" t="n"/>
      <c r="AQ28" s="64" t="n"/>
      <c r="AR28" s="64" t="n"/>
      <c r="AS28" s="64" t="n"/>
      <c r="AT28" s="136" t="n"/>
      <c r="AU28" s="64" t="n"/>
      <c r="AV28" s="64" t="n"/>
      <c r="AW28" s="64" t="n"/>
      <c r="AX28" s="136" t="n"/>
      <c r="AY28" s="308" t="n"/>
      <c r="AZ28" s="64" t="n"/>
      <c r="BA28" s="64" t="n"/>
      <c r="BB28" s="136" t="n"/>
      <c r="BC28" s="64" t="n"/>
      <c r="BD28" s="64" t="n"/>
      <c r="BE28" s="64" t="n"/>
      <c r="BF28" s="136" t="n"/>
      <c r="BG28" s="64" t="n"/>
      <c r="BH28" s="64" t="n"/>
      <c r="BI28" s="136" t="n"/>
      <c r="BJ28" s="136" t="n"/>
      <c r="BK28" s="136" t="n"/>
      <c r="BL28" s="64" t="n"/>
      <c r="BM28" s="64" t="n"/>
      <c r="BN28" s="136" t="n"/>
      <c r="BO28" s="136" t="n"/>
      <c r="BP28" s="64" t="n"/>
      <c r="BQ28" s="64" t="n"/>
      <c r="BR28" s="136" t="n"/>
      <c r="BS28" s="136" t="n"/>
      <c r="BT28" s="64" t="n"/>
      <c r="BU28" s="64" t="n"/>
      <c r="BV28" s="136" t="n"/>
      <c r="BW28" s="308" t="n"/>
      <c r="BX28" s="64" t="n"/>
      <c r="BY28" s="64" t="n"/>
      <c r="BZ28" s="64" t="n"/>
      <c r="CA28" s="64" t="n"/>
      <c r="CB28" s="64" t="n"/>
      <c r="CC28" s="64" t="n"/>
      <c r="CD28" s="64" t="n"/>
      <c r="CE28" s="64" t="n"/>
      <c r="CF28" s="64" t="n"/>
      <c r="CG28" s="64" t="n"/>
      <c r="CH28" s="64" t="n"/>
      <c r="CI28" s="64" t="n"/>
      <c r="CJ28" s="64" t="n"/>
      <c r="CK28" s="64" t="n"/>
      <c r="CL28" s="64" t="n"/>
      <c r="CM28" s="64" t="n"/>
      <c r="CN28" s="64" t="n"/>
      <c r="CO28" s="64" t="n"/>
    </row>
    <row r="29" ht="19.5" customHeight="1">
      <c r="A29" s="64" t="n"/>
      <c r="B29" s="64" t="n"/>
      <c r="C29" s="64" t="n"/>
      <c r="D29" s="545" t="n"/>
      <c r="E29" s="64" t="n"/>
      <c r="F29" s="64" t="n"/>
      <c r="G29" s="2570" t="n"/>
      <c r="H29" s="64" t="n"/>
      <c r="I29" s="64" t="n"/>
      <c r="J29" s="2434" t="n"/>
      <c r="K29" s="2448" t="n"/>
      <c r="L29" s="2449" t="n"/>
      <c r="M29" s="2444" t="n"/>
      <c r="N29" s="2450" t="n"/>
      <c r="O29" s="64" t="n"/>
      <c r="P29" s="64" t="n"/>
      <c r="Q29" s="64" t="n"/>
      <c r="R29" s="136" t="n"/>
      <c r="S29" s="64" t="n"/>
      <c r="T29" s="64" t="n"/>
      <c r="U29" s="64" t="n"/>
      <c r="V29" s="136" t="n"/>
      <c r="W29" s="136" t="n"/>
      <c r="X29" s="64" t="n"/>
      <c r="Y29" s="64" t="n"/>
      <c r="Z29" s="136" t="n"/>
      <c r="AA29" s="64" t="n"/>
      <c r="AB29" s="64" t="n"/>
      <c r="AC29" s="64" t="n"/>
      <c r="AD29" s="136" t="n"/>
      <c r="AE29" s="64" t="n"/>
      <c r="AF29" s="64" t="n"/>
      <c r="AG29" s="64" t="n"/>
      <c r="AH29" s="136" t="n"/>
      <c r="AI29" s="64" t="n"/>
      <c r="AJ29" s="64" t="n"/>
      <c r="AK29" s="64" t="n"/>
      <c r="AL29" s="136" t="n"/>
      <c r="AM29" s="64" t="n"/>
      <c r="AN29" s="64" t="n"/>
      <c r="AO29" s="64" t="n"/>
      <c r="AP29" s="136" t="n"/>
      <c r="AQ29" s="64" t="n"/>
      <c r="AR29" s="64" t="n"/>
      <c r="AS29" s="64" t="n"/>
      <c r="AT29" s="136" t="n"/>
      <c r="AU29" s="64" t="n"/>
      <c r="AV29" s="64" t="n"/>
      <c r="AW29" s="64" t="n"/>
      <c r="AX29" s="136" t="n"/>
      <c r="AY29" s="308" t="n"/>
      <c r="AZ29" s="64" t="n"/>
      <c r="BA29" s="64" t="n"/>
      <c r="BB29" s="136" t="n"/>
      <c r="BC29" s="64" t="n"/>
      <c r="BD29" s="64" t="n"/>
      <c r="BE29" s="64" t="n"/>
      <c r="BF29" s="136" t="n"/>
      <c r="BG29" s="64" t="n"/>
      <c r="BH29" s="64" t="n"/>
      <c r="BI29" s="136" t="n"/>
      <c r="BJ29" s="136" t="n"/>
      <c r="BK29" s="136" t="n"/>
      <c r="BL29" s="64" t="n"/>
      <c r="BM29" s="64" t="n"/>
      <c r="BN29" s="136" t="n"/>
      <c r="BO29" s="136" t="n"/>
      <c r="BP29" s="64" t="n"/>
      <c r="BQ29" s="64" t="n"/>
      <c r="BR29" s="136" t="n"/>
      <c r="BS29" s="136" t="n"/>
      <c r="BT29" s="64" t="n"/>
      <c r="BU29" s="64" t="n"/>
      <c r="BV29" s="136" t="n"/>
      <c r="BW29" s="308" t="n"/>
      <c r="BX29" s="64" t="n"/>
      <c r="BY29" s="64" t="n"/>
      <c r="BZ29" s="64" t="n"/>
      <c r="CA29" s="64" t="n"/>
      <c r="CB29" s="64" t="n"/>
      <c r="CC29" s="64" t="n"/>
      <c r="CD29" s="64" t="n"/>
      <c r="CE29" s="64" t="n"/>
      <c r="CF29" s="64" t="n"/>
      <c r="CG29" s="64" t="n"/>
      <c r="CH29" s="64" t="n"/>
      <c r="CI29" s="64" t="n"/>
      <c r="CJ29" s="64" t="n"/>
      <c r="CK29" s="64" t="n"/>
      <c r="CL29" s="64" t="n"/>
      <c r="CM29" s="64" t="n"/>
      <c r="CN29" s="64" t="n"/>
      <c r="CO29" s="64" t="n"/>
    </row>
    <row r="30" ht="15" customHeight="1">
      <c r="A30" s="64" t="n"/>
      <c r="B30" s="64" t="n"/>
      <c r="C30" s="64" t="n"/>
      <c r="D30" s="545" t="n"/>
      <c r="E30" s="64" t="n"/>
      <c r="F30" s="64" t="n"/>
      <c r="G30" s="2570" t="n"/>
      <c r="H30" s="64" t="n"/>
      <c r="I30" s="64" t="n"/>
      <c r="J30" s="2434" t="n"/>
      <c r="K30" s="2448" t="n"/>
      <c r="L30" s="2449" t="n"/>
      <c r="M30" s="2444" t="n"/>
      <c r="N30" s="2450" t="n"/>
      <c r="O30" s="64" t="n"/>
      <c r="P30" s="64" t="n"/>
      <c r="Q30" s="64" t="n"/>
      <c r="R30" s="136" t="n"/>
      <c r="S30" s="64" t="n"/>
      <c r="T30" s="64" t="n"/>
      <c r="U30" s="64" t="n"/>
      <c r="V30" s="136" t="n"/>
      <c r="W30" s="136" t="n"/>
      <c r="X30" s="64" t="n"/>
      <c r="Y30" s="64" t="n"/>
      <c r="Z30" s="136" t="n"/>
      <c r="AA30" s="64" t="n"/>
      <c r="AB30" s="64" t="n"/>
      <c r="AC30" s="64" t="n"/>
      <c r="AD30" s="136" t="n"/>
      <c r="AE30" s="64" t="n"/>
      <c r="AF30" s="64" t="n"/>
      <c r="AG30" s="64" t="n"/>
      <c r="AH30" s="136" t="n"/>
      <c r="AI30" s="64" t="n"/>
      <c r="AJ30" s="64" t="n"/>
      <c r="AK30" s="64" t="n"/>
      <c r="AL30" s="136" t="n"/>
      <c r="AM30" s="64" t="n"/>
      <c r="AN30" s="64" t="n"/>
      <c r="AO30" s="64" t="n"/>
      <c r="AP30" s="136" t="n"/>
      <c r="AQ30" s="64" t="n"/>
      <c r="AR30" s="64" t="n"/>
      <c r="AS30" s="64" t="n"/>
      <c r="AT30" s="136" t="n"/>
      <c r="AU30" s="64" t="n"/>
      <c r="AV30" s="64" t="n"/>
      <c r="AW30" s="64" t="n"/>
      <c r="AX30" s="136" t="n"/>
      <c r="AY30" s="308" t="n"/>
      <c r="AZ30" s="64" t="n"/>
      <c r="BA30" s="64" t="n"/>
      <c r="BB30" s="136" t="n"/>
      <c r="BC30" s="64" t="n"/>
      <c r="BD30" s="64" t="n"/>
      <c r="BE30" s="64" t="n"/>
      <c r="BF30" s="136" t="n"/>
      <c r="BG30" s="64" t="n"/>
      <c r="BH30" s="64" t="n"/>
      <c r="BI30" s="136" t="n"/>
      <c r="BJ30" s="136" t="n"/>
      <c r="BK30" s="136" t="n"/>
      <c r="BL30" s="64" t="n"/>
      <c r="BM30" s="64" t="n"/>
      <c r="BN30" s="136" t="n"/>
      <c r="BO30" s="136" t="n"/>
      <c r="BP30" s="64" t="n"/>
      <c r="BQ30" s="64" t="n"/>
      <c r="BR30" s="136" t="n"/>
      <c r="BS30" s="136" t="n"/>
      <c r="BT30" s="64" t="n"/>
      <c r="BU30" s="64" t="n"/>
      <c r="BV30" s="136" t="n"/>
      <c r="BW30" s="308" t="n"/>
      <c r="BX30" s="64" t="n"/>
      <c r="BY30" s="64" t="n"/>
      <c r="BZ30" s="64" t="n"/>
      <c r="CA30" s="64" t="n"/>
      <c r="CB30" s="64" t="n"/>
      <c r="CC30" s="64" t="n"/>
      <c r="CD30" s="64" t="n"/>
      <c r="CE30" s="64" t="n"/>
      <c r="CF30" s="64" t="n"/>
      <c r="CG30" s="64" t="n"/>
      <c r="CH30" s="64" t="n"/>
      <c r="CI30" s="64" t="n"/>
      <c r="CJ30" s="64" t="n"/>
      <c r="CK30" s="64" t="n"/>
      <c r="CL30" s="64" t="n"/>
      <c r="CM30" s="64" t="n"/>
      <c r="CN30" s="64" t="n"/>
      <c r="CO30" s="64" t="n"/>
    </row>
    <row r="31" ht="22.5" customHeight="1">
      <c r="A31" s="64" t="n"/>
      <c r="B31" s="2510" t="inlineStr">
        <is>
          <t>gvwjKvbv m¤ú‡K© gšÍe¨</t>
        </is>
      </c>
      <c r="C31" s="2629" t="n"/>
      <c r="D31" s="2629" t="n"/>
      <c r="E31" s="2629" t="n"/>
      <c r="F31" s="2629" t="n"/>
      <c r="G31" s="2629" t="n"/>
      <c r="H31" s="2625" t="n"/>
      <c r="I31" s="64" t="n"/>
      <c r="J31" s="2434" t="n"/>
      <c r="K31" s="2448" t="n"/>
      <c r="L31" s="2449" t="n"/>
      <c r="M31" s="2444" t="n"/>
      <c r="N31" s="2450" t="n"/>
      <c r="O31" s="64" t="n"/>
      <c r="P31" s="64" t="n"/>
      <c r="Q31" s="64" t="n"/>
      <c r="R31" s="136" t="n"/>
      <c r="S31" s="64" t="n"/>
      <c r="T31" s="64" t="n"/>
      <c r="U31" s="64" t="n"/>
      <c r="V31" s="136" t="n"/>
      <c r="W31" s="136" t="n"/>
      <c r="X31" s="64" t="n"/>
      <c r="Y31" s="64" t="n"/>
      <c r="Z31" s="136" t="n"/>
      <c r="AA31" s="64" t="n"/>
      <c r="AB31" s="64" t="n"/>
      <c r="AC31" s="64" t="n"/>
      <c r="AD31" s="136" t="n"/>
      <c r="AE31" s="64" t="n"/>
      <c r="AF31" s="64" t="n"/>
      <c r="AG31" s="64" t="n"/>
      <c r="AH31" s="136" t="n"/>
      <c r="AI31" s="64" t="n"/>
      <c r="AJ31" s="64" t="n"/>
      <c r="AK31" s="64" t="n"/>
      <c r="AL31" s="136" t="n"/>
      <c r="AM31" s="64" t="n"/>
      <c r="AN31" s="64" t="n"/>
      <c r="AO31" s="64" t="n"/>
      <c r="AP31" s="136" t="n"/>
      <c r="AQ31" s="64" t="n"/>
      <c r="AR31" s="64" t="n"/>
      <c r="AS31" s="64" t="n"/>
      <c r="AT31" s="136" t="n"/>
      <c r="AU31" s="64" t="n"/>
      <c r="AV31" s="64" t="n"/>
      <c r="AW31" s="64" t="n"/>
      <c r="AX31" s="136" t="n"/>
      <c r="AY31" s="308" t="n"/>
      <c r="AZ31" s="64" t="n"/>
      <c r="BA31" s="64" t="n"/>
      <c r="BB31" s="136" t="n"/>
      <c r="BC31" s="64" t="n"/>
      <c r="BD31" s="64" t="n"/>
      <c r="BE31" s="64" t="n"/>
      <c r="BF31" s="136" t="n"/>
      <c r="BG31" s="64" t="n"/>
      <c r="BH31" s="64" t="n"/>
      <c r="BI31" s="136" t="n"/>
      <c r="BJ31" s="136" t="n"/>
      <c r="BK31" s="136" t="n"/>
      <c r="BL31" s="64" t="n"/>
      <c r="BM31" s="64" t="n"/>
      <c r="BN31" s="136" t="n"/>
      <c r="BO31" s="136" t="n"/>
      <c r="BP31" s="64" t="n"/>
      <c r="BQ31" s="64" t="n"/>
      <c r="BR31" s="136" t="n"/>
      <c r="BS31" s="136" t="n"/>
      <c r="BT31" s="64" t="n"/>
      <c r="BU31" s="64" t="n"/>
      <c r="BV31" s="136" t="n"/>
      <c r="BW31" s="308" t="n"/>
      <c r="BX31" s="64" t="n"/>
      <c r="BY31" s="64" t="n"/>
      <c r="BZ31" s="64" t="n"/>
      <c r="CA31" s="64" t="n"/>
      <c r="CB31" s="64" t="n"/>
      <c r="CC31" s="64" t="n"/>
      <c r="CD31" s="64" t="n"/>
      <c r="CE31" s="64" t="n"/>
      <c r="CF31" s="64" t="n"/>
      <c r="CG31" s="64" t="n"/>
      <c r="CH31" s="64" t="n"/>
      <c r="CI31" s="64" t="n"/>
      <c r="CJ31" s="64" t="n"/>
      <c r="CK31" s="64" t="n"/>
      <c r="CL31" s="64" t="n"/>
      <c r="CM31" s="64" t="n"/>
      <c r="CN31" s="64" t="n"/>
      <c r="CO31" s="64" t="n"/>
    </row>
    <row r="32" ht="56.25" customHeight="1">
      <c r="A32" s="64" t="n"/>
      <c r="B32" s="2515" t="inlineStr">
        <is>
          <t xml:space="preserve">cÖ¯ÍvweZ RvgvbZx m¤úwËi Gm.G. †iKW©xq gvwjK QwjgwÏb wgqv| D³ QwjgwÏb wgqv gvwjK I †fvM`LjKvi _vKv Ae¯’vq 30/09/1968 Bs Zvwi‡L 6648 bs I 6649 bs mvd Kejv `wjj g~‡j AvwQqv LvZzb I nvRx `ei DwÏb †gvjøv G‡`i wbKU mvd Kejv weµq K‡i D³ m¤úwË †_‡K wPiZ‡i wbt¯^Z¡evb nb| D³ AvwQqv LvZzb  10/03/1970 Bs Zvwi‡L 2313 bs mvd Kejv `wjj g~‡j wKq`vsk m¤úwË AvBbwÏb Gi wbKU weµq K‡ib|    AZ:ci AvBbwÏb gvwjK I †fvM`LjKvi _vKv Ae¯’vq  20/06/1970 Bs Zvwi‡L 5466 bs ‡nev `wj‡ji gva¨‡g cyÎ bRiæj Bmjvg †K †nev K‡i D³ m¤úwË †_‡K wPiZ‡i wbt¯^Z¡evb nb| cieZ©x‡Z D³ bvevjK bRiæj Bmjvg Gi c‡ÿ ¯^vfvweK AwfeveK D³ AvBbwÏb Øviv I ¯^qs MZ 10/01/1979 Bs Zvwi‡L 1547 bs mvd Kejv `wjj g~‡j †gv: Pvby wgqv Ii‡d Pvby wgqvi wbKU weµq K‡i D³ m¤úwË †_‡K wPiZ‡i wbt¯^Z¡evb nb|  AZ:ci AvBbwÏb gvwjK I †fvM`LjKvi _vKv Ae¯’vq  20/06/1970 Bs Zvwi‡L 5466 bs ‡nev `wj‡ji gva¨‡g cyÎ bRiæj Bmjvg †K †nev K‡i D³ m¤úwË †_‡K wPiZ‡i wbt¯^Z¡evb nb| cieZ©x‡Z D³ bvevjK bRiæj Bmjvg Gi c‡ÿ ¯^vfvweK AwfeveK D³ AvBbwÏb Øviv I ¯^qs MZ 10/01/1979 Bs Zvwi‡L 1547 bs mvd Kejv `wjj g~‡j †gv: Pvb wgqv Ii‡d Pvby wgqvi wbKU weµq K‡i D³ m¤úwË †_‡K wPiZ‡i wbt¯^Z¡evb nb |   AZ:ci †gv: Pvb wgqv Ii‡d Pvby wgqv 09/07/1979 Bs Zvwi‡L 26921 bs mvd Kejv `wj‡ji gva¨‡g Avãyj Avwjg †gvj¨vi wbKU mvd weµq K‡i D³ m¤úwË †_‡K wPiZ‡i wbt¯^Z¡evb nb|  AZ:ci D‡jøwLZ AvwQqv _vZzb D³ m¤úwË weMZ 26/08/1976 Bs Zvwi‡L 16431 bs mvd Kejv `wj‡ji gva¨‡g Igi Avjx I dz‡jmv wewei wbKU mvd weµq K‡i  wPiZ‡i wbt¯^Z¡evb nb | Ges AZ:ci D‡jøwLZ Igi Avjx I dz‡jmv wewe D³ m¤úwË weMZ 11/01/1983 Bs Zvwi‡L 267 bs mvd Kejv `wj‡ji gva¨‡g Avãyj Avwjg †gvj¨vi wbKU mvd weµq K‡i  wPiZ‡i wbt¯^Z¡evb nb | Ges AZ:ci Avãyj Avwjg †gvj¨v Zdwmj ewYZ m¤úwË 26921 I 267 bs mvd Kejv `wj‡ji gva¨‡g Lwi` Kwiqv 28/03/2005 Bs Zvwi‡L  2280  mvd Kejv `wjj `¦viv AvjnvR †`‡jvqvi †nv‡mb wbKU mvd weµq K‡i  wPiZ‡i wbt¯^Z¡evb nb | AZ:ci AvjnvR †`‡jvqvi †nv‡mb mvd Kejv `wjj gy‡j Lwi` Kwiqv 14/02/2006 Bs Zvwi‡L  596  mvd Kejv `wjj `¦viv ‡gv: wejøvj †nv‡mb  Gi wbKU mvd weµq K‡i AvjnvR †`‡jvqvi †nv‡mb wPiZ‡i wbt¯^Z¡evb nb | Aciw`‡K `eiwÏb †gvjøv D‡jøwLZ 6649 bs `wjj gy‡j Lwi` Kwiqv ‡fvM`Lj LvKv Aeövq AvBbwÏb †K cyÎ mn Ab¨vb¨ Iqvwik we`¨vgvb ivwLqv `eiwÏb  ci‡jvK Mgb K‡ib| Ges AZ:ci AvBbwÏb Zdwmj ewYZ m¤úwË ‰cwÎK Iqvwik my‡Î gvwjK nBqv weMZ 02/03/1972 Bs Zvwi‡L  1348  mvd Kejv `wjj `¦viv bv‡RgwÏb wgqv Ii‡d bRygwÏb Gi wbKU mvd weµq K‡i wPiZ‡i wbt¯^Z¡evb nb | AZ:ci bv‡RgwÏb wgqv Ii‡d bRygwÏb ewY©Z m¤úwË mvd Kejv `wjj gy‡j Lwi` Kwiqv weMZ Avi Gm -222 bs LwZqv‡b wbR bvg ‡iKW©fz³ Ae¯’vq ‡gvnv¤§` †nv‡mb, †gv: Lwjj, wcqviv ‡eMg I ‡gvnv¤§` Avjx cyÎ I Kb¨v Ges ¯¿x †iwRqv LvZzb‡K Iqvwik we`¨vgvb ivwLqv D³ bv‡RgwÏb wgqv Ii‡d bRygwÏb ci‡jvK Mgb K‡ib|Ges AZ:ci D³ ‡gvnv¤§` †nv‡mb, †gv: Lwjj, wcqviv ‡eMg I ‡gvnv¤§` Avjx cyÎ I Kb¨v ewY©Z m¤úwË ˆcwÎK Iqvwikm~‡Î Ges ¯¿x †iwRqv LvZzb ¯^vgxi Iqvwikm~‡Î gvwjK nBqv 17/05/2004 Zvwi‡L ‡gvnv¤§` †nv‡mb, †gv: Lwjj, wcqviv ‡eMg I ¯¿x †iwRqv LvZzb Zvnv‡`i cÖvc¨ Ask 1704 bs Avg‡gv³vi `wjj Øviv Ges ‡gvnv¤§` Avjx weMZ 28/10/2003 Zvwi‡L 4086 bs Avg‡gv³vi `wjj Øviv ‡gvmv¤§Z gwiqg ‡eMg‡K Avg‡gv³vi wbhy³ K‡ib|Ges AZ:ci AvBbwÏb Zdwmj ewYZ m¤úwË ‰cwÎK Iqvwik my‡Î gvwjK nBqv weMZ 20/04/1970 Bs Zvwi‡L  3741 bs  mvd Kejv `wjj `¦viv L‡ZRv wewe, ¯^vgx-Rxeb &amp;Lvb Gi wbKU mvd weµq K‡i wPiZ‡i wbt¯^Z¡evb nb | AZ:ci D³ L‡ZRv wewe weMZ 24/08/1978 Bs Zvwi‡L  17306 bs  mvd Kejv `wjj `¦viv ‡gv: Pvb wgqv Ii‡d Pvby wgqv Gi wbKU mvd weµq K‡i wPiZ‡i wbt¯^Z¡evb nb|Ges  D³ AvwQqv LvZzb 10/03/1970 Bs Zvwi‡L 2315 bs  mvd Kejv `wjj `¦viv Avãym mvgv` Gi wbKU mvd weµq K‡ib| Ges AZ:ci D³ Avãym mvgv` 01/01/1979 Bs Zvwi‡L  47 bs  mvd Kejv `wjj `¦viv ‡gv: Pvb wgqv Ii‡d Pvby wgqv Gi wbKU mvd weµq K‡i wPiZ‡i wbt¯^Z¡evb nb| Ges AZ:ci D³ ‡gv: Pvb wgqv Ii‡d Pvby wgqv 1730 I 47 bs `wjj g~‡j cÖß m¤úwË 07/03/1979 Bs Zvwi‡L  5108 bs  mvd Kejv `wjj `¦viv ‡gv: Avjx †nv‡mb I R‡e`v LvZzb Gi wbKU mvd weµq K‡i wPiZ‡i wbt¯^Z¡evb nb| AZ:ci D³ ‡gv: Avjx †nv‡mb I R‡e`v LvZzb 30/07/1979 Bs Zvwi‡L  29726 bs  mvd Kejv `wjj `¦viv ‡gv: ‡n`v‡qZ †nv‡mb Lvb I Lvb kvnv`Z †nv‡mb G‡`i wbKU mvd weµq K‡i wPiZ‡i wbt¯^Z¡evb nb| Ges AZ:ci D³ ‡gv: ‡n`v‡qZ †nv‡mb Lvb I Lvb kvnv`Z †nv‡mb 18/04/1985 Bs Zvwi‡L  9272 bs  mvd Kejv `wjj `¦viv ‡gvmv¤§r KzjQzg Aviv †eMg Gi wbKU mvd weµq K‡i wPiZ‡i wbt¯^Z¡evb nb| AZ:ci D³ ‡gvmv¤§r KzjQzg Aviv †eMg gvwjK I †fvM`LjKvi wbqZ n‡q 23/11/2004 Bs Zvwi‡L  4380 bs  Avg-‡gv³vibvgv `wjj `¦viv †gv: †`‡jvqvi †nv‡mb †K Avg-‡gv³vi wbhy³ K‡ib Ges D³ †gv: †`‡jvqvi †nv‡mb 01/09/2005 Bs Zvwi‡L  4009 bs  mvd Kejv `wjj `¦viv ‡gvt wejøvj †nvmvBb Gi wbKU mvd weµq K‡i wPiZ‡i wbt¯^Z¡evb nb| AZ:ci D³ ‡gvt wejøvj †nvmvBb 26/05/2024 Bs Zvwi‡L  3642 bs  mvd Kejv `wjj `¦viv mvB`yi ingvb wgVz Gi wbKU mvd weµq K‡i wPiZ‡i wbt¯^Z¡evb nb| AZ:ci D³ mvB`yi ingvb wgVz µqm~‡Î gvwjK n‡q Zdwm‡j ewb©Z  D³ m¤úwË wbR wbR bv‡g LvwiR K‡ib| hvnvi †gvKÏgv bs 1100/2024-25 Zvs 21/08/2024 BsGes nvj LvRbv cwi‡kva K‡ib|
</t>
        </is>
      </c>
      <c r="C32" s="2630" t="n"/>
      <c r="D32" s="2630" t="n"/>
      <c r="E32" s="2630" t="n"/>
      <c r="F32" s="2630" t="n"/>
      <c r="G32" s="2630" t="n"/>
      <c r="H32" s="2631" t="n"/>
      <c r="I32" s="64" t="n"/>
      <c r="J32" s="2434" t="n"/>
      <c r="K32" s="2448" t="n"/>
      <c r="L32" s="2449" t="n"/>
      <c r="M32" s="2444" t="n"/>
      <c r="N32" s="2450" t="n"/>
      <c r="O32" s="64" t="n"/>
      <c r="P32" s="64" t="n"/>
      <c r="Q32" s="64" t="n"/>
      <c r="R32" s="136" t="n"/>
      <c r="S32" s="64" t="n"/>
      <c r="T32" s="64" t="n"/>
      <c r="U32" s="64" t="n"/>
      <c r="V32" s="136" t="n"/>
      <c r="W32" s="136" t="n"/>
      <c r="X32" s="64" t="n"/>
      <c r="Y32" s="64" t="n"/>
      <c r="Z32" s="136" t="n"/>
      <c r="AA32" s="64" t="n"/>
      <c r="AB32" s="64" t="n"/>
      <c r="AC32" s="64" t="n"/>
      <c r="AD32" s="136" t="n"/>
      <c r="AE32" s="64" t="n"/>
      <c r="AF32" s="64" t="n"/>
      <c r="AG32" s="64" t="n"/>
      <c r="AH32" s="136" t="n"/>
      <c r="AI32" s="64" t="n"/>
      <c r="AJ32" s="64" t="n"/>
      <c r="AK32" s="64" t="n"/>
      <c r="AL32" s="136" t="n"/>
      <c r="AM32" s="64" t="n"/>
      <c r="AN32" s="64" t="n"/>
      <c r="AO32" s="64" t="n"/>
      <c r="AP32" s="136" t="n"/>
      <c r="AQ32" s="64" t="n"/>
      <c r="AR32" s="64" t="n"/>
      <c r="AS32" s="64" t="n"/>
      <c r="AT32" s="136" t="n"/>
      <c r="AU32" s="64" t="n"/>
      <c r="AV32" s="64" t="n"/>
      <c r="AW32" s="64" t="n"/>
      <c r="AX32" s="136" t="n"/>
      <c r="AY32" s="308" t="n"/>
      <c r="AZ32" s="64" t="n"/>
      <c r="BA32" s="64" t="n"/>
      <c r="BB32" s="136" t="n"/>
      <c r="BC32" s="64" t="n"/>
      <c r="BD32" s="64" t="n"/>
      <c r="BE32" s="64" t="n"/>
      <c r="BF32" s="136" t="n"/>
      <c r="BG32" s="64" t="n"/>
      <c r="BH32" s="64" t="n"/>
      <c r="BI32" s="136" t="n"/>
      <c r="BJ32" s="136" t="n"/>
      <c r="BK32" s="136" t="n"/>
      <c r="BL32" s="64" t="n"/>
      <c r="BM32" s="64" t="n"/>
      <c r="BN32" s="136" t="n"/>
      <c r="BO32" s="136" t="n"/>
      <c r="BP32" s="64" t="n"/>
      <c r="BQ32" s="64" t="n"/>
      <c r="BR32" s="136" t="n"/>
      <c r="BS32" s="136" t="n"/>
      <c r="BT32" s="64" t="n"/>
      <c r="BU32" s="64" t="n"/>
      <c r="BV32" s="136" t="n"/>
      <c r="BW32" s="308" t="n"/>
      <c r="BX32" s="64" t="n"/>
      <c r="BY32" s="64" t="n"/>
      <c r="BZ32" s="64" t="n"/>
      <c r="CA32" s="64" t="n"/>
      <c r="CB32" s="64" t="n"/>
      <c r="CC32" s="64" t="n"/>
      <c r="CD32" s="64" t="n"/>
      <c r="CE32" s="64" t="n"/>
      <c r="CF32" s="64" t="n"/>
      <c r="CG32" s="64" t="n"/>
      <c r="CH32" s="64" t="n"/>
      <c r="CI32" s="64" t="n"/>
      <c r="CJ32" s="64" t="n"/>
      <c r="CK32" s="64" t="n"/>
      <c r="CL32" s="64" t="n"/>
      <c r="CM32" s="64" t="n"/>
      <c r="CN32" s="64" t="n"/>
      <c r="CO32" s="64" t="n"/>
    </row>
    <row r="33" ht="38.25" customHeight="1">
      <c r="A33" s="64" t="n"/>
      <c r="B33" s="2632" t="n"/>
      <c r="H33" s="2633" t="n"/>
      <c r="I33" s="64" t="n"/>
      <c r="J33" s="2434" t="n"/>
      <c r="K33" s="2448" t="n"/>
      <c r="L33" s="2449" t="n"/>
      <c r="M33" s="2444" t="n"/>
      <c r="N33" s="2450" t="n"/>
      <c r="O33" s="64" t="n"/>
      <c r="P33" s="64" t="n"/>
      <c r="Q33" s="64" t="n"/>
      <c r="R33" s="136" t="n"/>
      <c r="S33" s="64" t="n"/>
      <c r="T33" s="64" t="n"/>
      <c r="U33" s="64" t="n"/>
      <c r="V33" s="136" t="n"/>
      <c r="W33" s="136" t="n"/>
      <c r="X33" s="64" t="n"/>
      <c r="Y33" s="64" t="n"/>
      <c r="Z33" s="136" t="n"/>
      <c r="AA33" s="64" t="n"/>
      <c r="AB33" s="64" t="n"/>
      <c r="AC33" s="64" t="n"/>
      <c r="AD33" s="136" t="n"/>
      <c r="AE33" s="64" t="n"/>
      <c r="AF33" s="64" t="n"/>
      <c r="AG33" s="64" t="n"/>
      <c r="AH33" s="136" t="n"/>
      <c r="AI33" s="64" t="n"/>
      <c r="AJ33" s="64" t="n"/>
      <c r="AK33" s="64" t="n"/>
      <c r="AL33" s="136" t="n"/>
      <c r="AM33" s="64" t="n"/>
      <c r="AN33" s="64" t="n"/>
      <c r="AO33" s="64" t="n"/>
      <c r="AP33" s="136" t="n"/>
      <c r="AQ33" s="64" t="n"/>
      <c r="AR33" s="64" t="n"/>
      <c r="AS33" s="64" t="n"/>
      <c r="AT33" s="136" t="n"/>
      <c r="AU33" s="64" t="n"/>
      <c r="AV33" s="64" t="n"/>
      <c r="AW33" s="64" t="n"/>
      <c r="AX33" s="136" t="n"/>
      <c r="AY33" s="308" t="n"/>
      <c r="AZ33" s="64" t="n"/>
      <c r="BA33" s="64" t="n"/>
      <c r="BB33" s="136" t="n"/>
      <c r="BC33" s="64" t="n"/>
      <c r="BD33" s="64" t="n"/>
      <c r="BE33" s="64" t="n"/>
      <c r="BF33" s="136" t="n"/>
      <c r="BG33" s="64" t="n"/>
      <c r="BH33" s="64" t="n"/>
      <c r="BI33" s="136" t="n"/>
      <c r="BJ33" s="136" t="n"/>
      <c r="BK33" s="136" t="n"/>
      <c r="BL33" s="64" t="n"/>
      <c r="BM33" s="64" t="n"/>
      <c r="BN33" s="136" t="n"/>
      <c r="BO33" s="136" t="n"/>
      <c r="BP33" s="64" t="n"/>
      <c r="BQ33" s="64" t="n"/>
      <c r="BR33" s="136" t="n"/>
      <c r="BS33" s="136" t="n"/>
      <c r="BT33" s="64" t="n"/>
      <c r="BU33" s="64" t="n"/>
      <c r="BV33" s="136" t="n"/>
      <c r="BW33" s="308" t="n"/>
      <c r="BX33" s="64" t="n"/>
      <c r="BY33" s="64" t="n"/>
      <c r="BZ33" s="64" t="n"/>
      <c r="CA33" s="64" t="n"/>
      <c r="CB33" s="64" t="n"/>
      <c r="CC33" s="64" t="n"/>
      <c r="CD33" s="64" t="n"/>
      <c r="CE33" s="64" t="n"/>
      <c r="CF33" s="64" t="n"/>
      <c r="CG33" s="64" t="n"/>
      <c r="CH33" s="64" t="n"/>
      <c r="CI33" s="64" t="n"/>
      <c r="CJ33" s="64" t="n"/>
      <c r="CK33" s="64" t="n"/>
      <c r="CL33" s="64" t="n"/>
      <c r="CM33" s="64" t="n"/>
      <c r="CN33" s="64" t="n"/>
      <c r="CO33" s="64" t="n"/>
    </row>
    <row r="34" ht="57.75" customHeight="1">
      <c r="A34" s="64" t="n"/>
      <c r="B34" s="2632" t="n"/>
      <c r="H34" s="2633" t="n"/>
      <c r="I34" s="64" t="n"/>
      <c r="J34" s="2434" t="n"/>
      <c r="K34" s="2448" t="n"/>
      <c r="L34" s="2449" t="n"/>
      <c r="M34" s="2444" t="n"/>
      <c r="N34" s="2450" t="n"/>
      <c r="O34" s="64" t="n"/>
      <c r="P34" s="64" t="n"/>
      <c r="Q34" s="64" t="n"/>
      <c r="R34" s="136" t="n"/>
      <c r="S34" s="64" t="n"/>
      <c r="T34" s="64" t="n"/>
      <c r="U34" s="64" t="n"/>
      <c r="V34" s="136" t="n"/>
      <c r="W34" s="136" t="n"/>
      <c r="X34" s="64" t="n"/>
      <c r="Y34" s="64" t="n"/>
      <c r="Z34" s="136" t="n"/>
      <c r="AA34" s="64" t="n"/>
      <c r="AB34" s="64" t="n"/>
      <c r="AC34" s="64" t="n"/>
      <c r="AD34" s="136" t="n"/>
      <c r="AE34" s="64" t="n"/>
      <c r="AF34" s="64" t="n"/>
      <c r="AG34" s="64" t="n"/>
      <c r="AH34" s="136" t="n"/>
      <c r="AI34" s="64" t="n"/>
      <c r="AJ34" s="64" t="n"/>
      <c r="AK34" s="64" t="n"/>
      <c r="AL34" s="136" t="n"/>
      <c r="AM34" s="64" t="n"/>
      <c r="AN34" s="64" t="n"/>
      <c r="AO34" s="64" t="n"/>
      <c r="AP34" s="136" t="n"/>
      <c r="AQ34" s="64" t="n"/>
      <c r="AR34" s="64" t="n"/>
      <c r="AS34" s="64" t="n"/>
      <c r="AT34" s="136" t="n"/>
      <c r="AU34" s="64" t="n"/>
      <c r="AV34" s="64" t="n"/>
      <c r="AW34" s="64" t="n"/>
      <c r="AX34" s="136" t="n"/>
      <c r="AY34" s="308" t="n"/>
      <c r="AZ34" s="64" t="n"/>
      <c r="BA34" s="64" t="n"/>
      <c r="BB34" s="136" t="n"/>
      <c r="BC34" s="64" t="n"/>
      <c r="BD34" s="64" t="n"/>
      <c r="BE34" s="64" t="n"/>
      <c r="BF34" s="136" t="n"/>
      <c r="BG34" s="64" t="n"/>
      <c r="BH34" s="64" t="n"/>
      <c r="BI34" s="136" t="n"/>
      <c r="BJ34" s="136" t="n"/>
      <c r="BK34" s="136" t="n"/>
      <c r="BL34" s="64" t="n"/>
      <c r="BM34" s="64" t="n"/>
      <c r="BN34" s="136" t="n"/>
      <c r="BO34" s="136" t="n"/>
      <c r="BP34" s="64" t="n"/>
      <c r="BQ34" s="64" t="n"/>
      <c r="BR34" s="136" t="n"/>
      <c r="BS34" s="136" t="n"/>
      <c r="BT34" s="64" t="n"/>
      <c r="BU34" s="64" t="n"/>
      <c r="BV34" s="136" t="n"/>
      <c r="BW34" s="308" t="n"/>
      <c r="BX34" s="64" t="n"/>
      <c r="BY34" s="64" t="n"/>
      <c r="BZ34" s="64" t="n"/>
      <c r="CA34" s="64" t="n"/>
      <c r="CB34" s="64" t="n"/>
      <c r="CC34" s="64" t="n"/>
      <c r="CD34" s="64" t="n"/>
      <c r="CE34" s="64" t="n"/>
      <c r="CF34" s="64" t="n"/>
      <c r="CG34" s="64" t="n"/>
      <c r="CH34" s="64" t="n"/>
      <c r="CI34" s="64" t="n"/>
      <c r="CJ34" s="64" t="n"/>
      <c r="CK34" s="64" t="n"/>
      <c r="CL34" s="64" t="n"/>
      <c r="CM34" s="64" t="n"/>
      <c r="CN34" s="64" t="n"/>
      <c r="CO34" s="64" t="n"/>
    </row>
    <row r="35" ht="19.5" customHeight="1">
      <c r="A35" s="64" t="n"/>
      <c r="B35" s="2632" t="n"/>
      <c r="H35" s="2633" t="n"/>
      <c r="I35" s="64" t="n"/>
      <c r="J35" s="2434" t="n"/>
      <c r="K35" s="2448" t="n"/>
      <c r="L35" s="2449" t="n"/>
      <c r="M35" s="2444" t="n"/>
      <c r="N35" s="2450" t="n"/>
      <c r="O35" s="64" t="n"/>
      <c r="P35" s="64" t="n"/>
      <c r="Q35" s="64" t="n"/>
      <c r="R35" s="136" t="n"/>
      <c r="S35" s="64" t="n"/>
      <c r="T35" s="64" t="n"/>
      <c r="U35" s="614" t="n"/>
      <c r="V35" s="136" t="n"/>
      <c r="W35" s="136" t="n"/>
      <c r="X35" s="64" t="n"/>
      <c r="Y35" s="64" t="n"/>
      <c r="Z35" s="136" t="n"/>
      <c r="AA35" s="64" t="n"/>
      <c r="AB35" s="64" t="n"/>
      <c r="AC35" s="64" t="n"/>
      <c r="AD35" s="136" t="n"/>
      <c r="AE35" s="64" t="n"/>
      <c r="AF35" s="64" t="n"/>
      <c r="AG35" s="64" t="n"/>
      <c r="AH35" s="136" t="n"/>
      <c r="AI35" s="64" t="n"/>
      <c r="AJ35" s="64" t="n"/>
      <c r="AK35" s="64" t="n"/>
      <c r="AL35" s="136" t="n"/>
      <c r="AM35" s="64" t="n"/>
      <c r="AN35" s="64" t="n"/>
      <c r="AO35" s="64" t="n"/>
      <c r="AP35" s="136" t="n"/>
      <c r="AQ35" s="64" t="n"/>
      <c r="AR35" s="64" t="n"/>
      <c r="AS35" s="64" t="n"/>
      <c r="AT35" s="136" t="n"/>
      <c r="AU35" s="64" t="n"/>
      <c r="AV35" s="64" t="n"/>
      <c r="AW35" s="64" t="n"/>
      <c r="AX35" s="136" t="n"/>
      <c r="AY35" s="308" t="n"/>
      <c r="AZ35" s="64" t="n"/>
      <c r="BA35" s="64" t="n"/>
      <c r="BB35" s="136" t="n"/>
      <c r="BC35" s="64" t="n"/>
      <c r="BD35" s="64" t="n"/>
      <c r="BE35" s="64" t="n"/>
      <c r="BF35" s="136" t="n"/>
      <c r="BG35" s="64" t="n"/>
      <c r="BH35" s="64" t="n"/>
      <c r="BI35" s="136" t="n"/>
      <c r="BJ35" s="136" t="n"/>
      <c r="BK35" s="136" t="n"/>
      <c r="BL35" s="64" t="n"/>
      <c r="BM35" s="64" t="n"/>
      <c r="BN35" s="136" t="n"/>
      <c r="BO35" s="136" t="n"/>
      <c r="BP35" s="64" t="n"/>
      <c r="BQ35" s="64" t="n"/>
      <c r="BR35" s="136" t="n"/>
      <c r="BS35" s="136" t="n"/>
      <c r="BT35" s="64" t="n"/>
      <c r="BU35" s="64" t="n"/>
      <c r="BV35" s="136" t="n"/>
      <c r="BW35" s="308" t="n"/>
      <c r="BX35" s="64" t="n"/>
      <c r="BY35" s="64" t="n"/>
      <c r="BZ35" s="64" t="n"/>
      <c r="CA35" s="64" t="n"/>
      <c r="CB35" s="64" t="n"/>
      <c r="CC35" s="64" t="n"/>
      <c r="CD35" s="64" t="n"/>
      <c r="CE35" s="64" t="n"/>
      <c r="CF35" s="64" t="n"/>
      <c r="CG35" s="64" t="n"/>
      <c r="CH35" s="64" t="n"/>
      <c r="CI35" s="64" t="n"/>
      <c r="CJ35" s="64" t="n"/>
      <c r="CK35" s="64" t="n"/>
      <c r="CL35" s="64" t="n"/>
      <c r="CM35" s="64" t="n"/>
      <c r="CN35" s="64" t="n"/>
      <c r="CO35" s="64" t="n"/>
    </row>
    <row r="36" ht="27.75" customHeight="1">
      <c r="A36" s="64" t="n"/>
      <c r="B36" s="2632" t="n"/>
      <c r="H36" s="2633" t="n"/>
      <c r="I36" s="64" t="n"/>
      <c r="J36" s="2434" t="n"/>
      <c r="K36" s="2448" t="n"/>
      <c r="L36" s="2449" t="n"/>
      <c r="M36" s="2444" t="n"/>
      <c r="N36" s="2450" t="n"/>
      <c r="O36" s="64" t="n"/>
      <c r="P36" s="64" t="n"/>
      <c r="Q36" s="64" t="n"/>
      <c r="R36" s="136" t="n"/>
      <c r="S36" s="64" t="n"/>
      <c r="T36" s="64" t="n"/>
      <c r="U36" s="64" t="n"/>
      <c r="V36" s="136" t="n"/>
      <c r="W36" s="136" t="n"/>
      <c r="X36" s="64" t="n"/>
      <c r="Y36" s="64" t="n"/>
      <c r="Z36" s="136" t="n"/>
      <c r="AA36" s="64" t="n"/>
      <c r="AB36" s="64" t="n"/>
      <c r="AC36" s="64" t="n"/>
      <c r="AD36" s="136" t="n"/>
      <c r="AE36" s="64" t="n"/>
      <c r="AF36" s="64" t="n"/>
      <c r="AG36" s="64" t="n"/>
      <c r="AH36" s="136" t="n"/>
      <c r="AI36" s="64" t="n"/>
      <c r="AJ36" s="64" t="n"/>
      <c r="AK36" s="64" t="n"/>
      <c r="AL36" s="136" t="n"/>
      <c r="AM36" s="64" t="n"/>
      <c r="AN36" s="64" t="n"/>
      <c r="AO36" s="64" t="n"/>
      <c r="AP36" s="136" t="n"/>
      <c r="AQ36" s="64" t="n"/>
      <c r="AR36" s="64" t="n"/>
      <c r="AS36" s="64" t="n"/>
      <c r="AT36" s="136" t="n"/>
      <c r="AU36" s="64" t="n"/>
      <c r="AV36" s="64" t="n"/>
      <c r="AW36" s="64" t="n"/>
      <c r="AX36" s="136" t="n"/>
      <c r="AY36" s="308" t="n"/>
      <c r="AZ36" s="64" t="n"/>
      <c r="BA36" s="64" t="n"/>
      <c r="BB36" s="136" t="n"/>
      <c r="BC36" s="64" t="n"/>
      <c r="BD36" s="64" t="n"/>
      <c r="BE36" s="64" t="n"/>
      <c r="BF36" s="136" t="n"/>
      <c r="BG36" s="64" t="n"/>
      <c r="BH36" s="64" t="n"/>
      <c r="BI36" s="136" t="n"/>
      <c r="BJ36" s="136" t="n"/>
      <c r="BK36" s="136" t="n"/>
      <c r="BL36" s="64" t="n"/>
      <c r="BM36" s="64" t="n"/>
      <c r="BN36" s="136" t="n"/>
      <c r="BO36" s="136" t="n"/>
      <c r="BP36" s="64" t="n"/>
      <c r="BQ36" s="64" t="n"/>
      <c r="BR36" s="136" t="n"/>
      <c r="BS36" s="136" t="n"/>
      <c r="BT36" s="64" t="n"/>
      <c r="BU36" s="64" t="n"/>
      <c r="BV36" s="136" t="n"/>
      <c r="BW36" s="308" t="n"/>
      <c r="BX36" s="64" t="n"/>
      <c r="BY36" s="64" t="n"/>
      <c r="BZ36" s="64" t="n"/>
      <c r="CA36" s="64" t="n"/>
      <c r="CB36" s="64" t="n"/>
      <c r="CC36" s="64" t="n"/>
      <c r="CD36" s="64" t="n"/>
      <c r="CE36" s="64" t="n"/>
      <c r="CF36" s="64" t="n"/>
      <c r="CG36" s="64" t="n"/>
      <c r="CH36" s="64" t="n"/>
      <c r="CI36" s="64" t="n"/>
      <c r="CJ36" s="64" t="n"/>
      <c r="CK36" s="64" t="n"/>
      <c r="CL36" s="64" t="n"/>
      <c r="CM36" s="64" t="n"/>
      <c r="CN36" s="64" t="n"/>
      <c r="CO36" s="64" t="n"/>
    </row>
    <row r="37" ht="30" customHeight="1">
      <c r="A37" s="64" t="n"/>
      <c r="B37" s="2632" t="n"/>
      <c r="H37" s="2633" t="n"/>
      <c r="I37" s="64" t="n"/>
      <c r="J37" s="2434" t="n"/>
      <c r="K37" s="2448" t="n"/>
      <c r="L37" s="2449" t="n"/>
      <c r="M37" s="2444" t="n"/>
      <c r="N37" s="2450" t="n"/>
      <c r="O37" s="64" t="n"/>
      <c r="P37" s="64" t="n"/>
      <c r="Q37" s="64" t="n"/>
      <c r="R37" s="136" t="n"/>
      <c r="S37" s="64" t="n"/>
      <c r="T37" s="64" t="n"/>
      <c r="U37" s="64" t="n"/>
      <c r="V37" s="136" t="n"/>
      <c r="W37" s="136" t="n"/>
      <c r="X37" s="64" t="n"/>
      <c r="Y37" s="64" t="n"/>
      <c r="Z37" s="136" t="n"/>
      <c r="AA37" s="64" t="n"/>
      <c r="AB37" s="64" t="n"/>
      <c r="AC37" s="64" t="n"/>
      <c r="AD37" s="136" t="n"/>
      <c r="AE37" s="64" t="n"/>
      <c r="AF37" s="64" t="n"/>
      <c r="AG37" s="64" t="n"/>
      <c r="AH37" s="136" t="n"/>
      <c r="AI37" s="64" t="n"/>
      <c r="AJ37" s="64" t="n"/>
      <c r="AK37" s="64" t="n"/>
      <c r="AL37" s="136" t="n"/>
      <c r="AM37" s="64" t="n"/>
      <c r="AN37" s="64" t="n"/>
      <c r="AO37" s="64" t="n"/>
      <c r="AP37" s="136" t="n"/>
      <c r="AQ37" s="64" t="n"/>
      <c r="AR37" s="64" t="n"/>
      <c r="AS37" s="64" t="n"/>
      <c r="AT37" s="136" t="n"/>
      <c r="AU37" s="64" t="n"/>
      <c r="AV37" s="64" t="n"/>
      <c r="AW37" s="64" t="n"/>
      <c r="AX37" s="136" t="n"/>
      <c r="AY37" s="308" t="n"/>
      <c r="AZ37" s="64" t="n"/>
      <c r="BA37" s="64" t="n"/>
      <c r="BB37" s="136" t="n"/>
      <c r="BC37" s="64" t="n"/>
      <c r="BD37" s="64" t="n"/>
      <c r="BE37" s="64" t="n"/>
      <c r="BF37" s="136" t="n"/>
      <c r="BG37" s="64" t="n"/>
      <c r="BH37" s="64" t="n"/>
      <c r="BI37" s="136" t="n"/>
      <c r="BJ37" s="136" t="n"/>
      <c r="BK37" s="136" t="n"/>
      <c r="BL37" s="64" t="n"/>
      <c r="BM37" s="64" t="n"/>
      <c r="BN37" s="136" t="n"/>
      <c r="BO37" s="136" t="n"/>
      <c r="BP37" s="64" t="n"/>
      <c r="BQ37" s="64" t="n"/>
      <c r="BR37" s="136" t="n"/>
      <c r="BS37" s="136" t="n"/>
      <c r="BT37" s="64" t="n"/>
      <c r="BU37" s="64" t="n"/>
      <c r="BV37" s="136" t="n"/>
      <c r="BW37" s="308" t="n"/>
      <c r="BX37" s="64" t="n"/>
      <c r="BY37" s="64" t="n"/>
      <c r="BZ37" s="64" t="n"/>
      <c r="CA37" s="64" t="n"/>
      <c r="CB37" s="64" t="n"/>
      <c r="CC37" s="64" t="n"/>
      <c r="CD37" s="64" t="n"/>
      <c r="CE37" s="64" t="n"/>
      <c r="CF37" s="64" t="n"/>
      <c r="CG37" s="64" t="n"/>
      <c r="CH37" s="64" t="n"/>
      <c r="CI37" s="64" t="n"/>
      <c r="CJ37" s="64" t="n"/>
      <c r="CK37" s="64" t="n"/>
      <c r="CL37" s="64" t="n"/>
      <c r="CM37" s="64" t="n"/>
      <c r="CN37" s="64" t="n"/>
      <c r="CO37" s="64" t="n"/>
    </row>
    <row r="38" ht="18" customHeight="1">
      <c r="A38" s="64" t="n"/>
      <c r="B38" s="2632" t="n"/>
      <c r="H38" s="2633" t="n"/>
      <c r="I38" s="64" t="n"/>
      <c r="J38" s="2434" t="n"/>
      <c r="K38" s="2448" t="n"/>
      <c r="L38" s="2449" t="n"/>
      <c r="M38" s="2444" t="n"/>
      <c r="N38" s="2450" t="n"/>
      <c r="O38" s="64" t="n"/>
      <c r="P38" s="64" t="n"/>
      <c r="Q38" s="64" t="n"/>
      <c r="R38" s="136" t="n"/>
      <c r="S38" s="64" t="n"/>
      <c r="T38" s="64" t="n"/>
      <c r="U38" s="64" t="n"/>
      <c r="V38" s="136" t="n"/>
      <c r="W38" s="136" t="n"/>
      <c r="X38" s="64" t="n"/>
      <c r="Y38" s="64" t="n"/>
      <c r="Z38" s="136" t="n"/>
      <c r="AA38" s="64" t="n"/>
      <c r="AB38" s="64" t="n"/>
      <c r="AC38" s="64" t="n"/>
      <c r="AD38" s="136" t="n"/>
      <c r="AE38" s="64" t="n"/>
      <c r="AF38" s="64" t="n"/>
      <c r="AG38" s="64" t="n"/>
      <c r="AH38" s="136" t="n"/>
      <c r="AI38" s="64" t="n"/>
      <c r="AJ38" s="64" t="n"/>
      <c r="AK38" s="64" t="n"/>
      <c r="AL38" s="136" t="n"/>
      <c r="AM38" s="64" t="n"/>
      <c r="AN38" s="64" t="n"/>
      <c r="AO38" s="64" t="n"/>
      <c r="AP38" s="136" t="n"/>
      <c r="AQ38" s="64" t="n"/>
      <c r="AR38" s="64" t="n"/>
      <c r="AS38" s="64" t="n"/>
      <c r="AT38" s="136" t="n"/>
      <c r="AU38" s="64" t="n"/>
      <c r="AV38" s="64" t="n"/>
      <c r="AW38" s="64" t="n"/>
      <c r="AX38" s="136" t="n"/>
      <c r="AY38" s="308" t="n"/>
      <c r="AZ38" s="64" t="n"/>
      <c r="BA38" s="64" t="n"/>
      <c r="BB38" s="136" t="n"/>
      <c r="BC38" s="64" t="n"/>
      <c r="BD38" s="64" t="n"/>
      <c r="BE38" s="64" t="n"/>
      <c r="BF38" s="136" t="n"/>
      <c r="BG38" s="64" t="n"/>
      <c r="BH38" s="64" t="n"/>
      <c r="BI38" s="136" t="n"/>
      <c r="BJ38" s="136" t="n"/>
      <c r="BK38" s="136" t="n"/>
      <c r="BL38" s="64" t="n"/>
      <c r="BM38" s="64" t="n"/>
      <c r="BN38" s="136" t="n"/>
      <c r="BO38" s="136" t="n"/>
      <c r="BP38" s="64" t="n"/>
      <c r="BQ38" s="64" t="n"/>
      <c r="BR38" s="136" t="n"/>
      <c r="BS38" s="136" t="n"/>
      <c r="BT38" s="64" t="n"/>
      <c r="BU38" s="64" t="n"/>
      <c r="BV38" s="136" t="n"/>
      <c r="BW38" s="308" t="n"/>
      <c r="BX38" s="64" t="n"/>
      <c r="BY38" s="64" t="n"/>
      <c r="BZ38" s="64" t="n"/>
      <c r="CA38" s="64" t="n"/>
      <c r="CB38" s="64" t="n"/>
      <c r="CC38" s="64" t="n"/>
      <c r="CD38" s="64" t="n"/>
      <c r="CE38" s="64" t="n"/>
      <c r="CF38" s="64" t="n"/>
      <c r="CG38" s="64" t="n"/>
      <c r="CH38" s="64" t="n"/>
      <c r="CI38" s="64" t="n"/>
      <c r="CJ38" s="64" t="n"/>
      <c r="CK38" s="64" t="n"/>
      <c r="CL38" s="64" t="n"/>
      <c r="CM38" s="64" t="n"/>
      <c r="CN38" s="64" t="n"/>
      <c r="CO38" s="64" t="n"/>
    </row>
    <row r="39" ht="27.75" customHeight="1">
      <c r="A39" s="64" t="n"/>
      <c r="B39" s="2632" t="n"/>
      <c r="H39" s="2633" t="n"/>
      <c r="I39" s="64" t="n"/>
      <c r="J39" s="2434" t="n"/>
      <c r="K39" s="2448" t="n"/>
      <c r="L39" s="2449" t="n"/>
      <c r="M39" s="2444" t="n"/>
      <c r="N39" s="2450" t="n"/>
      <c r="O39" s="64" t="n"/>
      <c r="P39" s="64" t="n"/>
      <c r="Q39" s="64" t="n"/>
      <c r="R39" s="136" t="n"/>
      <c r="S39" s="64" t="n"/>
      <c r="T39" s="64" t="n"/>
      <c r="U39" s="64" t="n"/>
      <c r="V39" s="136" t="n"/>
      <c r="W39" s="136" t="n"/>
      <c r="X39" s="64" t="n"/>
      <c r="Y39" s="64" t="n"/>
      <c r="Z39" s="136" t="n"/>
      <c r="AA39" s="64" t="n"/>
      <c r="AB39" s="64" t="n"/>
      <c r="AC39" s="64" t="n"/>
      <c r="AD39" s="136" t="n"/>
      <c r="AE39" s="64" t="n"/>
      <c r="AF39" s="64" t="n"/>
      <c r="AG39" s="64" t="n"/>
      <c r="AH39" s="136" t="n"/>
      <c r="AI39" s="64" t="n"/>
      <c r="AJ39" s="64" t="n"/>
      <c r="AK39" s="64" t="n"/>
      <c r="AL39" s="136" t="n"/>
      <c r="AM39" s="64" t="n"/>
      <c r="AN39" s="64" t="n"/>
      <c r="AO39" s="64" t="n"/>
      <c r="AP39" s="136" t="n"/>
      <c r="AQ39" s="64" t="n"/>
      <c r="AR39" s="64" t="n"/>
      <c r="AS39" s="64" t="n"/>
      <c r="AT39" s="136" t="n"/>
      <c r="AU39" s="64" t="n"/>
      <c r="AV39" s="64" t="n"/>
      <c r="AW39" s="64" t="n"/>
      <c r="AX39" s="136" t="n"/>
      <c r="AY39" s="308" t="n"/>
      <c r="AZ39" s="64" t="n"/>
      <c r="BA39" s="64" t="n"/>
      <c r="BB39" s="136" t="n"/>
      <c r="BC39" s="64" t="n"/>
      <c r="BD39" s="64" t="n"/>
      <c r="BE39" s="64" t="n"/>
      <c r="BF39" s="136" t="n"/>
      <c r="BG39" s="64" t="n"/>
      <c r="BH39" s="64" t="n"/>
      <c r="BI39" s="136" t="n"/>
      <c r="BJ39" s="136" t="n"/>
      <c r="BK39" s="136" t="n"/>
      <c r="BL39" s="64" t="n"/>
      <c r="BM39" s="64" t="n"/>
      <c r="BN39" s="136" t="n"/>
      <c r="BO39" s="136" t="n"/>
      <c r="BP39" s="64" t="n"/>
      <c r="BQ39" s="64" t="n"/>
      <c r="BR39" s="136" t="n"/>
      <c r="BS39" s="136" t="n"/>
      <c r="BT39" s="64" t="n"/>
      <c r="BU39" s="64" t="n"/>
      <c r="BV39" s="136" t="n"/>
      <c r="BW39" s="308" t="n"/>
      <c r="BX39" s="64" t="n"/>
      <c r="BY39" s="64" t="n"/>
      <c r="BZ39" s="64" t="n"/>
      <c r="CA39" s="64" t="n"/>
      <c r="CB39" s="64" t="n"/>
      <c r="CC39" s="64" t="n"/>
      <c r="CD39" s="64" t="n"/>
      <c r="CE39" s="64" t="n"/>
      <c r="CF39" s="64" t="n"/>
      <c r="CG39" s="64" t="n"/>
      <c r="CH39" s="64" t="n"/>
      <c r="CI39" s="64" t="n"/>
      <c r="CJ39" s="64" t="n"/>
      <c r="CK39" s="64" t="n"/>
      <c r="CL39" s="64" t="n"/>
      <c r="CM39" s="64" t="n"/>
      <c r="CN39" s="64" t="n"/>
      <c r="CO39" s="64" t="n"/>
    </row>
    <row r="40" ht="36.75" customHeight="1">
      <c r="A40" s="64" t="n"/>
      <c r="B40" s="2632" t="n"/>
      <c r="H40" s="2633" t="n"/>
      <c r="I40" s="64" t="n"/>
      <c r="J40" s="2434" t="n"/>
      <c r="K40" s="2448" t="n"/>
      <c r="L40" s="2449" t="n"/>
      <c r="M40" s="2444" t="n"/>
      <c r="N40" s="2450" t="n"/>
      <c r="O40" s="64" t="n"/>
      <c r="P40" s="64" t="n"/>
      <c r="Q40" s="64" t="n"/>
      <c r="R40" s="136" t="n"/>
      <c r="S40" s="64" t="n"/>
      <c r="T40" s="64" t="n"/>
      <c r="U40" s="64" t="n"/>
      <c r="V40" s="136" t="n"/>
      <c r="W40" s="136" t="n"/>
      <c r="X40" s="64" t="n"/>
      <c r="Y40" s="64" t="n"/>
      <c r="Z40" s="136" t="n"/>
      <c r="AA40" s="64" t="n"/>
      <c r="AB40" s="64" t="n"/>
      <c r="AC40" s="64" t="n"/>
      <c r="AD40" s="136" t="n"/>
      <c r="AE40" s="64" t="n"/>
      <c r="AF40" s="64" t="n"/>
      <c r="AG40" s="64" t="n"/>
      <c r="AH40" s="136" t="n"/>
      <c r="AI40" s="64" t="n"/>
      <c r="AJ40" s="64" t="n"/>
      <c r="AK40" s="64" t="n"/>
      <c r="AL40" s="136" t="n"/>
      <c r="AM40" s="64" t="n"/>
      <c r="AN40" s="64" t="n"/>
      <c r="AO40" s="64" t="n"/>
      <c r="AP40" s="136" t="n"/>
      <c r="AQ40" s="64" t="n"/>
      <c r="AR40" s="64" t="n"/>
      <c r="AS40" s="64" t="n"/>
      <c r="AT40" s="136" t="n"/>
      <c r="AU40" s="64" t="n"/>
      <c r="AV40" s="64" t="n"/>
      <c r="AW40" s="64" t="n"/>
      <c r="AX40" s="136" t="n"/>
      <c r="AY40" s="308" t="n"/>
      <c r="AZ40" s="64" t="n"/>
      <c r="BA40" s="64" t="n"/>
      <c r="BB40" s="136" t="n"/>
      <c r="BC40" s="64" t="n"/>
      <c r="BD40" s="64" t="n"/>
      <c r="BE40" s="64" t="n"/>
      <c r="BF40" s="136" t="n"/>
      <c r="BG40" s="64" t="n"/>
      <c r="BH40" s="64" t="n"/>
      <c r="BI40" s="136" t="n"/>
      <c r="BJ40" s="136" t="n"/>
      <c r="BK40" s="136" t="n"/>
      <c r="BL40" s="64" t="n"/>
      <c r="BM40" s="64" t="n"/>
      <c r="BN40" s="136" t="n"/>
      <c r="BO40" s="136" t="n"/>
      <c r="BP40" s="64" t="n"/>
      <c r="BQ40" s="64" t="n"/>
      <c r="BR40" s="136" t="n"/>
      <c r="BS40" s="136" t="n"/>
      <c r="BT40" s="64" t="n"/>
      <c r="BU40" s="64" t="n"/>
      <c r="BV40" s="136" t="n"/>
      <c r="BW40" s="308" t="n"/>
      <c r="BX40" s="64" t="n"/>
      <c r="BY40" s="64" t="n"/>
      <c r="BZ40" s="64" t="n"/>
      <c r="CA40" s="64" t="n"/>
      <c r="CB40" s="64" t="n"/>
      <c r="CC40" s="64" t="n"/>
      <c r="CD40" s="64" t="n"/>
      <c r="CE40" s="64" t="n"/>
      <c r="CF40" s="64" t="n"/>
      <c r="CG40" s="64" t="n"/>
      <c r="CH40" s="64" t="n"/>
      <c r="CI40" s="64" t="n"/>
      <c r="CJ40" s="64" t="n"/>
      <c r="CK40" s="64" t="n"/>
      <c r="CL40" s="64" t="n"/>
      <c r="CM40" s="64" t="n"/>
      <c r="CN40" s="64" t="n"/>
      <c r="CO40" s="64" t="n"/>
    </row>
    <row r="41" ht="45.75" customHeight="1">
      <c r="A41" s="64" t="n"/>
      <c r="B41" s="2632" t="n"/>
      <c r="H41" s="2633" t="n"/>
      <c r="I41" s="64" t="n"/>
      <c r="J41" s="2434" t="n"/>
      <c r="K41" s="2448" t="n"/>
      <c r="L41" s="2449" t="n"/>
      <c r="M41" s="2444" t="n"/>
      <c r="N41" s="2450" t="n"/>
      <c r="O41" s="64" t="n"/>
      <c r="P41" s="64" t="n"/>
      <c r="Q41" s="64" t="n"/>
      <c r="R41" s="136" t="n"/>
      <c r="S41" s="64" t="n"/>
      <c r="T41" s="64" t="n"/>
      <c r="U41" s="64" t="n"/>
      <c r="V41" s="136" t="n"/>
      <c r="W41" s="136" t="n"/>
      <c r="X41" s="64" t="n"/>
      <c r="Y41" s="64" t="n"/>
      <c r="Z41" s="136" t="n"/>
      <c r="AA41" s="64" t="n"/>
      <c r="AB41" s="64" t="n"/>
      <c r="AC41" s="64" t="n"/>
      <c r="AD41" s="136" t="n"/>
      <c r="AE41" s="64" t="n"/>
      <c r="AF41" s="64" t="n"/>
      <c r="AG41" s="64" t="n"/>
      <c r="AH41" s="136" t="n"/>
      <c r="AI41" s="64" t="n"/>
      <c r="AJ41" s="64" t="n"/>
      <c r="AK41" s="64" t="n"/>
      <c r="AL41" s="136" t="n"/>
      <c r="AM41" s="64" t="n"/>
      <c r="AN41" s="64" t="n"/>
      <c r="AO41" s="64" t="n"/>
      <c r="AP41" s="136" t="n"/>
      <c r="AQ41" s="64" t="n"/>
      <c r="AR41" s="64" t="n"/>
      <c r="AS41" s="64" t="n"/>
      <c r="AT41" s="136" t="n"/>
      <c r="AU41" s="64" t="n"/>
      <c r="AV41" s="64" t="n"/>
      <c r="AW41" s="64" t="n"/>
      <c r="AX41" s="136" t="n"/>
      <c r="AY41" s="308" t="n"/>
      <c r="AZ41" s="64" t="n"/>
      <c r="BA41" s="64" t="n"/>
      <c r="BB41" s="136" t="n"/>
      <c r="BC41" s="64" t="n"/>
      <c r="BD41" s="64" t="n"/>
      <c r="BE41" s="64" t="n"/>
      <c r="BF41" s="136" t="n"/>
      <c r="BG41" s="64" t="n"/>
      <c r="BH41" s="64" t="n"/>
      <c r="BI41" s="136" t="n"/>
      <c r="BJ41" s="136" t="n"/>
      <c r="BK41" s="136" t="n"/>
      <c r="BL41" s="64" t="n"/>
      <c r="BM41" s="64" t="n"/>
      <c r="BN41" s="136" t="n"/>
      <c r="BO41" s="136" t="n"/>
      <c r="BP41" s="64" t="n"/>
      <c r="BQ41" s="64" t="n"/>
      <c r="BR41" s="136" t="n"/>
      <c r="BS41" s="136" t="n"/>
      <c r="BT41" s="64" t="n"/>
      <c r="BU41" s="64" t="n"/>
      <c r="BV41" s="136" t="n"/>
      <c r="BW41" s="308" t="n"/>
      <c r="BX41" s="64" t="n"/>
      <c r="BY41" s="64" t="n"/>
      <c r="BZ41" s="64" t="n"/>
      <c r="CA41" s="64" t="n"/>
      <c r="CB41" s="64" t="n"/>
      <c r="CC41" s="64" t="n"/>
      <c r="CD41" s="64" t="n"/>
      <c r="CE41" s="64" t="n"/>
      <c r="CF41" s="64" t="n"/>
      <c r="CG41" s="64" t="n"/>
      <c r="CH41" s="64" t="n"/>
      <c r="CI41" s="64" t="n"/>
      <c r="CJ41" s="64" t="n"/>
      <c r="CK41" s="64" t="n"/>
      <c r="CL41" s="64" t="n"/>
      <c r="CM41" s="64" t="n"/>
      <c r="CN41" s="64" t="n"/>
      <c r="CO41" s="64" t="n"/>
    </row>
    <row r="42" ht="51" customHeight="1">
      <c r="A42" s="64" t="n"/>
      <c r="B42" s="2632" t="n"/>
      <c r="H42" s="2633" t="n"/>
      <c r="I42" s="64" t="n"/>
      <c r="J42" s="2434" t="n"/>
      <c r="K42" s="2448" t="n"/>
      <c r="L42" s="2449" t="n"/>
      <c r="M42" s="2444" t="n"/>
      <c r="N42" s="2450" t="n"/>
      <c r="O42" s="64" t="n"/>
      <c r="P42" s="64" t="n"/>
      <c r="Q42" s="64" t="n"/>
      <c r="R42" s="136" t="n"/>
      <c r="S42" s="64" t="n"/>
      <c r="T42" s="64" t="n"/>
      <c r="U42" s="64" t="n"/>
      <c r="V42" s="136" t="n"/>
      <c r="W42" s="136" t="n"/>
      <c r="X42" s="64" t="n"/>
      <c r="Y42" s="64" t="n"/>
      <c r="Z42" s="136" t="n"/>
      <c r="AA42" s="64" t="n"/>
      <c r="AB42" s="64" t="n"/>
      <c r="AC42" s="64" t="n"/>
      <c r="AD42" s="136" t="n"/>
      <c r="AE42" s="64" t="n"/>
      <c r="AF42" s="64" t="n"/>
      <c r="AG42" s="64" t="n"/>
      <c r="AH42" s="136" t="n"/>
      <c r="AI42" s="64" t="n"/>
      <c r="AJ42" s="64" t="n"/>
      <c r="AK42" s="64" t="n"/>
      <c r="AL42" s="136" t="n"/>
      <c r="AM42" s="64" t="n"/>
      <c r="AN42" s="64" t="n"/>
      <c r="AO42" s="64" t="n"/>
      <c r="AP42" s="136" t="n"/>
      <c r="AQ42" s="64" t="n"/>
      <c r="AR42" s="64" t="n"/>
      <c r="AS42" s="64" t="n"/>
      <c r="AT42" s="136" t="n"/>
      <c r="AU42" s="64" t="n"/>
      <c r="AV42" s="64" t="n"/>
      <c r="AW42" s="64" t="n"/>
      <c r="AX42" s="136" t="n"/>
      <c r="AY42" s="308" t="n"/>
      <c r="AZ42" s="64" t="n"/>
      <c r="BA42" s="64" t="n"/>
      <c r="BB42" s="136" t="n"/>
      <c r="BC42" s="64" t="n"/>
      <c r="BD42" s="64" t="n"/>
      <c r="BE42" s="64" t="n"/>
      <c r="BF42" s="136" t="n"/>
      <c r="BG42" s="64" t="n"/>
      <c r="BH42" s="64" t="n"/>
      <c r="BI42" s="136" t="n"/>
      <c r="BJ42" s="136" t="n"/>
      <c r="BK42" s="136" t="n"/>
      <c r="BL42" s="64" t="n"/>
      <c r="BM42" s="64" t="n"/>
      <c r="BN42" s="136" t="n"/>
      <c r="BO42" s="136" t="n"/>
      <c r="BP42" s="64" t="n"/>
      <c r="BQ42" s="64" t="n"/>
      <c r="BR42" s="136" t="n"/>
      <c r="BS42" s="136" t="n"/>
      <c r="BT42" s="64" t="n"/>
      <c r="BU42" s="64" t="n"/>
      <c r="BV42" s="136" t="n"/>
      <c r="BW42" s="308" t="n"/>
      <c r="BX42" s="64" t="n"/>
      <c r="BY42" s="64" t="n"/>
      <c r="BZ42" s="64" t="n"/>
      <c r="CA42" s="64" t="n"/>
      <c r="CB42" s="64" t="n"/>
      <c r="CC42" s="64" t="n"/>
      <c r="CD42" s="64" t="n"/>
      <c r="CE42" s="64" t="n"/>
      <c r="CF42" s="64" t="n"/>
      <c r="CG42" s="64" t="n"/>
      <c r="CH42" s="64" t="n"/>
      <c r="CI42" s="64" t="n"/>
      <c r="CJ42" s="64" t="n"/>
      <c r="CK42" s="64" t="n"/>
      <c r="CL42" s="64" t="n"/>
      <c r="CM42" s="64" t="n"/>
      <c r="CN42" s="64" t="n"/>
      <c r="CO42" s="64" t="n"/>
    </row>
    <row r="43" ht="45" customHeight="1">
      <c r="A43" s="64" t="n"/>
      <c r="B43" s="2632" t="n"/>
      <c r="H43" s="2633" t="n"/>
      <c r="I43" s="64" t="n"/>
      <c r="J43" s="2434" t="n"/>
      <c r="K43" s="2448" t="n"/>
      <c r="L43" s="2449" t="n"/>
      <c r="M43" s="2444" t="n"/>
      <c r="N43" s="2450" t="n"/>
      <c r="O43" s="64" t="n"/>
      <c r="P43" s="64" t="n"/>
      <c r="Q43" s="64" t="n"/>
      <c r="R43" s="136" t="n"/>
      <c r="S43" s="64" t="n"/>
      <c r="T43" s="64" t="n"/>
      <c r="U43" s="64" t="n"/>
      <c r="V43" s="136" t="n"/>
      <c r="W43" s="136" t="n"/>
      <c r="X43" s="64" t="n"/>
      <c r="Y43" s="64" t="n"/>
      <c r="Z43" s="136" t="n"/>
      <c r="AA43" s="64" t="n"/>
      <c r="AB43" s="64" t="n"/>
      <c r="AC43" s="64" t="n"/>
      <c r="AD43" s="136" t="n"/>
      <c r="AE43" s="64" t="n"/>
      <c r="AF43" s="64" t="n"/>
      <c r="AG43" s="64" t="n"/>
      <c r="AH43" s="136" t="n"/>
      <c r="AI43" s="64" t="n"/>
      <c r="AJ43" s="64" t="n"/>
      <c r="AK43" s="64" t="n"/>
      <c r="AL43" s="136" t="n"/>
      <c r="AM43" s="64" t="n"/>
      <c r="AN43" s="64" t="n"/>
      <c r="AO43" s="64" t="n"/>
      <c r="AP43" s="136" t="n"/>
      <c r="AQ43" s="64" t="n"/>
      <c r="AR43" s="64" t="n"/>
      <c r="AS43" s="64" t="n"/>
      <c r="AT43" s="136" t="n"/>
      <c r="AU43" s="64" t="n"/>
      <c r="AV43" s="64" t="n"/>
      <c r="AW43" s="64" t="n"/>
      <c r="AX43" s="136" t="n"/>
      <c r="AY43" s="308" t="n"/>
      <c r="AZ43" s="64" t="n"/>
      <c r="BA43" s="64" t="n"/>
      <c r="BB43" s="136" t="n"/>
      <c r="BC43" s="64" t="n"/>
      <c r="BD43" s="64" t="n"/>
      <c r="BE43" s="64" t="n"/>
      <c r="BF43" s="136" t="n"/>
      <c r="BG43" s="64" t="n"/>
      <c r="BH43" s="64" t="n"/>
      <c r="BI43" s="136" t="n"/>
      <c r="BJ43" s="136" t="n"/>
      <c r="BK43" s="136" t="n"/>
      <c r="BL43" s="64" t="n"/>
      <c r="BM43" s="64" t="n"/>
      <c r="BN43" s="136" t="n"/>
      <c r="BO43" s="136" t="n"/>
      <c r="BP43" s="64" t="n"/>
      <c r="BQ43" s="64" t="n"/>
      <c r="BR43" s="136" t="n"/>
      <c r="BS43" s="136" t="n"/>
      <c r="BT43" s="64" t="n"/>
      <c r="BU43" s="64" t="n"/>
      <c r="BV43" s="136" t="n"/>
      <c r="BW43" s="308" t="n"/>
      <c r="BX43" s="64" t="n"/>
      <c r="BY43" s="64" t="n"/>
      <c r="BZ43" s="64" t="n"/>
      <c r="CA43" s="64" t="n"/>
      <c r="CB43" s="64" t="n"/>
      <c r="CC43" s="64" t="n"/>
      <c r="CD43" s="64" t="n"/>
      <c r="CE43" s="64" t="n"/>
      <c r="CF43" s="64" t="n"/>
      <c r="CG43" s="64" t="n"/>
      <c r="CH43" s="64" t="n"/>
      <c r="CI43" s="64" t="n"/>
      <c r="CJ43" s="64" t="n"/>
      <c r="CK43" s="64" t="n"/>
      <c r="CL43" s="64" t="n"/>
      <c r="CM43" s="64" t="n"/>
      <c r="CN43" s="64" t="n"/>
      <c r="CO43" s="64" t="n"/>
    </row>
    <row r="44" ht="40.5" customHeight="1">
      <c r="A44" s="64" t="n"/>
      <c r="B44" s="2632" t="n"/>
      <c r="H44" s="2633" t="n"/>
      <c r="I44" s="64" t="n"/>
      <c r="J44" s="2434" t="n"/>
      <c r="K44" s="2448" t="n"/>
      <c r="L44" s="2449" t="n"/>
      <c r="M44" s="2444" t="n"/>
      <c r="N44" s="2450" t="n"/>
      <c r="O44" s="64" t="n"/>
      <c r="P44" s="64" t="n"/>
      <c r="Q44" s="64" t="n"/>
      <c r="R44" s="136" t="n"/>
      <c r="S44" s="64" t="n"/>
      <c r="T44" s="64" t="n"/>
      <c r="U44" s="64" t="n"/>
      <c r="V44" s="136" t="n"/>
      <c r="W44" s="136" t="n"/>
      <c r="X44" s="64" t="n"/>
      <c r="Y44" s="64" t="n"/>
      <c r="Z44" s="136" t="n"/>
      <c r="AA44" s="64" t="n"/>
      <c r="AB44" s="64" t="n"/>
      <c r="AC44" s="64" t="n"/>
      <c r="AD44" s="136" t="n"/>
      <c r="AE44" s="64" t="n"/>
      <c r="AF44" s="64" t="n"/>
      <c r="AG44" s="64" t="n"/>
      <c r="AH44" s="136" t="n"/>
      <c r="AI44" s="64" t="n"/>
      <c r="AJ44" s="64" t="n"/>
      <c r="AK44" s="64" t="n"/>
      <c r="AL44" s="136" t="n"/>
      <c r="AM44" s="64" t="n"/>
      <c r="AN44" s="64" t="n"/>
      <c r="AO44" s="64" t="n"/>
      <c r="AP44" s="136" t="n"/>
      <c r="AQ44" s="64" t="n"/>
      <c r="AR44" s="64" t="n"/>
      <c r="AS44" s="64" t="n"/>
      <c r="AT44" s="136" t="n"/>
      <c r="AU44" s="64" t="n"/>
      <c r="AV44" s="64" t="n"/>
      <c r="AW44" s="64" t="n"/>
      <c r="AX44" s="136" t="n"/>
      <c r="AY44" s="308" t="n"/>
      <c r="AZ44" s="64" t="n"/>
      <c r="BA44" s="64" t="n"/>
      <c r="BB44" s="136" t="n"/>
      <c r="BC44" s="64" t="n"/>
      <c r="BD44" s="64" t="n"/>
      <c r="BE44" s="64" t="n"/>
      <c r="BF44" s="136" t="n"/>
      <c r="BG44" s="64" t="n"/>
      <c r="BH44" s="64" t="n"/>
      <c r="BI44" s="136" t="n"/>
      <c r="BJ44" s="136" t="n"/>
      <c r="BK44" s="136" t="n"/>
      <c r="BL44" s="64" t="n"/>
      <c r="BM44" s="64" t="n"/>
      <c r="BN44" s="136" t="n"/>
      <c r="BO44" s="136" t="n"/>
      <c r="BP44" s="64" t="n"/>
      <c r="BQ44" s="64" t="n"/>
      <c r="BR44" s="136" t="n"/>
      <c r="BS44" s="136" t="n"/>
      <c r="BT44" s="64" t="n"/>
      <c r="BU44" s="64" t="n"/>
      <c r="BV44" s="136" t="n"/>
      <c r="BW44" s="308" t="n"/>
      <c r="BX44" s="64" t="n"/>
      <c r="BY44" s="64" t="n"/>
      <c r="BZ44" s="64" t="n"/>
      <c r="CA44" s="64" t="n"/>
      <c r="CB44" s="64" t="n"/>
      <c r="CC44" s="64" t="n"/>
      <c r="CD44" s="64" t="n"/>
      <c r="CE44" s="64" t="n"/>
      <c r="CF44" s="64" t="n"/>
      <c r="CG44" s="64" t="n"/>
      <c r="CH44" s="64" t="n"/>
      <c r="CI44" s="64" t="n"/>
      <c r="CJ44" s="64" t="n"/>
      <c r="CK44" s="64" t="n"/>
      <c r="CL44" s="64" t="n"/>
      <c r="CM44" s="64" t="n"/>
      <c r="CN44" s="64" t="n"/>
      <c r="CO44" s="64" t="n"/>
    </row>
    <row r="45" ht="35.25" customHeight="1">
      <c r="A45" s="64" t="n"/>
      <c r="B45" s="2632" t="n"/>
      <c r="H45" s="2633" t="n"/>
      <c r="I45" s="64" t="n"/>
      <c r="J45" s="2434" t="n"/>
      <c r="K45" s="2448" t="n"/>
      <c r="L45" s="2449" t="n"/>
      <c r="M45" s="2444" t="n"/>
      <c r="N45" s="2450" t="n"/>
      <c r="O45" s="64" t="n"/>
      <c r="P45" s="64" t="n"/>
      <c r="Q45" s="64" t="n"/>
      <c r="R45" s="136" t="n"/>
      <c r="S45" s="64" t="n"/>
      <c r="T45" s="64" t="n"/>
      <c r="U45" s="64" t="n"/>
      <c r="V45" s="136" t="n"/>
      <c r="W45" s="136" t="n"/>
      <c r="X45" s="64" t="n"/>
      <c r="Y45" s="64" t="n"/>
      <c r="Z45" s="136" t="n"/>
      <c r="AA45" s="64" t="n"/>
      <c r="AB45" s="64" t="n"/>
      <c r="AC45" s="64" t="n"/>
      <c r="AD45" s="136" t="n"/>
      <c r="AE45" s="64" t="n"/>
      <c r="AF45" s="64" t="n"/>
      <c r="AG45" s="64" t="n"/>
      <c r="AH45" s="136" t="n"/>
      <c r="AI45" s="64" t="n"/>
      <c r="AJ45" s="64" t="n"/>
      <c r="AK45" s="64" t="n"/>
      <c r="AL45" s="136" t="n"/>
      <c r="AM45" s="64" t="n"/>
      <c r="AN45" s="64" t="n"/>
      <c r="AO45" s="64" t="n"/>
      <c r="AP45" s="136" t="n"/>
      <c r="AQ45" s="64" t="n"/>
      <c r="AR45" s="64" t="n"/>
      <c r="AS45" s="64" t="n"/>
      <c r="AT45" s="136" t="n"/>
      <c r="AU45" s="64" t="n"/>
      <c r="AV45" s="64" t="n"/>
      <c r="AW45" s="64" t="n"/>
      <c r="AX45" s="136" t="n"/>
      <c r="AY45" s="308" t="n"/>
      <c r="AZ45" s="64" t="n"/>
      <c r="BA45" s="64" t="n"/>
      <c r="BB45" s="136" t="n"/>
      <c r="BC45" s="64" t="n"/>
      <c r="BD45" s="64" t="n"/>
      <c r="BE45" s="64" t="n"/>
      <c r="BF45" s="136" t="n"/>
      <c r="BG45" s="64" t="n"/>
      <c r="BH45" s="64" t="n"/>
      <c r="BI45" s="136" t="n"/>
      <c r="BJ45" s="136" t="n"/>
      <c r="BK45" s="136" t="n"/>
      <c r="BL45" s="64" t="n"/>
      <c r="BM45" s="64" t="n"/>
      <c r="BN45" s="136" t="n"/>
      <c r="BO45" s="136" t="n"/>
      <c r="BP45" s="64" t="n"/>
      <c r="BQ45" s="64" t="n"/>
      <c r="BR45" s="136" t="n"/>
      <c r="BS45" s="136" t="n"/>
      <c r="BT45" s="64" t="n"/>
      <c r="BU45" s="64" t="n"/>
      <c r="BV45" s="136" t="n"/>
      <c r="BW45" s="308" t="n"/>
      <c r="BX45" s="64" t="n"/>
      <c r="BY45" s="64" t="n"/>
      <c r="BZ45" s="64" t="n"/>
      <c r="CA45" s="64" t="n"/>
      <c r="CB45" s="64" t="n"/>
      <c r="CC45" s="64" t="n"/>
      <c r="CD45" s="64" t="n"/>
      <c r="CE45" s="64" t="n"/>
      <c r="CF45" s="64" t="n"/>
      <c r="CG45" s="64" t="n"/>
      <c r="CH45" s="64" t="n"/>
      <c r="CI45" s="64" t="n"/>
      <c r="CJ45" s="64" t="n"/>
      <c r="CK45" s="64" t="n"/>
      <c r="CL45" s="64" t="n"/>
      <c r="CM45" s="64" t="n"/>
      <c r="CN45" s="64" t="n"/>
      <c r="CO45" s="64" t="n"/>
    </row>
    <row r="46" ht="76.5" customHeight="1">
      <c r="A46" s="64" t="n"/>
      <c r="B46" s="2634" t="n"/>
      <c r="C46" s="2622" t="n"/>
      <c r="D46" s="2622" t="n"/>
      <c r="E46" s="2622" t="n"/>
      <c r="F46" s="2622" t="n"/>
      <c r="G46" s="2622" t="n"/>
      <c r="H46" s="2623" t="n"/>
      <c r="I46" s="64" t="n"/>
      <c r="J46" s="2434" t="n"/>
      <c r="K46" s="2448" t="n"/>
      <c r="L46" s="2449" t="n"/>
      <c r="M46" s="2444" t="n"/>
      <c r="N46" s="2450" t="n"/>
      <c r="O46" s="64" t="n"/>
      <c r="P46" s="64" t="n"/>
      <c r="Q46" s="64" t="n"/>
      <c r="R46" s="136" t="n"/>
      <c r="S46" s="64" t="n"/>
      <c r="T46" s="64" t="n"/>
      <c r="U46" s="64" t="n"/>
      <c r="V46" s="136" t="n"/>
      <c r="W46" s="136" t="n"/>
      <c r="X46" s="64" t="n"/>
      <c r="Y46" s="64" t="n"/>
      <c r="Z46" s="136" t="n"/>
      <c r="AA46" s="64" t="n"/>
      <c r="AB46" s="64" t="n"/>
      <c r="AC46" s="64" t="n"/>
      <c r="AD46" s="136" t="n"/>
      <c r="AE46" s="64" t="n"/>
      <c r="AF46" s="64" t="n"/>
      <c r="AG46" s="64" t="n"/>
      <c r="AH46" s="136" t="n"/>
      <c r="AI46" s="64" t="n"/>
      <c r="AJ46" s="64" t="n"/>
      <c r="AK46" s="64" t="n"/>
      <c r="AL46" s="136" t="n"/>
      <c r="AM46" s="64" t="n"/>
      <c r="AN46" s="64" t="n"/>
      <c r="AO46" s="64" t="n"/>
      <c r="AP46" s="136" t="n"/>
      <c r="AQ46" s="64" t="n"/>
      <c r="AR46" s="64" t="n"/>
      <c r="AS46" s="64" t="n"/>
      <c r="AT46" s="136" t="n"/>
      <c r="AU46" s="64" t="n"/>
      <c r="AV46" s="64" t="n"/>
      <c r="AW46" s="64" t="n"/>
      <c r="AX46" s="136" t="n"/>
      <c r="AY46" s="308" t="n"/>
      <c r="AZ46" s="64" t="n"/>
      <c r="BA46" s="64" t="n"/>
      <c r="BB46" s="136" t="n"/>
      <c r="BC46" s="64" t="n"/>
      <c r="BD46" s="64" t="n"/>
      <c r="BE46" s="64" t="n"/>
      <c r="BF46" s="136" t="n"/>
      <c r="BG46" s="64" t="n"/>
      <c r="BH46" s="64" t="n"/>
      <c r="BI46" s="136" t="n"/>
      <c r="BJ46" s="136" t="n"/>
      <c r="BK46" s="136" t="n"/>
      <c r="BL46" s="64" t="n"/>
      <c r="BM46" s="64" t="n"/>
      <c r="BN46" s="136" t="n"/>
      <c r="BO46" s="136" t="n"/>
      <c r="BP46" s="64" t="n"/>
      <c r="BQ46" s="64" t="n"/>
      <c r="BR46" s="136" t="n"/>
      <c r="BS46" s="136" t="n"/>
      <c r="BT46" s="64" t="n"/>
      <c r="BU46" s="64" t="n"/>
      <c r="BV46" s="136" t="n"/>
      <c r="BW46" s="308" t="n"/>
      <c r="BX46" s="64" t="n"/>
      <c r="BY46" s="64" t="n"/>
      <c r="BZ46" s="64" t="n"/>
      <c r="CA46" s="64" t="n"/>
      <c r="CB46" s="64" t="n"/>
      <c r="CC46" s="64" t="n"/>
      <c r="CD46" s="64" t="n"/>
      <c r="CE46" s="64" t="n"/>
      <c r="CF46" s="64" t="n"/>
      <c r="CG46" s="64" t="n"/>
      <c r="CH46" s="64" t="n"/>
      <c r="CI46" s="64" t="n"/>
      <c r="CJ46" s="64" t="n"/>
      <c r="CK46" s="64" t="n"/>
      <c r="CL46" s="64" t="n"/>
      <c r="CM46" s="64" t="n"/>
      <c r="CN46" s="64" t="n"/>
      <c r="CO46" s="64" t="n"/>
    </row>
    <row r="47" ht="18" customHeight="1">
      <c r="A47" s="64" t="n"/>
      <c r="B47" s="64" t="n"/>
      <c r="C47" s="64" t="n"/>
      <c r="D47" s="545" t="n"/>
      <c r="E47" s="64" t="n"/>
      <c r="F47" s="64" t="n"/>
      <c r="G47" s="2570" t="n"/>
      <c r="H47" s="64" t="n"/>
      <c r="I47" s="64" t="n"/>
      <c r="J47" s="2434" t="n"/>
      <c r="K47" s="2448" t="n"/>
      <c r="L47" s="2449" t="n"/>
      <c r="M47" s="2444" t="n"/>
      <c r="N47" s="2450" t="n"/>
      <c r="O47" s="64" t="n"/>
      <c r="P47" s="64" t="n"/>
      <c r="Q47" s="64" t="n"/>
      <c r="R47" s="136" t="n"/>
      <c r="S47" s="64" t="n"/>
      <c r="T47" s="64" t="n"/>
      <c r="U47" s="64" t="n"/>
      <c r="V47" s="136" t="n"/>
      <c r="W47" s="136" t="n"/>
      <c r="X47" s="64" t="n"/>
      <c r="Y47" s="64" t="n"/>
      <c r="Z47" s="136" t="n"/>
      <c r="AA47" s="64" t="n"/>
      <c r="AB47" s="64" t="n"/>
      <c r="AC47" s="64" t="n"/>
      <c r="AD47" s="136" t="n"/>
      <c r="AE47" s="64" t="n"/>
      <c r="AF47" s="64" t="n"/>
      <c r="AG47" s="64" t="n"/>
      <c r="AH47" s="136" t="n"/>
      <c r="AI47" s="64" t="n"/>
      <c r="AJ47" s="64" t="n"/>
      <c r="AK47" s="64" t="n"/>
      <c r="AL47" s="136" t="n"/>
      <c r="AM47" s="64" t="n"/>
      <c r="AN47" s="64" t="n"/>
      <c r="AO47" s="64" t="n"/>
      <c r="AP47" s="136" t="n"/>
      <c r="AQ47" s="64" t="n"/>
      <c r="AR47" s="64" t="n"/>
      <c r="AS47" s="64" t="n"/>
      <c r="AT47" s="136" t="n"/>
      <c r="AU47" s="64" t="n"/>
      <c r="AV47" s="64" t="n"/>
      <c r="AW47" s="64" t="n"/>
      <c r="AX47" s="136" t="n"/>
      <c r="AY47" s="308" t="n"/>
      <c r="AZ47" s="64" t="n"/>
      <c r="BA47" s="64" t="n"/>
      <c r="BB47" s="136" t="n"/>
      <c r="BC47" s="64" t="n"/>
      <c r="BD47" s="64" t="n"/>
      <c r="BE47" s="64" t="n"/>
      <c r="BF47" s="136" t="n"/>
      <c r="BG47" s="64" t="n"/>
      <c r="BH47" s="64" t="n"/>
      <c r="BI47" s="136" t="n"/>
      <c r="BJ47" s="136" t="n"/>
      <c r="BK47" s="136" t="n"/>
      <c r="BL47" s="64" t="n"/>
      <c r="BM47" s="64" t="n"/>
      <c r="BN47" s="136" t="n"/>
      <c r="BO47" s="136" t="n"/>
      <c r="BP47" s="64" t="n"/>
      <c r="BQ47" s="64" t="n"/>
      <c r="BR47" s="136" t="n"/>
      <c r="BS47" s="136" t="n"/>
      <c r="BT47" s="64" t="n"/>
      <c r="BU47" s="64" t="n"/>
      <c r="BV47" s="136" t="n"/>
      <c r="BW47" s="308" t="n"/>
      <c r="BX47" s="64" t="n"/>
      <c r="BY47" s="64" t="n"/>
      <c r="BZ47" s="64" t="n"/>
      <c r="CA47" s="64" t="n"/>
      <c r="CB47" s="64" t="n"/>
      <c r="CC47" s="64" t="n"/>
      <c r="CD47" s="64" t="n"/>
      <c r="CE47" s="64" t="n"/>
      <c r="CF47" s="64" t="n"/>
      <c r="CG47" s="64" t="n"/>
      <c r="CH47" s="64" t="n"/>
      <c r="CI47" s="64" t="n"/>
      <c r="CJ47" s="64" t="n"/>
      <c r="CK47" s="64" t="n"/>
      <c r="CL47" s="64" t="n"/>
      <c r="CM47" s="64" t="n"/>
      <c r="CN47" s="64" t="n"/>
      <c r="CO47" s="64" t="n"/>
    </row>
    <row r="48" ht="24.75" customHeight="1">
      <c r="A48" s="64" t="n"/>
      <c r="B48" s="2530" t="inlineStr">
        <is>
          <t>নিচে কর্মকর্তার সুপারিশ লিখুন</t>
        </is>
      </c>
      <c r="C48" s="2629" t="n"/>
      <c r="D48" s="2629" t="n"/>
      <c r="E48" s="2629" t="n"/>
      <c r="F48" s="2629" t="n"/>
      <c r="G48" s="2629" t="n"/>
      <c r="H48" s="2625" t="n"/>
      <c r="I48" s="64" t="n"/>
      <c r="J48" s="2635" t="inlineStr">
        <is>
          <t>‡gvU Rwg (GKi)</t>
        </is>
      </c>
      <c r="K48" s="2629" t="n"/>
      <c r="L48" s="2636" t="n"/>
      <c r="M48" s="2538" t="inlineStr">
        <is>
          <t>t</t>
        </is>
      </c>
      <c r="N48" s="2539">
        <f>SUM(N4:N47)</f>
        <v/>
      </c>
      <c r="O48" s="64" t="n"/>
      <c r="P48" s="64" t="n"/>
      <c r="Q48" s="64" t="n"/>
      <c r="R48" s="136" t="n"/>
      <c r="S48" s="64" t="n"/>
      <c r="T48" s="64" t="n"/>
      <c r="U48" s="64" t="n"/>
      <c r="V48" s="136" t="n"/>
      <c r="W48" s="136" t="n"/>
      <c r="X48" s="64" t="n"/>
      <c r="Y48" s="64" t="n"/>
      <c r="Z48" s="136" t="n"/>
      <c r="AA48" s="64" t="n"/>
      <c r="AB48" s="64" t="n"/>
      <c r="AC48" s="64" t="n"/>
      <c r="AD48" s="136" t="n"/>
      <c r="AE48" s="64" t="n"/>
      <c r="AF48" s="64" t="n"/>
      <c r="AG48" s="64" t="n"/>
      <c r="AH48" s="136" t="n"/>
      <c r="AI48" s="64" t="n"/>
      <c r="AJ48" s="64" t="n"/>
      <c r="AK48" s="64" t="n"/>
      <c r="AL48" s="136" t="n"/>
      <c r="AM48" s="64" t="n"/>
      <c r="AN48" s="64" t="n"/>
      <c r="AO48" s="64" t="n"/>
      <c r="AP48" s="136" t="n"/>
      <c r="AQ48" s="64" t="n"/>
      <c r="AR48" s="64" t="n"/>
      <c r="AS48" s="64" t="n"/>
      <c r="AT48" s="136" t="n"/>
      <c r="AU48" s="64" t="n"/>
      <c r="AV48" s="64" t="n"/>
      <c r="AW48" s="64" t="n"/>
      <c r="AX48" s="136" t="n"/>
      <c r="AY48" s="308" t="n"/>
      <c r="AZ48" s="64" t="n"/>
      <c r="BA48" s="64" t="n"/>
      <c r="BB48" s="136" t="n"/>
      <c r="BC48" s="64" t="n"/>
      <c r="BD48" s="64" t="n"/>
      <c r="BE48" s="64" t="n"/>
      <c r="BF48" s="136" t="n"/>
      <c r="BG48" s="64" t="n"/>
      <c r="BH48" s="64" t="n"/>
      <c r="BI48" s="136" t="n"/>
      <c r="BJ48" s="136" t="n"/>
      <c r="BK48" s="136" t="n"/>
      <c r="BL48" s="64" t="n"/>
      <c r="BM48" s="64" t="n"/>
      <c r="BN48" s="136" t="n"/>
      <c r="BO48" s="136" t="n"/>
      <c r="BP48" s="64" t="n"/>
      <c r="BQ48" s="64" t="n"/>
      <c r="BR48" s="136" t="n"/>
      <c r="BS48" s="136" t="n"/>
      <c r="BT48" s="64" t="n"/>
      <c r="BU48" s="64" t="n"/>
      <c r="BV48" s="136" t="n"/>
      <c r="BW48" s="308" t="n"/>
      <c r="BX48" s="64" t="n"/>
      <c r="BY48" s="64" t="n"/>
      <c r="BZ48" s="64" t="n"/>
      <c r="CA48" s="64" t="n"/>
      <c r="CB48" s="64" t="n"/>
      <c r="CC48" s="64" t="n"/>
      <c r="CD48" s="64" t="n"/>
      <c r="CE48" s="64" t="n"/>
      <c r="CF48" s="64" t="n"/>
      <c r="CG48" s="64" t="n"/>
      <c r="CH48" s="64" t="n"/>
      <c r="CI48" s="64" t="n"/>
      <c r="CJ48" s="64" t="n"/>
      <c r="CK48" s="64" t="n"/>
      <c r="CL48" s="64" t="n"/>
      <c r="CM48" s="64" t="n"/>
      <c r="CN48" s="64" t="n"/>
      <c r="CO48" s="64" t="n"/>
    </row>
    <row r="49" ht="18" customFormat="1" customHeight="1" s="18">
      <c r="A49" s="103" t="n"/>
      <c r="B49" s="2515" t="inlineStr">
        <is>
          <t>‡gmvm© mvbd¬vIqvi †UBjvm© GÛ †dweªK&amp;ª bvgK e¨emv cÖwZôvbwU Av‡e`bKvixi wcZv `xN©w`b a‡i cwiPvjbv KiwQ‡jb| Av‡e`bKvixi wcZvi g„Z¨yi ci GKgvÎ Iqvwik wn‡m‡e wZwb D³ e¨emv cÖwZôvbwU cwiPvjbv Ki‡Qb|  Kvc‡oi e¨emvwU jvfRbK e¨emv| eZ©gvb evRvig~j¨ e„w× cvIqvq wZwb Zvi e¨emvwU cÖmvwiZ I mwVKfv‡e cwiPvjbv Ki‡Z cvi‡Qb bv | ZvB wZwb e¨vs‡K wmGgGmGgB Lv‡Z bM` cyuwR F‡Yi Av‡e`b K‡i‡Qb|  D³ cÖwZôv‡bi AbyKz‡j e¨vsK wewb‡qvM Ki‡j e¨vsK I D‡`¨v³v Df‡qB Avw_©Kfv‡e jvfevb n‡e| D‡`¨v³v Avw_©K w`K w`‡q ¯^”Qj Ges FY cwi‡kv‡a mvg_©¨evb| D‡`¨v³vi Av‡e`b, e¨emvwqK AwfÁZv, cÖwZôv‡bi µgweKvk BZ¨vw` we‡ePbv K‡i ‡gmvm© mvbd¬vIqvi †UBjvm© GÛ †dweªK&amp;ª Gi AbyKz‡j Kvc‡oi e¨emv cwiPvjbvi Rb¨ wmGgGmGgB Lv‡Z  1 (GK) erm‡ii ‡gqv‡` gs  70.00 (mËi) jÿ UvKv gvÎ bM` cyuwR FY gÄyixi  mycvwik Kiv n‡jv|</t>
        </is>
      </c>
      <c r="C49" s="2630" t="n"/>
      <c r="D49" s="2630" t="n"/>
      <c r="E49" s="2630" t="n"/>
      <c r="F49" s="2630" t="n"/>
      <c r="G49" s="2630" t="n"/>
      <c r="H49" s="2631" t="n"/>
      <c r="I49" s="103" t="n"/>
      <c r="J49" s="103" t="n"/>
      <c r="K49" s="103" t="n"/>
      <c r="L49" s="103" t="n"/>
      <c r="M49" s="103" t="n"/>
      <c r="N49" s="2540" t="n"/>
      <c r="O49" s="103" t="n"/>
      <c r="P49" s="103" t="n"/>
      <c r="Q49" s="103" t="n"/>
      <c r="R49" s="225" t="n"/>
      <c r="S49" s="103" t="n"/>
      <c r="T49" s="103" t="n"/>
      <c r="U49" s="103" t="n"/>
      <c r="V49" s="225" t="n"/>
      <c r="W49" s="225" t="n"/>
      <c r="X49" s="103" t="n"/>
      <c r="Y49" s="103" t="n"/>
      <c r="Z49" s="225" t="n"/>
      <c r="AA49" s="103" t="n"/>
      <c r="AB49" s="103" t="n"/>
      <c r="AC49" s="103" t="n"/>
      <c r="AD49" s="225" t="n"/>
      <c r="AE49" s="103" t="n"/>
      <c r="AF49" s="103" t="n"/>
      <c r="AG49" s="103" t="n"/>
      <c r="AH49" s="225" t="n"/>
      <c r="AI49" s="103" t="n"/>
      <c r="AJ49" s="103" t="n"/>
      <c r="AK49" s="103" t="n"/>
      <c r="AL49" s="225" t="n"/>
      <c r="AM49" s="103" t="n"/>
      <c r="AN49" s="103" t="n"/>
      <c r="AO49" s="103" t="n"/>
      <c r="AP49" s="225" t="n"/>
      <c r="AQ49" s="103" t="n"/>
      <c r="AR49" s="103" t="n"/>
      <c r="AS49" s="103" t="n"/>
      <c r="AT49" s="225" t="n"/>
      <c r="AU49" s="103" t="n"/>
      <c r="AV49" s="103" t="n"/>
      <c r="AW49" s="103" t="n"/>
      <c r="AX49" s="225" t="n"/>
      <c r="AY49" s="555" t="n"/>
      <c r="AZ49" s="103" t="n"/>
      <c r="BA49" s="103" t="n"/>
      <c r="BB49" s="225" t="n"/>
      <c r="BC49" s="103" t="n"/>
      <c r="BD49" s="103" t="n"/>
      <c r="BE49" s="103" t="n"/>
      <c r="BF49" s="225" t="n"/>
      <c r="BG49" s="103" t="n"/>
      <c r="BH49" s="103" t="n"/>
      <c r="BI49" s="225" t="n"/>
      <c r="BJ49" s="225" t="n"/>
      <c r="BK49" s="225" t="n"/>
      <c r="BL49" s="103" t="n"/>
      <c r="BM49" s="103" t="n"/>
      <c r="BN49" s="225" t="n"/>
      <c r="BO49" s="225" t="n"/>
      <c r="BP49" s="103" t="n"/>
      <c r="BQ49" s="103" t="n"/>
      <c r="BR49" s="225" t="n"/>
      <c r="BS49" s="225" t="n"/>
      <c r="BT49" s="103" t="n"/>
      <c r="BU49" s="103" t="n"/>
      <c r="BV49" s="225" t="n"/>
      <c r="BW49" s="555" t="n"/>
      <c r="BX49" s="103" t="n"/>
      <c r="BY49" s="103" t="n"/>
      <c r="BZ49" s="103" t="n"/>
      <c r="CA49" s="103" t="n"/>
      <c r="CB49" s="103" t="n"/>
      <c r="CC49" s="103" t="n"/>
      <c r="CD49" s="103" t="n"/>
      <c r="CE49" s="103" t="n"/>
      <c r="CF49" s="103" t="n"/>
      <c r="CG49" s="103" t="n"/>
      <c r="CH49" s="103" t="n"/>
      <c r="CI49" s="103" t="n"/>
      <c r="CJ49" s="103" t="n"/>
      <c r="CK49" s="103" t="n"/>
      <c r="CL49" s="103" t="n"/>
      <c r="CM49" s="103" t="n"/>
      <c r="CN49" s="103" t="n"/>
      <c r="CO49" s="103" t="n"/>
    </row>
    <row r="50" ht="18" customFormat="1" customHeight="1" s="18">
      <c r="A50" s="103" t="n"/>
      <c r="B50" s="2632" t="n"/>
      <c r="H50" s="2633" t="n"/>
      <c r="I50" s="103" t="n"/>
      <c r="J50" s="2541" t="inlineStr">
        <is>
          <t>eÜKx m¤úwËi †PŠnwÏi weeiY</t>
        </is>
      </c>
      <c r="K50" s="2615" t="n"/>
      <c r="L50" s="2615" t="n"/>
      <c r="M50" s="2615" t="n"/>
      <c r="N50" s="2616" t="n"/>
      <c r="O50" s="103" t="n"/>
      <c r="P50" s="103" t="n"/>
      <c r="Q50" s="103" t="n"/>
      <c r="R50" s="225" t="n"/>
      <c r="S50" s="103" t="n"/>
      <c r="T50" s="103" t="n"/>
      <c r="U50" s="103" t="n"/>
      <c r="V50" s="225" t="n"/>
      <c r="W50" s="225" t="n"/>
      <c r="X50" s="103" t="n"/>
      <c r="Y50" s="103" t="n"/>
      <c r="Z50" s="225" t="n"/>
      <c r="AA50" s="103" t="n"/>
      <c r="AB50" s="103" t="n"/>
      <c r="AC50" s="103" t="n"/>
      <c r="AD50" s="225" t="n"/>
      <c r="AE50" s="103" t="n"/>
      <c r="AF50" s="103" t="n"/>
      <c r="AG50" s="103" t="n"/>
      <c r="AH50" s="225" t="n"/>
      <c r="AI50" s="103" t="n"/>
      <c r="AJ50" s="103" t="n"/>
      <c r="AK50" s="103" t="n"/>
      <c r="AL50" s="225" t="n"/>
      <c r="AM50" s="103" t="n"/>
      <c r="AN50" s="103" t="n"/>
      <c r="AO50" s="103" t="n"/>
      <c r="AP50" s="225" t="n"/>
      <c r="AQ50" s="103" t="n"/>
      <c r="AR50" s="103" t="n"/>
      <c r="AS50" s="103" t="n"/>
      <c r="AT50" s="225" t="n"/>
      <c r="AU50" s="103" t="n"/>
      <c r="AV50" s="103" t="n"/>
      <c r="AW50" s="103" t="n"/>
      <c r="AX50" s="225" t="n"/>
      <c r="AY50" s="555" t="n"/>
      <c r="AZ50" s="103" t="n"/>
      <c r="BA50" s="103" t="n"/>
      <c r="BB50" s="225" t="n"/>
      <c r="BC50" s="103" t="n"/>
      <c r="BD50" s="103" t="n"/>
      <c r="BE50" s="103" t="n"/>
      <c r="BF50" s="225" t="n"/>
      <c r="BG50" s="103" t="n"/>
      <c r="BH50" s="103" t="n"/>
      <c r="BI50" s="225" t="n"/>
      <c r="BJ50" s="225" t="n"/>
      <c r="BK50" s="225" t="n"/>
      <c r="BL50" s="103" t="n"/>
      <c r="BM50" s="103" t="n"/>
      <c r="BN50" s="225" t="n"/>
      <c r="BO50" s="225" t="n"/>
      <c r="BP50" s="103" t="n"/>
      <c r="BQ50" s="103" t="n"/>
      <c r="BR50" s="225" t="n"/>
      <c r="BS50" s="225" t="n"/>
      <c r="BT50" s="103" t="n"/>
      <c r="BU50" s="103" t="n"/>
      <c r="BV50" s="225" t="n"/>
      <c r="BW50" s="555" t="n"/>
      <c r="BX50" s="103" t="n"/>
      <c r="BY50" s="103" t="n"/>
      <c r="BZ50" s="103" t="n"/>
      <c r="CA50" s="103" t="n"/>
      <c r="CB50" s="103" t="n"/>
      <c r="CC50" s="103" t="n"/>
      <c r="CD50" s="103" t="n"/>
      <c r="CE50" s="103" t="n"/>
      <c r="CF50" s="103" t="n"/>
      <c r="CG50" s="103" t="n"/>
      <c r="CH50" s="103" t="n"/>
      <c r="CI50" s="103" t="n"/>
      <c r="CJ50" s="103" t="n"/>
      <c r="CK50" s="103" t="n"/>
      <c r="CL50" s="103" t="n"/>
      <c r="CM50" s="103" t="n"/>
      <c r="CN50" s="103" t="n"/>
      <c r="CO50" s="103" t="n"/>
    </row>
    <row r="51" ht="18" customHeight="1">
      <c r="A51" s="64" t="n"/>
      <c r="B51" s="2632" t="n"/>
      <c r="H51" s="2633" t="n"/>
      <c r="I51" s="64" t="n"/>
      <c r="J51" s="134" t="inlineStr">
        <is>
          <t>DË‡i-</t>
        </is>
      </c>
      <c r="K51" s="2072" t="inlineStr">
        <is>
          <t>Kwei</t>
        </is>
      </c>
      <c r="L51" s="2614" t="n"/>
      <c r="M51" s="2614" t="n"/>
      <c r="N51" s="2617" t="n"/>
      <c r="O51" s="64" t="n"/>
      <c r="P51" s="64" t="n"/>
      <c r="Q51" s="64" t="n"/>
      <c r="R51" s="136" t="n"/>
      <c r="S51" s="64" t="n"/>
      <c r="T51" s="64" t="n"/>
      <c r="U51" s="64" t="n"/>
      <c r="V51" s="136" t="n"/>
      <c r="W51" s="136" t="n"/>
      <c r="X51" s="64" t="n"/>
      <c r="Y51" s="64" t="n"/>
      <c r="Z51" s="136" t="n"/>
      <c r="AA51" s="64" t="n"/>
      <c r="AB51" s="64" t="n"/>
      <c r="AC51" s="64" t="n"/>
      <c r="AD51" s="136" t="n"/>
      <c r="AE51" s="64" t="n"/>
      <c r="AF51" s="64" t="n"/>
      <c r="AG51" s="64" t="n"/>
      <c r="AH51" s="136" t="n"/>
      <c r="AI51" s="64" t="n"/>
      <c r="AJ51" s="64" t="n"/>
      <c r="AK51" s="64" t="n"/>
      <c r="AL51" s="136" t="n"/>
      <c r="AM51" s="64" t="n"/>
      <c r="AN51" s="64" t="n"/>
      <c r="AO51" s="64" t="n"/>
      <c r="AP51" s="136" t="n"/>
      <c r="AQ51" s="64" t="n"/>
      <c r="AR51" s="64" t="n"/>
      <c r="AS51" s="64" t="n"/>
      <c r="AT51" s="136" t="n"/>
      <c r="AU51" s="64" t="n"/>
      <c r="AV51" s="64" t="n"/>
      <c r="AW51" s="64" t="n"/>
      <c r="AX51" s="136" t="n"/>
      <c r="AY51" s="308" t="n"/>
      <c r="AZ51" s="64" t="n"/>
      <c r="BA51" s="64" t="n"/>
      <c r="BB51" s="136" t="n"/>
      <c r="BC51" s="64" t="n"/>
      <c r="BD51" s="64" t="n"/>
      <c r="BE51" s="64" t="n"/>
      <c r="BF51" s="136" t="n"/>
      <c r="BG51" s="64" t="n"/>
      <c r="BH51" s="64" t="n"/>
      <c r="BI51" s="136" t="n"/>
      <c r="BJ51" s="136" t="n"/>
      <c r="BK51" s="136" t="n"/>
      <c r="BL51" s="64" t="n"/>
      <c r="BM51" s="64" t="n"/>
      <c r="BN51" s="136" t="n"/>
      <c r="BO51" s="136" t="n"/>
      <c r="BP51" s="64" t="n"/>
      <c r="BQ51" s="64" t="n"/>
      <c r="BR51" s="136" t="n"/>
      <c r="BS51" s="136" t="n"/>
      <c r="BT51" s="64" t="n"/>
      <c r="BU51" s="64" t="n"/>
      <c r="BV51" s="136" t="n"/>
      <c r="BW51" s="308" t="n"/>
      <c r="BX51" s="64" t="n"/>
      <c r="BY51" s="64" t="n"/>
      <c r="BZ51" s="64" t="n"/>
      <c r="CA51" s="64" t="n"/>
      <c r="CB51" s="64" t="n"/>
      <c r="CC51" s="64" t="n"/>
      <c r="CD51" s="64" t="n"/>
      <c r="CE51" s="64" t="n"/>
      <c r="CF51" s="64" t="n"/>
      <c r="CG51" s="64" t="n"/>
      <c r="CH51" s="64" t="n"/>
      <c r="CI51" s="64" t="n"/>
      <c r="CJ51" s="64" t="n"/>
      <c r="CK51" s="64" t="n"/>
      <c r="CL51" s="64" t="n"/>
      <c r="CM51" s="64" t="n"/>
      <c r="CN51" s="64" t="n"/>
      <c r="CO51" s="64" t="n"/>
    </row>
    <row r="52" ht="18" customHeight="1">
      <c r="A52" s="64" t="n"/>
      <c r="B52" s="2632" t="n"/>
      <c r="H52" s="2633" t="n"/>
      <c r="I52" s="64" t="n"/>
      <c r="J52" s="134" t="inlineStr">
        <is>
          <t>`wÿ‡b-</t>
        </is>
      </c>
      <c r="K52" s="2072" t="inlineStr">
        <is>
          <t>ev`kv wgqv I gwZb Ms</t>
        </is>
      </c>
      <c r="L52" s="2614" t="n"/>
      <c r="M52" s="2614" t="n"/>
      <c r="N52" s="2617" t="n"/>
      <c r="O52" s="64" t="n"/>
      <c r="P52" s="64" t="n"/>
      <c r="Q52" s="64" t="n"/>
      <c r="R52" s="136" t="n"/>
      <c r="S52" s="64" t="n"/>
      <c r="T52" s="64" t="n"/>
      <c r="U52" s="64" t="n"/>
      <c r="V52" s="136" t="n"/>
      <c r="W52" s="136" t="n"/>
      <c r="X52" s="64" t="n"/>
      <c r="Y52" s="64" t="n"/>
      <c r="Z52" s="136" t="n"/>
      <c r="AA52" s="64" t="n"/>
      <c r="AB52" s="64" t="n"/>
      <c r="AC52" s="64" t="n"/>
      <c r="AD52" s="136" t="n"/>
      <c r="AE52" s="64" t="n"/>
      <c r="AF52" s="64" t="n"/>
      <c r="AG52" s="64" t="n"/>
      <c r="AH52" s="136" t="n"/>
      <c r="AI52" s="64" t="n"/>
      <c r="AJ52" s="64" t="n"/>
      <c r="AK52" s="64" t="n"/>
      <c r="AL52" s="136" t="n"/>
      <c r="AM52" s="64" t="n"/>
      <c r="AN52" s="64" t="n"/>
      <c r="AO52" s="64" t="n"/>
      <c r="AP52" s="136" t="n"/>
      <c r="AQ52" s="64" t="n"/>
      <c r="AR52" s="64" t="n"/>
      <c r="AS52" s="64" t="n"/>
      <c r="AT52" s="136" t="n"/>
      <c r="AU52" s="64" t="n"/>
      <c r="AV52" s="64" t="n"/>
      <c r="AW52" s="64" t="n"/>
      <c r="AX52" s="136" t="n"/>
      <c r="AY52" s="308" t="n"/>
      <c r="AZ52" s="64" t="n"/>
      <c r="BA52" s="64" t="n"/>
      <c r="BB52" s="136" t="n"/>
      <c r="BC52" s="64" t="n"/>
      <c r="BD52" s="64" t="n"/>
      <c r="BE52" s="64" t="n"/>
      <c r="BF52" s="136" t="n"/>
      <c r="BG52" s="64" t="n"/>
      <c r="BH52" s="64" t="n"/>
      <c r="BI52" s="136" t="n"/>
      <c r="BJ52" s="136" t="n"/>
      <c r="BK52" s="136" t="n"/>
      <c r="BL52" s="64" t="n"/>
      <c r="BM52" s="64" t="n"/>
      <c r="BN52" s="136" t="n"/>
      <c r="BO52" s="136" t="n"/>
      <c r="BP52" s="64" t="n"/>
      <c r="BQ52" s="64" t="n"/>
      <c r="BR52" s="136" t="n"/>
      <c r="BS52" s="136" t="n"/>
      <c r="BT52" s="64" t="n"/>
      <c r="BU52" s="64" t="n"/>
      <c r="BV52" s="136" t="n"/>
      <c r="BW52" s="308" t="n"/>
      <c r="BX52" s="64" t="n"/>
      <c r="BY52" s="64" t="n"/>
      <c r="BZ52" s="64" t="n"/>
      <c r="CA52" s="64" t="n"/>
      <c r="CB52" s="64" t="n"/>
      <c r="CC52" s="64" t="n"/>
      <c r="CD52" s="64" t="n"/>
      <c r="CE52" s="64" t="n"/>
      <c r="CF52" s="64" t="n"/>
      <c r="CG52" s="64" t="n"/>
      <c r="CH52" s="64" t="n"/>
      <c r="CI52" s="64" t="n"/>
      <c r="CJ52" s="64" t="n"/>
      <c r="CK52" s="64" t="n"/>
      <c r="CL52" s="64" t="n"/>
      <c r="CM52" s="64" t="n"/>
      <c r="CN52" s="64" t="n"/>
      <c r="CO52" s="64" t="n"/>
    </row>
    <row r="53" ht="18" customHeight="1">
      <c r="A53" s="64" t="n"/>
      <c r="B53" s="2632" t="n"/>
      <c r="H53" s="2633" t="n"/>
      <c r="I53" s="64" t="n"/>
      <c r="J53" s="134" t="inlineStr">
        <is>
          <t>c~‡e©-</t>
        </is>
      </c>
      <c r="K53" s="2072" t="inlineStr">
        <is>
          <t>gwZb Ms</t>
        </is>
      </c>
      <c r="L53" s="2614" t="n"/>
      <c r="M53" s="2614" t="n"/>
      <c r="N53" s="2617" t="n"/>
      <c r="O53" s="64" t="n"/>
      <c r="P53" s="64" t="n"/>
      <c r="Q53" s="64" t="n"/>
      <c r="R53" s="136" t="n"/>
      <c r="S53" s="64" t="n"/>
      <c r="T53" s="64" t="n"/>
      <c r="U53" s="64" t="n"/>
      <c r="V53" s="136" t="n"/>
      <c r="W53" s="136" t="n"/>
      <c r="X53" s="64" t="n"/>
      <c r="Y53" s="64" t="n"/>
      <c r="Z53" s="136" t="n"/>
      <c r="AA53" s="64" t="n"/>
      <c r="AB53" s="64" t="n"/>
      <c r="AC53" s="64" t="n"/>
      <c r="AD53" s="136" t="n"/>
      <c r="AE53" s="64" t="n"/>
      <c r="AF53" s="64" t="n"/>
      <c r="AG53" s="64" t="n"/>
      <c r="AH53" s="136" t="n"/>
      <c r="AI53" s="64" t="n"/>
      <c r="AJ53" s="64" t="n"/>
      <c r="AK53" s="64" t="n"/>
      <c r="AL53" s="136" t="n"/>
      <c r="AM53" s="64" t="n"/>
      <c r="AN53" s="64" t="n"/>
      <c r="AO53" s="64" t="n"/>
      <c r="AP53" s="136" t="n"/>
      <c r="AQ53" s="64" t="n"/>
      <c r="AR53" s="64" t="n"/>
      <c r="AS53" s="64" t="n"/>
      <c r="AT53" s="136" t="n"/>
      <c r="AU53" s="64" t="n"/>
      <c r="AV53" s="64" t="n"/>
      <c r="AW53" s="64" t="n"/>
      <c r="AX53" s="136" t="n"/>
      <c r="AY53" s="308" t="n"/>
      <c r="AZ53" s="64" t="n"/>
      <c r="BA53" s="64" t="n"/>
      <c r="BB53" s="136" t="n"/>
      <c r="BC53" s="64" t="n"/>
      <c r="BD53" s="64" t="n"/>
      <c r="BE53" s="64" t="n"/>
      <c r="BF53" s="136" t="n"/>
      <c r="BG53" s="64" t="n"/>
      <c r="BH53" s="64" t="n"/>
      <c r="BI53" s="136" t="n"/>
      <c r="BJ53" s="136" t="n"/>
      <c r="BK53" s="136" t="n"/>
      <c r="BL53" s="64" t="n"/>
      <c r="BM53" s="64" t="n"/>
      <c r="BN53" s="136" t="n"/>
      <c r="BO53" s="136" t="n"/>
      <c r="BP53" s="64" t="n"/>
      <c r="BQ53" s="64" t="n"/>
      <c r="BR53" s="136" t="n"/>
      <c r="BS53" s="136" t="n"/>
      <c r="BT53" s="64" t="n"/>
      <c r="BU53" s="64" t="n"/>
      <c r="BV53" s="136" t="n"/>
      <c r="BW53" s="308" t="n"/>
      <c r="BX53" s="64" t="n"/>
      <c r="BY53" s="64" t="n"/>
      <c r="BZ53" s="64" t="n"/>
      <c r="CA53" s="64" t="n"/>
      <c r="CB53" s="64" t="n"/>
      <c r="CC53" s="64" t="n"/>
      <c r="CD53" s="64" t="n"/>
      <c r="CE53" s="64" t="n"/>
      <c r="CF53" s="64" t="n"/>
      <c r="CG53" s="64" t="n"/>
      <c r="CH53" s="64" t="n"/>
      <c r="CI53" s="64" t="n"/>
      <c r="CJ53" s="64" t="n"/>
      <c r="CK53" s="64" t="n"/>
      <c r="CL53" s="64" t="n"/>
      <c r="CM53" s="64" t="n"/>
      <c r="CN53" s="64" t="n"/>
      <c r="CO53" s="64" t="n"/>
    </row>
    <row r="54" ht="18" customHeight="1">
      <c r="A54" s="64" t="n"/>
      <c r="B54" s="2632" t="n"/>
      <c r="H54" s="2633" t="n"/>
      <c r="I54" s="64" t="n"/>
      <c r="J54" s="134" t="inlineStr">
        <is>
          <t>cwð‡g-</t>
        </is>
      </c>
      <c r="K54" s="2072" t="inlineStr">
        <is>
          <t>byiæbœvnvi</t>
        </is>
      </c>
      <c r="L54" s="2614" t="n"/>
      <c r="M54" s="2614" t="n"/>
      <c r="N54" s="2617" t="n"/>
      <c r="O54" s="64" t="n"/>
      <c r="P54" s="64" t="n"/>
      <c r="Q54" s="64" t="n"/>
      <c r="R54" s="136" t="n"/>
      <c r="S54" s="64" t="n"/>
      <c r="T54" s="64" t="n"/>
      <c r="U54" s="64" t="n"/>
      <c r="V54" s="136" t="n"/>
      <c r="W54" s="136" t="n"/>
      <c r="X54" s="64" t="n"/>
      <c r="Y54" s="64" t="n"/>
      <c r="Z54" s="136" t="n"/>
      <c r="AA54" s="64" t="n"/>
      <c r="AB54" s="64" t="n"/>
      <c r="AC54" s="64" t="n"/>
      <c r="AD54" s="136" t="n"/>
      <c r="AE54" s="64" t="n"/>
      <c r="AF54" s="64" t="n"/>
      <c r="AG54" s="64" t="n"/>
      <c r="AH54" s="136" t="n"/>
      <c r="AI54" s="64" t="n"/>
      <c r="AJ54" s="64" t="n"/>
      <c r="AK54" s="64" t="n"/>
      <c r="AL54" s="136" t="n"/>
      <c r="AM54" s="64" t="n"/>
      <c r="AN54" s="64" t="n"/>
      <c r="AO54" s="64" t="n"/>
      <c r="AP54" s="136" t="n"/>
      <c r="AQ54" s="64" t="n"/>
      <c r="AR54" s="64" t="n"/>
      <c r="AS54" s="64" t="n"/>
      <c r="AT54" s="136" t="n"/>
      <c r="AU54" s="64" t="n"/>
      <c r="AV54" s="64" t="n"/>
      <c r="AW54" s="64" t="n"/>
      <c r="AX54" s="136" t="n"/>
      <c r="AY54" s="308" t="n"/>
      <c r="AZ54" s="64" t="n"/>
      <c r="BA54" s="64" t="n"/>
      <c r="BB54" s="136" t="n"/>
      <c r="BC54" s="64" t="n"/>
      <c r="BD54" s="64" t="n"/>
      <c r="BE54" s="64" t="n"/>
      <c r="BF54" s="136" t="n"/>
      <c r="BG54" s="64" t="n"/>
      <c r="BH54" s="64" t="n"/>
      <c r="BI54" s="136" t="n"/>
      <c r="BJ54" s="136" t="n"/>
      <c r="BK54" s="136" t="n"/>
      <c r="BL54" s="64" t="n"/>
      <c r="BM54" s="64" t="n"/>
      <c r="BN54" s="136" t="n"/>
      <c r="BO54" s="136" t="n"/>
      <c r="BP54" s="64" t="n"/>
      <c r="BQ54" s="64" t="n"/>
      <c r="BR54" s="136" t="n"/>
      <c r="BS54" s="136" t="n"/>
      <c r="BT54" s="64" t="n"/>
      <c r="BU54" s="64" t="n"/>
      <c r="BV54" s="136" t="n"/>
      <c r="BW54" s="308" t="n"/>
      <c r="BX54" s="64" t="n"/>
      <c r="BY54" s="64" t="n"/>
      <c r="BZ54" s="64" t="n"/>
      <c r="CA54" s="64" t="n"/>
      <c r="CB54" s="64" t="n"/>
      <c r="CC54" s="64" t="n"/>
      <c r="CD54" s="64" t="n"/>
      <c r="CE54" s="64" t="n"/>
      <c r="CF54" s="64" t="n"/>
      <c r="CG54" s="64" t="n"/>
      <c r="CH54" s="64" t="n"/>
      <c r="CI54" s="64" t="n"/>
      <c r="CJ54" s="64" t="n"/>
      <c r="CK54" s="64" t="n"/>
      <c r="CL54" s="64" t="n"/>
      <c r="CM54" s="64" t="n"/>
      <c r="CN54" s="64" t="n"/>
      <c r="CO54" s="64" t="n"/>
    </row>
    <row r="55" ht="18" customFormat="1" customHeight="1" s="18">
      <c r="A55" s="103" t="n"/>
      <c r="B55" s="2632" t="n"/>
      <c r="H55" s="2633" t="n"/>
      <c r="I55" s="103" t="n"/>
      <c r="J55" s="103" t="n"/>
      <c r="K55" s="103" t="n"/>
      <c r="L55" s="103" t="n"/>
      <c r="M55" s="103" t="n"/>
      <c r="N55" s="2540" t="n"/>
      <c r="O55" s="103" t="n"/>
      <c r="P55" s="103" t="n"/>
      <c r="Q55" s="103" t="n"/>
      <c r="R55" s="225" t="n"/>
      <c r="S55" s="103" t="n"/>
      <c r="T55" s="103" t="n"/>
      <c r="U55" s="103" t="n"/>
      <c r="V55" s="225" t="n"/>
      <c r="W55" s="225" t="n"/>
      <c r="X55" s="103" t="n"/>
      <c r="Y55" s="103" t="n"/>
      <c r="Z55" s="225" t="n"/>
      <c r="AA55" s="103" t="n"/>
      <c r="AB55" s="103" t="n"/>
      <c r="AC55" s="103" t="n"/>
      <c r="AD55" s="225" t="n"/>
      <c r="AE55" s="103" t="n"/>
      <c r="AF55" s="103" t="n"/>
      <c r="AG55" s="103" t="n"/>
      <c r="AH55" s="225" t="n"/>
      <c r="AI55" s="103" t="n"/>
      <c r="AJ55" s="103" t="n"/>
      <c r="AK55" s="103" t="n"/>
      <c r="AL55" s="225" t="n"/>
      <c r="AM55" s="103" t="n"/>
      <c r="AN55" s="103" t="n"/>
      <c r="AO55" s="103" t="n"/>
      <c r="AP55" s="225" t="n"/>
      <c r="AQ55" s="103" t="n"/>
      <c r="AR55" s="103" t="n"/>
      <c r="AS55" s="103" t="n"/>
      <c r="AT55" s="225" t="n"/>
      <c r="AU55" s="103" t="n"/>
      <c r="AV55" s="103" t="n"/>
      <c r="AW55" s="103" t="n"/>
      <c r="AX55" s="225" t="n"/>
      <c r="AY55" s="555" t="n"/>
      <c r="AZ55" s="103" t="n"/>
      <c r="BA55" s="103" t="n"/>
      <c r="BB55" s="225" t="n"/>
      <c r="BC55" s="103" t="n"/>
      <c r="BD55" s="103" t="n"/>
      <c r="BE55" s="103" t="n"/>
      <c r="BF55" s="225" t="n"/>
      <c r="BG55" s="103" t="n"/>
      <c r="BH55" s="103" t="n"/>
      <c r="BI55" s="225" t="n"/>
      <c r="BJ55" s="225" t="n"/>
      <c r="BK55" s="225" t="n"/>
      <c r="BL55" s="103" t="n"/>
      <c r="BM55" s="103" t="n"/>
      <c r="BN55" s="225" t="n"/>
      <c r="BO55" s="225" t="n"/>
      <c r="BP55" s="103" t="n"/>
      <c r="BQ55" s="103" t="n"/>
      <c r="BR55" s="225" t="n"/>
      <c r="BS55" s="225" t="n"/>
      <c r="BT55" s="103" t="n"/>
      <c r="BU55" s="103" t="n"/>
      <c r="BV55" s="225" t="n"/>
      <c r="BW55" s="555" t="n"/>
      <c r="BX55" s="103" t="n"/>
      <c r="BY55" s="103" t="n"/>
      <c r="BZ55" s="103" t="n"/>
      <c r="CA55" s="103" t="n"/>
      <c r="CB55" s="103" t="n"/>
      <c r="CC55" s="103" t="n"/>
      <c r="CD55" s="103" t="n"/>
      <c r="CE55" s="103" t="n"/>
      <c r="CF55" s="103" t="n"/>
      <c r="CG55" s="103" t="n"/>
      <c r="CH55" s="103" t="n"/>
      <c r="CI55" s="103" t="n"/>
      <c r="CJ55" s="103" t="n"/>
      <c r="CK55" s="103" t="n"/>
      <c r="CL55" s="103" t="n"/>
      <c r="CM55" s="103" t="n"/>
      <c r="CN55" s="103" t="n"/>
      <c r="CO55" s="103" t="n"/>
    </row>
    <row r="56" ht="18" customHeight="1">
      <c r="A56" s="64" t="n"/>
      <c r="B56" s="2632" t="n"/>
      <c r="H56" s="2633" t="n"/>
      <c r="I56" s="64" t="n"/>
      <c r="J56" s="2547" t="inlineStr">
        <is>
          <t>cÖ‡qvRb n‡jt</t>
        </is>
      </c>
      <c r="K56" s="2637" t="n"/>
      <c r="L56" s="2638" t="n"/>
      <c r="M56" s="64" t="n"/>
      <c r="N56" s="2571" t="n"/>
      <c r="O56" s="64" t="n"/>
      <c r="P56" s="64" t="n"/>
      <c r="Q56" s="64" t="n"/>
      <c r="R56" s="136" t="n"/>
      <c r="S56" s="64" t="n"/>
      <c r="T56" s="64" t="n"/>
      <c r="U56" s="64" t="n"/>
      <c r="V56" s="136" t="n"/>
      <c r="W56" s="136" t="n"/>
      <c r="X56" s="64" t="n"/>
      <c r="Y56" s="64" t="n"/>
      <c r="Z56" s="136" t="n"/>
      <c r="AA56" s="64" t="n"/>
      <c r="AB56" s="64" t="n"/>
      <c r="AC56" s="64" t="n"/>
      <c r="AD56" s="136" t="n"/>
      <c r="AE56" s="64" t="n"/>
      <c r="AF56" s="64" t="n"/>
      <c r="AG56" s="64" t="n"/>
      <c r="AH56" s="136" t="n"/>
      <c r="AI56" s="64" t="n"/>
      <c r="AJ56" s="64" t="n"/>
      <c r="AK56" s="64" t="n"/>
      <c r="AL56" s="136" t="n"/>
      <c r="AM56" s="64" t="n"/>
      <c r="AN56" s="64" t="n"/>
      <c r="AO56" s="64" t="n"/>
      <c r="AP56" s="136" t="n"/>
      <c r="AQ56" s="64" t="n"/>
      <c r="AR56" s="64" t="n"/>
      <c r="AS56" s="64" t="n"/>
      <c r="AT56" s="136" t="n"/>
      <c r="AU56" s="64" t="n"/>
      <c r="AV56" s="64" t="n"/>
      <c r="AW56" s="64" t="n"/>
      <c r="AX56" s="136" t="n"/>
      <c r="AY56" s="308" t="n"/>
      <c r="AZ56" s="64" t="n"/>
      <c r="BA56" s="64" t="n"/>
      <c r="BB56" s="136" t="n"/>
      <c r="BC56" s="64" t="n"/>
      <c r="BD56" s="64" t="n"/>
      <c r="BE56" s="64" t="n"/>
      <c r="BF56" s="136" t="n"/>
      <c r="BG56" s="64" t="n"/>
      <c r="BH56" s="64" t="n"/>
      <c r="BI56" s="136" t="n"/>
      <c r="BJ56" s="136" t="n"/>
      <c r="BK56" s="136" t="n"/>
      <c r="BL56" s="64" t="n"/>
      <c r="BM56" s="64" t="n"/>
      <c r="BN56" s="136" t="n"/>
      <c r="BO56" s="136" t="n"/>
      <c r="BP56" s="64" t="n"/>
      <c r="BQ56" s="64" t="n"/>
      <c r="BR56" s="136" t="n"/>
      <c r="BS56" s="136" t="n"/>
      <c r="BT56" s="64" t="n"/>
      <c r="BU56" s="64" t="n"/>
      <c r="BV56" s="136" t="n"/>
      <c r="BW56" s="308" t="n"/>
      <c r="BX56" s="64" t="n"/>
      <c r="BY56" s="64" t="n"/>
      <c r="BZ56" s="64" t="n"/>
      <c r="CA56" s="64" t="n"/>
      <c r="CB56" s="64" t="n"/>
      <c r="CC56" s="64" t="n"/>
      <c r="CD56" s="64" t="n"/>
      <c r="CE56" s="64" t="n"/>
      <c r="CF56" s="64" t="n"/>
      <c r="CG56" s="64" t="n"/>
      <c r="CH56" s="64" t="n"/>
      <c r="CI56" s="64" t="n"/>
      <c r="CJ56" s="64" t="n"/>
      <c r="CK56" s="64" t="n"/>
      <c r="CL56" s="64" t="n"/>
      <c r="CM56" s="64" t="n"/>
      <c r="CN56" s="64" t="n"/>
      <c r="CO56" s="64" t="n"/>
    </row>
    <row r="57" ht="18" customHeight="1">
      <c r="A57" s="64" t="n"/>
      <c r="B57" s="2632" t="n"/>
      <c r="H57" s="2633" t="n"/>
      <c r="I57" s="64" t="n"/>
      <c r="J57" s="2550" t="inlineStr">
        <is>
          <t>ZvwiKzj Bmjvg</t>
        </is>
      </c>
      <c r="K57" s="2615" t="n"/>
      <c r="L57" s="2616" t="n"/>
      <c r="M57" s="64" t="n"/>
      <c r="N57" s="2571" t="n"/>
      <c r="O57" s="64" t="n"/>
      <c r="P57" s="64" t="n"/>
      <c r="Q57" s="64" t="n"/>
      <c r="R57" s="136" t="n"/>
      <c r="S57" s="64" t="n"/>
      <c r="T57" s="64" t="n"/>
      <c r="U57" s="64" t="n"/>
      <c r="V57" s="136" t="n"/>
      <c r="W57" s="136" t="n"/>
      <c r="X57" s="64" t="n"/>
      <c r="Y57" s="64" t="n"/>
      <c r="Z57" s="136" t="n"/>
      <c r="AA57" s="64" t="n"/>
      <c r="AB57" s="64" t="n"/>
      <c r="AC57" s="64" t="n"/>
      <c r="AD57" s="136" t="n"/>
      <c r="AE57" s="64" t="n"/>
      <c r="AF57" s="64" t="n"/>
      <c r="AG57" s="64" t="n"/>
      <c r="AH57" s="136" t="n"/>
      <c r="AI57" s="64" t="n"/>
      <c r="AJ57" s="64" t="n"/>
      <c r="AK57" s="64" t="n"/>
      <c r="AL57" s="136" t="n"/>
      <c r="AM57" s="64" t="n"/>
      <c r="AN57" s="64" t="n"/>
      <c r="AO57" s="64" t="n"/>
      <c r="AP57" s="136" t="n"/>
      <c r="AQ57" s="64" t="n"/>
      <c r="AR57" s="64" t="n"/>
      <c r="AS57" s="64" t="n"/>
      <c r="AT57" s="136" t="n"/>
      <c r="AU57" s="64" t="n"/>
      <c r="AV57" s="64" t="n"/>
      <c r="AW57" s="64" t="n"/>
      <c r="AX57" s="136" t="n"/>
      <c r="AY57" s="308" t="n"/>
      <c r="AZ57" s="64" t="n"/>
      <c r="BA57" s="64" t="n"/>
      <c r="BB57" s="136" t="n"/>
      <c r="BC57" s="64" t="n"/>
      <c r="BD57" s="64" t="n"/>
      <c r="BE57" s="64" t="n"/>
      <c r="BF57" s="136" t="n"/>
      <c r="BG57" s="64" t="n"/>
      <c r="BH57" s="64" t="n"/>
      <c r="BI57" s="136" t="n"/>
      <c r="BJ57" s="136" t="n"/>
      <c r="BK57" s="136" t="n"/>
      <c r="BL57" s="64" t="n"/>
      <c r="BM57" s="64" t="n"/>
      <c r="BN57" s="136" t="n"/>
      <c r="BO57" s="136" t="n"/>
      <c r="BP57" s="64" t="n"/>
      <c r="BQ57" s="64" t="n"/>
      <c r="BR57" s="136" t="n"/>
      <c r="BS57" s="136" t="n"/>
      <c r="BT57" s="64" t="n"/>
      <c r="BU57" s="64" t="n"/>
      <c r="BV57" s="136" t="n"/>
      <c r="BW57" s="308" t="n"/>
      <c r="BX57" s="64" t="n"/>
      <c r="BY57" s="64" t="n"/>
      <c r="BZ57" s="64" t="n"/>
      <c r="CA57" s="64" t="n"/>
      <c r="CB57" s="64" t="n"/>
      <c r="CC57" s="64" t="n"/>
      <c r="CD57" s="64" t="n"/>
      <c r="CE57" s="64" t="n"/>
      <c r="CF57" s="64" t="n"/>
      <c r="CG57" s="64" t="n"/>
      <c r="CH57" s="64" t="n"/>
      <c r="CI57" s="64" t="n"/>
      <c r="CJ57" s="64" t="n"/>
      <c r="CK57" s="64" t="n"/>
      <c r="CL57" s="64" t="n"/>
      <c r="CM57" s="64" t="n"/>
      <c r="CN57" s="64" t="n"/>
      <c r="CO57" s="64" t="n"/>
    </row>
    <row r="58" ht="18" customHeight="1">
      <c r="A58" s="64" t="n"/>
      <c r="B58" s="2632" t="n"/>
      <c r="H58" s="2633" t="n"/>
      <c r="I58" s="64" t="n"/>
      <c r="J58" s="2553" t="inlineStr">
        <is>
          <t>Kg©KZ©v</t>
        </is>
      </c>
      <c r="K58" s="2615" t="n"/>
      <c r="L58" s="2616" t="n"/>
      <c r="M58" s="64" t="n"/>
      <c r="N58" s="2571" t="n"/>
      <c r="O58" s="64" t="n"/>
      <c r="P58" s="64" t="n"/>
      <c r="Q58" s="64" t="n"/>
      <c r="R58" s="136" t="n"/>
      <c r="S58" s="64" t="n"/>
      <c r="T58" s="64" t="n"/>
      <c r="U58" s="64" t="n"/>
      <c r="V58" s="136" t="n"/>
      <c r="W58" s="136" t="n"/>
      <c r="X58" s="64" t="n"/>
      <c r="Y58" s="64" t="n"/>
      <c r="Z58" s="136" t="n"/>
      <c r="AA58" s="64" t="n"/>
      <c r="AB58" s="64" t="n"/>
      <c r="AC58" s="64" t="n"/>
      <c r="AD58" s="136" t="n"/>
      <c r="AE58" s="64" t="n"/>
      <c r="AF58" s="64" t="n"/>
      <c r="AG58" s="64" t="n"/>
      <c r="AH58" s="136" t="n"/>
      <c r="AI58" s="64" t="n"/>
      <c r="AJ58" s="64" t="n"/>
      <c r="AK58" s="64" t="n"/>
      <c r="AL58" s="136" t="n"/>
      <c r="AM58" s="64" t="n"/>
      <c r="AN58" s="64" t="n"/>
      <c r="AO58" s="64" t="n"/>
      <c r="AP58" s="136" t="n"/>
      <c r="AQ58" s="64" t="n"/>
      <c r="AR58" s="64" t="n"/>
      <c r="AS58" s="64" t="n"/>
      <c r="AT58" s="136" t="n"/>
      <c r="AU58" s="64" t="n"/>
      <c r="AV58" s="64" t="n"/>
      <c r="AW58" s="64" t="n"/>
      <c r="AX58" s="136" t="n"/>
      <c r="AY58" s="308" t="n"/>
      <c r="AZ58" s="64" t="n"/>
      <c r="BA58" s="64" t="n"/>
      <c r="BB58" s="136" t="n"/>
      <c r="BC58" s="64" t="n"/>
      <c r="BD58" s="64" t="n"/>
      <c r="BE58" s="64" t="n"/>
      <c r="BF58" s="136" t="n"/>
      <c r="BG58" s="64" t="n"/>
      <c r="BH58" s="64" t="n"/>
      <c r="BI58" s="136" t="n"/>
      <c r="BJ58" s="136" t="n"/>
      <c r="BK58" s="136" t="n"/>
      <c r="BL58" s="64" t="n"/>
      <c r="BM58" s="64" t="n"/>
      <c r="BN58" s="136" t="n"/>
      <c r="BO58" s="136" t="n"/>
      <c r="BP58" s="64" t="n"/>
      <c r="BQ58" s="64" t="n"/>
      <c r="BR58" s="136" t="n"/>
      <c r="BS58" s="136" t="n"/>
      <c r="BT58" s="64" t="n"/>
      <c r="BU58" s="64" t="n"/>
      <c r="BV58" s="136" t="n"/>
      <c r="BW58" s="308" t="n"/>
      <c r="BX58" s="64" t="n"/>
      <c r="BY58" s="64" t="n"/>
      <c r="BZ58" s="64" t="n"/>
      <c r="CA58" s="64" t="n"/>
      <c r="CB58" s="64" t="n"/>
      <c r="CC58" s="64" t="n"/>
      <c r="CD58" s="64" t="n"/>
      <c r="CE58" s="64" t="n"/>
      <c r="CF58" s="64" t="n"/>
      <c r="CG58" s="64" t="n"/>
      <c r="CH58" s="64" t="n"/>
      <c r="CI58" s="64" t="n"/>
      <c r="CJ58" s="64" t="n"/>
      <c r="CK58" s="64" t="n"/>
      <c r="CL58" s="64" t="n"/>
      <c r="CM58" s="64" t="n"/>
      <c r="CN58" s="64" t="n"/>
      <c r="CO58" s="64" t="n"/>
    </row>
    <row r="59" ht="18" customFormat="1" customHeight="1" s="18">
      <c r="A59" s="103" t="n"/>
      <c r="B59" s="2632" t="n"/>
      <c r="H59" s="2633" t="n"/>
      <c r="I59" s="103" t="n"/>
      <c r="J59" s="2555" t="inlineStr">
        <is>
          <t>01911-555756</t>
        </is>
      </c>
      <c r="K59" s="2615" t="n"/>
      <c r="L59" s="2616" t="n"/>
      <c r="M59" s="103" t="n"/>
      <c r="N59" s="2540" t="n"/>
      <c r="O59" s="103" t="n"/>
      <c r="P59" s="103" t="n"/>
      <c r="Q59" s="103" t="n"/>
      <c r="R59" s="225" t="n"/>
      <c r="S59" s="103" t="n"/>
      <c r="T59" s="103" t="n"/>
      <c r="U59" s="103" t="n"/>
      <c r="V59" s="225" t="n"/>
      <c r="W59" s="225" t="n"/>
      <c r="X59" s="103" t="n"/>
      <c r="Y59" s="103" t="n"/>
      <c r="Z59" s="225" t="n"/>
      <c r="AA59" s="103" t="n"/>
      <c r="AB59" s="103" t="n"/>
      <c r="AC59" s="103" t="n"/>
      <c r="AD59" s="225" t="n"/>
      <c r="AE59" s="103" t="n"/>
      <c r="AF59" s="103" t="n"/>
      <c r="AG59" s="103" t="n"/>
      <c r="AH59" s="225" t="n"/>
      <c r="AI59" s="103" t="n"/>
      <c r="AJ59" s="103" t="n"/>
      <c r="AK59" s="103" t="n"/>
      <c r="AL59" s="225" t="n"/>
      <c r="AM59" s="103" t="n"/>
      <c r="AN59" s="103" t="n"/>
      <c r="AO59" s="103" t="n"/>
      <c r="AP59" s="225" t="n"/>
      <c r="AQ59" s="103" t="n"/>
      <c r="AR59" s="103" t="n"/>
      <c r="AS59" s="103" t="n"/>
      <c r="AT59" s="225" t="n"/>
      <c r="AU59" s="103" t="n"/>
      <c r="AV59" s="103" t="n"/>
      <c r="AW59" s="103" t="n"/>
      <c r="AX59" s="225" t="n"/>
      <c r="AY59" s="555" t="n"/>
      <c r="AZ59" s="103" t="n"/>
      <c r="BA59" s="103" t="n"/>
      <c r="BB59" s="198" t="n"/>
      <c r="BC59" s="76" t="n"/>
      <c r="BD59" s="103" t="n"/>
      <c r="BE59" s="76" t="n"/>
      <c r="BF59" s="225" t="n"/>
      <c r="BG59" s="103" t="n"/>
      <c r="BH59" s="103" t="n"/>
      <c r="BI59" s="225" t="n"/>
      <c r="BJ59" s="225" t="n"/>
      <c r="BK59" s="225" t="n"/>
      <c r="BL59" s="103" t="n"/>
      <c r="BM59" s="103" t="n"/>
      <c r="BN59" s="225" t="n"/>
      <c r="BO59" s="225" t="n"/>
      <c r="BP59" s="103" t="n"/>
      <c r="BQ59" s="103" t="n"/>
      <c r="BR59" s="225" t="n"/>
      <c r="BS59" s="225" t="n"/>
      <c r="BT59" s="103" t="n"/>
      <c r="BU59" s="103" t="n"/>
      <c r="BV59" s="225" t="n"/>
      <c r="BW59" s="555" t="n"/>
      <c r="BX59" s="103" t="n"/>
      <c r="BY59" s="103" t="n"/>
      <c r="BZ59" s="103" t="n"/>
      <c r="CA59" s="103" t="n"/>
      <c r="CB59" s="103" t="n"/>
      <c r="CC59" s="103" t="n"/>
      <c r="CD59" s="103" t="n"/>
      <c r="CE59" s="103" t="n"/>
      <c r="CF59" s="103" t="n"/>
      <c r="CG59" s="103" t="n"/>
      <c r="CH59" s="103" t="n"/>
      <c r="CI59" s="103" t="n"/>
      <c r="CJ59" s="103" t="n"/>
      <c r="CK59" s="103" t="n"/>
      <c r="CL59" s="103" t="n"/>
      <c r="CM59" s="103" t="n"/>
      <c r="CN59" s="103" t="n"/>
      <c r="CO59" s="103" t="n"/>
    </row>
    <row r="60" ht="18" customFormat="1" customHeight="1" s="18">
      <c r="A60" s="103" t="n"/>
      <c r="B60" s="2632" t="n"/>
      <c r="H60" s="2633" t="n"/>
      <c r="I60" s="103" t="n"/>
      <c r="J60" s="2558" t="inlineStr">
        <is>
          <t>http://fb.com/tariq756</t>
        </is>
      </c>
      <c r="K60" s="2639" t="n"/>
      <c r="L60" s="2640" t="n"/>
      <c r="M60" s="103" t="n"/>
      <c r="N60" s="2540" t="n"/>
      <c r="O60" s="103" t="n"/>
      <c r="P60" s="103" t="n"/>
      <c r="Q60" s="103" t="n"/>
      <c r="R60" s="225" t="n"/>
      <c r="S60" s="103" t="n"/>
      <c r="T60" s="103" t="n"/>
      <c r="U60" s="103" t="n"/>
      <c r="V60" s="225" t="n"/>
      <c r="W60" s="225" t="n"/>
      <c r="X60" s="103" t="n"/>
      <c r="Y60" s="103" t="n"/>
      <c r="Z60" s="225" t="n"/>
      <c r="AA60" s="103" t="n"/>
      <c r="AB60" s="103" t="n"/>
      <c r="AC60" s="103" t="n"/>
      <c r="AD60" s="225" t="n"/>
      <c r="AE60" s="103" t="n"/>
      <c r="AF60" s="103" t="n"/>
      <c r="AG60" s="103" t="n"/>
      <c r="AH60" s="225" t="n"/>
      <c r="AI60" s="103" t="n"/>
      <c r="AJ60" s="103" t="n"/>
      <c r="AK60" s="103" t="n"/>
      <c r="AL60" s="225" t="n"/>
      <c r="AM60" s="103" t="n"/>
      <c r="AN60" s="103" t="n"/>
      <c r="AO60" s="103" t="n"/>
      <c r="AP60" s="225" t="n"/>
      <c r="AQ60" s="103" t="n"/>
      <c r="AR60" s="103" t="n"/>
      <c r="AS60" s="103" t="n"/>
      <c r="AT60" s="225" t="n"/>
      <c r="AU60" s="103" t="n"/>
      <c r="AV60" s="103" t="n"/>
      <c r="AW60" s="103" t="n"/>
      <c r="AX60" s="225" t="n"/>
      <c r="AY60" s="555" t="n"/>
      <c r="AZ60" s="103" t="n"/>
      <c r="BA60" s="103" t="n"/>
      <c r="BB60" s="198" t="n"/>
      <c r="BC60" s="76" t="n"/>
      <c r="BD60" s="103" t="n"/>
      <c r="BE60" s="76" t="n"/>
      <c r="BF60" s="225" t="n"/>
      <c r="BG60" s="103" t="n"/>
      <c r="BH60" s="103" t="n"/>
      <c r="BI60" s="225" t="n"/>
      <c r="BJ60" s="225" t="n"/>
      <c r="BK60" s="225" t="n"/>
      <c r="BL60" s="103" t="n"/>
      <c r="BM60" s="103" t="n"/>
      <c r="BN60" s="225" t="n"/>
      <c r="BO60" s="225" t="n"/>
      <c r="BP60" s="103" t="n"/>
      <c r="BQ60" s="103" t="n"/>
      <c r="BR60" s="225" t="n"/>
      <c r="BS60" s="225" t="n"/>
      <c r="BT60" s="103" t="n"/>
      <c r="BU60" s="103" t="n"/>
      <c r="BV60" s="225" t="n"/>
      <c r="BW60" s="555" t="n"/>
      <c r="BX60" s="103" t="n"/>
      <c r="BY60" s="103" t="n"/>
      <c r="BZ60" s="103" t="n"/>
      <c r="CA60" s="103" t="n"/>
      <c r="CB60" s="103" t="n"/>
      <c r="CC60" s="103" t="n"/>
      <c r="CD60" s="103" t="n"/>
      <c r="CE60" s="103" t="n"/>
      <c r="CF60" s="103" t="n"/>
      <c r="CG60" s="103" t="n"/>
      <c r="CH60" s="103" t="n"/>
      <c r="CI60" s="103" t="n"/>
      <c r="CJ60" s="103" t="n"/>
      <c r="CK60" s="103" t="n"/>
      <c r="CL60" s="103" t="n"/>
      <c r="CM60" s="103" t="n"/>
      <c r="CN60" s="103" t="n"/>
      <c r="CO60" s="103" t="n"/>
    </row>
    <row r="61" ht="18" customFormat="1" customHeight="1" s="18">
      <c r="A61" s="103" t="n"/>
      <c r="B61" s="2634" t="n"/>
      <c r="C61" s="2622" t="n"/>
      <c r="D61" s="2622" t="n"/>
      <c r="E61" s="2622" t="n"/>
      <c r="F61" s="2622" t="n"/>
      <c r="G61" s="2622" t="n"/>
      <c r="H61" s="2623" t="n"/>
      <c r="I61" s="103" t="n"/>
      <c r="J61" s="103" t="n"/>
      <c r="K61" s="103" t="n"/>
      <c r="L61" s="103" t="n"/>
      <c r="M61" s="103" t="n"/>
      <c r="N61" s="2540" t="n"/>
      <c r="O61" s="103" t="n"/>
      <c r="P61" s="103" t="n"/>
      <c r="Q61" s="103" t="n"/>
      <c r="R61" s="225" t="n"/>
      <c r="S61" s="103" t="n"/>
      <c r="T61" s="103" t="n"/>
      <c r="U61" s="103" t="n"/>
      <c r="V61" s="225" t="n"/>
      <c r="W61" s="225" t="n"/>
      <c r="X61" s="103" t="n"/>
      <c r="Y61" s="103" t="n"/>
      <c r="Z61" s="225" t="n"/>
      <c r="AA61" s="103" t="n"/>
      <c r="AB61" s="103" t="n"/>
      <c r="AC61" s="103" t="n"/>
      <c r="AD61" s="225" t="n"/>
      <c r="AE61" s="103" t="n"/>
      <c r="AF61" s="103" t="n"/>
      <c r="AG61" s="103" t="n"/>
      <c r="AH61" s="225" t="n"/>
      <c r="AI61" s="103" t="n"/>
      <c r="AJ61" s="103" t="n"/>
      <c r="AK61" s="103" t="n"/>
      <c r="AL61" s="225" t="n"/>
      <c r="AM61" s="103" t="n"/>
      <c r="AN61" s="103" t="n"/>
      <c r="AO61" s="103" t="n"/>
      <c r="AP61" s="225" t="n"/>
      <c r="AQ61" s="103" t="n"/>
      <c r="AR61" s="103" t="n"/>
      <c r="AS61" s="103" t="n"/>
      <c r="AT61" s="225" t="n"/>
      <c r="AU61" s="103" t="n"/>
      <c r="AV61" s="103" t="n"/>
      <c r="AW61" s="103" t="n"/>
      <c r="AX61" s="225" t="n"/>
      <c r="AY61" s="555" t="n"/>
      <c r="AZ61" s="103" t="n"/>
      <c r="BA61" s="103" t="n"/>
      <c r="BB61" s="225" t="n"/>
      <c r="BC61" s="103" t="n"/>
      <c r="BD61" s="103" t="n"/>
      <c r="BE61" s="103" t="n"/>
      <c r="BF61" s="225" t="n"/>
      <c r="BG61" s="103" t="n"/>
      <c r="BH61" s="103" t="n"/>
      <c r="BI61" s="225" t="n"/>
      <c r="BJ61" s="225" t="n"/>
      <c r="BK61" s="225" t="n"/>
      <c r="BL61" s="103" t="n"/>
      <c r="BM61" s="103" t="n"/>
      <c r="BN61" s="225" t="n"/>
      <c r="BO61" s="225" t="n"/>
      <c r="BP61" s="103" t="n"/>
      <c r="BQ61" s="103" t="n"/>
      <c r="BR61" s="225" t="n"/>
      <c r="BS61" s="225" t="n"/>
      <c r="BT61" s="103" t="n"/>
      <c r="BU61" s="103" t="n"/>
      <c r="BV61" s="225" t="n"/>
      <c r="BW61" s="555" t="n"/>
      <c r="BX61" s="103" t="n"/>
      <c r="BY61" s="103" t="n"/>
      <c r="BZ61" s="103" t="n"/>
      <c r="CA61" s="103" t="n"/>
      <c r="CB61" s="103" t="n"/>
      <c r="CC61" s="103" t="n"/>
      <c r="CD61" s="103" t="n"/>
      <c r="CE61" s="103" t="n"/>
      <c r="CF61" s="103" t="n"/>
      <c r="CG61" s="103" t="n"/>
      <c r="CH61" s="103" t="n"/>
      <c r="CI61" s="103" t="n"/>
      <c r="CJ61" s="103" t="n"/>
      <c r="CK61" s="103" t="n"/>
      <c r="CL61" s="103" t="n"/>
      <c r="CM61" s="103" t="n"/>
      <c r="CN61" s="103" t="n"/>
      <c r="CO61" s="103" t="n"/>
    </row>
    <row r="62" ht="18" customHeight="1">
      <c r="A62" s="64" t="n"/>
      <c r="B62" s="64" t="n"/>
      <c r="C62" s="64" t="n"/>
      <c r="D62" s="545" t="n"/>
      <c r="E62" s="64" t="n"/>
      <c r="F62" s="64" t="n"/>
      <c r="G62" s="2570" t="n"/>
      <c r="H62" s="64" t="n"/>
      <c r="I62" s="64" t="n"/>
      <c r="J62" s="64" t="n"/>
      <c r="K62" s="64" t="n"/>
      <c r="L62" s="64" t="n"/>
      <c r="M62" s="64" t="n"/>
      <c r="N62" s="2571" t="n"/>
      <c r="O62" s="64" t="n"/>
      <c r="P62" s="64" t="n"/>
      <c r="Q62" s="64" t="n"/>
      <c r="R62" s="136" t="n"/>
      <c r="S62" s="64" t="n"/>
      <c r="T62" s="64" t="n"/>
      <c r="U62" s="64" t="n"/>
      <c r="V62" s="136" t="n"/>
      <c r="W62" s="136" t="n"/>
      <c r="X62" s="64" t="n"/>
      <c r="Y62" s="64" t="n"/>
      <c r="Z62" s="136" t="n"/>
      <c r="AA62" s="64" t="n"/>
      <c r="AB62" s="64" t="n"/>
      <c r="AC62" s="64" t="n"/>
      <c r="AD62" s="136" t="n"/>
      <c r="AE62" s="64" t="n"/>
      <c r="AF62" s="64" t="n"/>
      <c r="AG62" s="64" t="n"/>
      <c r="AH62" s="136" t="n"/>
      <c r="AI62" s="64" t="n"/>
      <c r="AJ62" s="64" t="n"/>
      <c r="AK62" s="64" t="n"/>
      <c r="AL62" s="136" t="n"/>
      <c r="AM62" s="64" t="n"/>
      <c r="AN62" s="64" t="n"/>
      <c r="AO62" s="64" t="n"/>
      <c r="AP62" s="136" t="n"/>
      <c r="AQ62" s="64" t="n"/>
      <c r="AR62" s="64" t="n"/>
      <c r="AS62" s="64" t="n"/>
      <c r="AT62" s="136" t="n"/>
      <c r="AU62" s="64" t="n"/>
      <c r="AV62" s="64" t="n"/>
      <c r="AW62" s="64" t="n"/>
      <c r="AX62" s="136" t="n"/>
      <c r="AY62" s="308" t="n"/>
      <c r="AZ62" s="64" t="n"/>
      <c r="BA62" s="64" t="n"/>
      <c r="BB62" s="136" t="n"/>
      <c r="BC62" s="64" t="n"/>
      <c r="BD62" s="64" t="n"/>
      <c r="BE62" s="64" t="n"/>
      <c r="BF62" s="136" t="n"/>
      <c r="BG62" s="64" t="n"/>
      <c r="BH62" s="64" t="n"/>
      <c r="BI62" s="136" t="n"/>
      <c r="BJ62" s="136" t="n"/>
      <c r="BK62" s="136" t="n"/>
      <c r="BL62" s="64" t="n"/>
      <c r="BM62" s="64" t="n"/>
      <c r="BN62" s="136" t="n"/>
      <c r="BO62" s="136" t="n"/>
      <c r="BP62" s="64" t="n"/>
      <c r="BQ62" s="64" t="n"/>
      <c r="BR62" s="136" t="n"/>
      <c r="BS62" s="136" t="n"/>
      <c r="BT62" s="64" t="n"/>
      <c r="BU62" s="64" t="n"/>
      <c r="BV62" s="136" t="n"/>
      <c r="BW62" s="308" t="n"/>
      <c r="BX62" s="64" t="n"/>
      <c r="BY62" s="64" t="n"/>
      <c r="BZ62" s="64" t="n"/>
      <c r="CA62" s="64" t="n"/>
      <c r="CB62" s="64" t="n"/>
      <c r="CC62" s="64" t="n"/>
      <c r="CD62" s="64" t="n"/>
      <c r="CE62" s="64" t="n"/>
      <c r="CF62" s="64" t="n"/>
      <c r="CG62" s="64" t="n"/>
      <c r="CH62" s="64" t="n"/>
      <c r="CI62" s="64" t="n"/>
      <c r="CJ62" s="64" t="n"/>
      <c r="CK62" s="64" t="n"/>
      <c r="CL62" s="64" t="n"/>
      <c r="CM62" s="64" t="n"/>
      <c r="CN62" s="64" t="n"/>
      <c r="CO62" s="64" t="n"/>
    </row>
    <row r="63" ht="27" customFormat="1" customHeight="1" s="18">
      <c r="A63" s="103" t="n"/>
      <c r="B63" s="2530" t="inlineStr">
        <is>
          <t>নিচে ব্যবস্থাপকের সুপারিশ লিখুন</t>
        </is>
      </c>
      <c r="C63" s="2629" t="n"/>
      <c r="D63" s="2629" t="n"/>
      <c r="E63" s="2629" t="n"/>
      <c r="F63" s="2629" t="n"/>
      <c r="G63" s="2629" t="n"/>
      <c r="H63" s="2625" t="n"/>
      <c r="I63" s="103" t="n"/>
      <c r="J63" s="103" t="n"/>
      <c r="K63" s="103" t="n"/>
      <c r="L63" s="103" t="n"/>
      <c r="M63" s="103" t="n"/>
      <c r="N63" s="2540" t="n"/>
      <c r="O63" s="103" t="n"/>
      <c r="P63" s="103" t="n"/>
      <c r="Q63" s="103" t="n"/>
      <c r="R63" s="225" t="n"/>
      <c r="S63" s="103" t="n"/>
      <c r="T63" s="103" t="n"/>
      <c r="U63" s="103" t="n"/>
      <c r="V63" s="225" t="n"/>
      <c r="W63" s="225" t="n"/>
      <c r="X63" s="103" t="n"/>
      <c r="Y63" s="103" t="n"/>
      <c r="Z63" s="225" t="n"/>
      <c r="AA63" s="103" t="n"/>
      <c r="AB63" s="103" t="n"/>
      <c r="AC63" s="103" t="n"/>
      <c r="AD63" s="225" t="n"/>
      <c r="AE63" s="103" t="n"/>
      <c r="AF63" s="103" t="n"/>
      <c r="AG63" s="103" t="n"/>
      <c r="AH63" s="225" t="n"/>
      <c r="AI63" s="103" t="n"/>
      <c r="AJ63" s="103" t="n"/>
      <c r="AK63" s="103" t="n"/>
      <c r="AL63" s="225" t="n"/>
      <c r="AM63" s="103" t="n"/>
      <c r="AN63" s="103" t="n"/>
      <c r="AO63" s="103" t="n"/>
      <c r="AP63" s="225" t="n"/>
      <c r="AQ63" s="103" t="n"/>
      <c r="AR63" s="103" t="n"/>
      <c r="AS63" s="103" t="n"/>
      <c r="AT63" s="225" t="n"/>
      <c r="AU63" s="103" t="n"/>
      <c r="AV63" s="103" t="n"/>
      <c r="AW63" s="103" t="n"/>
      <c r="AX63" s="225" t="n"/>
      <c r="AY63" s="555" t="n"/>
      <c r="AZ63" s="103" t="n"/>
      <c r="BA63" s="103" t="n"/>
      <c r="BB63" s="225" t="n"/>
      <c r="BC63" s="103" t="n"/>
      <c r="BD63" s="103" t="n"/>
      <c r="BE63" s="103" t="n"/>
      <c r="BF63" s="225" t="n"/>
      <c r="BG63" s="103" t="n"/>
      <c r="BH63" s="103" t="n"/>
      <c r="BI63" s="225" t="n"/>
      <c r="BJ63" s="225" t="n"/>
      <c r="BK63" s="225" t="n"/>
      <c r="BL63" s="103" t="n"/>
      <c r="BM63" s="103" t="n"/>
      <c r="BN63" s="225" t="n"/>
      <c r="BO63" s="225" t="n"/>
      <c r="BP63" s="103" t="n"/>
      <c r="BQ63" s="103" t="n"/>
      <c r="BR63" s="225" t="n"/>
      <c r="BS63" s="225" t="n"/>
      <c r="BT63" s="103" t="n"/>
      <c r="BU63" s="103" t="n"/>
      <c r="BV63" s="225" t="n"/>
      <c r="BW63" s="555" t="n"/>
      <c r="BX63" s="103" t="n"/>
      <c r="BY63" s="103" t="n"/>
      <c r="BZ63" s="103" t="n"/>
      <c r="CA63" s="103" t="n"/>
      <c r="CB63" s="103" t="n"/>
      <c r="CC63" s="103" t="n"/>
      <c r="CD63" s="103" t="n"/>
      <c r="CE63" s="103" t="n"/>
      <c r="CF63" s="103" t="n"/>
      <c r="CG63" s="103" t="n"/>
      <c r="CH63" s="103" t="n"/>
      <c r="CI63" s="103" t="n"/>
      <c r="CJ63" s="103" t="n"/>
      <c r="CK63" s="103" t="n"/>
      <c r="CL63" s="103" t="n"/>
      <c r="CM63" s="103" t="n"/>
      <c r="CN63" s="103" t="n"/>
      <c r="CO63" s="103" t="n"/>
    </row>
    <row r="64" ht="18" customFormat="1" customHeight="1" s="18">
      <c r="A64" s="103" t="n"/>
      <c r="B64" s="2515" t="inlineStr">
        <is>
          <t>Av‡e`bKvix†K ‡gmvm© mvbd¬vIqvi †UBjvm© GÛ †dweªK&amp;ª bvgK Kvc‡oi  e¨emv cwiPvjbvi Rb¨ wmGgGmGgB Lv‡Z 1 (GK) erm‡ii ‡gqv‡` gs  70.00 (mËi) jÿ UvKv gvÎ bM` cyuwR FY gÄyixi  mycvwik Kiv n‡jv|</t>
        </is>
      </c>
      <c r="C64" s="2630" t="n"/>
      <c r="D64" s="2630" t="n"/>
      <c r="E64" s="2630" t="n"/>
      <c r="F64" s="2630" t="n"/>
      <c r="G64" s="2630" t="n"/>
      <c r="H64" s="2631" t="n"/>
      <c r="I64" s="103" t="n"/>
      <c r="J64" s="103" t="n"/>
      <c r="K64" s="103" t="n"/>
      <c r="L64" s="103" t="n"/>
      <c r="M64" s="103" t="n"/>
      <c r="N64" s="2540" t="n"/>
      <c r="O64" s="103" t="n"/>
      <c r="P64" s="103" t="n"/>
      <c r="Q64" s="103" t="n"/>
      <c r="R64" s="225" t="n"/>
      <c r="S64" s="103" t="n"/>
      <c r="T64" s="103" t="n"/>
      <c r="U64" s="103" t="n"/>
      <c r="V64" s="225" t="n"/>
      <c r="W64" s="225" t="n"/>
      <c r="X64" s="103" t="n"/>
      <c r="Y64" s="103" t="n"/>
      <c r="Z64" s="225" t="n"/>
      <c r="AA64" s="103" t="n"/>
      <c r="AB64" s="103" t="n"/>
      <c r="AC64" s="103" t="n"/>
      <c r="AD64" s="225" t="n"/>
      <c r="AE64" s="103" t="n"/>
      <c r="AF64" s="103" t="n"/>
      <c r="AG64" s="103" t="n"/>
      <c r="AH64" s="225" t="n"/>
      <c r="AI64" s="103" t="n"/>
      <c r="AJ64" s="103" t="n"/>
      <c r="AK64" s="103" t="n"/>
      <c r="AL64" s="225" t="n"/>
      <c r="AM64" s="103" t="n"/>
      <c r="AN64" s="103" t="n"/>
      <c r="AO64" s="103" t="n"/>
      <c r="AP64" s="225" t="n"/>
      <c r="AQ64" s="103" t="n"/>
      <c r="AR64" s="103" t="n"/>
      <c r="AS64" s="103" t="n"/>
      <c r="AT64" s="225" t="n"/>
      <c r="AU64" s="103" t="n"/>
      <c r="AV64" s="103" t="n"/>
      <c r="AW64" s="103" t="n"/>
      <c r="AX64" s="225" t="n"/>
      <c r="AY64" s="555" t="n"/>
      <c r="AZ64" s="103" t="n"/>
      <c r="BA64" s="103" t="n"/>
      <c r="BB64" s="225" t="n"/>
      <c r="BC64" s="103" t="n"/>
      <c r="BD64" s="103" t="n"/>
      <c r="BE64" s="103" t="n"/>
      <c r="BF64" s="225" t="n"/>
      <c r="BG64" s="103" t="n"/>
      <c r="BH64" s="103" t="n"/>
      <c r="BI64" s="225" t="n"/>
      <c r="BJ64" s="225" t="n"/>
      <c r="BK64" s="225" t="n"/>
      <c r="BL64" s="103" t="n"/>
      <c r="BM64" s="103" t="n"/>
      <c r="BN64" s="225" t="n"/>
      <c r="BO64" s="225" t="n"/>
      <c r="BP64" s="103" t="n"/>
      <c r="BQ64" s="103" t="n"/>
      <c r="BR64" s="225" t="n"/>
      <c r="BS64" s="225" t="n"/>
      <c r="BT64" s="103" t="n"/>
      <c r="BU64" s="103" t="n"/>
      <c r="BV64" s="225" t="n"/>
      <c r="BW64" s="555" t="n"/>
      <c r="BX64" s="103" t="n"/>
      <c r="BY64" s="103" t="n"/>
      <c r="BZ64" s="103" t="n"/>
      <c r="CA64" s="103" t="n"/>
      <c r="CB64" s="103" t="n"/>
      <c r="CC64" s="103" t="n"/>
      <c r="CD64" s="103" t="n"/>
      <c r="CE64" s="103" t="n"/>
      <c r="CF64" s="103" t="n"/>
      <c r="CG64" s="103" t="n"/>
      <c r="CH64" s="103" t="n"/>
      <c r="CI64" s="103" t="n"/>
      <c r="CJ64" s="103" t="n"/>
      <c r="CK64" s="103" t="n"/>
      <c r="CL64" s="103" t="n"/>
      <c r="CM64" s="103" t="n"/>
      <c r="CN64" s="103" t="n"/>
      <c r="CO64" s="103" t="n"/>
    </row>
    <row r="65" ht="18" customFormat="1" customHeight="1" s="18">
      <c r="A65" s="103" t="n"/>
      <c r="B65" s="2632" t="n"/>
      <c r="H65" s="2633" t="n"/>
      <c r="I65" s="103" t="n"/>
      <c r="J65" s="103" t="n"/>
      <c r="K65" s="103" t="n"/>
      <c r="L65" s="103" t="n"/>
      <c r="M65" s="103" t="n"/>
      <c r="N65" s="2540" t="n"/>
      <c r="O65" s="103" t="n"/>
      <c r="P65" s="103" t="n"/>
      <c r="Q65" s="103" t="n"/>
      <c r="R65" s="225" t="n"/>
      <c r="S65" s="103" t="n"/>
      <c r="T65" s="103" t="n"/>
      <c r="U65" s="103" t="n"/>
      <c r="V65" s="225" t="n"/>
      <c r="W65" s="225" t="n"/>
      <c r="X65" s="103" t="n"/>
      <c r="Y65" s="103" t="n"/>
      <c r="Z65" s="225" t="n"/>
      <c r="AA65" s="103" t="n"/>
      <c r="AB65" s="103" t="n"/>
      <c r="AC65" s="103" t="n"/>
      <c r="AD65" s="225" t="n"/>
      <c r="AE65" s="103" t="n"/>
      <c r="AF65" s="103" t="n"/>
      <c r="AG65" s="103" t="n"/>
      <c r="AH65" s="225" t="n"/>
      <c r="AI65" s="103" t="n"/>
      <c r="AJ65" s="103" t="n"/>
      <c r="AK65" s="103" t="n"/>
      <c r="AL65" s="225" t="n"/>
      <c r="AM65" s="103" t="n"/>
      <c r="AN65" s="103" t="n"/>
      <c r="AO65" s="103" t="n"/>
      <c r="AP65" s="225" t="n"/>
      <c r="AQ65" s="103" t="n"/>
      <c r="AR65" s="103" t="n"/>
      <c r="AS65" s="103" t="n"/>
      <c r="AT65" s="225" t="n"/>
      <c r="AU65" s="103" t="n"/>
      <c r="AV65" s="103" t="n"/>
      <c r="AW65" s="103" t="n"/>
      <c r="AX65" s="225" t="n"/>
      <c r="AY65" s="555" t="n"/>
      <c r="AZ65" s="103" t="n"/>
      <c r="BA65" s="103" t="n"/>
      <c r="BB65" s="225" t="n"/>
      <c r="BC65" s="103" t="n"/>
      <c r="BD65" s="103" t="n"/>
      <c r="BE65" s="103" t="n"/>
      <c r="BF65" s="225" t="n"/>
      <c r="BG65" s="103" t="n"/>
      <c r="BH65" s="103" t="n"/>
      <c r="BI65" s="225" t="n"/>
      <c r="BJ65" s="225" t="n"/>
      <c r="BK65" s="225" t="n"/>
      <c r="BL65" s="103" t="n"/>
      <c r="BM65" s="103" t="n"/>
      <c r="BN65" s="225" t="n"/>
      <c r="BO65" s="225" t="n"/>
      <c r="BP65" s="103" t="n"/>
      <c r="BQ65" s="103" t="n"/>
      <c r="BR65" s="225" t="n"/>
      <c r="BS65" s="225" t="n"/>
      <c r="BT65" s="103" t="n"/>
      <c r="BU65" s="103" t="n"/>
      <c r="BV65" s="225" t="n"/>
      <c r="BW65" s="555" t="n"/>
      <c r="BX65" s="103" t="n"/>
      <c r="BY65" s="103" t="n"/>
      <c r="BZ65" s="103" t="n"/>
      <c r="CA65" s="103" t="n"/>
      <c r="CB65" s="103" t="n"/>
      <c r="CC65" s="103" t="n"/>
      <c r="CD65" s="103" t="n"/>
      <c r="CE65" s="103" t="n"/>
      <c r="CF65" s="103" t="n"/>
      <c r="CG65" s="103" t="n"/>
      <c r="CH65" s="103" t="n"/>
      <c r="CI65" s="103" t="n"/>
      <c r="CJ65" s="103" t="n"/>
      <c r="CK65" s="103" t="n"/>
      <c r="CL65" s="103" t="n"/>
      <c r="CM65" s="103" t="n"/>
      <c r="CN65" s="103" t="n"/>
      <c r="CO65" s="103" t="n"/>
    </row>
    <row r="66" ht="18" customFormat="1" customHeight="1" s="18">
      <c r="A66" s="103" t="n"/>
      <c r="B66" s="2632" t="n"/>
      <c r="H66" s="2633" t="n"/>
      <c r="I66" s="103" t="n"/>
      <c r="J66" s="103" t="n"/>
      <c r="K66" s="103" t="n"/>
      <c r="L66" s="103" t="n"/>
      <c r="M66" s="103" t="n"/>
      <c r="N66" s="2540" t="n"/>
      <c r="O66" s="103" t="n"/>
      <c r="P66" s="103" t="n"/>
      <c r="Q66" s="103" t="n"/>
      <c r="R66" s="225" t="n"/>
      <c r="S66" s="103" t="n"/>
      <c r="T66" s="103" t="n"/>
      <c r="U66" s="103" t="n"/>
      <c r="V66" s="225" t="n"/>
      <c r="W66" s="225" t="n"/>
      <c r="X66" s="103" t="n"/>
      <c r="Y66" s="103" t="n"/>
      <c r="Z66" s="225" t="n"/>
      <c r="AA66" s="103" t="n"/>
      <c r="AB66" s="103" t="n"/>
      <c r="AC66" s="103" t="n"/>
      <c r="AD66" s="225" t="n"/>
      <c r="AE66" s="103" t="n"/>
      <c r="AF66" s="103" t="n"/>
      <c r="AG66" s="103" t="n"/>
      <c r="AH66" s="225" t="n"/>
      <c r="AI66" s="103" t="n"/>
      <c r="AJ66" s="103" t="n"/>
      <c r="AK66" s="103" t="n"/>
      <c r="AL66" s="225" t="n"/>
      <c r="AM66" s="103" t="n"/>
      <c r="AN66" s="103" t="n"/>
      <c r="AO66" s="103" t="n"/>
      <c r="AP66" s="225" t="n"/>
      <c r="AQ66" s="103" t="n"/>
      <c r="AR66" s="103" t="n"/>
      <c r="AS66" s="103" t="n"/>
      <c r="AT66" s="225" t="n"/>
      <c r="AU66" s="103" t="n"/>
      <c r="AV66" s="103" t="n"/>
      <c r="AW66" s="103" t="n"/>
      <c r="AX66" s="225" t="n"/>
      <c r="AY66" s="555" t="n"/>
      <c r="AZ66" s="103" t="n"/>
      <c r="BA66" s="103" t="n"/>
      <c r="BB66" s="225" t="n"/>
      <c r="BC66" s="103" t="n"/>
      <c r="BD66" s="103" t="n"/>
      <c r="BE66" s="103" t="n"/>
      <c r="BF66" s="225" t="n"/>
      <c r="BG66" s="103" t="n"/>
      <c r="BH66" s="103" t="n"/>
      <c r="BI66" s="225" t="n"/>
      <c r="BJ66" s="225" t="n"/>
      <c r="BK66" s="225" t="n"/>
      <c r="BL66" s="103" t="n"/>
      <c r="BM66" s="103" t="n"/>
      <c r="BN66" s="225" t="n"/>
      <c r="BO66" s="225" t="n"/>
      <c r="BP66" s="103" t="n"/>
      <c r="BQ66" s="103" t="n"/>
      <c r="BR66" s="225" t="n"/>
      <c r="BS66" s="225" t="n"/>
      <c r="BT66" s="103" t="n"/>
      <c r="BU66" s="103" t="n"/>
      <c r="BV66" s="225" t="n"/>
      <c r="BW66" s="555" t="n"/>
      <c r="BX66" s="103" t="n"/>
      <c r="BY66" s="103" t="n"/>
      <c r="BZ66" s="103" t="n"/>
      <c r="CA66" s="103" t="n"/>
      <c r="CB66" s="103" t="n"/>
      <c r="CC66" s="103" t="n"/>
      <c r="CD66" s="103" t="n"/>
      <c r="CE66" s="103" t="n"/>
      <c r="CF66" s="103" t="n"/>
      <c r="CG66" s="103" t="n"/>
      <c r="CH66" s="103" t="n"/>
      <c r="CI66" s="103" t="n"/>
      <c r="CJ66" s="103" t="n"/>
      <c r="CK66" s="103" t="n"/>
      <c r="CL66" s="103" t="n"/>
      <c r="CM66" s="103" t="n"/>
      <c r="CN66" s="103" t="n"/>
      <c r="CO66" s="103" t="n"/>
    </row>
    <row r="67" ht="18" customFormat="1" customHeight="1" s="18">
      <c r="A67" s="103" t="n"/>
      <c r="B67" s="2632" t="n"/>
      <c r="H67" s="2633" t="n"/>
      <c r="I67" s="103" t="n"/>
      <c r="J67" s="103" t="n"/>
      <c r="K67" s="103" t="n"/>
      <c r="L67" s="103" t="n"/>
      <c r="M67" s="103" t="n"/>
      <c r="N67" s="2540" t="n"/>
      <c r="O67" s="103" t="n"/>
      <c r="P67" s="103" t="n"/>
      <c r="Q67" s="103" t="n"/>
      <c r="R67" s="225" t="n"/>
      <c r="S67" s="103" t="n"/>
      <c r="T67" s="103" t="n"/>
      <c r="U67" s="103" t="n"/>
      <c r="V67" s="225" t="n"/>
      <c r="W67" s="225" t="n"/>
      <c r="X67" s="103" t="n"/>
      <c r="Y67" s="103" t="n"/>
      <c r="Z67" s="225" t="n"/>
      <c r="AA67" s="103" t="n"/>
      <c r="AB67" s="103" t="n"/>
      <c r="AC67" s="103" t="n"/>
      <c r="AD67" s="225" t="n"/>
      <c r="AE67" s="103" t="n"/>
      <c r="AF67" s="103" t="n"/>
      <c r="AG67" s="103" t="n"/>
      <c r="AH67" s="225" t="n"/>
      <c r="AI67" s="103" t="n"/>
      <c r="AJ67" s="103" t="n"/>
      <c r="AK67" s="103" t="n"/>
      <c r="AL67" s="225" t="n"/>
      <c r="AM67" s="103" t="n"/>
      <c r="AN67" s="103" t="n"/>
      <c r="AO67" s="103" t="n"/>
      <c r="AP67" s="225" t="n"/>
      <c r="AQ67" s="103" t="n"/>
      <c r="AR67" s="103" t="n"/>
      <c r="AS67" s="103" t="n"/>
      <c r="AT67" s="225" t="n"/>
      <c r="AU67" s="103" t="n"/>
      <c r="AV67" s="103" t="n"/>
      <c r="AW67" s="103" t="n"/>
      <c r="AX67" s="225" t="n"/>
      <c r="AY67" s="555" t="n"/>
      <c r="AZ67" s="103" t="n"/>
      <c r="BA67" s="103" t="n"/>
      <c r="BB67" s="225" t="n"/>
      <c r="BC67" s="103" t="n"/>
      <c r="BD67" s="103" t="n"/>
      <c r="BE67" s="103" t="n"/>
      <c r="BF67" s="225" t="n"/>
      <c r="BG67" s="103" t="n"/>
      <c r="BH67" s="103" t="n"/>
      <c r="BI67" s="225" t="n"/>
      <c r="BJ67" s="225" t="n"/>
      <c r="BK67" s="225" t="n"/>
      <c r="BL67" s="103" t="n"/>
      <c r="BM67" s="103" t="n"/>
      <c r="BN67" s="225" t="n"/>
      <c r="BO67" s="225" t="n"/>
      <c r="BP67" s="103" t="n"/>
      <c r="BQ67" s="103" t="n"/>
      <c r="BR67" s="225" t="n"/>
      <c r="BS67" s="225" t="n"/>
      <c r="BT67" s="103" t="n"/>
      <c r="BU67" s="103" t="n"/>
      <c r="BV67" s="225" t="n"/>
      <c r="BW67" s="555" t="n"/>
      <c r="BX67" s="103" t="n"/>
      <c r="BY67" s="103" t="n"/>
      <c r="BZ67" s="103" t="n"/>
      <c r="CA67" s="103" t="n"/>
      <c r="CB67" s="103" t="n"/>
      <c r="CC67" s="103" t="n"/>
      <c r="CD67" s="103" t="n"/>
      <c r="CE67" s="103" t="n"/>
      <c r="CF67" s="103" t="n"/>
      <c r="CG67" s="103" t="n"/>
      <c r="CH67" s="103" t="n"/>
      <c r="CI67" s="103" t="n"/>
      <c r="CJ67" s="103" t="n"/>
      <c r="CK67" s="103" t="n"/>
      <c r="CL67" s="103" t="n"/>
      <c r="CM67" s="103" t="n"/>
      <c r="CN67" s="103" t="n"/>
      <c r="CO67" s="103" t="n"/>
    </row>
    <row r="68" ht="18" customFormat="1" customHeight="1" s="18">
      <c r="A68" s="103" t="n"/>
      <c r="B68" s="2632" t="n"/>
      <c r="H68" s="2633" t="n"/>
      <c r="I68" s="103" t="n"/>
      <c r="J68" s="103" t="n"/>
      <c r="K68" s="103" t="n"/>
      <c r="L68" s="103" t="n"/>
      <c r="M68" s="103" t="n"/>
      <c r="N68" s="2540" t="n"/>
      <c r="O68" s="103" t="n"/>
      <c r="P68" s="103" t="n"/>
      <c r="Q68" s="103" t="n"/>
      <c r="R68" s="225" t="n"/>
      <c r="S68" s="103" t="n"/>
      <c r="T68" s="103" t="n"/>
      <c r="U68" s="103" t="n"/>
      <c r="V68" s="225" t="n"/>
      <c r="W68" s="225" t="n"/>
      <c r="X68" s="103" t="n"/>
      <c r="Y68" s="103" t="n"/>
      <c r="Z68" s="225" t="n"/>
      <c r="AA68" s="103" t="n"/>
      <c r="AB68" s="103" t="n"/>
      <c r="AC68" s="103" t="n"/>
      <c r="AD68" s="225" t="n"/>
      <c r="AE68" s="103" t="n"/>
      <c r="AF68" s="103" t="n"/>
      <c r="AG68" s="103" t="n"/>
      <c r="AH68" s="225" t="n"/>
      <c r="AI68" s="103" t="n"/>
      <c r="AJ68" s="103" t="n"/>
      <c r="AK68" s="103" t="n"/>
      <c r="AL68" s="225" t="n"/>
      <c r="AM68" s="103" t="n"/>
      <c r="AN68" s="103" t="n"/>
      <c r="AO68" s="103" t="n"/>
      <c r="AP68" s="225" t="n"/>
      <c r="AQ68" s="103" t="n"/>
      <c r="AR68" s="103" t="n"/>
      <c r="AS68" s="103" t="n"/>
      <c r="AT68" s="225" t="n"/>
      <c r="AU68" s="103" t="n"/>
      <c r="AV68" s="103" t="n"/>
      <c r="AW68" s="103" t="n"/>
      <c r="AX68" s="225" t="n"/>
      <c r="AY68" s="555" t="n"/>
      <c r="AZ68" s="103" t="n"/>
      <c r="BA68" s="103" t="n"/>
      <c r="BB68" s="225" t="n"/>
      <c r="BC68" s="103" t="n"/>
      <c r="BD68" s="103" t="n"/>
      <c r="BE68" s="103" t="n"/>
      <c r="BF68" s="225" t="n"/>
      <c r="BG68" s="103" t="n"/>
      <c r="BH68" s="103" t="n"/>
      <c r="BI68" s="225" t="n"/>
      <c r="BJ68" s="225" t="n"/>
      <c r="BK68" s="225" t="n"/>
      <c r="BL68" s="103" t="n"/>
      <c r="BM68" s="103" t="n"/>
      <c r="BN68" s="225" t="n"/>
      <c r="BO68" s="225" t="n"/>
      <c r="BP68" s="103" t="n"/>
      <c r="BQ68" s="103" t="n"/>
      <c r="BR68" s="225" t="n"/>
      <c r="BS68" s="225" t="n"/>
      <c r="BT68" s="103" t="n"/>
      <c r="BU68" s="103" t="n"/>
      <c r="BV68" s="225" t="n"/>
      <c r="BW68" s="555" t="n"/>
      <c r="BX68" s="103" t="n"/>
      <c r="BY68" s="103" t="n"/>
      <c r="BZ68" s="103" t="n"/>
      <c r="CA68" s="103" t="n"/>
      <c r="CB68" s="103" t="n"/>
      <c r="CC68" s="103" t="n"/>
      <c r="CD68" s="103" t="n"/>
      <c r="CE68" s="103" t="n"/>
      <c r="CF68" s="103" t="n"/>
      <c r="CG68" s="103" t="n"/>
      <c r="CH68" s="103" t="n"/>
      <c r="CI68" s="103" t="n"/>
      <c r="CJ68" s="103" t="n"/>
      <c r="CK68" s="103" t="n"/>
      <c r="CL68" s="103" t="n"/>
      <c r="CM68" s="103" t="n"/>
      <c r="CN68" s="103" t="n"/>
      <c r="CO68" s="103" t="n"/>
    </row>
    <row r="69" ht="18" customFormat="1" customHeight="1" s="18">
      <c r="A69" s="103" t="n"/>
      <c r="B69" s="2632" t="n"/>
      <c r="H69" s="2633" t="n"/>
      <c r="I69" s="103" t="n"/>
      <c r="J69" s="76" t="n"/>
      <c r="K69" s="76" t="n"/>
      <c r="L69" s="76" t="n"/>
      <c r="M69" s="76" t="n"/>
      <c r="N69" s="2561" t="n"/>
      <c r="O69" s="103" t="n"/>
      <c r="P69" s="103" t="n"/>
      <c r="Q69" s="103" t="n"/>
      <c r="R69" s="225" t="n"/>
      <c r="S69" s="103" t="n"/>
      <c r="T69" s="103" t="n"/>
      <c r="U69" s="103" t="n"/>
      <c r="V69" s="225" t="n"/>
      <c r="W69" s="225" t="n"/>
      <c r="X69" s="103" t="n"/>
      <c r="Y69" s="103" t="n"/>
      <c r="Z69" s="225" t="n"/>
      <c r="AA69" s="103" t="n"/>
      <c r="AB69" s="103" t="n"/>
      <c r="AC69" s="103" t="n"/>
      <c r="AD69" s="225" t="n"/>
      <c r="AE69" s="103" t="n"/>
      <c r="AF69" s="103" t="n"/>
      <c r="AG69" s="103" t="n"/>
      <c r="AH69" s="225" t="n"/>
      <c r="AI69" s="103" t="n"/>
      <c r="AJ69" s="103" t="n"/>
      <c r="AK69" s="103" t="n"/>
      <c r="AL69" s="225" t="n"/>
      <c r="AM69" s="103" t="n"/>
      <c r="AN69" s="103" t="n"/>
      <c r="AO69" s="103" t="n"/>
      <c r="AP69" s="225" t="n"/>
      <c r="AQ69" s="103" t="n"/>
      <c r="AR69" s="103" t="n"/>
      <c r="AS69" s="103" t="n"/>
      <c r="AT69" s="225" t="n"/>
      <c r="AU69" s="103" t="n"/>
      <c r="AV69" s="103" t="n"/>
      <c r="AW69" s="103" t="n"/>
      <c r="AX69" s="225" t="n"/>
      <c r="AY69" s="555" t="n"/>
      <c r="AZ69" s="103" t="n"/>
      <c r="BA69" s="103" t="n"/>
      <c r="BB69" s="225" t="n"/>
      <c r="BC69" s="103" t="n"/>
      <c r="BD69" s="103" t="n"/>
      <c r="BE69" s="103" t="n"/>
      <c r="BF69" s="225" t="n"/>
      <c r="BG69" s="103" t="n"/>
      <c r="BH69" s="103" t="n"/>
      <c r="BI69" s="225" t="n"/>
      <c r="BJ69" s="225" t="n"/>
      <c r="BK69" s="225" t="n"/>
      <c r="BL69" s="103" t="n"/>
      <c r="BM69" s="103" t="n"/>
      <c r="BN69" s="225" t="n"/>
      <c r="BO69" s="225" t="n"/>
      <c r="BP69" s="103" t="n"/>
      <c r="BQ69" s="103" t="n"/>
      <c r="BR69" s="225" t="n"/>
      <c r="BS69" s="225" t="n"/>
      <c r="BT69" s="103" t="n"/>
      <c r="BU69" s="103" t="n"/>
      <c r="BV69" s="225" t="n"/>
      <c r="BW69" s="555" t="n"/>
      <c r="BX69" s="103" t="n"/>
      <c r="BY69" s="103" t="n"/>
      <c r="BZ69" s="103" t="n"/>
      <c r="CA69" s="103" t="n"/>
      <c r="CB69" s="103" t="n"/>
      <c r="CC69" s="103" t="n"/>
      <c r="CD69" s="103" t="n"/>
      <c r="CE69" s="103" t="n"/>
      <c r="CF69" s="103" t="n"/>
      <c r="CG69" s="103" t="n"/>
      <c r="CH69" s="103" t="n"/>
      <c r="CI69" s="103" t="n"/>
      <c r="CJ69" s="103" t="n"/>
      <c r="CK69" s="103" t="n"/>
      <c r="CL69" s="103" t="n"/>
      <c r="CM69" s="103" t="n"/>
      <c r="CN69" s="103" t="n"/>
      <c r="CO69" s="103" t="n"/>
    </row>
    <row r="70" ht="18" customFormat="1" customHeight="1" s="18">
      <c r="A70" s="103" t="n"/>
      <c r="B70" s="2632" t="n"/>
      <c r="H70" s="2633" t="n"/>
      <c r="I70" s="103" t="n"/>
      <c r="J70" s="76" t="n"/>
      <c r="K70" s="76" t="n"/>
      <c r="L70" s="76" t="n"/>
      <c r="M70" s="76" t="n"/>
      <c r="N70" s="2561" t="n"/>
      <c r="O70" s="103" t="n"/>
      <c r="P70" s="103" t="n"/>
      <c r="Q70" s="103" t="n"/>
      <c r="R70" s="225" t="n"/>
      <c r="S70" s="103" t="n"/>
      <c r="T70" s="103" t="n"/>
      <c r="U70" s="103" t="n"/>
      <c r="V70" s="225" t="n"/>
      <c r="W70" s="225" t="n"/>
      <c r="X70" s="103" t="n"/>
      <c r="Y70" s="103" t="n"/>
      <c r="Z70" s="225" t="n"/>
      <c r="AA70" s="103" t="n"/>
      <c r="AB70" s="103" t="n"/>
      <c r="AC70" s="103" t="n"/>
      <c r="AD70" s="225" t="n"/>
      <c r="AE70" s="103" t="n"/>
      <c r="AF70" s="103" t="n"/>
      <c r="AG70" s="103" t="n"/>
      <c r="AH70" s="225" t="n"/>
      <c r="AI70" s="103" t="n"/>
      <c r="AJ70" s="103" t="n"/>
      <c r="AK70" s="103" t="n"/>
      <c r="AL70" s="225" t="n"/>
      <c r="AM70" s="103" t="n"/>
      <c r="AN70" s="103" t="n"/>
      <c r="AO70" s="103" t="n"/>
      <c r="AP70" s="225" t="n"/>
      <c r="AQ70" s="103" t="n"/>
      <c r="AR70" s="103" t="n"/>
      <c r="AS70" s="103" t="n"/>
      <c r="AT70" s="225" t="n"/>
      <c r="AU70" s="103" t="n"/>
      <c r="AV70" s="103" t="n"/>
      <c r="AW70" s="103" t="n"/>
      <c r="AX70" s="225" t="n"/>
      <c r="AY70" s="555" t="n"/>
      <c r="AZ70" s="103" t="n"/>
      <c r="BA70" s="103" t="n"/>
      <c r="BB70" s="225" t="n"/>
      <c r="BC70" s="103" t="n"/>
      <c r="BD70" s="103" t="n"/>
      <c r="BE70" s="103" t="n"/>
      <c r="BF70" s="225" t="n"/>
      <c r="BG70" s="103" t="n"/>
      <c r="BH70" s="103" t="n"/>
      <c r="BI70" s="225" t="n"/>
      <c r="BJ70" s="225" t="n"/>
      <c r="BK70" s="225" t="n"/>
      <c r="BL70" s="103" t="n"/>
      <c r="BM70" s="103" t="n"/>
      <c r="BN70" s="225" t="n"/>
      <c r="BO70" s="225" t="n"/>
      <c r="BP70" s="103" t="n"/>
      <c r="BQ70" s="103" t="n"/>
      <c r="BR70" s="225" t="n"/>
      <c r="BS70" s="225" t="n"/>
      <c r="BT70" s="103" t="n"/>
      <c r="BU70" s="103" t="n"/>
      <c r="BV70" s="225" t="n"/>
      <c r="BW70" s="555" t="n"/>
      <c r="BX70" s="103" t="n"/>
      <c r="BY70" s="103" t="n"/>
      <c r="BZ70" s="103" t="n"/>
      <c r="CA70" s="103" t="n"/>
      <c r="CB70" s="103" t="n"/>
      <c r="CC70" s="103" t="n"/>
      <c r="CD70" s="103" t="n"/>
      <c r="CE70" s="103" t="n"/>
      <c r="CF70" s="103" t="n"/>
      <c r="CG70" s="103" t="n"/>
      <c r="CH70" s="103" t="n"/>
      <c r="CI70" s="103" t="n"/>
      <c r="CJ70" s="103" t="n"/>
      <c r="CK70" s="103" t="n"/>
      <c r="CL70" s="103" t="n"/>
      <c r="CM70" s="103" t="n"/>
      <c r="CN70" s="103" t="n"/>
      <c r="CO70" s="103" t="n"/>
    </row>
    <row r="71" ht="18" customFormat="1" customHeight="1" s="18">
      <c r="A71" s="103" t="n"/>
      <c r="B71" s="2632" t="n"/>
      <c r="H71" s="2633" t="n"/>
      <c r="I71" s="103" t="n"/>
      <c r="J71" s="76" t="n"/>
      <c r="K71" s="76" t="n"/>
      <c r="L71" s="76" t="n"/>
      <c r="M71" s="76" t="n"/>
      <c r="N71" s="2561" t="n"/>
      <c r="O71" s="103" t="n"/>
      <c r="P71" s="103" t="n"/>
      <c r="Q71" s="103" t="n"/>
      <c r="R71" s="225" t="n"/>
      <c r="S71" s="103" t="n"/>
      <c r="T71" s="103" t="n"/>
      <c r="U71" s="103" t="n"/>
      <c r="V71" s="225" t="n"/>
      <c r="W71" s="225" t="n"/>
      <c r="X71" s="103" t="n"/>
      <c r="Y71" s="103" t="n"/>
      <c r="Z71" s="225" t="n"/>
      <c r="AA71" s="103" t="n"/>
      <c r="AB71" s="103" t="n"/>
      <c r="AC71" s="103" t="n"/>
      <c r="AD71" s="225" t="n"/>
      <c r="AE71" s="103" t="n"/>
      <c r="AF71" s="103" t="n"/>
      <c r="AG71" s="103" t="n"/>
      <c r="AH71" s="225" t="n"/>
      <c r="AI71" s="103" t="n"/>
      <c r="AJ71" s="103" t="n"/>
      <c r="AK71" s="103" t="n"/>
      <c r="AL71" s="225" t="n"/>
      <c r="AM71" s="103" t="n"/>
      <c r="AN71" s="103" t="n"/>
      <c r="AO71" s="103" t="n"/>
      <c r="AP71" s="225" t="n"/>
      <c r="AQ71" s="103" t="n"/>
      <c r="AR71" s="103" t="n"/>
      <c r="AS71" s="103" t="n"/>
      <c r="AT71" s="225" t="n"/>
      <c r="AU71" s="103" t="n"/>
      <c r="AV71" s="103" t="n"/>
      <c r="AW71" s="103" t="n"/>
      <c r="AX71" s="225" t="n"/>
      <c r="AY71" s="555" t="n"/>
      <c r="AZ71" s="103" t="n"/>
      <c r="BA71" s="103" t="n"/>
      <c r="BB71" s="225" t="n"/>
      <c r="BC71" s="103" t="n"/>
      <c r="BD71" s="103" t="n"/>
      <c r="BE71" s="103" t="n"/>
      <c r="BF71" s="225" t="n"/>
      <c r="BG71" s="103" t="n"/>
      <c r="BH71" s="103" t="n"/>
      <c r="BI71" s="225" t="n"/>
      <c r="BJ71" s="225" t="n"/>
      <c r="BK71" s="225" t="n"/>
      <c r="BL71" s="103" t="n"/>
      <c r="BM71" s="103" t="n"/>
      <c r="BN71" s="225" t="n"/>
      <c r="BO71" s="225" t="n"/>
      <c r="BP71" s="103" t="n"/>
      <c r="BQ71" s="103" t="n"/>
      <c r="BR71" s="225" t="n"/>
      <c r="BS71" s="225" t="n"/>
      <c r="BT71" s="103" t="n"/>
      <c r="BU71" s="103" t="n"/>
      <c r="BV71" s="225" t="n"/>
      <c r="BW71" s="555" t="n"/>
      <c r="BX71" s="103" t="n"/>
      <c r="BY71" s="103" t="n"/>
      <c r="BZ71" s="103" t="n"/>
      <c r="CA71" s="103" t="n"/>
      <c r="CB71" s="103" t="n"/>
      <c r="CC71" s="103" t="n"/>
      <c r="CD71" s="103" t="n"/>
      <c r="CE71" s="103" t="n"/>
      <c r="CF71" s="103" t="n"/>
      <c r="CG71" s="103" t="n"/>
      <c r="CH71" s="103" t="n"/>
      <c r="CI71" s="103" t="n"/>
      <c r="CJ71" s="103" t="n"/>
      <c r="CK71" s="103" t="n"/>
      <c r="CL71" s="103" t="n"/>
      <c r="CM71" s="103" t="n"/>
      <c r="CN71" s="103" t="n"/>
      <c r="CO71" s="103" t="n"/>
    </row>
    <row r="72" ht="18" customFormat="1" customHeight="1" s="18">
      <c r="A72" s="103" t="n"/>
      <c r="B72" s="2634" t="n"/>
      <c r="C72" s="2622" t="n"/>
      <c r="D72" s="2622" t="n"/>
      <c r="E72" s="2622" t="n"/>
      <c r="F72" s="2622" t="n"/>
      <c r="G72" s="2622" t="n"/>
      <c r="H72" s="2623" t="n"/>
      <c r="I72" s="103" t="n"/>
      <c r="J72" s="76" t="n"/>
      <c r="K72" s="76" t="n"/>
      <c r="L72" s="76" t="n"/>
      <c r="M72" s="76" t="n"/>
      <c r="N72" s="2561" t="n"/>
      <c r="O72" s="103" t="n"/>
      <c r="P72" s="103" t="n"/>
      <c r="Q72" s="103" t="n"/>
      <c r="R72" s="225" t="n"/>
      <c r="S72" s="103" t="n"/>
      <c r="T72" s="103" t="n"/>
      <c r="U72" s="103" t="n"/>
      <c r="V72" s="225" t="n"/>
      <c r="W72" s="225" t="n"/>
      <c r="X72" s="103" t="n"/>
      <c r="Y72" s="103" t="n"/>
      <c r="Z72" s="225" t="n"/>
      <c r="AA72" s="103" t="n"/>
      <c r="AB72" s="103" t="n"/>
      <c r="AC72" s="103" t="n"/>
      <c r="AD72" s="225" t="n"/>
      <c r="AE72" s="103" t="n"/>
      <c r="AF72" s="103" t="n"/>
      <c r="AG72" s="103" t="n"/>
      <c r="AH72" s="225" t="n"/>
      <c r="AI72" s="103" t="n"/>
      <c r="AJ72" s="103" t="n"/>
      <c r="AK72" s="103" t="n"/>
      <c r="AL72" s="225" t="n"/>
      <c r="AM72" s="103" t="n"/>
      <c r="AN72" s="103" t="n"/>
      <c r="AO72" s="103" t="n"/>
      <c r="AP72" s="225" t="n"/>
      <c r="AQ72" s="103" t="n"/>
      <c r="AR72" s="103" t="n"/>
      <c r="AS72" s="103" t="n"/>
      <c r="AT72" s="225" t="n"/>
      <c r="AU72" s="103" t="n"/>
      <c r="AV72" s="103" t="n"/>
      <c r="AW72" s="103" t="n"/>
      <c r="AX72" s="225" t="n"/>
      <c r="AY72" s="555" t="n"/>
      <c r="AZ72" s="103" t="n"/>
      <c r="BA72" s="103" t="n"/>
      <c r="BB72" s="225" t="n"/>
      <c r="BC72" s="103" t="n"/>
      <c r="BD72" s="103" t="n"/>
      <c r="BE72" s="103" t="n"/>
      <c r="BF72" s="225" t="n"/>
      <c r="BG72" s="103" t="n"/>
      <c r="BH72" s="103" t="n"/>
      <c r="BI72" s="225" t="n"/>
      <c r="BJ72" s="225" t="n"/>
      <c r="BK72" s="225" t="n"/>
      <c r="BL72" s="103" t="n"/>
      <c r="BM72" s="103" t="n"/>
      <c r="BN72" s="225" t="n"/>
      <c r="BO72" s="225" t="n"/>
      <c r="BP72" s="103" t="n"/>
      <c r="BQ72" s="103" t="n"/>
      <c r="BR72" s="225" t="n"/>
      <c r="BS72" s="225" t="n"/>
      <c r="BT72" s="103" t="n"/>
      <c r="BU72" s="103" t="n"/>
      <c r="BV72" s="225" t="n"/>
      <c r="BW72" s="555" t="n"/>
      <c r="BX72" s="103" t="n"/>
      <c r="BY72" s="103" t="n"/>
      <c r="BZ72" s="103" t="n"/>
      <c r="CA72" s="103" t="n"/>
      <c r="CB72" s="103" t="n"/>
      <c r="CC72" s="103" t="n"/>
      <c r="CD72" s="103" t="n"/>
      <c r="CE72" s="103" t="n"/>
      <c r="CF72" s="103" t="n"/>
      <c r="CG72" s="103" t="n"/>
      <c r="CH72" s="103" t="n"/>
      <c r="CI72" s="103" t="n"/>
      <c r="CJ72" s="103" t="n"/>
      <c r="CK72" s="103" t="n"/>
      <c r="CL72" s="103" t="n"/>
      <c r="CM72" s="103" t="n"/>
      <c r="CN72" s="103" t="n"/>
      <c r="CO72" s="103" t="n"/>
    </row>
    <row r="73" ht="18" customHeight="1">
      <c r="A73" s="64" t="n"/>
      <c r="B73" s="604" t="n"/>
      <c r="C73" s="604" t="n"/>
      <c r="D73" s="2562" t="n"/>
      <c r="E73" s="784" t="n"/>
      <c r="F73" s="604" t="n"/>
      <c r="G73" s="2563" t="n"/>
      <c r="H73" s="604" t="n"/>
      <c r="I73" s="64" t="n"/>
      <c r="J73" s="600" t="n"/>
      <c r="K73" s="600" t="n"/>
      <c r="L73" s="600" t="n"/>
      <c r="M73" s="600" t="n"/>
      <c r="N73" s="2564" t="n"/>
      <c r="O73" s="64" t="n"/>
      <c r="P73" s="64" t="n"/>
      <c r="Q73" s="64" t="n"/>
      <c r="R73" s="136" t="n"/>
      <c r="S73" s="64" t="n"/>
      <c r="T73" s="64" t="n"/>
      <c r="U73" s="64" t="n"/>
      <c r="V73" s="136" t="n"/>
      <c r="W73" s="136" t="n"/>
      <c r="X73" s="64" t="n"/>
      <c r="Y73" s="64" t="n"/>
      <c r="Z73" s="136" t="n"/>
      <c r="AA73" s="64" t="n"/>
      <c r="AB73" s="64" t="n"/>
      <c r="AC73" s="64" t="n"/>
      <c r="AD73" s="136" t="n"/>
      <c r="AE73" s="64" t="n"/>
      <c r="AF73" s="64" t="n"/>
      <c r="AG73" s="64" t="n"/>
      <c r="AH73" s="136" t="n"/>
      <c r="AI73" s="64" t="n"/>
      <c r="AJ73" s="64" t="n"/>
      <c r="AK73" s="64" t="n"/>
      <c r="AL73" s="136" t="n"/>
      <c r="AM73" s="64" t="n"/>
      <c r="AN73" s="64" t="n"/>
      <c r="AO73" s="64" t="n"/>
      <c r="AP73" s="136" t="n"/>
      <c r="AQ73" s="64" t="n"/>
      <c r="AR73" s="64" t="n"/>
      <c r="AS73" s="64" t="n"/>
      <c r="AT73" s="136" t="n"/>
      <c r="AU73" s="64" t="n"/>
      <c r="AV73" s="64" t="n"/>
      <c r="AW73" s="64" t="n"/>
      <c r="AX73" s="136" t="n"/>
      <c r="AY73" s="308" t="n"/>
      <c r="AZ73" s="64" t="n"/>
      <c r="BA73" s="64" t="n"/>
      <c r="BB73" s="136" t="n"/>
      <c r="BC73" s="64" t="n"/>
      <c r="BD73" s="64" t="n"/>
      <c r="BE73" s="64" t="n"/>
      <c r="BF73" s="136" t="n"/>
      <c r="BG73" s="64" t="n"/>
      <c r="BH73" s="64" t="n"/>
      <c r="BI73" s="136" t="n"/>
      <c r="BJ73" s="136" t="n"/>
      <c r="BK73" s="136" t="n"/>
      <c r="BL73" s="64" t="n"/>
      <c r="BM73" s="64" t="n"/>
      <c r="BN73" s="136" t="n"/>
      <c r="BO73" s="136" t="n"/>
      <c r="BP73" s="64" t="n"/>
      <c r="BQ73" s="64" t="n"/>
      <c r="BR73" s="136" t="n"/>
      <c r="BS73" s="136" t="n"/>
      <c r="BT73" s="64" t="n"/>
      <c r="BU73" s="64" t="n"/>
      <c r="BV73" s="136" t="n"/>
      <c r="BW73" s="308" t="n"/>
      <c r="BX73" s="64" t="n"/>
      <c r="BY73" s="64" t="n"/>
      <c r="BZ73" s="64" t="n"/>
      <c r="CA73" s="64" t="n"/>
      <c r="CB73" s="64" t="n"/>
      <c r="CC73" s="64" t="n"/>
      <c r="CD73" s="64" t="n"/>
      <c r="CE73" s="64" t="n"/>
      <c r="CF73" s="64" t="n"/>
      <c r="CG73" s="64" t="n"/>
      <c r="CH73" s="64" t="n"/>
      <c r="CI73" s="64" t="n"/>
      <c r="CJ73" s="64" t="n"/>
      <c r="CK73" s="64" t="n"/>
      <c r="CL73" s="64" t="n"/>
      <c r="CM73" s="64" t="n"/>
      <c r="CN73" s="64" t="n"/>
      <c r="CO73" s="64" t="n"/>
    </row>
    <row r="74" ht="39" customHeight="1">
      <c r="A74" s="64" t="n"/>
      <c r="B74" s="2354" t="inlineStr">
        <is>
          <t>kvLvi bvg</t>
        </is>
      </c>
      <c r="C74" s="2355" t="inlineStr">
        <is>
          <t>t</t>
        </is>
      </c>
      <c r="D74" s="2565" t="inlineStr">
        <is>
          <t>Fatullah Branch Narayanganj</t>
        </is>
      </c>
      <c r="E74" s="784" t="n"/>
      <c r="F74" s="604" t="n"/>
      <c r="G74" s="2563" t="n"/>
      <c r="H74" s="604" t="n"/>
      <c r="I74" s="64" t="n"/>
      <c r="J74" s="600" t="n"/>
      <c r="K74" s="600" t="n"/>
      <c r="L74" s="600" t="n"/>
      <c r="M74" s="600" t="n"/>
      <c r="N74" s="2564" t="n"/>
      <c r="O74" s="64" t="n"/>
      <c r="P74" s="64" t="n"/>
      <c r="Q74" s="64" t="n"/>
      <c r="R74" s="136" t="n"/>
      <c r="S74" s="64" t="n"/>
      <c r="T74" s="64" t="n"/>
      <c r="U74" s="64" t="n"/>
      <c r="V74" s="136" t="n"/>
      <c r="W74" s="136" t="n"/>
      <c r="X74" s="64" t="n"/>
      <c r="Y74" s="64" t="n"/>
      <c r="Z74" s="136" t="n"/>
      <c r="AA74" s="64" t="n"/>
      <c r="AB74" s="64" t="n"/>
      <c r="AC74" s="64" t="n"/>
      <c r="AD74" s="136" t="n"/>
      <c r="AE74" s="64" t="n"/>
      <c r="AF74" s="64" t="n"/>
      <c r="AG74" s="64" t="n"/>
      <c r="AH74" s="136" t="n"/>
      <c r="AI74" s="64" t="n"/>
      <c r="AJ74" s="64" t="n"/>
      <c r="AK74" s="64" t="n"/>
      <c r="AL74" s="136" t="n"/>
      <c r="AM74" s="64" t="n"/>
      <c r="AN74" s="64" t="n"/>
      <c r="AO74" s="64" t="n"/>
      <c r="AP74" s="136" t="n"/>
      <c r="AQ74" s="64" t="n"/>
      <c r="AR74" s="64" t="n"/>
      <c r="AS74" s="64" t="n"/>
      <c r="AT74" s="136" t="n"/>
      <c r="AU74" s="64" t="n"/>
      <c r="AV74" s="64" t="n"/>
      <c r="AW74" s="64" t="n"/>
      <c r="AX74" s="136" t="n"/>
      <c r="AY74" s="308" t="n"/>
      <c r="AZ74" s="64" t="n"/>
      <c r="BA74" s="64" t="n"/>
      <c r="BB74" s="136" t="n"/>
      <c r="BC74" s="64" t="n"/>
      <c r="BD74" s="64" t="n"/>
      <c r="BE74" s="64" t="n"/>
      <c r="BF74" s="136" t="n"/>
      <c r="BG74" s="64" t="n"/>
      <c r="BH74" s="64" t="n"/>
      <c r="BI74" s="136" t="n"/>
      <c r="BJ74" s="136" t="n"/>
      <c r="BK74" s="136" t="n"/>
      <c r="BL74" s="64" t="n"/>
      <c r="BM74" s="64" t="n"/>
      <c r="BN74" s="136" t="n"/>
      <c r="BO74" s="136" t="n"/>
      <c r="BP74" s="64" t="n"/>
      <c r="BQ74" s="64" t="n"/>
      <c r="BR74" s="136" t="n"/>
      <c r="BS74" s="136" t="n"/>
      <c r="BT74" s="64" t="n"/>
      <c r="BU74" s="64" t="n"/>
      <c r="BV74" s="136" t="n"/>
      <c r="BW74" s="308" t="n"/>
      <c r="BX74" s="64" t="n"/>
      <c r="BY74" s="64" t="n"/>
      <c r="BZ74" s="64" t="n"/>
      <c r="CA74" s="64" t="n"/>
      <c r="CB74" s="64" t="n"/>
      <c r="CC74" s="64" t="n"/>
      <c r="CD74" s="64" t="n"/>
      <c r="CE74" s="64" t="n"/>
      <c r="CF74" s="64" t="n"/>
      <c r="CG74" s="64" t="n"/>
      <c r="CH74" s="64" t="n"/>
      <c r="CI74" s="64" t="n"/>
      <c r="CJ74" s="64" t="n"/>
      <c r="CK74" s="64" t="n"/>
      <c r="CL74" s="64" t="n"/>
      <c r="CM74" s="64" t="n"/>
      <c r="CN74" s="64" t="n"/>
      <c r="CO74" s="64" t="n"/>
    </row>
    <row r="75" ht="18" customHeight="1">
      <c r="A75" s="64" t="n"/>
      <c r="B75" s="2398" t="inlineStr">
        <is>
          <t>kvLvi †dvb bs</t>
        </is>
      </c>
      <c r="C75" s="2399" t="inlineStr">
        <is>
          <t>t</t>
        </is>
      </c>
      <c r="D75" s="2566" t="n"/>
      <c r="E75" s="784" t="n"/>
      <c r="F75" s="604" t="n"/>
      <c r="G75" s="2563" t="n"/>
      <c r="H75" s="604" t="n"/>
      <c r="I75" s="64" t="n"/>
      <c r="J75" s="600" t="n"/>
      <c r="K75" s="600" t="n"/>
      <c r="L75" s="600" t="n"/>
      <c r="M75" s="600" t="n"/>
      <c r="N75" s="2564" t="n"/>
      <c r="O75" s="64" t="n"/>
      <c r="P75" s="64" t="n"/>
      <c r="Q75" s="64" t="n"/>
      <c r="R75" s="136" t="n"/>
      <c r="S75" s="64" t="n"/>
      <c r="T75" s="64" t="n"/>
      <c r="U75" s="64" t="n"/>
      <c r="V75" s="136" t="n"/>
      <c r="W75" s="136" t="n"/>
      <c r="X75" s="64" t="n"/>
      <c r="Y75" s="64" t="n"/>
      <c r="Z75" s="136" t="n"/>
      <c r="AA75" s="64" t="n"/>
      <c r="AB75" s="64" t="n"/>
      <c r="AC75" s="64" t="n"/>
      <c r="AD75" s="136" t="n"/>
      <c r="AE75" s="64" t="n"/>
      <c r="AF75" s="64" t="n"/>
      <c r="AG75" s="64" t="n"/>
      <c r="AH75" s="136" t="n"/>
      <c r="AI75" s="64" t="n"/>
      <c r="AJ75" s="64" t="n"/>
      <c r="AK75" s="64" t="n"/>
      <c r="AL75" s="136" t="n"/>
      <c r="AM75" s="64" t="n"/>
      <c r="AN75" s="64" t="n"/>
      <c r="AO75" s="64" t="n"/>
      <c r="AP75" s="136" t="n"/>
      <c r="AQ75" s="64" t="n"/>
      <c r="AR75" s="64" t="n"/>
      <c r="AS75" s="64" t="n"/>
      <c r="AT75" s="136" t="n"/>
      <c r="AU75" s="64" t="n"/>
      <c r="AV75" s="64" t="n"/>
      <c r="AW75" s="64" t="n"/>
      <c r="AX75" s="136" t="n"/>
      <c r="AY75" s="308" t="n"/>
      <c r="AZ75" s="64" t="n"/>
      <c r="BA75" s="64" t="n"/>
      <c r="BB75" s="136" t="n"/>
      <c r="BC75" s="64" t="n"/>
      <c r="BD75" s="64" t="n"/>
      <c r="BE75" s="64" t="n"/>
      <c r="BF75" s="136" t="n"/>
      <c r="BG75" s="64" t="n"/>
      <c r="BH75" s="64" t="n"/>
      <c r="BI75" s="136" t="n"/>
      <c r="BJ75" s="136" t="n"/>
      <c r="BK75" s="136" t="n"/>
      <c r="BL75" s="64" t="n"/>
      <c r="BM75" s="64" t="n"/>
      <c r="BN75" s="136" t="n"/>
      <c r="BO75" s="136" t="n"/>
      <c r="BP75" s="64" t="n"/>
      <c r="BQ75" s="64" t="n"/>
      <c r="BR75" s="136" t="n"/>
      <c r="BS75" s="136" t="n"/>
      <c r="BT75" s="64" t="n"/>
      <c r="BU75" s="64" t="n"/>
      <c r="BV75" s="136" t="n"/>
      <c r="BW75" s="308" t="n"/>
      <c r="BX75" s="64" t="n"/>
      <c r="BY75" s="64" t="n"/>
      <c r="BZ75" s="64" t="n"/>
      <c r="CA75" s="64" t="n"/>
      <c r="CB75" s="64" t="n"/>
      <c r="CC75" s="64" t="n"/>
      <c r="CD75" s="64" t="n"/>
      <c r="CE75" s="64" t="n"/>
      <c r="CF75" s="64" t="n"/>
      <c r="CG75" s="64" t="n"/>
      <c r="CH75" s="64" t="n"/>
      <c r="CI75" s="64" t="n"/>
      <c r="CJ75" s="64" t="n"/>
      <c r="CK75" s="64" t="n"/>
      <c r="CL75" s="64" t="n"/>
      <c r="CM75" s="64" t="n"/>
      <c r="CN75" s="64" t="n"/>
      <c r="CO75" s="64" t="n"/>
    </row>
    <row r="76" ht="18" customHeight="1">
      <c r="A76" s="64" t="n"/>
      <c r="B76" s="2398" t="inlineStr">
        <is>
          <t>kvLvi B‡gBj</t>
        </is>
      </c>
      <c r="C76" s="2431" t="inlineStr">
        <is>
          <t>t</t>
        </is>
      </c>
      <c r="D76" s="2432" t="inlineStr">
        <is>
          <t>mgrsiddhirgonj@krishibank.org.bd</t>
        </is>
      </c>
      <c r="E76" s="784" t="n"/>
      <c r="F76" s="604" t="n"/>
      <c r="G76" s="2563" t="n"/>
      <c r="H76" s="604" t="n"/>
      <c r="I76" s="64" t="n"/>
      <c r="J76" s="600" t="n"/>
      <c r="K76" s="600" t="n"/>
      <c r="L76" s="600" t="n"/>
      <c r="M76" s="600" t="n"/>
      <c r="N76" s="2564" t="n"/>
      <c r="O76" s="64" t="n"/>
      <c r="P76" s="64" t="n"/>
      <c r="Q76" s="64" t="n"/>
      <c r="R76" s="136" t="n"/>
      <c r="S76" s="64" t="n"/>
      <c r="T76" s="64" t="n"/>
      <c r="U76" s="64" t="n"/>
      <c r="V76" s="136" t="n"/>
      <c r="W76" s="136" t="n"/>
      <c r="X76" s="64" t="n"/>
      <c r="Y76" s="64" t="n"/>
      <c r="Z76" s="136" t="n"/>
      <c r="AA76" s="64" t="n"/>
      <c r="AB76" s="64" t="n"/>
      <c r="AC76" s="64" t="n"/>
      <c r="AD76" s="136" t="n"/>
      <c r="AE76" s="64" t="n"/>
      <c r="AF76" s="64" t="n"/>
      <c r="AG76" s="64" t="n"/>
      <c r="AH76" s="136" t="n"/>
      <c r="AI76" s="64" t="n"/>
      <c r="AJ76" s="64" t="n"/>
      <c r="AK76" s="64" t="n"/>
      <c r="AL76" s="136" t="n"/>
      <c r="AM76" s="64" t="n"/>
      <c r="AN76" s="64" t="n"/>
      <c r="AO76" s="64" t="n"/>
      <c r="AP76" s="136" t="n"/>
      <c r="AQ76" s="64" t="n"/>
      <c r="AR76" s="64" t="n"/>
      <c r="AS76" s="64" t="n"/>
      <c r="AT76" s="136" t="n"/>
      <c r="AU76" s="64" t="n"/>
      <c r="AV76" s="64" t="n"/>
      <c r="AW76" s="64" t="n"/>
      <c r="AX76" s="136" t="n"/>
      <c r="AY76" s="308" t="n"/>
      <c r="AZ76" s="64" t="n"/>
      <c r="BA76" s="64" t="n"/>
      <c r="BB76" s="136" t="n"/>
      <c r="BC76" s="64" t="n"/>
      <c r="BD76" s="64" t="n"/>
      <c r="BE76" s="64" t="n"/>
      <c r="BF76" s="136" t="n"/>
      <c r="BG76" s="64" t="n"/>
      <c r="BH76" s="64" t="n"/>
      <c r="BI76" s="136" t="n"/>
      <c r="BJ76" s="136" t="n"/>
      <c r="BK76" s="136" t="n"/>
      <c r="BL76" s="64" t="n"/>
      <c r="BM76" s="64" t="n"/>
      <c r="BN76" s="136" t="n"/>
      <c r="BO76" s="136" t="n"/>
      <c r="BP76" s="64" t="n"/>
      <c r="BQ76" s="64" t="n"/>
      <c r="BR76" s="136" t="n"/>
      <c r="BS76" s="136" t="n"/>
      <c r="BT76" s="64" t="n"/>
      <c r="BU76" s="64" t="n"/>
      <c r="BV76" s="136" t="n"/>
      <c r="BW76" s="308" t="n"/>
      <c r="BX76" s="64" t="n"/>
      <c r="BY76" s="64" t="n"/>
      <c r="BZ76" s="64" t="n"/>
      <c r="CA76" s="64" t="n"/>
      <c r="CB76" s="64" t="n"/>
      <c r="CC76" s="64" t="n"/>
      <c r="CD76" s="64" t="n"/>
      <c r="CE76" s="64" t="n"/>
      <c r="CF76" s="64" t="n"/>
      <c r="CG76" s="64" t="n"/>
      <c r="CH76" s="64" t="n"/>
      <c r="CI76" s="64" t="n"/>
      <c r="CJ76" s="64" t="n"/>
      <c r="CK76" s="64" t="n"/>
      <c r="CL76" s="64" t="n"/>
      <c r="CM76" s="64" t="n"/>
      <c r="CN76" s="64" t="n"/>
      <c r="CO76" s="64" t="n"/>
    </row>
    <row r="77" ht="18" customHeight="1">
      <c r="A77" s="64" t="n"/>
      <c r="B77" s="2438" t="inlineStr">
        <is>
          <t>FY †KBm bs</t>
        </is>
      </c>
      <c r="C77" s="2439" t="inlineStr">
        <is>
          <t>t</t>
        </is>
      </c>
      <c r="D77" s="2440" t="inlineStr">
        <is>
          <t xml:space="preserve">64(wmGgGmGgB)/2024-25 </t>
        </is>
      </c>
      <c r="E77" s="784" t="n"/>
      <c r="F77" s="604" t="n"/>
      <c r="G77" s="2563" t="n"/>
      <c r="H77" s="604" t="n"/>
      <c r="I77" s="64" t="n"/>
      <c r="J77" s="600" t="n"/>
      <c r="K77" s="600" t="n"/>
      <c r="L77" s="600" t="n"/>
      <c r="M77" s="600" t="n"/>
      <c r="N77" s="2564" t="n"/>
      <c r="O77" s="64" t="n"/>
      <c r="P77" s="64" t="n"/>
      <c r="Q77" s="64" t="n"/>
      <c r="R77" s="136" t="n"/>
      <c r="S77" s="64" t="n"/>
      <c r="T77" s="64" t="n"/>
      <c r="U77" s="64" t="n"/>
      <c r="V77" s="136" t="n"/>
      <c r="W77" s="136" t="n"/>
      <c r="X77" s="64" t="n"/>
      <c r="Y77" s="64" t="n"/>
      <c r="Z77" s="136" t="n"/>
      <c r="AA77" s="64" t="n"/>
      <c r="AB77" s="64" t="n"/>
      <c r="AC77" s="64" t="n"/>
      <c r="AD77" s="136" t="n"/>
      <c r="AE77" s="64" t="n"/>
      <c r="AF77" s="64" t="n"/>
      <c r="AG77" s="64" t="n"/>
      <c r="AH77" s="136" t="n"/>
      <c r="AI77" s="64" t="n"/>
      <c r="AJ77" s="64" t="n"/>
      <c r="AK77" s="64" t="n"/>
      <c r="AL77" s="136" t="n"/>
      <c r="AM77" s="64" t="n"/>
      <c r="AN77" s="64" t="n"/>
      <c r="AO77" s="64" t="n"/>
      <c r="AP77" s="136" t="n"/>
      <c r="AQ77" s="64" t="n"/>
      <c r="AR77" s="64" t="n"/>
      <c r="AS77" s="64" t="n"/>
      <c r="AT77" s="136" t="n"/>
      <c r="AU77" s="64" t="n"/>
      <c r="AV77" s="64" t="n"/>
      <c r="AW77" s="64" t="n"/>
      <c r="AX77" s="136" t="n"/>
      <c r="AY77" s="308" t="n"/>
      <c r="AZ77" s="64" t="n"/>
      <c r="BA77" s="64" t="n"/>
      <c r="BB77" s="136" t="n"/>
      <c r="BC77" s="64" t="n"/>
      <c r="BD77" s="64" t="n"/>
      <c r="BE77" s="64" t="n"/>
      <c r="BF77" s="136" t="n"/>
      <c r="BG77" s="64" t="n"/>
      <c r="BH77" s="64" t="n"/>
      <c r="BI77" s="136" t="n"/>
      <c r="BJ77" s="136" t="n"/>
      <c r="BK77" s="136" t="n"/>
      <c r="BL77" s="64" t="n"/>
      <c r="BM77" s="64" t="n"/>
      <c r="BN77" s="136" t="n"/>
      <c r="BO77" s="136" t="n"/>
      <c r="BP77" s="64" t="n"/>
      <c r="BQ77" s="64" t="n"/>
      <c r="BR77" s="136" t="n"/>
      <c r="BS77" s="136" t="n"/>
      <c r="BT77" s="64" t="n"/>
      <c r="BU77" s="64" t="n"/>
      <c r="BV77" s="136" t="n"/>
      <c r="BW77" s="308" t="n"/>
      <c r="BX77" s="64" t="n"/>
      <c r="BY77" s="64" t="n"/>
      <c r="BZ77" s="64" t="n"/>
      <c r="CA77" s="64" t="n"/>
      <c r="CB77" s="64" t="n"/>
      <c r="CC77" s="64" t="n"/>
      <c r="CD77" s="64" t="n"/>
      <c r="CE77" s="64" t="n"/>
      <c r="CF77" s="64" t="n"/>
      <c r="CG77" s="64" t="n"/>
      <c r="CH77" s="64" t="n"/>
      <c r="CI77" s="64" t="n"/>
      <c r="CJ77" s="64" t="n"/>
      <c r="CK77" s="64" t="n"/>
      <c r="CL77" s="64" t="n"/>
      <c r="CM77" s="64" t="n"/>
      <c r="CN77" s="64" t="n"/>
      <c r="CO77" s="64" t="n"/>
    </row>
    <row r="78" ht="18" customHeight="1">
      <c r="A78" s="64" t="n"/>
      <c r="B78" s="2398" t="inlineStr">
        <is>
          <t>gvVKg©KZ©vi bvg</t>
        </is>
      </c>
      <c r="C78" s="2446" t="inlineStr">
        <is>
          <t>t</t>
        </is>
      </c>
      <c r="D78" s="2447" t="inlineStr">
        <is>
          <t>‡gvt AvwRRyj nK</t>
        </is>
      </c>
      <c r="E78" s="64" t="n"/>
      <c r="F78" s="600" t="n"/>
      <c r="G78" s="2567" t="n"/>
      <c r="H78" s="600" t="n"/>
      <c r="I78" s="64" t="n"/>
      <c r="J78" s="600" t="n"/>
      <c r="K78" s="600" t="n"/>
      <c r="L78" s="600" t="n"/>
      <c r="M78" s="600" t="n"/>
      <c r="N78" s="2564" t="n"/>
      <c r="O78" s="64" t="n"/>
      <c r="P78" s="64" t="n"/>
      <c r="Q78" s="64" t="n"/>
      <c r="R78" s="136" t="n"/>
      <c r="S78" s="64" t="n"/>
      <c r="T78" s="64" t="n"/>
      <c r="U78" s="64" t="n"/>
      <c r="V78" s="136" t="n"/>
      <c r="W78" s="136" t="n"/>
      <c r="X78" s="64" t="n"/>
      <c r="Y78" s="64" t="n"/>
      <c r="Z78" s="136" t="n"/>
      <c r="AA78" s="64" t="n"/>
      <c r="AB78" s="64" t="n"/>
      <c r="AC78" s="64" t="n"/>
      <c r="AD78" s="136" t="n"/>
      <c r="AE78" s="64" t="n"/>
      <c r="AF78" s="64" t="n"/>
      <c r="AG78" s="64" t="n"/>
      <c r="AH78" s="136" t="n"/>
      <c r="AI78" s="64" t="n"/>
      <c r="AJ78" s="64" t="n"/>
      <c r="AK78" s="64" t="n"/>
      <c r="AL78" s="136" t="n"/>
      <c r="AM78" s="64" t="n"/>
      <c r="AN78" s="64" t="n"/>
      <c r="AO78" s="64" t="n"/>
      <c r="AP78" s="136" t="n"/>
      <c r="AQ78" s="64" t="n"/>
      <c r="AR78" s="64" t="n"/>
      <c r="AS78" s="64" t="n"/>
      <c r="AT78" s="136" t="n"/>
      <c r="AU78" s="64" t="n"/>
      <c r="AV78" s="64" t="n"/>
      <c r="AW78" s="64" t="n"/>
      <c r="AX78" s="136" t="n"/>
      <c r="AY78" s="308" t="n"/>
      <c r="AZ78" s="64" t="n"/>
      <c r="BA78" s="64" t="n"/>
      <c r="BB78" s="136" t="n"/>
      <c r="BC78" s="64" t="n"/>
      <c r="BD78" s="64" t="n"/>
      <c r="BE78" s="64" t="n"/>
      <c r="BF78" s="136" t="n"/>
      <c r="BG78" s="64" t="n"/>
      <c r="BH78" s="64" t="n"/>
      <c r="BI78" s="136" t="n"/>
      <c r="BJ78" s="136" t="n"/>
      <c r="BK78" s="136" t="n"/>
      <c r="BL78" s="64" t="n"/>
      <c r="BM78" s="64" t="n"/>
      <c r="BN78" s="136" t="n"/>
      <c r="BO78" s="136" t="n"/>
      <c r="BP78" s="64" t="n"/>
      <c r="BQ78" s="64" t="n"/>
      <c r="BR78" s="136" t="n"/>
      <c r="BS78" s="136" t="n"/>
      <c r="BT78" s="64" t="n"/>
      <c r="BU78" s="64" t="n"/>
      <c r="BV78" s="136" t="n"/>
      <c r="BW78" s="308" t="n"/>
      <c r="BX78" s="64" t="n"/>
      <c r="BY78" s="64" t="n"/>
      <c r="BZ78" s="64" t="n"/>
      <c r="CA78" s="64" t="n"/>
      <c r="CB78" s="64" t="n"/>
      <c r="CC78" s="64" t="n"/>
      <c r="CD78" s="64" t="n"/>
      <c r="CE78" s="64" t="n"/>
      <c r="CF78" s="64" t="n"/>
      <c r="CG78" s="64" t="n"/>
      <c r="CH78" s="64" t="n"/>
      <c r="CI78" s="64" t="n"/>
      <c r="CJ78" s="64" t="n"/>
      <c r="CK78" s="64" t="n"/>
      <c r="CL78" s="64" t="n"/>
      <c r="CM78" s="64" t="n"/>
      <c r="CN78" s="64" t="n"/>
      <c r="CO78" s="64" t="n"/>
    </row>
    <row r="79" ht="18" customHeight="1">
      <c r="A79" s="600" t="n"/>
      <c r="B79" s="2398" t="inlineStr">
        <is>
          <t>c`ex</t>
        </is>
      </c>
      <c r="C79" s="2446" t="inlineStr">
        <is>
          <t>t</t>
        </is>
      </c>
      <c r="D79" s="2447" t="inlineStr">
        <is>
          <t>DaŸ©Zb Kg©KZ©v</t>
        </is>
      </c>
      <c r="E79" s="64" t="n"/>
      <c r="F79" s="600" t="n"/>
      <c r="G79" s="2567" t="n"/>
      <c r="H79" s="600" t="n"/>
      <c r="I79" s="64" t="n"/>
      <c r="J79" s="600" t="n"/>
      <c r="K79" s="600" t="n"/>
      <c r="L79" s="600" t="n"/>
      <c r="M79" s="600" t="n"/>
      <c r="N79" s="2564" t="n"/>
      <c r="O79" s="64" t="n"/>
      <c r="P79" s="64" t="n"/>
      <c r="Q79" s="64" t="n"/>
      <c r="R79" s="136" t="n"/>
      <c r="S79" s="64" t="n"/>
      <c r="T79" s="64" t="n"/>
      <c r="U79" s="64" t="n"/>
      <c r="V79" s="136" t="n"/>
      <c r="W79" s="136" t="n"/>
      <c r="X79" s="64" t="n"/>
      <c r="Y79" s="64" t="n"/>
      <c r="Z79" s="136" t="n"/>
      <c r="AA79" s="64" t="n"/>
      <c r="AB79" s="64" t="n"/>
      <c r="AC79" s="64" t="n"/>
      <c r="AD79" s="136" t="n"/>
      <c r="AE79" s="64" t="n"/>
      <c r="AF79" s="64" t="n"/>
      <c r="AG79" s="64" t="n"/>
      <c r="AH79" s="136" t="n"/>
      <c r="AI79" s="64" t="n"/>
      <c r="AJ79" s="64" t="n"/>
      <c r="AK79" s="64" t="n"/>
      <c r="AL79" s="136" t="n"/>
      <c r="AM79" s="64" t="n"/>
      <c r="AN79" s="64" t="n"/>
      <c r="AO79" s="64" t="n"/>
      <c r="AP79" s="136" t="n"/>
      <c r="AQ79" s="64" t="n"/>
      <c r="AR79" s="64" t="n"/>
      <c r="AS79" s="64" t="n"/>
      <c r="AT79" s="136" t="n"/>
      <c r="AU79" s="64" t="n"/>
      <c r="AV79" s="64" t="n"/>
      <c r="AW79" s="64" t="n"/>
      <c r="AX79" s="136" t="n"/>
      <c r="AY79" s="308" t="n"/>
      <c r="AZ79" s="64" t="n"/>
      <c r="BA79" s="64" t="n"/>
      <c r="BB79" s="136" t="n"/>
      <c r="BC79" s="64" t="n"/>
      <c r="BD79" s="64" t="n"/>
      <c r="BE79" s="64" t="n"/>
      <c r="BF79" s="136" t="n"/>
      <c r="BG79" s="64" t="n"/>
      <c r="BH79" s="64" t="n"/>
      <c r="BI79" s="136" t="n"/>
      <c r="BJ79" s="136" t="n"/>
      <c r="BK79" s="136" t="n"/>
      <c r="BL79" s="64" t="n"/>
      <c r="BM79" s="64" t="n"/>
      <c r="BN79" s="136" t="n"/>
      <c r="BO79" s="136" t="n"/>
      <c r="BP79" s="64" t="n"/>
      <c r="BQ79" s="64" t="n"/>
      <c r="BR79" s="136" t="n"/>
      <c r="BS79" s="136" t="n"/>
      <c r="BT79" s="64" t="n"/>
      <c r="BU79" s="64" t="n"/>
      <c r="BV79" s="136" t="n"/>
      <c r="BW79" s="308" t="n"/>
      <c r="BX79" s="64" t="n"/>
      <c r="BY79" s="64" t="n"/>
      <c r="BZ79" s="64" t="n"/>
      <c r="CA79" s="64" t="n"/>
      <c r="CB79" s="64" t="n"/>
      <c r="CC79" s="64" t="n"/>
      <c r="CD79" s="64" t="n"/>
      <c r="CE79" s="64" t="n"/>
      <c r="CF79" s="64" t="n"/>
      <c r="CG79" s="64" t="n"/>
      <c r="CH79" s="64" t="n"/>
      <c r="CI79" s="64" t="n"/>
      <c r="CJ79" s="64" t="n"/>
      <c r="CK79" s="64" t="n"/>
      <c r="CL79" s="64" t="n"/>
      <c r="CM79" s="64" t="n"/>
      <c r="CN79" s="64" t="n"/>
      <c r="CO79" s="64" t="n"/>
    </row>
    <row r="80" ht="18" customHeight="1">
      <c r="A80" s="600" t="n"/>
      <c r="B80" s="2398" t="inlineStr">
        <is>
          <t>cÖK‡íi bvg</t>
        </is>
      </c>
      <c r="C80" s="2446" t="inlineStr">
        <is>
          <t>t</t>
        </is>
      </c>
      <c r="D80" s="2568" t="inlineStr">
        <is>
          <t>M/S Jony Store</t>
        </is>
      </c>
      <c r="E80" s="64" t="n"/>
      <c r="F80" s="600" t="n"/>
      <c r="G80" s="2567" t="n"/>
      <c r="H80" s="600" t="n"/>
      <c r="I80" s="64" t="n"/>
      <c r="J80" s="600" t="n"/>
      <c r="K80" s="600" t="n"/>
      <c r="L80" s="600" t="n"/>
      <c r="M80" s="600" t="n"/>
      <c r="N80" s="2564" t="n"/>
      <c r="O80" s="64" t="n"/>
      <c r="P80" s="64" t="n"/>
      <c r="Q80" s="64" t="n"/>
      <c r="R80" s="136" t="n"/>
      <c r="S80" s="64" t="n"/>
      <c r="T80" s="64" t="n"/>
      <c r="U80" s="64" t="n"/>
      <c r="V80" s="136" t="n"/>
      <c r="W80" s="136" t="n"/>
      <c r="X80" s="64" t="n"/>
      <c r="Y80" s="64" t="n"/>
      <c r="Z80" s="136" t="n"/>
      <c r="AA80" s="64" t="n"/>
      <c r="AB80" s="64" t="n"/>
      <c r="AC80" s="64" t="n"/>
      <c r="AD80" s="136" t="n"/>
      <c r="AE80" s="64" t="n"/>
      <c r="AF80" s="64" t="n"/>
      <c r="AG80" s="64" t="n"/>
      <c r="AH80" s="136" t="n"/>
      <c r="AI80" s="64" t="n"/>
      <c r="AJ80" s="64" t="n"/>
      <c r="AK80" s="64" t="n"/>
      <c r="AL80" s="136" t="n"/>
      <c r="AM80" s="64" t="n"/>
      <c r="AN80" s="64" t="n"/>
      <c r="AO80" s="64" t="n"/>
      <c r="AP80" s="136" t="n"/>
      <c r="AQ80" s="64" t="n"/>
      <c r="AR80" s="64" t="n"/>
      <c r="AS80" s="64" t="n"/>
      <c r="AT80" s="136" t="n"/>
      <c r="AU80" s="64" t="n"/>
      <c r="AV80" s="64" t="n"/>
      <c r="AW80" s="64" t="n"/>
      <c r="AX80" s="136" t="n"/>
      <c r="AY80" s="308" t="n"/>
      <c r="AZ80" s="64" t="n"/>
      <c r="BA80" s="64" t="n"/>
      <c r="BB80" s="136" t="n"/>
      <c r="BC80" s="64" t="n"/>
      <c r="BD80" s="64" t="n"/>
      <c r="BE80" s="64" t="n"/>
      <c r="BF80" s="136" t="n"/>
      <c r="BG80" s="64" t="n"/>
      <c r="BH80" s="64" t="n"/>
      <c r="BI80" s="136" t="n"/>
      <c r="BJ80" s="136" t="n"/>
      <c r="BK80" s="136" t="n"/>
      <c r="BL80" s="64" t="n"/>
      <c r="BM80" s="64" t="n"/>
      <c r="BN80" s="136" t="n"/>
      <c r="BO80" s="136" t="n"/>
      <c r="BP80" s="64" t="n"/>
      <c r="BQ80" s="64" t="n"/>
      <c r="BR80" s="136" t="n"/>
      <c r="BS80" s="136" t="n"/>
      <c r="BT80" s="64" t="n"/>
      <c r="BU80" s="64" t="n"/>
      <c r="BV80" s="136" t="n"/>
      <c r="BW80" s="308" t="n"/>
      <c r="BX80" s="64" t="n"/>
      <c r="BY80" s="64" t="n"/>
      <c r="BZ80" s="64" t="n"/>
      <c r="CA80" s="64" t="n"/>
      <c r="CB80" s="64" t="n"/>
      <c r="CC80" s="64" t="n"/>
      <c r="CD80" s="64" t="n"/>
      <c r="CE80" s="64" t="n"/>
      <c r="CF80" s="64" t="n"/>
      <c r="CG80" s="64" t="n"/>
      <c r="CH80" s="64" t="n"/>
      <c r="CI80" s="64" t="n"/>
      <c r="CJ80" s="64" t="n"/>
      <c r="CK80" s="64" t="n"/>
      <c r="CL80" s="64" t="n"/>
      <c r="CM80" s="64" t="n"/>
      <c r="CN80" s="64" t="n"/>
      <c r="CO80" s="64" t="n"/>
    </row>
    <row r="81" ht="18" customHeight="1">
      <c r="A81" s="600" t="n"/>
      <c r="B81" s="2398" t="inlineStr">
        <is>
          <t>cÖK‡íi Ae¯’vb/wVKvbv</t>
        </is>
      </c>
      <c r="C81" s="2446" t="inlineStr">
        <is>
          <t>t</t>
        </is>
      </c>
      <c r="D81" s="2568" t="inlineStr">
        <is>
          <t>Dapa Idrakpur, Fatullah,  Narayangonj</t>
        </is>
      </c>
      <c r="E81" s="64" t="n"/>
      <c r="F81" s="600" t="n"/>
      <c r="G81" s="2567" t="n"/>
      <c r="H81" s="600" t="n"/>
      <c r="I81" s="64" t="n"/>
      <c r="J81" s="600" t="n"/>
      <c r="K81" s="600" t="n"/>
      <c r="L81" s="600" t="n"/>
      <c r="M81" s="600" t="n"/>
      <c r="N81" s="2564" t="n"/>
      <c r="O81" s="64" t="n"/>
      <c r="P81" s="64" t="n"/>
      <c r="Q81" s="64" t="n"/>
      <c r="R81" s="136" t="n"/>
      <c r="S81" s="64" t="n"/>
      <c r="T81" s="64" t="n"/>
      <c r="U81" s="64" t="n"/>
      <c r="V81" s="136" t="n"/>
      <c r="W81" s="136" t="n"/>
      <c r="X81" s="64" t="n"/>
      <c r="Y81" s="64" t="n"/>
      <c r="Z81" s="136" t="n"/>
      <c r="AA81" s="64" t="n"/>
      <c r="AB81" s="64" t="n"/>
      <c r="AC81" s="64" t="n"/>
      <c r="AD81" s="136" t="n"/>
      <c r="AE81" s="64" t="n"/>
      <c r="AF81" s="64" t="n"/>
      <c r="AG81" s="64" t="n"/>
      <c r="AH81" s="136" t="n"/>
      <c r="AI81" s="64" t="n"/>
      <c r="AJ81" s="64" t="n"/>
      <c r="AK81" s="64" t="n"/>
      <c r="AL81" s="136" t="n"/>
      <c r="AM81" s="64" t="n"/>
      <c r="AN81" s="64" t="n"/>
      <c r="AO81" s="64" t="n"/>
      <c r="AP81" s="136" t="n"/>
      <c r="AQ81" s="64" t="n"/>
      <c r="AR81" s="64" t="n"/>
      <c r="AS81" s="64" t="n"/>
      <c r="AT81" s="136" t="n"/>
      <c r="AU81" s="64" t="n"/>
      <c r="AV81" s="64" t="n"/>
      <c r="AW81" s="64" t="n"/>
      <c r="AX81" s="136" t="n"/>
      <c r="AY81" s="308" t="n"/>
      <c r="AZ81" s="64" t="n"/>
      <c r="BA81" s="64" t="n"/>
      <c r="BB81" s="136" t="n"/>
      <c r="BC81" s="64" t="n"/>
      <c r="BD81" s="64" t="n"/>
      <c r="BE81" s="64" t="n"/>
      <c r="BF81" s="136" t="n"/>
      <c r="BG81" s="64" t="n"/>
      <c r="BH81" s="64" t="n"/>
      <c r="BI81" s="136" t="n"/>
      <c r="BJ81" s="136" t="n"/>
      <c r="BK81" s="136" t="n"/>
      <c r="BL81" s="64" t="n"/>
      <c r="BM81" s="64" t="n"/>
      <c r="BN81" s="136" t="n"/>
      <c r="BO81" s="136" t="n"/>
      <c r="BP81" s="64" t="n"/>
      <c r="BQ81" s="64" t="n"/>
      <c r="BR81" s="136" t="n"/>
      <c r="BS81" s="136" t="n"/>
      <c r="BT81" s="64" t="n"/>
      <c r="BU81" s="64" t="n"/>
      <c r="BV81" s="136" t="n"/>
      <c r="BW81" s="308" t="n"/>
      <c r="BX81" s="64" t="n"/>
      <c r="BY81" s="64" t="n"/>
      <c r="BZ81" s="64" t="n"/>
      <c r="CA81" s="64" t="n"/>
      <c r="CB81" s="64" t="n"/>
      <c r="CC81" s="64" t="n"/>
      <c r="CD81" s="64" t="n"/>
      <c r="CE81" s="64" t="n"/>
      <c r="CF81" s="64" t="n"/>
      <c r="CG81" s="64" t="n"/>
      <c r="CH81" s="64" t="n"/>
      <c r="CI81" s="64" t="n"/>
      <c r="CJ81" s="64" t="n"/>
      <c r="CK81" s="64" t="n"/>
      <c r="CL81" s="64" t="n"/>
      <c r="CM81" s="64" t="n"/>
      <c r="CN81" s="64" t="n"/>
      <c r="CO81" s="64" t="n"/>
    </row>
    <row r="82" ht="18" customHeight="1">
      <c r="A82" s="600" t="n"/>
      <c r="B82" s="2398" t="inlineStr">
        <is>
          <t>cÖK‡íi aiY</t>
        </is>
      </c>
      <c r="C82" s="2446" t="inlineStr">
        <is>
          <t>t</t>
        </is>
      </c>
      <c r="D82" s="2464" t="inlineStr">
        <is>
          <t>Kvc‡oi e¨emv</t>
        </is>
      </c>
      <c r="E82" s="64" t="n"/>
      <c r="F82" s="600" t="n"/>
      <c r="G82" s="2567" t="n"/>
      <c r="H82" s="600" t="n"/>
      <c r="I82" s="64" t="n"/>
      <c r="J82" s="600" t="n"/>
      <c r="K82" s="600" t="n"/>
      <c r="L82" s="600" t="n"/>
      <c r="M82" s="600" t="n"/>
      <c r="N82" s="2564" t="n"/>
      <c r="O82" s="64" t="n"/>
      <c r="P82" s="64" t="n"/>
      <c r="Q82" s="64" t="n"/>
      <c r="R82" s="136" t="n"/>
      <c r="S82" s="64" t="n"/>
      <c r="T82" s="64" t="n"/>
      <c r="U82" s="64" t="n"/>
      <c r="V82" s="136" t="n"/>
      <c r="W82" s="136" t="n"/>
      <c r="X82" s="64" t="n"/>
      <c r="Y82" s="64" t="n"/>
      <c r="Z82" s="136" t="n"/>
      <c r="AA82" s="64" t="n"/>
      <c r="AB82" s="64" t="n"/>
      <c r="AC82" s="64" t="n"/>
      <c r="AD82" s="136" t="n"/>
      <c r="AE82" s="64" t="n"/>
      <c r="AF82" s="64" t="n"/>
      <c r="AG82" s="64" t="n"/>
      <c r="AH82" s="136" t="n"/>
      <c r="AI82" s="64" t="n"/>
      <c r="AJ82" s="64" t="n"/>
      <c r="AK82" s="64" t="n"/>
      <c r="AL82" s="136" t="n"/>
      <c r="AM82" s="64" t="n"/>
      <c r="AN82" s="64" t="n"/>
      <c r="AO82" s="64" t="n"/>
      <c r="AP82" s="136" t="n"/>
      <c r="AQ82" s="64" t="n"/>
      <c r="AR82" s="64" t="n"/>
      <c r="AS82" s="64" t="n"/>
      <c r="AT82" s="136" t="n"/>
      <c r="AU82" s="64" t="n"/>
      <c r="AV82" s="64" t="n"/>
      <c r="AW82" s="64" t="n"/>
      <c r="AX82" s="136" t="n"/>
      <c r="AY82" s="308" t="n"/>
      <c r="AZ82" s="64" t="n"/>
      <c r="BA82" s="64" t="n"/>
      <c r="BB82" s="136" t="n"/>
      <c r="BC82" s="64" t="n"/>
      <c r="BD82" s="64" t="n"/>
      <c r="BE82" s="64" t="n"/>
      <c r="BF82" s="136" t="n"/>
      <c r="BG82" s="64" t="n"/>
      <c r="BH82" s="64" t="n"/>
      <c r="BI82" s="136" t="n"/>
      <c r="BJ82" s="136" t="n"/>
      <c r="BK82" s="136" t="n"/>
      <c r="BL82" s="64" t="n"/>
      <c r="BM82" s="64" t="n"/>
      <c r="BN82" s="136" t="n"/>
      <c r="BO82" s="136" t="n"/>
      <c r="BP82" s="64" t="n"/>
      <c r="BQ82" s="64" t="n"/>
      <c r="BR82" s="136" t="n"/>
      <c r="BS82" s="136" t="n"/>
      <c r="BT82" s="64" t="n"/>
      <c r="BU82" s="64" t="n"/>
      <c r="BV82" s="136" t="n"/>
      <c r="BW82" s="308" t="n"/>
      <c r="BX82" s="64" t="n"/>
      <c r="BY82" s="64" t="n"/>
      <c r="BZ82" s="64" t="n"/>
      <c r="CA82" s="64" t="n"/>
      <c r="CB82" s="64" t="n"/>
      <c r="CC82" s="64" t="n"/>
      <c r="CD82" s="64" t="n"/>
      <c r="CE82" s="64" t="n"/>
      <c r="CF82" s="64" t="n"/>
      <c r="CG82" s="64" t="n"/>
      <c r="CH82" s="64" t="n"/>
      <c r="CI82" s="64" t="n"/>
      <c r="CJ82" s="64" t="n"/>
      <c r="CK82" s="64" t="n"/>
      <c r="CL82" s="64" t="n"/>
      <c r="CM82" s="64" t="n"/>
      <c r="CN82" s="64" t="n"/>
      <c r="CO82" s="64" t="n"/>
    </row>
    <row r="83" ht="18" customHeight="1">
      <c r="A83" s="600" t="n"/>
      <c r="B83" s="2467" t="inlineStr">
        <is>
          <t>UvKvi cwigvb</t>
        </is>
      </c>
      <c r="C83" s="2468" t="inlineStr">
        <is>
          <t>t</t>
        </is>
      </c>
      <c r="D83" s="2569" t="n">
        <v>500000</v>
      </c>
      <c r="E83" s="64" t="n"/>
      <c r="F83" s="600" t="n"/>
      <c r="G83" s="2567" t="n"/>
      <c r="H83" s="600" t="n"/>
      <c r="I83" s="64" t="n"/>
      <c r="J83" s="600" t="n"/>
      <c r="K83" s="600" t="n"/>
      <c r="L83" s="600" t="n"/>
      <c r="M83" s="600" t="n"/>
      <c r="N83" s="2564" t="n"/>
      <c r="O83" s="64" t="n"/>
      <c r="P83" s="64" t="n"/>
      <c r="Q83" s="64" t="n"/>
      <c r="R83" s="136" t="n"/>
      <c r="S83" s="64" t="n"/>
      <c r="T83" s="64" t="n"/>
      <c r="U83" s="64" t="n"/>
      <c r="V83" s="136" t="n"/>
      <c r="W83" s="136" t="n"/>
      <c r="X83" s="64" t="n"/>
      <c r="Y83" s="64" t="n"/>
      <c r="Z83" s="136" t="n"/>
      <c r="AA83" s="64" t="n"/>
      <c r="AB83" s="64" t="n"/>
      <c r="AC83" s="64" t="n"/>
      <c r="AD83" s="136" t="n"/>
      <c r="AE83" s="64" t="n"/>
      <c r="AF83" s="64" t="n"/>
      <c r="AG83" s="64" t="n"/>
      <c r="AH83" s="136" t="n"/>
      <c r="AI83" s="64" t="n"/>
      <c r="AJ83" s="64" t="n"/>
      <c r="AK83" s="64" t="n"/>
      <c r="AL83" s="136" t="n"/>
      <c r="AM83" s="64" t="n"/>
      <c r="AN83" s="64" t="n"/>
      <c r="AO83" s="64" t="n"/>
      <c r="AP83" s="136" t="n"/>
      <c r="AQ83" s="64" t="n"/>
      <c r="AR83" s="64" t="n"/>
      <c r="AS83" s="64" t="n"/>
      <c r="AT83" s="136" t="n"/>
      <c r="AU83" s="64" t="n"/>
      <c r="AV83" s="64" t="n"/>
      <c r="AW83" s="64" t="n"/>
      <c r="AX83" s="136" t="n"/>
      <c r="AY83" s="308" t="n"/>
      <c r="AZ83" s="64" t="n"/>
      <c r="BA83" s="64" t="n"/>
      <c r="BB83" s="136" t="n"/>
      <c r="BC83" s="64" t="n"/>
      <c r="BD83" s="64" t="n"/>
      <c r="BE83" s="64" t="n"/>
      <c r="BF83" s="136" t="n"/>
      <c r="BG83" s="64" t="n"/>
      <c r="BH83" s="64" t="n"/>
      <c r="BI83" s="136" t="n"/>
      <c r="BJ83" s="136" t="n"/>
      <c r="BK83" s="136" t="n"/>
      <c r="BL83" s="64" t="n"/>
      <c r="BM83" s="64" t="n"/>
      <c r="BN83" s="136" t="n"/>
      <c r="BO83" s="136" t="n"/>
      <c r="BP83" s="64" t="n"/>
      <c r="BQ83" s="64" t="n"/>
      <c r="BR83" s="136" t="n"/>
      <c r="BS83" s="136" t="n"/>
      <c r="BT83" s="64" t="n"/>
      <c r="BU83" s="64" t="n"/>
      <c r="BV83" s="136" t="n"/>
      <c r="BW83" s="308" t="n"/>
      <c r="BX83" s="64" t="n"/>
      <c r="BY83" s="64" t="n"/>
      <c r="BZ83" s="64" t="n"/>
      <c r="CA83" s="64" t="n"/>
      <c r="CB83" s="64" t="n"/>
      <c r="CC83" s="64" t="n"/>
      <c r="CD83" s="64" t="n"/>
      <c r="CE83" s="64" t="n"/>
      <c r="CF83" s="64" t="n"/>
      <c r="CG83" s="64" t="n"/>
      <c r="CH83" s="64" t="n"/>
      <c r="CI83" s="64" t="n"/>
      <c r="CJ83" s="64" t="n"/>
      <c r="CK83" s="64" t="n"/>
      <c r="CL83" s="64" t="n"/>
      <c r="CM83" s="64" t="n"/>
      <c r="CN83" s="64" t="n"/>
      <c r="CO83" s="64" t="n"/>
    </row>
    <row r="84" ht="18" customHeight="1">
      <c r="A84" s="64" t="n"/>
      <c r="B84" s="2398" t="inlineStr">
        <is>
          <t>‡cÖvcvBUi</t>
        </is>
      </c>
      <c r="C84" s="2446" t="inlineStr">
        <is>
          <t>t</t>
        </is>
      </c>
      <c r="D84" s="2568" t="inlineStr">
        <is>
          <t>Md Jony</t>
        </is>
      </c>
      <c r="E84" s="64" t="n"/>
      <c r="F84" s="64" t="n"/>
      <c r="G84" s="2570" t="n"/>
      <c r="H84" s="64" t="n"/>
      <c r="I84" s="64" t="n"/>
      <c r="J84" s="64" t="n"/>
      <c r="K84" s="64" t="n"/>
      <c r="L84" s="64" t="n"/>
      <c r="M84" s="64" t="n"/>
      <c r="N84" s="2571" t="n"/>
      <c r="O84" s="64" t="n"/>
      <c r="P84" s="64" t="n"/>
      <c r="Q84" s="64" t="n"/>
      <c r="R84" s="136" t="n"/>
      <c r="S84" s="64" t="n"/>
      <c r="T84" s="64" t="n"/>
      <c r="U84" s="64" t="n"/>
      <c r="V84" s="136" t="n"/>
      <c r="W84" s="136" t="n"/>
      <c r="X84" s="64" t="n"/>
      <c r="Y84" s="64" t="n"/>
      <c r="Z84" s="136" t="n"/>
      <c r="AA84" s="64" t="n"/>
      <c r="AB84" s="64" t="n"/>
      <c r="AC84" s="64" t="n"/>
      <c r="AD84" s="136" t="n"/>
      <c r="AE84" s="64" t="n"/>
      <c r="AF84" s="64" t="n"/>
      <c r="AG84" s="64" t="n"/>
      <c r="AH84" s="136" t="n"/>
      <c r="AI84" s="64" t="n"/>
      <c r="AJ84" s="64" t="n"/>
      <c r="AK84" s="64" t="n"/>
      <c r="AL84" s="136" t="n"/>
      <c r="AM84" s="64" t="n"/>
      <c r="AN84" s="64" t="n"/>
      <c r="AO84" s="64" t="n"/>
      <c r="AP84" s="136" t="n"/>
      <c r="AQ84" s="64" t="n"/>
      <c r="AR84" s="64" t="n"/>
      <c r="AS84" s="64" t="n"/>
      <c r="AT84" s="136" t="n"/>
      <c r="AU84" s="64" t="n"/>
      <c r="AV84" s="64" t="n"/>
      <c r="AW84" s="64" t="n"/>
      <c r="AX84" s="136" t="n"/>
      <c r="AY84" s="308" t="n"/>
      <c r="AZ84" s="64" t="n"/>
      <c r="BA84" s="64" t="n"/>
      <c r="BB84" s="136" t="n"/>
      <c r="BC84" s="64" t="n"/>
      <c r="BD84" s="64" t="n"/>
      <c r="BE84" s="64" t="n"/>
      <c r="BF84" s="136" t="n"/>
      <c r="BG84" s="64" t="n"/>
      <c r="BH84" s="64" t="n"/>
      <c r="BI84" s="136" t="n"/>
      <c r="BJ84" s="136" t="n"/>
      <c r="BK84" s="136" t="n"/>
      <c r="BL84" s="64" t="n"/>
      <c r="BM84" s="64" t="n"/>
      <c r="BN84" s="136" t="n"/>
      <c r="BO84" s="136" t="n"/>
      <c r="BP84" s="64" t="n"/>
      <c r="BQ84" s="64" t="n"/>
      <c r="BR84" s="136" t="n"/>
      <c r="BS84" s="136" t="n"/>
      <c r="BT84" s="64" t="n"/>
      <c r="BU84" s="64" t="n"/>
      <c r="BV84" s="136" t="n"/>
      <c r="BW84" s="308" t="n"/>
      <c r="BX84" s="64" t="n"/>
      <c r="BY84" s="64" t="n"/>
      <c r="BZ84" s="64" t="n"/>
      <c r="CA84" s="64" t="n"/>
      <c r="CB84" s="64" t="n"/>
      <c r="CC84" s="64" t="n"/>
      <c r="CD84" s="64" t="n"/>
      <c r="CE84" s="64" t="n"/>
      <c r="CF84" s="64" t="n"/>
      <c r="CG84" s="64" t="n"/>
      <c r="CH84" s="64" t="n"/>
      <c r="CI84" s="64" t="n"/>
      <c r="CJ84" s="64" t="n"/>
      <c r="CK84" s="64" t="n"/>
      <c r="CL84" s="64" t="n"/>
      <c r="CM84" s="64" t="n"/>
      <c r="CN84" s="64" t="n"/>
      <c r="CO84" s="64" t="n"/>
    </row>
    <row r="85" ht="18" customHeight="1">
      <c r="A85" s="64" t="n"/>
      <c r="B85" s="2398" t="inlineStr">
        <is>
          <t>wcZv/¯^vgxi bvg</t>
        </is>
      </c>
      <c r="C85" s="2446" t="inlineStr">
        <is>
          <t>t</t>
        </is>
      </c>
      <c r="D85" s="2456" t="inlineStr">
        <is>
          <t>bRiæj Bmjvg</t>
        </is>
      </c>
      <c r="E85" s="64" t="n"/>
      <c r="F85" s="64" t="n"/>
      <c r="G85" s="2570" t="n"/>
      <c r="H85" s="64" t="n"/>
      <c r="I85" s="64" t="n"/>
      <c r="J85" s="64" t="n"/>
      <c r="K85" s="64" t="n"/>
      <c r="L85" s="64" t="n"/>
      <c r="M85" s="64" t="n"/>
      <c r="N85" s="2571" t="n"/>
      <c r="O85" s="64" t="n"/>
      <c r="P85" s="64" t="n"/>
      <c r="Q85" s="64" t="n"/>
      <c r="R85" s="136" t="n"/>
      <c r="S85" s="64" t="n"/>
      <c r="T85" s="64" t="n"/>
      <c r="U85" s="64" t="n"/>
      <c r="V85" s="136" t="n"/>
      <c r="W85" s="136" t="n"/>
      <c r="X85" s="64" t="n"/>
      <c r="Y85" s="64" t="n"/>
      <c r="Z85" s="136" t="n"/>
      <c r="AA85" s="64" t="n"/>
      <c r="AB85" s="64" t="n"/>
      <c r="AC85" s="64" t="n"/>
      <c r="AD85" s="136" t="n"/>
      <c r="AE85" s="64" t="n"/>
      <c r="AF85" s="64" t="n"/>
      <c r="AG85" s="64" t="n"/>
      <c r="AH85" s="136" t="n"/>
      <c r="AI85" s="64" t="n"/>
      <c r="AJ85" s="64" t="n"/>
      <c r="AK85" s="64" t="n"/>
      <c r="AL85" s="136" t="n"/>
      <c r="AM85" s="64" t="n"/>
      <c r="AN85" s="64" t="n"/>
      <c r="AO85" s="64" t="n"/>
      <c r="AP85" s="136" t="n"/>
      <c r="AQ85" s="64" t="n"/>
      <c r="AR85" s="64" t="n"/>
      <c r="AS85" s="64" t="n"/>
      <c r="AT85" s="136" t="n"/>
      <c r="AU85" s="64" t="n"/>
      <c r="AV85" s="64" t="n"/>
      <c r="AW85" s="64" t="n"/>
      <c r="AX85" s="136" t="n"/>
      <c r="AY85" s="308" t="n"/>
      <c r="AZ85" s="64" t="n"/>
      <c r="BA85" s="64" t="n"/>
      <c r="BB85" s="136" t="n"/>
      <c r="BC85" s="64" t="n"/>
      <c r="BD85" s="64" t="n"/>
      <c r="BE85" s="64" t="n"/>
      <c r="BF85" s="136" t="n"/>
      <c r="BG85" s="64" t="n"/>
      <c r="BH85" s="64" t="n"/>
      <c r="BI85" s="136" t="n"/>
      <c r="BJ85" s="136" t="n"/>
      <c r="BK85" s="136" t="n"/>
      <c r="BL85" s="64" t="n"/>
      <c r="BM85" s="64" t="n"/>
      <c r="BN85" s="136" t="n"/>
      <c r="BO85" s="136" t="n"/>
      <c r="BP85" s="64" t="n"/>
      <c r="BQ85" s="64" t="n"/>
      <c r="BR85" s="136" t="n"/>
      <c r="BS85" s="136" t="n"/>
      <c r="BT85" s="64" t="n"/>
      <c r="BU85" s="64" t="n"/>
      <c r="BV85" s="136" t="n"/>
      <c r="BW85" s="308" t="n"/>
      <c r="BX85" s="64" t="n"/>
      <c r="BY85" s="64" t="n"/>
      <c r="BZ85" s="64" t="n"/>
      <c r="CA85" s="64" t="n"/>
      <c r="CB85" s="64" t="n"/>
      <c r="CC85" s="64" t="n"/>
      <c r="CD85" s="64" t="n"/>
      <c r="CE85" s="64" t="n"/>
      <c r="CF85" s="64" t="n"/>
      <c r="CG85" s="64" t="n"/>
      <c r="CH85" s="64" t="n"/>
      <c r="CI85" s="64" t="n"/>
      <c r="CJ85" s="64" t="n"/>
      <c r="CK85" s="64" t="n"/>
      <c r="CL85" s="64" t="n"/>
      <c r="CM85" s="64" t="n"/>
      <c r="CN85" s="64" t="n"/>
      <c r="CO85" s="64" t="n"/>
    </row>
    <row r="86" ht="18" customHeight="1">
      <c r="A86" s="64" t="n"/>
      <c r="B86" s="2398" t="inlineStr">
        <is>
          <t>gvZvi bvg</t>
        </is>
      </c>
      <c r="C86" s="2446" t="inlineStr">
        <is>
          <t>t</t>
        </is>
      </c>
      <c r="D86" s="2456" t="inlineStr">
        <is>
          <t>kvnvbvR Bmjvg</t>
        </is>
      </c>
      <c r="E86" s="64" t="n"/>
      <c r="F86" s="64" t="n"/>
      <c r="G86" s="2570" t="n"/>
      <c r="H86" s="64" t="n"/>
      <c r="I86" s="64" t="n"/>
      <c r="J86" s="64" t="n"/>
      <c r="K86" s="64" t="n"/>
      <c r="L86" s="64" t="n"/>
      <c r="M86" s="64" t="n"/>
      <c r="N86" s="2571" t="n"/>
      <c r="O86" s="64" t="n"/>
      <c r="P86" s="64" t="n"/>
      <c r="Q86" s="64" t="n"/>
      <c r="R86" s="136" t="n"/>
      <c r="S86" s="64" t="n"/>
      <c r="T86" s="64" t="n"/>
      <c r="U86" s="64" t="n"/>
      <c r="V86" s="136" t="n"/>
      <c r="W86" s="136" t="n"/>
      <c r="X86" s="64" t="n"/>
      <c r="Y86" s="64" t="n"/>
      <c r="Z86" s="136" t="n"/>
      <c r="AA86" s="64" t="n"/>
      <c r="AB86" s="64" t="n"/>
      <c r="AC86" s="64" t="n"/>
      <c r="AD86" s="136" t="n"/>
      <c r="AE86" s="64" t="n"/>
      <c r="AF86" s="64" t="n"/>
      <c r="AG86" s="64" t="n"/>
      <c r="AH86" s="136" t="n"/>
      <c r="AI86" s="64" t="n"/>
      <c r="AJ86" s="64" t="n"/>
      <c r="AK86" s="64" t="n"/>
      <c r="AL86" s="136" t="n"/>
      <c r="AM86" s="64" t="n"/>
      <c r="AN86" s="64" t="n"/>
      <c r="AO86" s="64" t="n"/>
      <c r="AP86" s="136" t="n"/>
      <c r="AQ86" s="64" t="n"/>
      <c r="AR86" s="64" t="n"/>
      <c r="AS86" s="64" t="n"/>
      <c r="AT86" s="136" t="n"/>
      <c r="AU86" s="64" t="n"/>
      <c r="AV86" s="64" t="n"/>
      <c r="AW86" s="64" t="n"/>
      <c r="AX86" s="136" t="n"/>
      <c r="AY86" s="308" t="n"/>
      <c r="AZ86" s="64" t="n"/>
      <c r="BA86" s="64" t="n"/>
      <c r="BB86" s="136" t="n"/>
      <c r="BC86" s="64" t="n"/>
      <c r="BD86" s="64" t="n"/>
      <c r="BE86" s="64" t="n"/>
      <c r="BF86" s="136" t="n"/>
      <c r="BG86" s="64" t="n"/>
      <c r="BH86" s="64" t="n"/>
      <c r="BI86" s="136" t="n"/>
      <c r="BJ86" s="136" t="n"/>
      <c r="BK86" s="136" t="n"/>
      <c r="BL86" s="64" t="n"/>
      <c r="BM86" s="64" t="n"/>
      <c r="BN86" s="136" t="n"/>
      <c r="BO86" s="136" t="n"/>
      <c r="BP86" s="64" t="n"/>
      <c r="BQ86" s="64" t="n"/>
      <c r="BR86" s="136" t="n"/>
      <c r="BS86" s="136" t="n"/>
      <c r="BT86" s="64" t="n"/>
      <c r="BU86" s="64" t="n"/>
      <c r="BV86" s="136" t="n"/>
      <c r="BW86" s="308" t="n"/>
      <c r="BX86" s="64" t="n"/>
      <c r="BY86" s="64" t="n"/>
      <c r="BZ86" s="64" t="n"/>
      <c r="CA86" s="64" t="n"/>
      <c r="CB86" s="64" t="n"/>
      <c r="CC86" s="64" t="n"/>
      <c r="CD86" s="64" t="n"/>
      <c r="CE86" s="64" t="n"/>
      <c r="CF86" s="64" t="n"/>
      <c r="CG86" s="64" t="n"/>
      <c r="CH86" s="64" t="n"/>
      <c r="CI86" s="64" t="n"/>
      <c r="CJ86" s="64" t="n"/>
      <c r="CK86" s="64" t="n"/>
      <c r="CL86" s="64" t="n"/>
      <c r="CM86" s="64" t="n"/>
      <c r="CN86" s="64" t="n"/>
      <c r="CO86" s="64" t="n"/>
    </row>
    <row r="87" ht="18" customHeight="1">
      <c r="A87" s="64" t="n"/>
      <c r="B87" s="2398" t="inlineStr">
        <is>
          <t>RvZxq cwiPqcÎ bs</t>
        </is>
      </c>
      <c r="C87" s="2446" t="inlineStr">
        <is>
          <t>t</t>
        </is>
      </c>
      <c r="D87" s="2456" t="n">
        <v>3757664531</v>
      </c>
      <c r="E87" s="64" t="n"/>
      <c r="F87" s="64" t="n"/>
      <c r="G87" s="2570" t="n"/>
      <c r="H87" s="64" t="n"/>
      <c r="I87" s="64" t="n"/>
      <c r="J87" s="64" t="n"/>
      <c r="K87" s="64" t="n"/>
      <c r="L87" s="64" t="n"/>
      <c r="M87" s="64" t="n"/>
      <c r="N87" s="2571" t="n"/>
      <c r="O87" s="64" t="n"/>
      <c r="P87" s="64" t="n"/>
      <c r="Q87" s="64" t="n"/>
      <c r="R87" s="136" t="n"/>
      <c r="S87" s="64" t="n"/>
      <c r="T87" s="64" t="n"/>
      <c r="U87" s="64" t="n"/>
      <c r="V87" s="136" t="n"/>
      <c r="W87" s="136" t="n"/>
      <c r="X87" s="64" t="n"/>
      <c r="Y87" s="64" t="n"/>
      <c r="Z87" s="136" t="n"/>
      <c r="AA87" s="64" t="n"/>
      <c r="AB87" s="64" t="n"/>
      <c r="AC87" s="64" t="n"/>
      <c r="AD87" s="136" t="n"/>
      <c r="AE87" s="64" t="n"/>
      <c r="AF87" s="64" t="n"/>
      <c r="AG87" s="64" t="n"/>
      <c r="AH87" s="136" t="n"/>
      <c r="AI87" s="64" t="n"/>
      <c r="AJ87" s="64" t="n"/>
      <c r="AK87" s="64" t="n"/>
      <c r="AL87" s="136" t="n"/>
      <c r="AM87" s="64" t="n"/>
      <c r="AN87" s="64" t="n"/>
      <c r="AO87" s="64" t="n"/>
      <c r="AP87" s="136" t="n"/>
      <c r="AQ87" s="64" t="n"/>
      <c r="AR87" s="64" t="n"/>
      <c r="AS87" s="64" t="n"/>
      <c r="AT87" s="136" t="n"/>
      <c r="AU87" s="64" t="n"/>
      <c r="AV87" s="64" t="n"/>
      <c r="AW87" s="64" t="n"/>
      <c r="AX87" s="136" t="n"/>
      <c r="AY87" s="308" t="n"/>
      <c r="AZ87" s="64" t="n"/>
      <c r="BA87" s="64" t="n"/>
      <c r="BB87" s="136" t="n"/>
      <c r="BC87" s="64" t="n"/>
      <c r="BD87" s="64" t="n"/>
      <c r="BE87" s="64" t="n"/>
      <c r="BF87" s="136" t="n"/>
      <c r="BG87" s="64" t="n"/>
      <c r="BH87" s="64" t="n"/>
      <c r="BI87" s="136" t="n"/>
      <c r="BJ87" s="136" t="n"/>
      <c r="BK87" s="136" t="n"/>
      <c r="BL87" s="64" t="n"/>
      <c r="BM87" s="64" t="n"/>
      <c r="BN87" s="136" t="n"/>
      <c r="BO87" s="136" t="n"/>
      <c r="BP87" s="64" t="n"/>
      <c r="BQ87" s="64" t="n"/>
      <c r="BR87" s="136" t="n"/>
      <c r="BS87" s="136" t="n"/>
      <c r="BT87" s="64" t="n"/>
      <c r="BU87" s="64" t="n"/>
      <c r="BV87" s="136" t="n"/>
      <c r="BW87" s="308" t="n"/>
      <c r="BX87" s="64" t="n"/>
      <c r="BY87" s="64" t="n"/>
      <c r="BZ87" s="64" t="n"/>
      <c r="CA87" s="64" t="n"/>
      <c r="CB87" s="64" t="n"/>
      <c r="CC87" s="64" t="n"/>
      <c r="CD87" s="64" t="n"/>
      <c r="CE87" s="64" t="n"/>
      <c r="CF87" s="64" t="n"/>
      <c r="CG87" s="64" t="n"/>
      <c r="CH87" s="64" t="n"/>
      <c r="CI87" s="64" t="n"/>
      <c r="CJ87" s="64" t="n"/>
      <c r="CK87" s="64" t="n"/>
      <c r="CL87" s="64" t="n"/>
      <c r="CM87" s="64" t="n"/>
      <c r="CN87" s="64" t="n"/>
      <c r="CO87" s="64" t="n"/>
    </row>
    <row r="88" ht="18" customHeight="1">
      <c r="A88" s="64" t="n"/>
      <c r="B88" s="2398" t="inlineStr">
        <is>
          <t>‡gvevBj</t>
        </is>
      </c>
      <c r="C88" s="2446" t="inlineStr">
        <is>
          <t>t</t>
        </is>
      </c>
      <c r="D88" s="2456" t="inlineStr">
        <is>
          <t>01923-401539</t>
        </is>
      </c>
      <c r="E88" s="64" t="n"/>
      <c r="F88" s="64" t="n"/>
      <c r="G88" s="2570" t="n"/>
      <c r="H88" s="64" t="n"/>
      <c r="I88" s="64" t="n"/>
      <c r="J88" s="64" t="n"/>
      <c r="K88" s="64" t="n"/>
      <c r="L88" s="64" t="n"/>
      <c r="M88" s="64" t="n"/>
      <c r="N88" s="2571" t="n"/>
      <c r="O88" s="64" t="n"/>
      <c r="P88" s="64" t="n"/>
      <c r="Q88" s="64" t="n"/>
      <c r="R88" s="136" t="n"/>
      <c r="S88" s="64" t="n"/>
      <c r="T88" s="64" t="n"/>
      <c r="U88" s="64" t="n"/>
      <c r="V88" s="136" t="n"/>
      <c r="W88" s="136" t="n"/>
      <c r="X88" s="64" t="n"/>
      <c r="Y88" s="64" t="n"/>
      <c r="Z88" s="136" t="n"/>
      <c r="AA88" s="64" t="n"/>
      <c r="AB88" s="64" t="n"/>
      <c r="AC88" s="64" t="n"/>
      <c r="AD88" s="136" t="n"/>
      <c r="AE88" s="64" t="n"/>
      <c r="AF88" s="64" t="n"/>
      <c r="AG88" s="64" t="n"/>
      <c r="AH88" s="136" t="n"/>
      <c r="AI88" s="64" t="n"/>
      <c r="AJ88" s="64" t="n"/>
      <c r="AK88" s="64" t="n"/>
      <c r="AL88" s="136" t="n"/>
      <c r="AM88" s="64" t="n"/>
      <c r="AN88" s="64" t="n"/>
      <c r="AO88" s="64" t="n"/>
      <c r="AP88" s="136" t="n"/>
      <c r="AQ88" s="64" t="n"/>
      <c r="AR88" s="64" t="n"/>
      <c r="AS88" s="64" t="n"/>
      <c r="AT88" s="136" t="n"/>
      <c r="AU88" s="64" t="n"/>
      <c r="AV88" s="64" t="n"/>
      <c r="AW88" s="64" t="n"/>
      <c r="AX88" s="136" t="n"/>
      <c r="AY88" s="308" t="n"/>
      <c r="AZ88" s="64" t="n"/>
      <c r="BA88" s="64" t="n"/>
      <c r="BB88" s="136" t="n"/>
      <c r="BC88" s="64" t="n"/>
      <c r="BD88" s="64" t="n"/>
      <c r="BE88" s="64" t="n"/>
      <c r="BF88" s="136" t="n"/>
      <c r="BG88" s="64" t="n"/>
      <c r="BH88" s="64" t="n"/>
      <c r="BI88" s="136" t="n"/>
      <c r="BJ88" s="136" t="n"/>
      <c r="BK88" s="136" t="n"/>
      <c r="BL88" s="64" t="n"/>
      <c r="BM88" s="64" t="n"/>
      <c r="BN88" s="136" t="n"/>
      <c r="BO88" s="136" t="n"/>
      <c r="BP88" s="64" t="n"/>
      <c r="BQ88" s="64" t="n"/>
      <c r="BR88" s="136" t="n"/>
      <c r="BS88" s="136" t="n"/>
      <c r="BT88" s="64" t="n"/>
      <c r="BU88" s="64" t="n"/>
      <c r="BV88" s="136" t="n"/>
      <c r="BW88" s="308" t="n"/>
      <c r="BX88" s="64" t="n"/>
      <c r="BY88" s="64" t="n"/>
      <c r="BZ88" s="64" t="n"/>
      <c r="CA88" s="64" t="n"/>
      <c r="CB88" s="64" t="n"/>
      <c r="CC88" s="64" t="n"/>
      <c r="CD88" s="64" t="n"/>
      <c r="CE88" s="64" t="n"/>
      <c r="CF88" s="64" t="n"/>
      <c r="CG88" s="64" t="n"/>
      <c r="CH88" s="64" t="n"/>
      <c r="CI88" s="64" t="n"/>
      <c r="CJ88" s="64" t="n"/>
      <c r="CK88" s="64" t="n"/>
      <c r="CL88" s="64" t="n"/>
      <c r="CM88" s="64" t="n"/>
      <c r="CN88" s="64" t="n"/>
      <c r="CO88" s="64" t="n"/>
    </row>
    <row r="89" ht="18" customHeight="1">
      <c r="A89" s="64" t="n"/>
      <c r="B89" s="2398" t="inlineStr">
        <is>
          <t>eZ©gvb wVKvbv</t>
        </is>
      </c>
      <c r="C89" s="2446" t="inlineStr">
        <is>
          <t>t</t>
        </is>
      </c>
      <c r="D89" s="2456" t="inlineStr">
        <is>
          <t>‡nvwìs bs- 317, wnivwSj Av/G</t>
        </is>
      </c>
      <c r="E89" s="64" t="n"/>
      <c r="F89" s="64" t="n"/>
      <c r="G89" s="2570" t="n"/>
      <c r="H89" s="64" t="n"/>
      <c r="I89" s="64" t="n"/>
      <c r="J89" s="64" t="n"/>
      <c r="K89" s="64" t="n"/>
      <c r="L89" s="64" t="n"/>
      <c r="M89" s="64" t="n"/>
      <c r="N89" s="2571" t="n"/>
      <c r="O89" s="64" t="n"/>
      <c r="P89" s="64" t="n"/>
      <c r="Q89" s="64" t="n"/>
      <c r="R89" s="136" t="n"/>
      <c r="S89" s="64" t="n"/>
      <c r="T89" s="64" t="n"/>
      <c r="U89" s="64" t="n"/>
      <c r="V89" s="136" t="n"/>
      <c r="W89" s="136" t="n"/>
      <c r="X89" s="64" t="n"/>
      <c r="Y89" s="64" t="n"/>
      <c r="Z89" s="136" t="n"/>
      <c r="AA89" s="64" t="n"/>
      <c r="AB89" s="64" t="n"/>
      <c r="AC89" s="64" t="n"/>
      <c r="AD89" s="136" t="n"/>
      <c r="AE89" s="64" t="n"/>
      <c r="AF89" s="64" t="n"/>
      <c r="AG89" s="64" t="n"/>
      <c r="AH89" s="136" t="n"/>
      <c r="AI89" s="64" t="n"/>
      <c r="AJ89" s="64" t="n"/>
      <c r="AK89" s="64" t="n"/>
      <c r="AL89" s="136" t="n"/>
      <c r="AM89" s="64" t="n"/>
      <c r="AN89" s="64" t="n"/>
      <c r="AO89" s="64" t="n"/>
      <c r="AP89" s="136" t="n"/>
      <c r="AQ89" s="64" t="n"/>
      <c r="AR89" s="64" t="n"/>
      <c r="AS89" s="64" t="n"/>
      <c r="AT89" s="136" t="n"/>
      <c r="AU89" s="64" t="n"/>
      <c r="AV89" s="64" t="n"/>
      <c r="AW89" s="64" t="n"/>
      <c r="AX89" s="136" t="n"/>
      <c r="AY89" s="308" t="n"/>
      <c r="AZ89" s="64" t="n"/>
      <c r="BA89" s="64" t="n"/>
      <c r="BB89" s="136" t="n"/>
      <c r="BC89" s="64" t="n"/>
      <c r="BD89" s="64" t="n"/>
      <c r="BE89" s="64" t="n"/>
      <c r="BF89" s="136" t="n"/>
      <c r="BG89" s="64" t="n"/>
      <c r="BH89" s="64" t="n"/>
      <c r="BI89" s="136" t="n"/>
      <c r="BJ89" s="136" t="n"/>
      <c r="BK89" s="136" t="n"/>
      <c r="BL89" s="64" t="n"/>
      <c r="BM89" s="64" t="n"/>
      <c r="BN89" s="136" t="n"/>
      <c r="BO89" s="136" t="n"/>
      <c r="BP89" s="64" t="n"/>
      <c r="BQ89" s="64" t="n"/>
      <c r="BR89" s="136" t="n"/>
      <c r="BS89" s="136" t="n"/>
      <c r="BT89" s="64" t="n"/>
      <c r="BU89" s="64" t="n"/>
      <c r="BV89" s="136" t="n"/>
      <c r="BW89" s="308" t="n"/>
      <c r="BX89" s="64" t="n"/>
      <c r="BY89" s="64" t="n"/>
      <c r="BZ89" s="64" t="n"/>
      <c r="CA89" s="64" t="n"/>
      <c r="CB89" s="64" t="n"/>
      <c r="CC89" s="64" t="n"/>
      <c r="CD89" s="64" t="n"/>
      <c r="CE89" s="64" t="n"/>
      <c r="CF89" s="64" t="n"/>
      <c r="CG89" s="64" t="n"/>
      <c r="CH89" s="64" t="n"/>
      <c r="CI89" s="64" t="n"/>
      <c r="CJ89" s="64" t="n"/>
      <c r="CK89" s="64" t="n"/>
      <c r="CL89" s="64" t="n"/>
      <c r="CM89" s="64" t="n"/>
      <c r="CN89" s="64" t="n"/>
      <c r="CO89" s="64" t="n"/>
    </row>
    <row r="90" ht="18" customHeight="1">
      <c r="A90" s="64" t="n"/>
      <c r="B90" s="2398" t="inlineStr">
        <is>
          <t>MÖvg</t>
        </is>
      </c>
      <c r="C90" s="2446" t="inlineStr">
        <is>
          <t>t</t>
        </is>
      </c>
      <c r="D90" s="2456" t="inlineStr">
        <is>
          <t xml:space="preserve">‡nvwìs bs- 317, wnivwSj </t>
        </is>
      </c>
      <c r="E90" s="64" t="n"/>
      <c r="F90" s="64" t="n"/>
      <c r="G90" s="2570" t="n"/>
      <c r="H90" s="64" t="n"/>
      <c r="I90" s="64" t="n"/>
      <c r="J90" s="64" t="n"/>
      <c r="K90" s="64" t="n"/>
      <c r="L90" s="64" t="n"/>
      <c r="M90" s="64" t="n"/>
      <c r="N90" s="2571" t="n"/>
      <c r="O90" s="64" t="n"/>
      <c r="P90" s="64" t="n"/>
      <c r="Q90" s="64" t="n"/>
      <c r="R90" s="136" t="n"/>
      <c r="S90" s="64" t="n"/>
      <c r="T90" s="64" t="n"/>
      <c r="U90" s="64" t="n"/>
      <c r="V90" s="136" t="n"/>
      <c r="W90" s="136" t="n"/>
      <c r="X90" s="64" t="n"/>
      <c r="Y90" s="64" t="n"/>
      <c r="Z90" s="136" t="n"/>
      <c r="AA90" s="64" t="n"/>
      <c r="AB90" s="64" t="n"/>
      <c r="AC90" s="64" t="n"/>
      <c r="AD90" s="136" t="n"/>
      <c r="AE90" s="64" t="n"/>
      <c r="AF90" s="64" t="n"/>
      <c r="AG90" s="64" t="n"/>
      <c r="AH90" s="136" t="n"/>
      <c r="AI90" s="64" t="n"/>
      <c r="AJ90" s="64" t="n"/>
      <c r="AK90" s="64" t="n"/>
      <c r="AL90" s="136" t="n"/>
      <c r="AM90" s="64" t="n"/>
      <c r="AN90" s="64" t="n"/>
      <c r="AO90" s="64" t="n"/>
      <c r="AP90" s="136" t="n"/>
      <c r="AQ90" s="64" t="n"/>
      <c r="AR90" s="64" t="n"/>
      <c r="AS90" s="64" t="n"/>
      <c r="AT90" s="136" t="n"/>
      <c r="AU90" s="64" t="n"/>
      <c r="AV90" s="64" t="n"/>
      <c r="AW90" s="64" t="n"/>
      <c r="AX90" s="136" t="n"/>
      <c r="AY90" s="308" t="n"/>
      <c r="AZ90" s="64" t="n"/>
      <c r="BA90" s="64" t="n"/>
      <c r="BB90" s="136" t="n"/>
      <c r="BC90" s="64" t="n"/>
      <c r="BD90" s="64" t="n"/>
      <c r="BE90" s="64" t="n"/>
      <c r="BF90" s="136" t="n"/>
      <c r="BG90" s="64" t="n"/>
      <c r="BH90" s="64" t="n"/>
      <c r="BI90" s="136" t="n"/>
      <c r="BJ90" s="136" t="n"/>
      <c r="BK90" s="136" t="n"/>
      <c r="BL90" s="64" t="n"/>
      <c r="BM90" s="64" t="n"/>
      <c r="BN90" s="136" t="n"/>
      <c r="BO90" s="136" t="n"/>
      <c r="BP90" s="64" t="n"/>
      <c r="BQ90" s="64" t="n"/>
      <c r="BR90" s="136" t="n"/>
      <c r="BS90" s="136" t="n"/>
      <c r="BT90" s="64" t="n"/>
      <c r="BU90" s="64" t="n"/>
      <c r="BV90" s="136" t="n"/>
      <c r="BW90" s="308" t="n"/>
      <c r="BX90" s="64" t="n"/>
      <c r="BY90" s="64" t="n"/>
      <c r="BZ90" s="64" t="n"/>
      <c r="CA90" s="64" t="n"/>
      <c r="CB90" s="64" t="n"/>
      <c r="CC90" s="64" t="n"/>
      <c r="CD90" s="64" t="n"/>
      <c r="CE90" s="64" t="n"/>
      <c r="CF90" s="64" t="n"/>
      <c r="CG90" s="64" t="n"/>
      <c r="CH90" s="64" t="n"/>
      <c r="CI90" s="64" t="n"/>
      <c r="CJ90" s="64" t="n"/>
      <c r="CK90" s="64" t="n"/>
      <c r="CL90" s="64" t="n"/>
      <c r="CM90" s="64" t="n"/>
      <c r="CN90" s="64" t="n"/>
      <c r="CO90" s="64" t="n"/>
    </row>
    <row r="91" ht="18" customHeight="1">
      <c r="A91" s="64" t="n"/>
      <c r="B91" s="2398" t="inlineStr">
        <is>
          <t>BDwbqb</t>
        </is>
      </c>
      <c r="C91" s="2446" t="inlineStr">
        <is>
          <t>t</t>
        </is>
      </c>
      <c r="D91" s="2456" t="inlineStr">
        <is>
          <t>bvivqYMÄ wmwU K‡c©v‡ikb</t>
        </is>
      </c>
      <c r="E91" s="64" t="n"/>
      <c r="F91" s="64" t="n"/>
      <c r="G91" s="2570" t="n"/>
      <c r="H91" s="64" t="n"/>
      <c r="I91" s="64" t="n"/>
      <c r="J91" s="64" t="n"/>
      <c r="K91" s="64" t="n"/>
      <c r="L91" s="64" t="n"/>
      <c r="M91" s="64" t="n"/>
      <c r="N91" s="2571" t="n"/>
      <c r="O91" s="64" t="n"/>
      <c r="P91" s="64" t="n"/>
      <c r="Q91" s="64" t="n"/>
      <c r="R91" s="136" t="n"/>
      <c r="S91" s="64" t="n"/>
      <c r="T91" s="64" t="n"/>
      <c r="U91" s="64" t="n"/>
      <c r="V91" s="136" t="n"/>
      <c r="W91" s="136" t="n"/>
      <c r="X91" s="64" t="n"/>
      <c r="Y91" s="64" t="n"/>
      <c r="Z91" s="136" t="n"/>
      <c r="AA91" s="64" t="n"/>
      <c r="AB91" s="64" t="n"/>
      <c r="AC91" s="64" t="n"/>
      <c r="AD91" s="136" t="n"/>
      <c r="AE91" s="64" t="n"/>
      <c r="AF91" s="64" t="n"/>
      <c r="AG91" s="64" t="n"/>
      <c r="AH91" s="136" t="n"/>
      <c r="AI91" s="64" t="n"/>
      <c r="AJ91" s="64" t="n"/>
      <c r="AK91" s="64" t="n"/>
      <c r="AL91" s="136" t="n"/>
      <c r="AM91" s="64" t="n"/>
      <c r="AN91" s="64" t="n"/>
      <c r="AO91" s="64" t="n"/>
      <c r="AP91" s="136" t="n"/>
      <c r="AQ91" s="64" t="n"/>
      <c r="AR91" s="64" t="n"/>
      <c r="AS91" s="64" t="n"/>
      <c r="AT91" s="136" t="n"/>
      <c r="AU91" s="64" t="n"/>
      <c r="AV91" s="64" t="n"/>
      <c r="AW91" s="64" t="n"/>
      <c r="AX91" s="136" t="n"/>
      <c r="AY91" s="308" t="n"/>
      <c r="AZ91" s="64" t="n"/>
      <c r="BA91" s="64" t="n"/>
      <c r="BB91" s="136" t="n"/>
      <c r="BC91" s="64" t="n"/>
      <c r="BD91" s="64" t="n"/>
      <c r="BE91" s="64" t="n"/>
      <c r="BF91" s="136" t="n"/>
      <c r="BG91" s="64" t="n"/>
      <c r="BH91" s="64" t="n"/>
      <c r="BI91" s="136" t="n"/>
      <c r="BJ91" s="136" t="n"/>
      <c r="BK91" s="136" t="n"/>
      <c r="BL91" s="64" t="n"/>
      <c r="BM91" s="64" t="n"/>
      <c r="BN91" s="136" t="n"/>
      <c r="BO91" s="136" t="n"/>
      <c r="BP91" s="64" t="n"/>
      <c r="BQ91" s="64" t="n"/>
      <c r="BR91" s="136" t="n"/>
      <c r="BS91" s="136" t="n"/>
      <c r="BT91" s="64" t="n"/>
      <c r="BU91" s="64" t="n"/>
      <c r="BV91" s="136" t="n"/>
      <c r="BW91" s="308" t="n"/>
      <c r="BX91" s="64" t="n"/>
      <c r="BY91" s="64" t="n"/>
      <c r="BZ91" s="64" t="n"/>
      <c r="CA91" s="64" t="n"/>
      <c r="CB91" s="64" t="n"/>
      <c r="CC91" s="64" t="n"/>
      <c r="CD91" s="64" t="n"/>
      <c r="CE91" s="64" t="n"/>
      <c r="CF91" s="64" t="n"/>
      <c r="CG91" s="64" t="n"/>
      <c r="CH91" s="64" t="n"/>
      <c r="CI91" s="64" t="n"/>
      <c r="CJ91" s="64" t="n"/>
      <c r="CK91" s="64" t="n"/>
      <c r="CL91" s="64" t="n"/>
      <c r="CM91" s="64" t="n"/>
      <c r="CN91" s="64" t="n"/>
      <c r="CO91" s="64" t="n"/>
    </row>
    <row r="92" ht="18" customHeight="1">
      <c r="A92" s="64" t="n"/>
      <c r="B92" s="2398" t="inlineStr">
        <is>
          <t>WvKNi</t>
        </is>
      </c>
      <c r="C92" s="2446" t="inlineStr">
        <is>
          <t>t</t>
        </is>
      </c>
      <c r="D92" s="2456" t="inlineStr">
        <is>
          <t>wgRwgwR-1430</t>
        </is>
      </c>
      <c r="E92" s="64" t="n"/>
      <c r="F92" s="64" t="n"/>
      <c r="G92" s="2570" t="n"/>
      <c r="H92" s="64" t="n"/>
      <c r="I92" s="64" t="n"/>
      <c r="J92" s="64" t="n"/>
      <c r="K92" s="64" t="n"/>
      <c r="L92" s="64" t="n"/>
      <c r="M92" s="64" t="n"/>
      <c r="N92" s="2571" t="n"/>
      <c r="O92" s="64" t="n"/>
      <c r="P92" s="64" t="n"/>
      <c r="Q92" s="64" t="n"/>
      <c r="R92" s="136" t="n"/>
      <c r="S92" s="64" t="n"/>
      <c r="T92" s="64" t="n"/>
      <c r="U92" s="64" t="n"/>
      <c r="V92" s="136" t="n"/>
      <c r="W92" s="136" t="n"/>
      <c r="X92" s="64" t="n"/>
      <c r="Y92" s="64" t="n"/>
      <c r="Z92" s="136" t="n"/>
      <c r="AA92" s="64" t="n"/>
      <c r="AB92" s="64" t="n"/>
      <c r="AC92" s="64" t="n"/>
      <c r="AD92" s="136" t="n"/>
      <c r="AE92" s="64" t="n"/>
      <c r="AF92" s="64" t="n"/>
      <c r="AG92" s="64" t="n"/>
      <c r="AH92" s="136" t="n"/>
      <c r="AI92" s="64" t="n"/>
      <c r="AJ92" s="64" t="n"/>
      <c r="AK92" s="64" t="n"/>
      <c r="AL92" s="136" t="n"/>
      <c r="AM92" s="64" t="n"/>
      <c r="AN92" s="64" t="n"/>
      <c r="AO92" s="64" t="n"/>
      <c r="AP92" s="136" t="n"/>
      <c r="AQ92" s="64" t="n"/>
      <c r="AR92" s="64" t="n"/>
      <c r="AS92" s="64" t="n"/>
      <c r="AT92" s="136" t="n"/>
      <c r="AU92" s="64" t="n"/>
      <c r="AV92" s="64" t="n"/>
      <c r="AW92" s="64" t="n"/>
      <c r="AX92" s="136" t="n"/>
      <c r="AY92" s="308" t="n"/>
      <c r="AZ92" s="64" t="n"/>
      <c r="BA92" s="64" t="n"/>
      <c r="BB92" s="136" t="n"/>
      <c r="BC92" s="64" t="n"/>
      <c r="BD92" s="64" t="n"/>
      <c r="BE92" s="64" t="n"/>
      <c r="BF92" s="136" t="n"/>
      <c r="BG92" s="64" t="n"/>
      <c r="BH92" s="64" t="n"/>
      <c r="BI92" s="136" t="n"/>
      <c r="BJ92" s="136" t="n"/>
      <c r="BK92" s="136" t="n"/>
      <c r="BL92" s="64" t="n"/>
      <c r="BM92" s="64" t="n"/>
      <c r="BN92" s="136" t="n"/>
      <c r="BO92" s="136" t="n"/>
      <c r="BP92" s="64" t="n"/>
      <c r="BQ92" s="64" t="n"/>
      <c r="BR92" s="136" t="n"/>
      <c r="BS92" s="136" t="n"/>
      <c r="BT92" s="64" t="n"/>
      <c r="BU92" s="64" t="n"/>
      <c r="BV92" s="136" t="n"/>
      <c r="BW92" s="308" t="n"/>
      <c r="BX92" s="64" t="n"/>
      <c r="BY92" s="64" t="n"/>
      <c r="BZ92" s="64" t="n"/>
      <c r="CA92" s="64" t="n"/>
      <c r="CB92" s="64" t="n"/>
      <c r="CC92" s="64" t="n"/>
      <c r="CD92" s="64" t="n"/>
      <c r="CE92" s="64" t="n"/>
      <c r="CF92" s="64" t="n"/>
      <c r="CG92" s="64" t="n"/>
      <c r="CH92" s="64" t="n"/>
      <c r="CI92" s="64" t="n"/>
      <c r="CJ92" s="64" t="n"/>
      <c r="CK92" s="64" t="n"/>
      <c r="CL92" s="64" t="n"/>
      <c r="CM92" s="64" t="n"/>
      <c r="CN92" s="64" t="n"/>
      <c r="CO92" s="64" t="n"/>
    </row>
    <row r="93" ht="18" customHeight="1">
      <c r="A93" s="64" t="n"/>
      <c r="B93" s="2398" t="inlineStr">
        <is>
          <t>_vbv</t>
        </is>
      </c>
      <c r="C93" s="2446" t="inlineStr">
        <is>
          <t>t</t>
        </is>
      </c>
      <c r="D93" s="2456" t="inlineStr">
        <is>
          <t>wmw×iMÄ</t>
        </is>
      </c>
      <c r="E93" s="64" t="n"/>
      <c r="F93" s="64" t="n"/>
      <c r="G93" s="2570" t="n"/>
      <c r="H93" s="64" t="n"/>
      <c r="I93" s="64" t="n"/>
      <c r="J93" s="64" t="n"/>
      <c r="K93" s="64" t="n"/>
      <c r="L93" s="64" t="n"/>
      <c r="M93" s="64" t="n"/>
      <c r="N93" s="2571" t="n"/>
      <c r="O93" s="64" t="n"/>
      <c r="P93" s="64" t="n"/>
      <c r="Q93" s="64" t="n"/>
      <c r="R93" s="136" t="n"/>
      <c r="S93" s="64" t="n"/>
      <c r="T93" s="64" t="n"/>
      <c r="U93" s="64" t="n"/>
      <c r="V93" s="136" t="n"/>
      <c r="W93" s="136" t="n"/>
      <c r="X93" s="64" t="n"/>
      <c r="Y93" s="64" t="n"/>
      <c r="Z93" s="136" t="n"/>
      <c r="AA93" s="64" t="n"/>
      <c r="AB93" s="64" t="n"/>
      <c r="AC93" s="64" t="n"/>
      <c r="AD93" s="136" t="n"/>
      <c r="AE93" s="64" t="n"/>
      <c r="AF93" s="64" t="n"/>
      <c r="AG93" s="64" t="n"/>
      <c r="AH93" s="136" t="n"/>
      <c r="AI93" s="64" t="n"/>
      <c r="AJ93" s="64" t="n"/>
      <c r="AK93" s="64" t="n"/>
      <c r="AL93" s="136" t="n"/>
      <c r="AM93" s="64" t="n"/>
      <c r="AN93" s="64" t="n"/>
      <c r="AO93" s="64" t="n"/>
      <c r="AP93" s="136" t="n"/>
      <c r="AQ93" s="64" t="n"/>
      <c r="AR93" s="64" t="n"/>
      <c r="AS93" s="64" t="n"/>
      <c r="AT93" s="136" t="n"/>
      <c r="AU93" s="64" t="n"/>
      <c r="AV93" s="64" t="n"/>
      <c r="AW93" s="64" t="n"/>
      <c r="AX93" s="136" t="n"/>
      <c r="AY93" s="308" t="n"/>
      <c r="AZ93" s="64" t="n"/>
      <c r="BA93" s="64" t="n"/>
      <c r="BB93" s="136" t="n"/>
      <c r="BC93" s="64" t="n"/>
      <c r="BD93" s="64" t="n"/>
      <c r="BE93" s="64" t="n"/>
      <c r="BF93" s="136" t="n"/>
      <c r="BG93" s="64" t="n"/>
      <c r="BH93" s="64" t="n"/>
      <c r="BI93" s="136" t="n"/>
      <c r="BJ93" s="136" t="n"/>
      <c r="BK93" s="136" t="n"/>
      <c r="BL93" s="64" t="n"/>
      <c r="BM93" s="64" t="n"/>
      <c r="BN93" s="136" t="n"/>
      <c r="BO93" s="136" t="n"/>
      <c r="BP93" s="64" t="n"/>
      <c r="BQ93" s="64" t="n"/>
      <c r="BR93" s="136" t="n"/>
      <c r="BS93" s="136" t="n"/>
      <c r="BT93" s="64" t="n"/>
      <c r="BU93" s="64" t="n"/>
      <c r="BV93" s="136" t="n"/>
      <c r="BW93" s="308" t="n"/>
      <c r="BX93" s="64" t="n"/>
      <c r="BY93" s="64" t="n"/>
      <c r="BZ93" s="64" t="n"/>
      <c r="CA93" s="64" t="n"/>
      <c r="CB93" s="64" t="n"/>
      <c r="CC93" s="64" t="n"/>
      <c r="CD93" s="64" t="n"/>
      <c r="CE93" s="64" t="n"/>
      <c r="CF93" s="64" t="n"/>
      <c r="CG93" s="64" t="n"/>
      <c r="CH93" s="64" t="n"/>
      <c r="CI93" s="64" t="n"/>
      <c r="CJ93" s="64" t="n"/>
      <c r="CK93" s="64" t="n"/>
      <c r="CL93" s="64" t="n"/>
      <c r="CM93" s="64" t="n"/>
      <c r="CN93" s="64" t="n"/>
      <c r="CO93" s="64" t="n"/>
    </row>
    <row r="94" ht="18" customHeight="1">
      <c r="A94" s="64" t="n"/>
      <c r="B94" s="2398" t="inlineStr">
        <is>
          <t>Dc‡Rjv</t>
        </is>
      </c>
      <c r="C94" s="2446" t="inlineStr">
        <is>
          <t>t</t>
        </is>
      </c>
      <c r="D94" s="2504" t="inlineStr">
        <is>
          <t>bvivqYMÄ m`i</t>
        </is>
      </c>
      <c r="E94" s="64" t="n"/>
      <c r="F94" s="64" t="n"/>
      <c r="G94" s="2570" t="n"/>
      <c r="H94" s="64" t="n"/>
      <c r="I94" s="64" t="n"/>
      <c r="J94" s="64" t="n"/>
      <c r="K94" s="64" t="n"/>
      <c r="L94" s="64" t="n"/>
      <c r="M94" s="64" t="n"/>
      <c r="N94" s="2571" t="n"/>
      <c r="O94" s="64" t="n"/>
      <c r="P94" s="64" t="n"/>
      <c r="Q94" s="64" t="n"/>
      <c r="R94" s="136" t="n"/>
      <c r="S94" s="64" t="n"/>
      <c r="T94" s="64" t="n"/>
      <c r="U94" s="64" t="n"/>
      <c r="V94" s="136" t="n"/>
      <c r="W94" s="136" t="n"/>
      <c r="X94" s="64" t="n"/>
      <c r="Y94" s="64" t="n"/>
      <c r="Z94" s="136" t="n"/>
      <c r="AA94" s="64" t="n"/>
      <c r="AB94" s="64" t="n"/>
      <c r="AC94" s="64" t="n"/>
      <c r="AD94" s="136" t="n"/>
      <c r="AE94" s="64" t="n"/>
      <c r="AF94" s="64" t="n"/>
      <c r="AG94" s="64" t="n"/>
      <c r="AH94" s="136" t="n"/>
      <c r="AI94" s="64" t="n"/>
      <c r="AJ94" s="64" t="n"/>
      <c r="AK94" s="64" t="n"/>
      <c r="AL94" s="136" t="n"/>
      <c r="AM94" s="64" t="n"/>
      <c r="AN94" s="64" t="n"/>
      <c r="AO94" s="64" t="n"/>
      <c r="AP94" s="136" t="n"/>
      <c r="AQ94" s="64" t="n"/>
      <c r="AR94" s="64" t="n"/>
      <c r="AS94" s="64" t="n"/>
      <c r="AT94" s="136" t="n"/>
      <c r="AU94" s="64" t="n"/>
      <c r="AV94" s="64" t="n"/>
      <c r="AW94" s="64" t="n"/>
      <c r="AX94" s="136" t="n"/>
      <c r="AY94" s="308" t="n"/>
      <c r="AZ94" s="64" t="n"/>
      <c r="BA94" s="64" t="n"/>
      <c r="BB94" s="136" t="n"/>
      <c r="BC94" s="64" t="n"/>
      <c r="BD94" s="64" t="n"/>
      <c r="BE94" s="64" t="n"/>
      <c r="BF94" s="136" t="n"/>
      <c r="BG94" s="64" t="n"/>
      <c r="BH94" s="64" t="n"/>
      <c r="BI94" s="136" t="n"/>
      <c r="BJ94" s="136" t="n"/>
      <c r="BK94" s="136" t="n"/>
      <c r="BL94" s="64" t="n"/>
      <c r="BM94" s="64" t="n"/>
      <c r="BN94" s="136" t="n"/>
      <c r="BO94" s="136" t="n"/>
      <c r="BP94" s="64" t="n"/>
      <c r="BQ94" s="64" t="n"/>
      <c r="BR94" s="136" t="n"/>
      <c r="BS94" s="136" t="n"/>
      <c r="BT94" s="64" t="n"/>
      <c r="BU94" s="64" t="n"/>
      <c r="BV94" s="136" t="n"/>
      <c r="BW94" s="308" t="n"/>
      <c r="BX94" s="64" t="n"/>
      <c r="BY94" s="64" t="n"/>
      <c r="BZ94" s="64" t="n"/>
      <c r="CA94" s="64" t="n"/>
      <c r="CB94" s="64" t="n"/>
      <c r="CC94" s="64" t="n"/>
      <c r="CD94" s="64" t="n"/>
      <c r="CE94" s="64" t="n"/>
      <c r="CF94" s="64" t="n"/>
      <c r="CG94" s="64" t="n"/>
      <c r="CH94" s="64" t="n"/>
      <c r="CI94" s="64" t="n"/>
      <c r="CJ94" s="64" t="n"/>
      <c r="CK94" s="64" t="n"/>
      <c r="CL94" s="64" t="n"/>
      <c r="CM94" s="64" t="n"/>
      <c r="CN94" s="64" t="n"/>
      <c r="CO94" s="64" t="n"/>
    </row>
    <row r="95" ht="18" customHeight="1">
      <c r="A95" s="64" t="n"/>
      <c r="B95" s="2398" t="inlineStr">
        <is>
          <t>‡Rjv</t>
        </is>
      </c>
      <c r="C95" s="2446" t="inlineStr">
        <is>
          <t>t</t>
        </is>
      </c>
      <c r="D95" s="2504" t="inlineStr">
        <is>
          <t>bvivqYMÄ</t>
        </is>
      </c>
      <c r="E95" s="64" t="n"/>
      <c r="F95" s="64" t="n"/>
      <c r="G95" s="2570" t="n"/>
      <c r="H95" s="64" t="n"/>
      <c r="I95" s="64" t="n"/>
      <c r="J95" s="64" t="n"/>
      <c r="K95" s="64" t="n"/>
      <c r="L95" s="64" t="n"/>
      <c r="M95" s="64" t="n"/>
      <c r="N95" s="2571" t="n"/>
      <c r="O95" s="64" t="n"/>
      <c r="P95" s="64" t="n"/>
      <c r="Q95" s="64" t="n"/>
      <c r="R95" s="136" t="n"/>
      <c r="S95" s="64" t="n"/>
      <c r="T95" s="64" t="n"/>
      <c r="U95" s="64" t="n"/>
      <c r="V95" s="136" t="n"/>
      <c r="W95" s="136" t="n"/>
      <c r="X95" s="64" t="n"/>
      <c r="Y95" s="64" t="n"/>
      <c r="Z95" s="136" t="n"/>
      <c r="AA95" s="64" t="n"/>
      <c r="AB95" s="64" t="n"/>
      <c r="AC95" s="64" t="n"/>
      <c r="AD95" s="136" t="n"/>
      <c r="AE95" s="64" t="n"/>
      <c r="AF95" s="64" t="n"/>
      <c r="AG95" s="64" t="n"/>
      <c r="AH95" s="136" t="n"/>
      <c r="AI95" s="64" t="n"/>
      <c r="AJ95" s="64" t="n"/>
      <c r="AK95" s="64" t="n"/>
      <c r="AL95" s="136" t="n"/>
      <c r="AM95" s="64" t="n"/>
      <c r="AN95" s="64" t="n"/>
      <c r="AO95" s="64" t="n"/>
      <c r="AP95" s="136" t="n"/>
      <c r="AQ95" s="64" t="n"/>
      <c r="AR95" s="64" t="n"/>
      <c r="AS95" s="64" t="n"/>
      <c r="AT95" s="136" t="n"/>
      <c r="AU95" s="64" t="n"/>
      <c r="AV95" s="64" t="n"/>
      <c r="AW95" s="64" t="n"/>
      <c r="AX95" s="136" t="n"/>
      <c r="AY95" s="308" t="n"/>
      <c r="AZ95" s="64" t="n"/>
      <c r="BA95" s="64" t="n"/>
      <c r="BB95" s="136" t="n"/>
      <c r="BC95" s="64" t="n"/>
      <c r="BD95" s="64" t="n"/>
      <c r="BE95" s="64" t="n"/>
      <c r="BF95" s="136" t="n"/>
      <c r="BG95" s="64" t="n"/>
      <c r="BH95" s="64" t="n"/>
      <c r="BI95" s="136" t="n"/>
      <c r="BJ95" s="136" t="n"/>
      <c r="BK95" s="136" t="n"/>
      <c r="BL95" s="64" t="n"/>
      <c r="BM95" s="64" t="n"/>
      <c r="BN95" s="136" t="n"/>
      <c r="BO95" s="136" t="n"/>
      <c r="BP95" s="64" t="n"/>
      <c r="BQ95" s="64" t="n"/>
      <c r="BR95" s="136" t="n"/>
      <c r="BS95" s="136" t="n"/>
      <c r="BT95" s="64" t="n"/>
      <c r="BU95" s="64" t="n"/>
      <c r="BV95" s="136" t="n"/>
      <c r="BW95" s="308" t="n"/>
      <c r="BX95" s="64" t="n"/>
      <c r="BY95" s="64" t="n"/>
      <c r="BZ95" s="64" t="n"/>
      <c r="CA95" s="64" t="n"/>
      <c r="CB95" s="64" t="n"/>
      <c r="CC95" s="64" t="n"/>
      <c r="CD95" s="64" t="n"/>
      <c r="CE95" s="64" t="n"/>
      <c r="CF95" s="64" t="n"/>
      <c r="CG95" s="64" t="n"/>
      <c r="CH95" s="64" t="n"/>
      <c r="CI95" s="64" t="n"/>
      <c r="CJ95" s="64" t="n"/>
      <c r="CK95" s="64" t="n"/>
      <c r="CL95" s="64" t="n"/>
      <c r="CM95" s="64" t="n"/>
      <c r="CN95" s="64" t="n"/>
      <c r="CO95" s="64" t="n"/>
    </row>
    <row r="96" ht="18" customHeight="1">
      <c r="A96" s="64" t="n"/>
      <c r="B96" s="2398" t="inlineStr">
        <is>
          <t>PjwZ wnmve bs</t>
        </is>
      </c>
      <c r="C96" s="2446" t="inlineStr">
        <is>
          <t>t</t>
        </is>
      </c>
      <c r="D96" s="2505" t="inlineStr">
        <is>
          <t>P wnt bs-3678</t>
        </is>
      </c>
      <c r="E96" s="64" t="n"/>
      <c r="F96" s="64" t="n"/>
      <c r="G96" s="2570" t="n"/>
      <c r="H96" s="64" t="n"/>
      <c r="I96" s="64" t="n"/>
      <c r="J96" s="64" t="n"/>
      <c r="K96" s="64" t="n"/>
      <c r="L96" s="64" t="n"/>
      <c r="M96" s="64" t="n"/>
      <c r="N96" s="2571" t="n"/>
      <c r="O96" s="64" t="n"/>
      <c r="P96" s="64" t="n"/>
      <c r="Q96" s="64" t="n"/>
      <c r="R96" s="136" t="n"/>
      <c r="S96" s="64" t="n"/>
      <c r="T96" s="64" t="n"/>
      <c r="U96" s="64" t="n"/>
      <c r="V96" s="136" t="n"/>
      <c r="W96" s="136" t="n"/>
      <c r="X96" s="64" t="n"/>
      <c r="Y96" s="64" t="n"/>
      <c r="Z96" s="136" t="n"/>
      <c r="AA96" s="64" t="n"/>
      <c r="AB96" s="64" t="n"/>
      <c r="AC96" s="64" t="n"/>
      <c r="AD96" s="136" t="n"/>
      <c r="AE96" s="64" t="n"/>
      <c r="AF96" s="64" t="n"/>
      <c r="AG96" s="64" t="n"/>
      <c r="AH96" s="136" t="n"/>
      <c r="AI96" s="64" t="n"/>
      <c r="AJ96" s="64" t="n"/>
      <c r="AK96" s="64" t="n"/>
      <c r="AL96" s="136" t="n"/>
      <c r="AM96" s="64" t="n"/>
      <c r="AN96" s="64" t="n"/>
      <c r="AO96" s="64" t="n"/>
      <c r="AP96" s="136" t="n"/>
      <c r="AQ96" s="64" t="n"/>
      <c r="AR96" s="64" t="n"/>
      <c r="AS96" s="64" t="n"/>
      <c r="AT96" s="136" t="n"/>
      <c r="AU96" s="64" t="n"/>
      <c r="AV96" s="64" t="n"/>
      <c r="AW96" s="64" t="n"/>
      <c r="AX96" s="136" t="n"/>
      <c r="AY96" s="308" t="n"/>
      <c r="AZ96" s="64" t="n"/>
      <c r="BA96" s="64" t="n"/>
      <c r="BB96" s="136" t="n"/>
      <c r="BC96" s="64" t="n"/>
      <c r="BD96" s="64" t="n"/>
      <c r="BE96" s="64" t="n"/>
      <c r="BF96" s="136" t="n"/>
      <c r="BG96" s="64" t="n"/>
      <c r="BH96" s="64" t="n"/>
      <c r="BI96" s="136" t="n"/>
      <c r="BJ96" s="136" t="n"/>
      <c r="BK96" s="136" t="n"/>
      <c r="BL96" s="64" t="n"/>
      <c r="BM96" s="64" t="n"/>
      <c r="BN96" s="136" t="n"/>
      <c r="BO96" s="136" t="n"/>
      <c r="BP96" s="64" t="n"/>
      <c r="BQ96" s="64" t="n"/>
      <c r="BR96" s="136" t="n"/>
      <c r="BS96" s="136" t="n"/>
      <c r="BT96" s="64" t="n"/>
      <c r="BU96" s="64" t="n"/>
      <c r="BV96" s="136" t="n"/>
      <c r="BW96" s="308" t="n"/>
      <c r="BX96" s="64" t="n"/>
      <c r="BY96" s="64" t="n"/>
      <c r="BZ96" s="64" t="n"/>
      <c r="CA96" s="64" t="n"/>
      <c r="CB96" s="64" t="n"/>
      <c r="CC96" s="64" t="n"/>
      <c r="CD96" s="64" t="n"/>
      <c r="CE96" s="64" t="n"/>
      <c r="CF96" s="64" t="n"/>
      <c r="CG96" s="64" t="n"/>
      <c r="CH96" s="64" t="n"/>
      <c r="CI96" s="64" t="n"/>
      <c r="CJ96" s="64" t="n"/>
      <c r="CK96" s="64" t="n"/>
      <c r="CL96" s="64" t="n"/>
      <c r="CM96" s="64" t="n"/>
      <c r="CN96" s="64" t="n"/>
      <c r="CO96" s="64" t="n"/>
    </row>
    <row r="97" ht="18" customHeight="1">
      <c r="A97" s="64" t="n"/>
      <c r="B97" s="2398" t="inlineStr">
        <is>
          <t>wnmve ‡Lvjvi ZvwiL</t>
        </is>
      </c>
      <c r="C97" s="2446" t="inlineStr">
        <is>
          <t>t</t>
        </is>
      </c>
      <c r="D97" s="2504" t="inlineStr">
        <is>
          <t>19/12/2024 wLªt</t>
        </is>
      </c>
      <c r="E97" s="64" t="n"/>
      <c r="F97" s="64" t="n"/>
      <c r="G97" s="2570" t="n"/>
      <c r="H97" s="64" t="n"/>
      <c r="I97" s="64" t="n"/>
      <c r="J97" s="64" t="n"/>
      <c r="K97" s="64" t="n"/>
      <c r="L97" s="64" t="n"/>
      <c r="M97" s="64" t="n"/>
      <c r="N97" s="2571" t="n"/>
      <c r="O97" s="64" t="n"/>
      <c r="P97" s="64" t="n"/>
      <c r="Q97" s="64" t="n"/>
      <c r="R97" s="136" t="n"/>
      <c r="S97" s="64" t="n"/>
      <c r="T97" s="64" t="n"/>
      <c r="U97" s="64" t="n"/>
      <c r="V97" s="136" t="n"/>
      <c r="W97" s="136" t="n"/>
      <c r="X97" s="64" t="n"/>
      <c r="Y97" s="64" t="n"/>
      <c r="Z97" s="136" t="n"/>
      <c r="AA97" s="64" t="n"/>
      <c r="AB97" s="64" t="n"/>
      <c r="AC97" s="64" t="n"/>
      <c r="AD97" s="136" t="n"/>
      <c r="AE97" s="64" t="n"/>
      <c r="AF97" s="64" t="n"/>
      <c r="AG97" s="64" t="n"/>
      <c r="AH97" s="136" t="n"/>
      <c r="AI97" s="64" t="n"/>
      <c r="AJ97" s="64" t="n"/>
      <c r="AK97" s="64" t="n"/>
      <c r="AL97" s="136" t="n"/>
      <c r="AM97" s="64" t="n"/>
      <c r="AN97" s="64" t="n"/>
      <c r="AO97" s="64" t="n"/>
      <c r="AP97" s="136" t="n"/>
      <c r="AQ97" s="64" t="n"/>
      <c r="AR97" s="64" t="n"/>
      <c r="AS97" s="64" t="n"/>
      <c r="AT97" s="136" t="n"/>
      <c r="AU97" s="64" t="n"/>
      <c r="AV97" s="64" t="n"/>
      <c r="AW97" s="64" t="n"/>
      <c r="AX97" s="136" t="n"/>
      <c r="AY97" s="308" t="n"/>
      <c r="AZ97" s="64" t="n"/>
      <c r="BA97" s="64" t="n"/>
      <c r="BB97" s="136" t="n"/>
      <c r="BC97" s="64" t="n"/>
      <c r="BD97" s="64" t="n"/>
      <c r="BE97" s="64" t="n"/>
      <c r="BF97" s="136" t="n"/>
      <c r="BG97" s="64" t="n"/>
      <c r="BH97" s="64" t="n"/>
      <c r="BI97" s="136" t="n"/>
      <c r="BJ97" s="136" t="n"/>
      <c r="BK97" s="136" t="n"/>
      <c r="BL97" s="64" t="n"/>
      <c r="BM97" s="64" t="n"/>
      <c r="BN97" s="136" t="n"/>
      <c r="BO97" s="136" t="n"/>
      <c r="BP97" s="64" t="n"/>
      <c r="BQ97" s="64" t="n"/>
      <c r="BR97" s="136" t="n"/>
      <c r="BS97" s="136" t="n"/>
      <c r="BT97" s="64" t="n"/>
      <c r="BU97" s="64" t="n"/>
      <c r="BV97" s="136" t="n"/>
      <c r="BW97" s="308" t="n"/>
      <c r="BX97" s="64" t="n"/>
      <c r="BY97" s="64" t="n"/>
      <c r="BZ97" s="64" t="n"/>
      <c r="CA97" s="64" t="n"/>
      <c r="CB97" s="64" t="n"/>
      <c r="CC97" s="64" t="n"/>
      <c r="CD97" s="64" t="n"/>
      <c r="CE97" s="64" t="n"/>
      <c r="CF97" s="64" t="n"/>
      <c r="CG97" s="64" t="n"/>
      <c r="CH97" s="64" t="n"/>
      <c r="CI97" s="64" t="n"/>
      <c r="CJ97" s="64" t="n"/>
      <c r="CK97" s="64" t="n"/>
      <c r="CL97" s="64" t="n"/>
      <c r="CM97" s="64" t="n"/>
      <c r="CN97" s="64" t="n"/>
      <c r="CO97" s="64" t="n"/>
    </row>
    <row r="98" ht="18" customHeight="1">
      <c r="A98" s="64" t="n"/>
      <c r="B98" s="2506" t="inlineStr">
        <is>
          <t>TIN</t>
        </is>
      </c>
      <c r="C98" s="2446" t="inlineStr">
        <is>
          <t>t</t>
        </is>
      </c>
      <c r="D98" s="2507" t="n">
        <v>186078663120</v>
      </c>
      <c r="E98" s="64" t="n"/>
      <c r="F98" s="64" t="n"/>
      <c r="G98" s="2570" t="n"/>
      <c r="H98" s="64" t="n"/>
      <c r="I98" s="64" t="n"/>
      <c r="J98" s="64" t="n"/>
      <c r="K98" s="64" t="n"/>
      <c r="L98" s="64" t="n"/>
      <c r="M98" s="64" t="n"/>
      <c r="N98" s="2571" t="n"/>
      <c r="O98" s="64" t="n"/>
      <c r="P98" s="64" t="n"/>
      <c r="Q98" s="64" t="n"/>
      <c r="R98" s="136" t="n"/>
      <c r="S98" s="64" t="n"/>
      <c r="T98" s="64" t="n"/>
      <c r="U98" s="64" t="n"/>
      <c r="V98" s="136" t="n"/>
      <c r="W98" s="136" t="n"/>
      <c r="X98" s="64" t="n"/>
      <c r="Y98" s="64" t="n"/>
      <c r="Z98" s="136" t="n"/>
      <c r="AA98" s="64" t="n"/>
      <c r="AB98" s="64" t="n"/>
      <c r="AC98" s="64" t="n"/>
      <c r="AD98" s="136" t="n"/>
      <c r="AE98" s="64" t="n"/>
      <c r="AF98" s="64" t="n"/>
      <c r="AG98" s="64" t="n"/>
      <c r="AH98" s="136" t="n"/>
      <c r="AI98" s="64" t="n"/>
      <c r="AJ98" s="64" t="n"/>
      <c r="AK98" s="64" t="n"/>
      <c r="AL98" s="136" t="n"/>
      <c r="AM98" s="64" t="n"/>
      <c r="AN98" s="64" t="n"/>
      <c r="AO98" s="64" t="n"/>
      <c r="AP98" s="136" t="n"/>
      <c r="AQ98" s="64" t="n"/>
      <c r="AR98" s="64" t="n"/>
      <c r="AS98" s="64" t="n"/>
      <c r="AT98" s="136" t="n"/>
      <c r="AU98" s="64" t="n"/>
      <c r="AV98" s="64" t="n"/>
      <c r="AW98" s="64" t="n"/>
      <c r="AX98" s="136" t="n"/>
      <c r="AY98" s="308" t="n"/>
      <c r="AZ98" s="64" t="n"/>
      <c r="BA98" s="64" t="n"/>
      <c r="BB98" s="136" t="n"/>
      <c r="BC98" s="64" t="n"/>
      <c r="BD98" s="64" t="n"/>
      <c r="BE98" s="64" t="n"/>
      <c r="BF98" s="136" t="n"/>
      <c r="BG98" s="64" t="n"/>
      <c r="BH98" s="64" t="n"/>
      <c r="BI98" s="136" t="n"/>
      <c r="BJ98" s="136" t="n"/>
      <c r="BK98" s="136" t="n"/>
      <c r="BL98" s="64" t="n"/>
      <c r="BM98" s="64" t="n"/>
      <c r="BN98" s="136" t="n"/>
      <c r="BO98" s="136" t="n"/>
      <c r="BP98" s="64" t="n"/>
      <c r="BQ98" s="64" t="n"/>
      <c r="BR98" s="136" t="n"/>
      <c r="BS98" s="136" t="n"/>
      <c r="BT98" s="64" t="n"/>
      <c r="BU98" s="64" t="n"/>
      <c r="BV98" s="136" t="n"/>
      <c r="BW98" s="308" t="n"/>
      <c r="BX98" s="64" t="n"/>
      <c r="BY98" s="64" t="n"/>
      <c r="BZ98" s="64" t="n"/>
      <c r="CA98" s="64" t="n"/>
      <c r="CB98" s="64" t="n"/>
      <c r="CC98" s="64" t="n"/>
      <c r="CD98" s="64" t="n"/>
      <c r="CE98" s="64" t="n"/>
      <c r="CF98" s="64" t="n"/>
      <c r="CG98" s="64" t="n"/>
      <c r="CH98" s="64" t="n"/>
      <c r="CI98" s="64" t="n"/>
      <c r="CJ98" s="64" t="n"/>
      <c r="CK98" s="64" t="n"/>
      <c r="CL98" s="64" t="n"/>
      <c r="CM98" s="64" t="n"/>
      <c r="CN98" s="64" t="n"/>
      <c r="CO98" s="64" t="n"/>
    </row>
    <row r="99" ht="18" customHeight="1">
      <c r="A99" s="64" t="n"/>
      <c r="B99" s="2508" t="inlineStr">
        <is>
          <t xml:space="preserve">¯’vqx wVKvbv </t>
        </is>
      </c>
      <c r="C99" s="2509" t="inlineStr">
        <is>
          <t>t</t>
        </is>
      </c>
      <c r="D99" s="2500" t="inlineStr">
        <is>
          <t>c`yqvi cvo, Kvjxcyi, †cvt cvVvb evRvi-3643, BDwct mv`yjøvcyi, Dc‡Rjv t gZje DËi, †Rjv t Puv`cyi</t>
        </is>
      </c>
      <c r="E99" s="64" t="n"/>
      <c r="F99" s="64" t="n"/>
      <c r="G99" s="2570" t="n"/>
      <c r="H99" s="64" t="n"/>
      <c r="I99" s="64" t="n"/>
      <c r="J99" s="64" t="n"/>
      <c r="K99" s="64" t="n"/>
      <c r="L99" s="64" t="n"/>
      <c r="M99" s="64" t="n"/>
      <c r="N99" s="2571" t="n"/>
      <c r="O99" s="64" t="n"/>
      <c r="P99" s="64" t="n"/>
      <c r="Q99" s="64" t="n"/>
      <c r="R99" s="136" t="n"/>
      <c r="S99" s="64" t="n"/>
      <c r="T99" s="64" t="n"/>
      <c r="U99" s="64" t="n"/>
      <c r="V99" s="136" t="n"/>
      <c r="W99" s="136" t="n"/>
      <c r="X99" s="64" t="n"/>
      <c r="Y99" s="64" t="n"/>
      <c r="Z99" s="136" t="n"/>
      <c r="AA99" s="64" t="n"/>
      <c r="AB99" s="64" t="n"/>
      <c r="AC99" s="64" t="n"/>
      <c r="AD99" s="136" t="n"/>
      <c r="AE99" s="64" t="n"/>
      <c r="AF99" s="64" t="n"/>
      <c r="AG99" s="64" t="n"/>
      <c r="AH99" s="136" t="n"/>
      <c r="AI99" s="64" t="n"/>
      <c r="AJ99" s="64" t="n"/>
      <c r="AK99" s="64" t="n"/>
      <c r="AL99" s="136" t="n"/>
      <c r="AM99" s="64" t="n"/>
      <c r="AN99" s="64" t="n"/>
      <c r="AO99" s="64" t="n"/>
      <c r="AP99" s="136" t="n"/>
      <c r="AQ99" s="64" t="n"/>
      <c r="AR99" s="64" t="n"/>
      <c r="AS99" s="64" t="n"/>
      <c r="AT99" s="136" t="n"/>
      <c r="AU99" s="64" t="n"/>
      <c r="AV99" s="64" t="n"/>
      <c r="AW99" s="64" t="n"/>
      <c r="AX99" s="136" t="n"/>
      <c r="AY99" s="308" t="n"/>
      <c r="AZ99" s="64" t="n"/>
      <c r="BA99" s="64" t="n"/>
      <c r="BB99" s="136" t="n"/>
      <c r="BC99" s="64" t="n"/>
      <c r="BD99" s="64" t="n"/>
      <c r="BE99" s="64" t="n"/>
      <c r="BF99" s="136" t="n"/>
      <c r="BG99" s="64" t="n"/>
      <c r="BH99" s="64" t="n"/>
      <c r="BI99" s="136" t="n"/>
      <c r="BJ99" s="136" t="n"/>
      <c r="BK99" s="136" t="n"/>
      <c r="BL99" s="64" t="n"/>
      <c r="BM99" s="64" t="n"/>
      <c r="BN99" s="136" t="n"/>
      <c r="BO99" s="136" t="n"/>
      <c r="BP99" s="64" t="n"/>
      <c r="BQ99" s="64" t="n"/>
      <c r="BR99" s="136" t="n"/>
      <c r="BS99" s="136" t="n"/>
      <c r="BT99" s="64" t="n"/>
      <c r="BU99" s="64" t="n"/>
      <c r="BV99" s="136" t="n"/>
      <c r="BW99" s="308" t="n"/>
      <c r="BX99" s="64" t="n"/>
      <c r="BY99" s="64" t="n"/>
      <c r="BZ99" s="64" t="n"/>
      <c r="CA99" s="64" t="n"/>
      <c r="CB99" s="64" t="n"/>
      <c r="CC99" s="64" t="n"/>
      <c r="CD99" s="64" t="n"/>
      <c r="CE99" s="64" t="n"/>
      <c r="CF99" s="64" t="n"/>
      <c r="CG99" s="64" t="n"/>
      <c r="CH99" s="64" t="n"/>
      <c r="CI99" s="64" t="n"/>
      <c r="CJ99" s="64" t="n"/>
      <c r="CK99" s="64" t="n"/>
      <c r="CL99" s="64" t="n"/>
      <c r="CM99" s="64" t="n"/>
      <c r="CN99" s="64" t="n"/>
      <c r="CO99" s="64" t="n"/>
    </row>
  </sheetData>
  <mergeCells count="23">
    <mergeCell ref="K53:N53"/>
    <mergeCell ref="B63:H63"/>
    <mergeCell ref="M2:N2"/>
    <mergeCell ref="P2:P14"/>
    <mergeCell ref="J56:L56"/>
    <mergeCell ref="G18:H18"/>
    <mergeCell ref="B64:H72"/>
    <mergeCell ref="B31:H31"/>
    <mergeCell ref="K54:N54"/>
    <mergeCell ref="J58:L58"/>
    <mergeCell ref="G15:H15"/>
    <mergeCell ref="B49:H61"/>
    <mergeCell ref="K51:N51"/>
    <mergeCell ref="B48:H48"/>
    <mergeCell ref="M3:N3"/>
    <mergeCell ref="J48:L48"/>
    <mergeCell ref="J50:N50"/>
    <mergeCell ref="J57:L57"/>
    <mergeCell ref="G16:H16"/>
    <mergeCell ref="J59:L59"/>
    <mergeCell ref="J60:L60"/>
    <mergeCell ref="K52:N52"/>
    <mergeCell ref="B32:H46"/>
  </mergeCells>
  <pageMargins left="0.7" right="0.7" top="0.75" bottom="0.75" header="0.3" footer="0.3"/>
</worksheet>
</file>

<file path=xl/worksheets/sheet5.xml><?xml version="1.0" encoding="utf-8"?>
<worksheet xmlns="http://schemas.openxmlformats.org/spreadsheetml/2006/main">
  <sheetPr>
    <outlinePr summaryBelow="0"/>
    <pageSetUpPr/>
  </sheetPr>
  <dimension ref="A1:CA227"/>
  <sheetViews>
    <sheetView workbookViewId="0">
      <selection activeCell="A1" sqref="A1"/>
    </sheetView>
  </sheetViews>
  <sheetFormatPr baseColWidth="8" defaultRowHeight="15"/>
  <cols>
    <col width="4.719285714285714" bestFit="1" customWidth="1" style="136" min="1" max="1"/>
    <col width="3.433571428571428" bestFit="1" customWidth="1" style="64" min="2" max="2"/>
    <col width="3.433571428571428" bestFit="1" customWidth="1" style="64" min="3" max="3"/>
    <col width="3.719285714285714" bestFit="1" customWidth="1" style="64" min="4" max="4"/>
    <col width="1.862142857142857" bestFit="1" customWidth="1" style="307" min="5" max="5"/>
    <col width="3.147857142857143" bestFit="1" customWidth="1" style="64" min="6" max="6"/>
    <col width="2.290714285714285" bestFit="1" customWidth="1" style="748" min="7" max="7"/>
    <col width="3.433571428571428" bestFit="1" customWidth="1" style="136" min="8" max="8"/>
    <col width="2.862142857142857" bestFit="1" customWidth="1" style="136" min="9" max="9"/>
    <col width="3.433571428571428" bestFit="1" customWidth="1" style="64" min="10" max="10"/>
    <col width="1.576428571428571" bestFit="1" customWidth="1" style="136" min="11" max="11"/>
    <col width="1.862142857142857" bestFit="1" customWidth="1" style="64" min="12" max="12"/>
    <col width="2.576428571428572" bestFit="1" customWidth="1" style="136" min="13" max="13"/>
    <col width="3.290714285714285" bestFit="1" customWidth="1" style="64" min="14" max="14"/>
    <col width="3.005" bestFit="1" customWidth="1" style="545" min="15" max="15"/>
    <col width="2.719285714285714" bestFit="1" customWidth="1" style="543" min="16" max="16"/>
    <col width="3.433571428571428" bestFit="1" customWidth="1" style="136" min="17" max="17"/>
    <col width="4.147857142857143" bestFit="1" customWidth="1" style="543" min="18" max="18"/>
    <col width="3.147857142857143" bestFit="1" customWidth="1" style="136" min="19" max="19"/>
    <col width="3.576428571428572" bestFit="1" customWidth="1" style="136" min="20" max="20"/>
    <col width="3.719285714285714" bestFit="1" customWidth="1" style="64" min="21" max="21"/>
    <col width="2.290714285714285" bestFit="1" customWidth="1" style="64" min="22" max="22"/>
    <col width="2.005" bestFit="1" customWidth="1" style="64" min="23" max="23"/>
    <col width="2.147857142857143" bestFit="1" customWidth="1" style="64" min="24" max="24"/>
    <col width="2.862142857142857" bestFit="1" customWidth="1" style="136" min="25" max="25"/>
    <col width="2.576428571428572" bestFit="1" customWidth="1" style="64" min="26" max="26"/>
    <col width="2.719285714285714" bestFit="1" customWidth="1" style="64" min="27" max="27"/>
    <col width="1.719285714285714" bestFit="1" customWidth="1" style="64" min="28" max="28"/>
    <col width="1.290714285714286" bestFit="1" customWidth="1" style="64" min="29" max="29"/>
    <col width="2.005" bestFit="1" customWidth="1" style="136" min="30" max="30"/>
    <col width="2.576428571428572" bestFit="1" customWidth="1" style="64" min="31" max="31"/>
    <col width="1.862142857142857" bestFit="1" customWidth="1" style="64" min="32" max="32"/>
    <col width="3.576428571428572" bestFit="1" customWidth="1" style="64" min="33" max="33"/>
    <col width="2.719285714285714" bestFit="1" customWidth="1" style="64" min="34" max="34"/>
    <col width="3.576428571428572" bestFit="1" customWidth="1" style="136" min="35" max="35"/>
    <col width="2.862142857142857" bestFit="1" customWidth="1" style="64" min="36" max="36"/>
    <col width="3.576428571428572" bestFit="1" customWidth="1" style="64" min="37" max="37"/>
    <col width="3.005" bestFit="1" customWidth="1" style="64" min="38" max="38"/>
    <col width="4.433571428571429" bestFit="1" customWidth="1" style="64" min="39" max="39"/>
    <col width="2.719285714285714" bestFit="1" customWidth="1" style="64" min="40" max="40"/>
    <col width="15.57642857142857" bestFit="1" customWidth="1" style="136" min="41" max="41"/>
    <col width="13.29071428571429" bestFit="1" customWidth="1" style="64" min="42" max="42"/>
    <col width="11.71928571428571" bestFit="1" customWidth="1" style="64" min="43" max="43"/>
    <col width="14.43357142857143" bestFit="1" customWidth="1" style="64" min="44" max="44"/>
    <col width="14.43357142857143" bestFit="1" customWidth="1" style="64" min="45" max="45"/>
    <col width="18.43357142857143" bestFit="1" customWidth="1" style="64" min="46" max="46"/>
    <col width="14.005" bestFit="1" customWidth="1" style="64" min="47" max="47"/>
    <col width="11.86214285714286" bestFit="1" customWidth="1" style="64" min="48" max="48"/>
    <col width="13.57642857142857" bestFit="1" customWidth="1" style="64" min="49" max="49"/>
    <col width="13.57642857142857" bestFit="1" customWidth="1" style="64" min="50" max="50"/>
    <col width="13.57642857142857" bestFit="1" customWidth="1" style="136" min="51" max="51"/>
    <col width="13.57642857142857" bestFit="1" customWidth="1" style="64" min="52" max="52"/>
    <col width="13.57642857142857" bestFit="1" customWidth="1" style="64" min="53" max="53"/>
    <col width="13.57642857142857" bestFit="1" customWidth="1" style="64" min="54" max="54"/>
    <col width="13.57642857142857" bestFit="1" customWidth="1" style="64" min="55" max="55"/>
    <col width="13.57642857142857" bestFit="1" customWidth="1" style="64" min="56" max="56"/>
    <col width="13.57642857142857" bestFit="1" customWidth="1" style="64" min="57" max="57"/>
    <col width="13.57642857142857" bestFit="1" customWidth="1" style="308" min="58" max="58"/>
    <col width="13.57642857142857" bestFit="1" customWidth="1" style="64" min="59" max="59"/>
    <col width="13.57642857142857" bestFit="1" customWidth="1" style="64" min="60" max="60"/>
    <col width="13.57642857142857" bestFit="1" customWidth="1" style="136" min="61" max="61"/>
    <col width="13.57642857142857" bestFit="1" customWidth="1" style="64" min="62" max="62"/>
    <col width="13.57642857142857" bestFit="1" customWidth="1" style="64" min="63" max="63"/>
    <col width="13.57642857142857" bestFit="1" customWidth="1" style="64" min="64" max="64"/>
    <col width="13.57642857142857" bestFit="1" customWidth="1" style="64" min="65" max="65"/>
    <col width="13.57642857142857" bestFit="1" customWidth="1" style="64" min="66" max="66"/>
    <col width="13.57642857142857" bestFit="1" customWidth="1" style="64" min="67" max="67"/>
    <col width="13.57642857142857" bestFit="1" customWidth="1" style="64" min="68" max="68"/>
    <col width="13.57642857142857" bestFit="1" customWidth="1" style="64" min="69" max="69"/>
    <col width="13.57642857142857" bestFit="1" customWidth="1" style="64" min="70" max="70"/>
    <col width="13.57642857142857" bestFit="1" customWidth="1" style="64" min="71" max="71"/>
    <col width="13.57642857142857" bestFit="1" customWidth="1" style="64" min="72" max="72"/>
    <col width="13.57642857142857" bestFit="1" customWidth="1" style="64" min="73" max="73"/>
    <col width="13.57642857142857" bestFit="1" customWidth="1" style="64" min="74" max="74"/>
    <col width="13.57642857142857" bestFit="1" customWidth="1" style="64" min="75" max="75"/>
    <col width="13.57642857142857" bestFit="1" customWidth="1" style="64" min="76" max="76"/>
    <col width="13.57642857142857" bestFit="1" customWidth="1" style="64" min="77" max="77"/>
    <col width="13.57642857142857" bestFit="1" customWidth="1" style="64" min="78" max="78"/>
    <col width="13.57642857142857" bestFit="1" customWidth="1" style="64" min="79" max="79"/>
  </cols>
  <sheetData>
    <row r="1" ht="20.25" customFormat="1" customHeight="1" s="18">
      <c r="A1" s="225" t="n"/>
      <c r="B1" s="103" t="n"/>
      <c r="C1" s="103" t="n"/>
      <c r="D1" s="103" t="n"/>
      <c r="E1" s="1946" t="n"/>
      <c r="F1" s="103" t="n"/>
      <c r="G1" s="1278" t="n"/>
      <c r="H1" s="225" t="n"/>
      <c r="I1" s="225" t="n"/>
      <c r="J1" s="103" t="n"/>
      <c r="K1" s="225" t="n"/>
      <c r="L1" s="103" t="n"/>
      <c r="M1" s="225" t="n"/>
      <c r="N1" s="103" t="n"/>
      <c r="O1" s="479" t="n"/>
      <c r="P1" s="1947" t="n"/>
      <c r="Q1" s="225" t="n"/>
      <c r="R1" s="1947" t="n"/>
      <c r="S1" s="225" t="n"/>
      <c r="T1" s="225" t="n"/>
      <c r="U1" s="103" t="n"/>
      <c r="V1" s="103" t="n"/>
      <c r="W1" s="103" t="n"/>
      <c r="X1" s="103" t="n"/>
      <c r="Y1" s="225" t="n"/>
      <c r="Z1" s="103" t="n"/>
      <c r="AA1" s="103" t="n"/>
      <c r="AB1" s="103" t="n"/>
      <c r="AC1" s="103" t="n"/>
      <c r="AD1" s="225" t="n"/>
      <c r="AE1" s="103" t="n"/>
      <c r="AF1" s="103" t="n"/>
      <c r="AG1" s="100" t="inlineStr">
        <is>
          <t>Gj. Gd - 5</t>
        </is>
      </c>
      <c r="AN1" s="103" t="n"/>
      <c r="AO1" s="225" t="n"/>
      <c r="AP1" s="103" t="n"/>
      <c r="AQ1" s="103" t="n"/>
      <c r="AR1" s="103" t="n"/>
      <c r="AS1" s="103" t="n"/>
      <c r="AT1" s="103" t="n"/>
      <c r="AU1" s="103" t="n"/>
      <c r="AV1" s="103" t="n"/>
      <c r="AW1" s="103" t="n"/>
      <c r="AX1" s="103" t="n"/>
      <c r="AY1" s="225" t="n"/>
      <c r="AZ1" s="103" t="n"/>
      <c r="BA1" s="103" t="n"/>
      <c r="BB1" s="103" t="n"/>
      <c r="BC1" s="103" t="n"/>
      <c r="BD1" s="103" t="n"/>
      <c r="BE1" s="103" t="n"/>
      <c r="BF1" s="555" t="n"/>
      <c r="BG1" s="103" t="n"/>
      <c r="BH1" s="103" t="n"/>
      <c r="BI1" s="225" t="n"/>
      <c r="BJ1" s="103" t="n"/>
      <c r="BK1" s="103" t="n"/>
      <c r="BL1" s="103" t="n"/>
      <c r="BM1" s="103" t="n"/>
      <c r="BN1" s="103" t="n"/>
      <c r="BO1" s="103" t="n"/>
      <c r="BP1" s="103" t="n"/>
      <c r="BQ1" s="103" t="n"/>
      <c r="BR1" s="103" t="n"/>
      <c r="BS1" s="103" t="n"/>
      <c r="BT1" s="103" t="n"/>
      <c r="BU1" s="103" t="n"/>
      <c r="BV1" s="103" t="n"/>
      <c r="BW1" s="103" t="n"/>
      <c r="BX1" s="103" t="n"/>
      <c r="BY1" s="103" t="n"/>
      <c r="BZ1" s="103" t="n"/>
      <c r="CA1" s="103" t="n"/>
    </row>
    <row r="2" ht="24" customHeight="1">
      <c r="A2" s="1949" t="inlineStr">
        <is>
          <t>g~j¨vqb cªwZ‡e`b   (†gqv`x FY)</t>
        </is>
      </c>
      <c r="AN2" s="64" t="n"/>
      <c r="AO2" s="136" t="n"/>
      <c r="AP2" s="64" t="n"/>
      <c r="AQ2" s="64" t="n"/>
      <c r="AR2" s="64" t="n"/>
      <c r="AS2" s="64" t="n"/>
      <c r="AT2" s="64" t="n"/>
      <c r="AU2" s="64" t="n"/>
      <c r="AV2" s="64" t="n"/>
      <c r="AW2" s="64" t="n"/>
      <c r="AX2" s="64" t="n"/>
      <c r="AY2" s="136" t="n"/>
      <c r="AZ2" s="64" t="n"/>
      <c r="BA2" s="64" t="n"/>
      <c r="BB2" s="64" t="n"/>
      <c r="BC2" s="64" t="n"/>
      <c r="BD2" s="64" t="n"/>
      <c r="BE2" s="64" t="n"/>
      <c r="BF2" s="308" t="n"/>
      <c r="BG2" s="64" t="n"/>
      <c r="BH2" s="64" t="n"/>
      <c r="BI2" s="136" t="n"/>
      <c r="BJ2" s="64" t="n"/>
      <c r="BK2" s="64" t="n"/>
      <c r="BL2" s="64" t="n"/>
      <c r="BM2" s="64" t="n"/>
      <c r="BN2" s="64" t="n"/>
      <c r="BO2" s="64" t="n"/>
      <c r="BP2" s="64" t="n"/>
      <c r="BQ2" s="64" t="n"/>
      <c r="BR2" s="64" t="n"/>
      <c r="BS2" s="64" t="n"/>
      <c r="BT2" s="64" t="n"/>
      <c r="BU2" s="64" t="n"/>
      <c r="BV2" s="64" t="n"/>
      <c r="BW2" s="64" t="n"/>
      <c r="BX2" s="64" t="n"/>
      <c r="BY2" s="64" t="n"/>
      <c r="BZ2" s="64" t="n"/>
      <c r="CA2" s="64" t="n"/>
    </row>
    <row r="3" ht="17.25" customHeight="1">
      <c r="A3" s="302" t="inlineStr">
        <is>
          <t>(cÖwZ‡e`bKvix Kg©KZ©v KZ…©K cÖ‡Z¨K c„ôvq Aek¨B mwn Kwi‡Z nB‡e|)</t>
        </is>
      </c>
      <c r="AN3" s="64" t="n"/>
      <c r="AO3" s="136" t="n"/>
      <c r="AP3" s="64" t="n"/>
      <c r="AQ3" s="64" t="n"/>
      <c r="AR3" s="64" t="n"/>
      <c r="AS3" s="64" t="n"/>
      <c r="AT3" s="64" t="n"/>
      <c r="AU3" s="64" t="n"/>
      <c r="AV3" s="64" t="n"/>
      <c r="AW3" s="64" t="n"/>
      <c r="AX3" s="64" t="n"/>
      <c r="AY3" s="136" t="n"/>
      <c r="AZ3" s="64" t="n"/>
      <c r="BA3" s="64" t="n"/>
      <c r="BB3" s="64" t="n"/>
      <c r="BC3" s="64" t="n"/>
      <c r="BD3" s="64" t="n"/>
      <c r="BE3" s="64" t="n"/>
      <c r="BF3" s="308" t="n"/>
      <c r="BG3" s="64" t="n"/>
      <c r="BH3" s="64" t="n"/>
      <c r="BI3" s="136" t="n"/>
      <c r="BJ3" s="64" t="n"/>
      <c r="BK3" s="64" t="n"/>
      <c r="BL3" s="64" t="n"/>
      <c r="BM3" s="64" t="n"/>
      <c r="BN3" s="64" t="n"/>
      <c r="BO3" s="64" t="n"/>
      <c r="BP3" s="64" t="n"/>
      <c r="BQ3" s="64" t="n"/>
      <c r="BR3" s="64" t="n"/>
      <c r="BS3" s="64" t="n"/>
      <c r="BT3" s="64" t="n"/>
      <c r="BU3" s="64" t="n"/>
      <c r="BV3" s="64" t="n"/>
      <c r="BW3" s="64" t="n"/>
      <c r="BX3" s="64" t="n"/>
      <c r="BY3" s="64" t="n"/>
      <c r="BZ3" s="64" t="n"/>
      <c r="CA3" s="64" t="n"/>
    </row>
    <row r="4" ht="17.25" customHeight="1">
      <c r="A4" s="302" t="n"/>
      <c r="B4" s="219" t="n"/>
      <c r="C4" s="219" t="n"/>
      <c r="D4" s="219" t="n"/>
      <c r="E4" s="1954" t="n"/>
      <c r="F4" s="219" t="n"/>
      <c r="G4" s="1207" t="n"/>
      <c r="H4" s="302" t="n"/>
      <c r="I4" s="302" t="n"/>
      <c r="J4" s="219" t="n"/>
      <c r="K4" s="302" t="n"/>
      <c r="L4" s="219" t="n"/>
      <c r="M4" s="302" t="n"/>
      <c r="N4" s="219" t="n"/>
      <c r="O4" s="1955" t="n"/>
      <c r="P4" s="87" t="n"/>
      <c r="Q4" s="302" t="n"/>
      <c r="R4" s="87" t="n"/>
      <c r="S4" s="302" t="n"/>
      <c r="T4" s="302" t="n"/>
      <c r="U4" s="219" t="n"/>
      <c r="V4" s="219" t="n"/>
      <c r="W4" s="219" t="n"/>
      <c r="X4" s="219" t="n"/>
      <c r="Y4" s="302" t="n"/>
      <c r="Z4" s="219" t="n"/>
      <c r="AA4" s="219" t="n"/>
      <c r="AB4" s="219" t="n"/>
      <c r="AC4" s="219" t="n"/>
      <c r="AD4" s="302" t="n"/>
      <c r="AE4" s="219" t="n"/>
      <c r="AF4" s="219" t="n"/>
      <c r="AG4" s="219" t="n"/>
      <c r="AH4" s="219" t="n"/>
      <c r="AI4" s="302" t="n"/>
      <c r="AJ4" s="219" t="n"/>
      <c r="AK4" s="219" t="n"/>
      <c r="AL4" s="219" t="n"/>
      <c r="AM4" s="219" t="n"/>
      <c r="AN4" s="64" t="n"/>
      <c r="AO4" s="136" t="n"/>
      <c r="AP4" s="64" t="n"/>
      <c r="AQ4" s="64" t="n"/>
      <c r="AR4" s="64" t="n"/>
      <c r="AS4" s="64" t="n"/>
      <c r="AT4" s="64" t="n"/>
      <c r="AU4" s="64" t="n"/>
      <c r="AV4" s="64" t="n"/>
      <c r="AW4" s="64" t="n"/>
      <c r="AX4" s="64" t="n"/>
      <c r="AY4" s="136" t="n"/>
      <c r="AZ4" s="64" t="n"/>
      <c r="BA4" s="64" t="n"/>
      <c r="BB4" s="64" t="n"/>
      <c r="BC4" s="64" t="n"/>
      <c r="BD4" s="64" t="n"/>
      <c r="BE4" s="64" t="n"/>
      <c r="BF4" s="308" t="n"/>
      <c r="BG4" s="64" t="n"/>
      <c r="BH4" s="64" t="n"/>
      <c r="BI4" s="136" t="n"/>
      <c r="BJ4" s="64" t="n"/>
      <c r="BK4" s="64" t="n"/>
      <c r="BL4" s="64" t="n"/>
      <c r="BM4" s="64" t="n"/>
      <c r="BN4" s="64" t="n"/>
      <c r="BO4" s="64" t="n"/>
      <c r="BP4" s="64" t="n"/>
      <c r="BQ4" s="64" t="n"/>
      <c r="BR4" s="64" t="n"/>
      <c r="BS4" s="64" t="n"/>
      <c r="BT4" s="64" t="n"/>
      <c r="BU4" s="64" t="n"/>
      <c r="BV4" s="64" t="n"/>
      <c r="BW4" s="64" t="n"/>
      <c r="BX4" s="64" t="n"/>
      <c r="BY4" s="64" t="n"/>
      <c r="BZ4" s="64" t="n"/>
      <c r="CA4" s="64" t="n"/>
    </row>
    <row r="5" ht="6.75" customHeight="1">
      <c r="A5" s="111" t="n"/>
      <c r="B5" s="64" t="n"/>
      <c r="C5" s="64" t="n"/>
      <c r="D5" s="64" t="n"/>
      <c r="E5" s="307" t="n"/>
      <c r="F5" s="64" t="n"/>
      <c r="G5" s="748" t="n"/>
      <c r="H5" s="136" t="n"/>
      <c r="I5" s="136" t="n"/>
      <c r="J5" s="64" t="n"/>
      <c r="K5" s="136" t="n"/>
      <c r="L5" s="64" t="n"/>
      <c r="M5" s="136" t="n"/>
      <c r="N5" s="64" t="n"/>
      <c r="O5" s="545" t="n"/>
      <c r="P5" s="543" t="n"/>
      <c r="Q5" s="136" t="n"/>
      <c r="R5" s="543" t="n"/>
      <c r="S5" s="136" t="n"/>
      <c r="T5" s="136" t="n"/>
      <c r="U5" s="64" t="n"/>
      <c r="V5" s="64" t="n"/>
      <c r="W5" s="64" t="n"/>
      <c r="X5" s="64" t="n"/>
      <c r="Y5" s="136" t="n"/>
      <c r="Z5" s="64" t="n"/>
      <c r="AA5" s="64" t="n"/>
      <c r="AB5" s="64" t="n"/>
      <c r="AC5" s="64" t="n"/>
      <c r="AD5" s="136" t="n"/>
      <c r="AE5" s="64" t="n"/>
      <c r="AF5" s="64" t="n"/>
      <c r="AG5" s="64" t="n"/>
      <c r="AH5" s="64" t="n"/>
      <c r="AI5" s="136" t="n"/>
      <c r="AJ5" s="64" t="n"/>
      <c r="AK5" s="64" t="n"/>
      <c r="AL5" s="64" t="n"/>
      <c r="AM5" s="64" t="n"/>
      <c r="AN5" s="64" t="n"/>
      <c r="AO5" s="136" t="n"/>
      <c r="AP5" s="64" t="n"/>
      <c r="AQ5" s="64" t="n"/>
      <c r="AR5" s="64" t="n"/>
      <c r="AS5" s="64" t="n"/>
      <c r="AT5" s="64" t="n"/>
      <c r="AU5" s="64" t="n"/>
      <c r="AV5" s="64" t="n"/>
      <c r="AW5" s="64" t="n"/>
      <c r="AX5" s="64" t="n"/>
      <c r="AY5" s="136" t="n"/>
      <c r="AZ5" s="64" t="n"/>
      <c r="BA5" s="64" t="n"/>
      <c r="BB5" s="64" t="n"/>
      <c r="BC5" s="64" t="n"/>
      <c r="BD5" s="64" t="n"/>
      <c r="BE5" s="64" t="n"/>
      <c r="BF5" s="308" t="n"/>
      <c r="BG5" s="64" t="n"/>
      <c r="BH5" s="64" t="n"/>
      <c r="BI5" s="136" t="n"/>
      <c r="BJ5" s="64" t="n"/>
      <c r="BK5" s="64" t="n"/>
      <c r="BL5" s="64" t="n"/>
      <c r="BM5" s="64" t="n"/>
      <c r="BN5" s="64" t="n"/>
      <c r="BO5" s="64" t="n"/>
      <c r="BP5" s="64" t="n"/>
      <c r="BQ5" s="64" t="n"/>
      <c r="BR5" s="64" t="n"/>
      <c r="BS5" s="64" t="n"/>
      <c r="BT5" s="64" t="n"/>
      <c r="BU5" s="64" t="n"/>
      <c r="BV5" s="64" t="n"/>
      <c r="BW5" s="64" t="n"/>
      <c r="BX5" s="64" t="n"/>
      <c r="BY5" s="64" t="n"/>
      <c r="BZ5" s="64" t="n"/>
      <c r="CA5" s="64" t="n"/>
    </row>
    <row r="6" ht="21.75" customHeight="1">
      <c r="A6" s="1956" t="inlineStr">
        <is>
          <t>kvLvi bvg</t>
        </is>
      </c>
      <c r="E6" s="1958" t="inlineStr">
        <is>
          <t>t</t>
        </is>
      </c>
      <c r="F6" s="1959">
        <f>+'Data Input'!D2</f>
        <v/>
      </c>
      <c r="Y6" s="1963">
        <f>'Data Input'!B5&amp;" "&amp;'Data Input'!D5</f>
        <v/>
      </c>
      <c r="AN6" s="64" t="n"/>
      <c r="AO6" s="136" t="n"/>
      <c r="AP6" s="64" t="n"/>
      <c r="AQ6" s="64" t="n"/>
      <c r="AR6" s="64" t="n"/>
      <c r="AS6" s="64" t="n"/>
      <c r="AT6" s="64" t="n"/>
      <c r="AU6" s="64" t="n"/>
      <c r="AV6" s="64" t="n"/>
      <c r="AW6" s="64" t="n"/>
      <c r="AX6" s="64" t="n"/>
      <c r="AY6" s="136" t="n"/>
      <c r="AZ6" s="64" t="n"/>
      <c r="BA6" s="64" t="n"/>
      <c r="BB6" s="64" t="n"/>
      <c r="BC6" s="64" t="n"/>
      <c r="BD6" s="64" t="n"/>
      <c r="BE6" s="64" t="n"/>
      <c r="BF6" s="308" t="n"/>
      <c r="BG6" s="64" t="n"/>
      <c r="BH6" s="64" t="n"/>
      <c r="BI6" s="136" t="n"/>
      <c r="BJ6" s="64" t="n"/>
      <c r="BK6" s="64" t="n"/>
      <c r="BL6" s="64" t="n"/>
      <c r="BM6" s="64" t="n"/>
      <c r="BN6" s="64" t="n"/>
      <c r="BO6" s="64" t="n"/>
      <c r="BP6" s="64" t="n"/>
      <c r="BQ6" s="64" t="n"/>
      <c r="BR6" s="64" t="n"/>
      <c r="BS6" s="64" t="n"/>
      <c r="BT6" s="64" t="n"/>
      <c r="BU6" s="64" t="n"/>
      <c r="BV6" s="64" t="n"/>
      <c r="BW6" s="64" t="n"/>
      <c r="BX6" s="64" t="n"/>
      <c r="BY6" s="64" t="n"/>
      <c r="BZ6" s="64" t="n"/>
      <c r="CA6" s="64" t="n"/>
    </row>
    <row r="7" ht="21.75" customHeight="1">
      <c r="A7" s="258" t="inlineStr">
        <is>
          <t>Av‡e`bKvix (MY) bvg</t>
        </is>
      </c>
      <c r="E7" s="1958" t="inlineStr">
        <is>
          <t>t</t>
        </is>
      </c>
      <c r="F7" s="1964">
        <f>'Data Input'!D12</f>
        <v/>
      </c>
      <c r="AN7" s="64" t="n"/>
      <c r="AO7" s="136" t="n"/>
      <c r="AP7" s="64" t="n"/>
      <c r="AQ7" s="64" t="n"/>
      <c r="AR7" s="64" t="n"/>
      <c r="AS7" s="64" t="n"/>
      <c r="AT7" s="64" t="n"/>
      <c r="AU7" s="64" t="n"/>
      <c r="AV7" s="64" t="n"/>
      <c r="AW7" s="64" t="n"/>
      <c r="AX7" s="64" t="n"/>
      <c r="AY7" s="136" t="n"/>
      <c r="AZ7" s="64" t="n"/>
      <c r="BA7" s="64" t="n"/>
      <c r="BB7" s="64" t="n"/>
      <c r="BC7" s="64" t="n"/>
      <c r="BD7" s="64" t="n"/>
      <c r="BE7" s="64" t="n"/>
      <c r="BF7" s="308" t="n"/>
      <c r="BG7" s="64" t="n"/>
      <c r="BH7" s="64" t="n"/>
      <c r="BI7" s="136" t="n"/>
      <c r="BJ7" s="64" t="n"/>
      <c r="BK7" s="64" t="n"/>
      <c r="BL7" s="64" t="n"/>
      <c r="BM7" s="64" t="n"/>
      <c r="BN7" s="64" t="n"/>
      <c r="BO7" s="64" t="n"/>
      <c r="BP7" s="64" t="n"/>
      <c r="BQ7" s="64" t="n"/>
      <c r="BR7" s="64" t="n"/>
      <c r="BS7" s="64" t="n"/>
      <c r="BT7" s="64" t="n"/>
      <c r="BU7" s="64" t="n"/>
      <c r="BV7" s="64" t="n"/>
      <c r="BW7" s="64" t="n"/>
      <c r="BX7" s="64" t="n"/>
      <c r="BY7" s="64" t="n"/>
      <c r="BZ7" s="64" t="n"/>
      <c r="CA7" s="64" t="n"/>
    </row>
    <row r="8" ht="21.75" customHeight="1">
      <c r="A8" s="746">
        <f>'Data Input'!B13</f>
        <v/>
      </c>
      <c r="E8" s="300" t="inlineStr">
        <is>
          <t>t</t>
        </is>
      </c>
      <c r="F8" s="1964">
        <f>+'Data Input'!D13</f>
        <v/>
      </c>
      <c r="R8" s="543" t="n"/>
      <c r="S8" s="136" t="n"/>
      <c r="T8" s="136" t="n"/>
      <c r="U8" s="64" t="n"/>
      <c r="V8" s="64" t="n"/>
      <c r="W8" s="64" t="n"/>
      <c r="X8" s="64" t="n"/>
      <c r="Y8" s="136" t="n"/>
      <c r="Z8" s="464" t="inlineStr">
        <is>
          <t xml:space="preserve">gvZvi bvg t </t>
        </is>
      </c>
      <c r="AE8" s="199">
        <f>'Data Input'!D14</f>
        <v/>
      </c>
      <c r="AN8" s="64" t="n"/>
      <c r="AO8" s="136" t="n"/>
      <c r="AP8" s="64" t="n"/>
      <c r="AQ8" s="64" t="n"/>
      <c r="AR8" s="64" t="n"/>
      <c r="AS8" s="64" t="n"/>
      <c r="AT8" s="64" t="n"/>
      <c r="AU8" s="64" t="n"/>
      <c r="AV8" s="64" t="n"/>
      <c r="AW8" s="64" t="n"/>
      <c r="AX8" s="64" t="n"/>
      <c r="AY8" s="136" t="n"/>
      <c r="AZ8" s="64" t="n"/>
      <c r="BA8" s="64" t="n"/>
      <c r="BB8" s="64" t="n"/>
      <c r="BC8" s="64" t="n"/>
      <c r="BD8" s="64" t="n"/>
      <c r="BE8" s="64" t="n"/>
      <c r="BF8" s="308" t="n"/>
      <c r="BG8" s="64" t="n"/>
      <c r="BH8" s="64" t="n"/>
      <c r="BI8" s="136" t="n"/>
      <c r="BJ8" s="64" t="n"/>
      <c r="BK8" s="64" t="n"/>
      <c r="BL8" s="64" t="n"/>
      <c r="BM8" s="64" t="n"/>
      <c r="BN8" s="64" t="n"/>
      <c r="BO8" s="64" t="n"/>
      <c r="BP8" s="64" t="n"/>
      <c r="BQ8" s="64" t="n"/>
      <c r="BR8" s="64" t="n"/>
      <c r="BS8" s="64" t="n"/>
      <c r="BT8" s="64" t="n"/>
      <c r="BU8" s="64" t="n"/>
      <c r="BV8" s="64" t="n"/>
      <c r="BW8" s="64" t="n"/>
      <c r="BX8" s="64" t="n"/>
      <c r="BY8" s="64" t="n"/>
      <c r="BZ8" s="64" t="n"/>
      <c r="CA8" s="64" t="n"/>
    </row>
    <row r="9" ht="37.5" customHeight="1">
      <c r="A9" s="1966" t="inlineStr">
        <is>
          <t>MÖvg</t>
        </is>
      </c>
      <c r="E9" s="300" t="inlineStr">
        <is>
          <t>t</t>
        </is>
      </c>
      <c r="F9" s="199">
        <f>'Data Input'!D18</f>
        <v/>
      </c>
      <c r="Q9" s="465" t="inlineStr">
        <is>
          <t>BDwbqY t</t>
        </is>
      </c>
      <c r="S9" s="135">
        <f>'Data Input'!D19</f>
        <v/>
      </c>
      <c r="Z9" s="464" t="inlineStr">
        <is>
          <t xml:space="preserve">WvKNi t </t>
        </is>
      </c>
      <c r="AE9" s="199">
        <f>'Data Input'!D20</f>
        <v/>
      </c>
      <c r="AN9" s="64" t="n"/>
      <c r="AO9" s="136" t="n"/>
      <c r="AP9" s="64" t="n"/>
      <c r="AQ9" s="64" t="n"/>
      <c r="AR9" s="64" t="n"/>
      <c r="AS9" s="64" t="n"/>
      <c r="AT9" s="64" t="n"/>
      <c r="AU9" s="64" t="n"/>
      <c r="AV9" s="64" t="n"/>
      <c r="AW9" s="64" t="n"/>
      <c r="AX9" s="64" t="n"/>
      <c r="AY9" s="136" t="n"/>
      <c r="AZ9" s="64" t="n"/>
      <c r="BA9" s="64" t="n"/>
      <c r="BB9" s="64" t="n"/>
      <c r="BC9" s="64" t="n"/>
      <c r="BD9" s="64" t="n"/>
      <c r="BE9" s="64" t="n"/>
      <c r="BF9" s="308" t="n"/>
      <c r="BG9" s="64" t="n"/>
      <c r="BH9" s="64" t="n"/>
      <c r="BI9" s="136" t="n"/>
      <c r="BJ9" s="64" t="n"/>
      <c r="BK9" s="64" t="n"/>
      <c r="BL9" s="64" t="n"/>
      <c r="BM9" s="64" t="n"/>
      <c r="BN9" s="64" t="n"/>
      <c r="BO9" s="64" t="n"/>
      <c r="BP9" s="64" t="n"/>
      <c r="BQ9" s="64" t="n"/>
      <c r="BR9" s="64" t="n"/>
      <c r="BS9" s="64" t="n"/>
      <c r="BT9" s="64" t="n"/>
      <c r="BU9" s="64" t="n"/>
      <c r="BV9" s="64" t="n"/>
      <c r="BW9" s="64" t="n"/>
      <c r="BX9" s="64" t="n"/>
      <c r="BY9" s="64" t="n"/>
      <c r="BZ9" s="64" t="n"/>
      <c r="CA9" s="64" t="n"/>
    </row>
    <row r="10" ht="21.75" customHeight="1">
      <c r="A10" s="1966" t="inlineStr">
        <is>
          <t>_vbv</t>
        </is>
      </c>
      <c r="E10" s="300" t="inlineStr">
        <is>
          <t>t</t>
        </is>
      </c>
      <c r="F10" s="1964">
        <f>'Data Input'!D21</f>
        <v/>
      </c>
      <c r="P10" s="94" t="n"/>
      <c r="Q10" s="465" t="inlineStr">
        <is>
          <t>‡Rjv t</t>
        </is>
      </c>
      <c r="S10" s="135">
        <f>'Data Input'!D23</f>
        <v/>
      </c>
      <c r="Y10" s="1966" t="inlineStr">
        <is>
          <t xml:space="preserve">`yivjvcbx b¤^i t </t>
        </is>
      </c>
      <c r="AE10" s="199">
        <f>'Data Input'!D16</f>
        <v/>
      </c>
      <c r="AN10" s="64" t="n"/>
      <c r="AO10" s="136" t="n"/>
      <c r="AP10" s="64" t="n"/>
      <c r="AQ10" s="64" t="n"/>
      <c r="AR10" s="64" t="n"/>
      <c r="AS10" s="64" t="n"/>
      <c r="AT10" s="64" t="n"/>
      <c r="AU10" s="64" t="n"/>
      <c r="AV10" s="64" t="n"/>
      <c r="AW10" s="64" t="n"/>
      <c r="AX10" s="64" t="n"/>
      <c r="AY10" s="136" t="n"/>
      <c r="AZ10" s="64" t="n"/>
      <c r="BA10" s="64" t="n"/>
      <c r="BB10" s="64" t="n"/>
      <c r="BC10" s="64" t="n"/>
      <c r="BD10" s="64" t="n"/>
      <c r="BE10" s="64" t="n"/>
      <c r="BF10" s="308" t="n"/>
      <c r="BG10" s="64" t="n"/>
      <c r="BH10" s="64" t="n"/>
      <c r="BI10" s="136" t="n"/>
      <c r="BJ10" s="64" t="n"/>
      <c r="BK10" s="64" t="n"/>
      <c r="BL10" s="64" t="n"/>
      <c r="BM10" s="64" t="n"/>
      <c r="BN10" s="64" t="n"/>
      <c r="BO10" s="64" t="n"/>
      <c r="BP10" s="64" t="n"/>
      <c r="BQ10" s="64" t="n"/>
      <c r="BR10" s="64" t="n"/>
      <c r="BS10" s="64" t="n"/>
      <c r="BT10" s="64" t="n"/>
      <c r="BU10" s="64" t="n"/>
      <c r="BV10" s="64" t="n"/>
      <c r="BW10" s="64" t="n"/>
      <c r="BX10" s="64" t="n"/>
      <c r="BY10" s="64" t="n"/>
      <c r="BZ10" s="64" t="n"/>
      <c r="CA10" s="64" t="n"/>
    </row>
    <row r="11" ht="21.75" customFormat="1" customHeight="1" s="18">
      <c r="A11" s="198" t="n"/>
      <c r="B11" s="76" t="n"/>
      <c r="C11" s="76" t="n"/>
      <c r="D11" s="76" t="n"/>
      <c r="E11" s="300" t="n"/>
      <c r="F11" s="199" t="n"/>
      <c r="G11" s="1967" t="n"/>
      <c r="H11" s="746" t="n"/>
      <c r="I11" s="746" t="n"/>
      <c r="J11" s="199" t="n"/>
      <c r="K11" s="746" t="n"/>
      <c r="L11" s="199" t="n"/>
      <c r="M11" s="746" t="n"/>
      <c r="N11" s="199" t="n"/>
      <c r="O11" s="1604" t="n"/>
      <c r="P11" s="94" t="n"/>
      <c r="Q11" s="746" t="n"/>
      <c r="R11" s="94" t="n"/>
      <c r="S11" s="746" t="n"/>
      <c r="T11" s="746" t="n"/>
      <c r="U11" s="103" t="n"/>
      <c r="V11" s="199" t="n"/>
      <c r="W11" s="199" t="n"/>
      <c r="X11" s="199" t="n"/>
      <c r="Y11" s="746" t="n"/>
      <c r="Z11" s="103" t="n"/>
      <c r="AA11" s="103" t="n"/>
      <c r="AB11" s="103" t="n"/>
      <c r="AC11" s="103" t="n"/>
      <c r="AD11" s="225" t="n"/>
      <c r="AE11" s="103" t="n"/>
      <c r="AF11" s="103" t="n"/>
      <c r="AG11" s="103" t="n"/>
      <c r="AH11" s="103" t="n"/>
      <c r="AI11" s="225" t="n"/>
      <c r="AJ11" s="103" t="n"/>
      <c r="AK11" s="103" t="n"/>
      <c r="AL11" s="103" t="n"/>
      <c r="AM11" s="103" t="n"/>
      <c r="AN11" s="103" t="n"/>
      <c r="AO11" s="225" t="n"/>
      <c r="AP11" s="103" t="n"/>
      <c r="AQ11" s="103" t="n"/>
      <c r="AR11" s="103" t="n"/>
      <c r="AS11" s="103" t="n"/>
      <c r="AT11" s="103" t="n"/>
      <c r="AU11" s="103" t="n"/>
      <c r="AV11" s="103" t="n"/>
      <c r="AW11" s="103" t="n"/>
      <c r="AX11" s="103" t="n"/>
      <c r="AY11" s="225" t="n"/>
      <c r="AZ11" s="103" t="n"/>
      <c r="BA11" s="103" t="n"/>
      <c r="BB11" s="103" t="n"/>
      <c r="BC11" s="103" t="n"/>
      <c r="BD11" s="103" t="n"/>
      <c r="BE11" s="103" t="n"/>
      <c r="BF11" s="555" t="n"/>
      <c r="BG11" s="103" t="n"/>
      <c r="BH11" s="103" t="n"/>
      <c r="BI11" s="225" t="n"/>
      <c r="BJ11" s="103" t="n"/>
      <c r="BK11" s="103" t="n"/>
      <c r="BL11" s="103" t="n"/>
      <c r="BM11" s="103" t="n"/>
      <c r="BN11" s="103" t="n"/>
      <c r="BO11" s="103" t="n"/>
      <c r="BP11" s="103" t="n"/>
      <c r="BQ11" s="103" t="n"/>
      <c r="BR11" s="103" t="n"/>
      <c r="BS11" s="103" t="n"/>
      <c r="BT11" s="103" t="n"/>
      <c r="BU11" s="103" t="n"/>
      <c r="BV11" s="103" t="n"/>
      <c r="BW11" s="103" t="n"/>
      <c r="BX11" s="103" t="n"/>
      <c r="BY11" s="103" t="n"/>
      <c r="BZ11" s="103" t="n"/>
      <c r="CA11" s="103" t="n"/>
    </row>
    <row r="12" ht="12" customHeight="1">
      <c r="A12" s="746" t="n"/>
      <c r="B12" s="199" t="n"/>
      <c r="C12" s="199" t="n"/>
      <c r="D12" s="199" t="n"/>
      <c r="E12" s="1969" t="n"/>
      <c r="F12" s="199" t="n"/>
      <c r="G12" s="1967" t="n"/>
      <c r="H12" s="746" t="n"/>
      <c r="I12" s="746" t="n"/>
      <c r="J12" s="199" t="n"/>
      <c r="K12" s="746" t="n"/>
      <c r="L12" s="199" t="n"/>
      <c r="M12" s="746" t="n"/>
      <c r="N12" s="199" t="n"/>
      <c r="O12" s="1604" t="n"/>
      <c r="P12" s="94" t="n"/>
      <c r="Q12" s="746" t="n"/>
      <c r="R12" s="94" t="n"/>
      <c r="S12" s="746" t="n"/>
      <c r="T12" s="746" t="n"/>
      <c r="U12" s="199" t="n"/>
      <c r="V12" s="199" t="n"/>
      <c r="W12" s="199" t="n"/>
      <c r="X12" s="199" t="n"/>
      <c r="Y12" s="746" t="n"/>
      <c r="Z12" s="199" t="n"/>
      <c r="AA12" s="199" t="n"/>
      <c r="AB12" s="199" t="n"/>
      <c r="AC12" s="199" t="n"/>
      <c r="AD12" s="746" t="n"/>
      <c r="AE12" s="199" t="n"/>
      <c r="AF12" s="199" t="n"/>
      <c r="AG12" s="199" t="n"/>
      <c r="AH12" s="199" t="n"/>
      <c r="AI12" s="746" t="n"/>
      <c r="AJ12" s="199" t="n"/>
      <c r="AK12" s="199" t="n"/>
      <c r="AL12" s="199" t="n"/>
      <c r="AM12" s="199" t="n"/>
      <c r="AN12" s="96" t="n"/>
      <c r="AO12" s="136" t="n"/>
      <c r="AP12" s="64" t="n"/>
      <c r="AQ12" s="64" t="n"/>
      <c r="AR12" s="64" t="n"/>
      <c r="AS12" s="64" t="n"/>
      <c r="AT12" s="64" t="n"/>
      <c r="AU12" s="64" t="n"/>
      <c r="AV12" s="64" t="n"/>
      <c r="AW12" s="64" t="n"/>
      <c r="AX12" s="64" t="n"/>
      <c r="AY12" s="136" t="n"/>
      <c r="AZ12" s="64" t="n"/>
      <c r="BA12" s="64" t="n"/>
      <c r="BB12" s="64" t="n"/>
      <c r="BC12" s="64" t="n"/>
      <c r="BD12" s="64" t="n"/>
      <c r="BE12" s="64" t="n"/>
      <c r="BF12" s="308" t="n"/>
      <c r="BG12" s="64" t="n"/>
      <c r="BH12" s="64" t="n"/>
      <c r="BI12" s="136" t="n"/>
      <c r="BJ12" s="64" t="n"/>
      <c r="BK12" s="64" t="n"/>
      <c r="BL12" s="64" t="n"/>
      <c r="BM12" s="64" t="n"/>
      <c r="BN12" s="64" t="n"/>
      <c r="BO12" s="64" t="n"/>
      <c r="BP12" s="64" t="n"/>
      <c r="BQ12" s="64" t="n"/>
      <c r="BR12" s="64" t="n"/>
      <c r="BS12" s="64" t="n"/>
      <c r="BT12" s="64" t="n"/>
      <c r="BU12" s="64" t="n"/>
      <c r="BV12" s="64" t="n"/>
      <c r="BW12" s="64" t="n"/>
      <c r="BX12" s="64" t="n"/>
      <c r="BY12" s="64" t="n"/>
      <c r="BZ12" s="64" t="n"/>
      <c r="CA12" s="64" t="n"/>
    </row>
    <row r="13" ht="16.5" customFormat="1" customHeight="1" s="18">
      <c r="A13" s="770" t="inlineStr">
        <is>
          <t>2|</t>
        </is>
      </c>
      <c r="B13" s="562" t="inlineStr">
        <is>
          <t>Rvgvb‡Zi Rb¨ cÖ¯ÍvweZ m¤úwËi wek` weeiY t</t>
        </is>
      </c>
      <c r="AN13" s="103" t="n"/>
      <c r="AO13" s="225" t="n"/>
      <c r="AP13" s="103" t="n"/>
      <c r="AQ13" s="103" t="n"/>
      <c r="AR13" s="103" t="n"/>
      <c r="AS13" s="103" t="n"/>
      <c r="AT13" s="103" t="n"/>
      <c r="AU13" s="103" t="n"/>
      <c r="AV13" s="103" t="n"/>
      <c r="AW13" s="103" t="n"/>
      <c r="AX13" s="103" t="n"/>
      <c r="AY13" s="225" t="n"/>
      <c r="AZ13" s="103" t="n"/>
      <c r="BA13" s="103" t="n"/>
      <c r="BB13" s="103" t="n"/>
      <c r="BC13" s="103" t="n"/>
      <c r="BD13" s="103" t="n"/>
      <c r="BE13" s="103" t="n"/>
      <c r="BF13" s="555" t="n"/>
      <c r="BG13" s="103" t="n"/>
      <c r="BH13" s="103" t="n"/>
      <c r="BI13" s="225" t="n"/>
      <c r="BJ13" s="103" t="n"/>
      <c r="BK13" s="103" t="n"/>
      <c r="BL13" s="103" t="n"/>
      <c r="BM13" s="103" t="n"/>
      <c r="BN13" s="103" t="n"/>
      <c r="BO13" s="103" t="n"/>
      <c r="BP13" s="103" t="n"/>
      <c r="BQ13" s="103" t="n"/>
      <c r="BR13" s="103" t="n"/>
      <c r="BS13" s="103" t="n"/>
      <c r="BT13" s="103" t="n"/>
      <c r="BU13" s="103" t="n"/>
      <c r="BV13" s="103" t="n"/>
      <c r="BW13" s="103" t="n"/>
      <c r="BX13" s="103" t="n"/>
      <c r="BY13" s="103" t="n"/>
      <c r="BZ13" s="103" t="n"/>
      <c r="CA13" s="103" t="n"/>
    </row>
    <row r="14" ht="6" customFormat="1" customHeight="1" s="18">
      <c r="A14" s="198" t="n"/>
      <c r="B14" s="76" t="n"/>
      <c r="C14" s="76" t="n"/>
      <c r="D14" s="76" t="n"/>
      <c r="E14" s="942" t="n"/>
      <c r="F14" s="76" t="n"/>
      <c r="G14" s="1973" t="n"/>
      <c r="H14" s="198" t="n"/>
      <c r="I14" s="198" t="n"/>
      <c r="J14" s="76" t="n"/>
      <c r="K14" s="198" t="n"/>
      <c r="L14" s="76" t="n"/>
      <c r="M14" s="198" t="n"/>
      <c r="N14" s="76" t="n"/>
      <c r="O14" s="530" t="n"/>
      <c r="P14" s="78" t="n"/>
      <c r="Q14" s="198" t="n"/>
      <c r="R14" s="78" t="n"/>
      <c r="S14" s="198" t="n"/>
      <c r="T14" s="198" t="n"/>
      <c r="U14" s="76" t="n"/>
      <c r="V14" s="76" t="n"/>
      <c r="W14" s="76" t="n"/>
      <c r="X14" s="76" t="n"/>
      <c r="Y14" s="198" t="n"/>
      <c r="Z14" s="76" t="n"/>
      <c r="AA14" s="76" t="n"/>
      <c r="AB14" s="76" t="n"/>
      <c r="AC14" s="76" t="n"/>
      <c r="AD14" s="198" t="n"/>
      <c r="AE14" s="76" t="n"/>
      <c r="AF14" s="76" t="n"/>
      <c r="AG14" s="76" t="n"/>
      <c r="AH14" s="76" t="n"/>
      <c r="AI14" s="198" t="n"/>
      <c r="AJ14" s="76" t="n"/>
      <c r="AK14" s="76" t="n"/>
      <c r="AL14" s="76" t="n"/>
      <c r="AM14" s="76" t="n"/>
      <c r="AN14" s="103" t="n"/>
      <c r="AO14" s="225" t="n"/>
      <c r="AP14" s="103" t="n"/>
      <c r="AQ14" s="103" t="n"/>
      <c r="AR14" s="103" t="n"/>
      <c r="AS14" s="103" t="n"/>
      <c r="AT14" s="103" t="n"/>
      <c r="AU14" s="103" t="n"/>
      <c r="AV14" s="103" t="n"/>
      <c r="AW14" s="103" t="n"/>
      <c r="AX14" s="103" t="n"/>
      <c r="AY14" s="225" t="n"/>
      <c r="AZ14" s="103" t="n"/>
      <c r="BA14" s="103" t="n"/>
      <c r="BB14" s="103" t="n"/>
      <c r="BC14" s="103" t="n"/>
      <c r="BD14" s="103" t="n"/>
      <c r="BE14" s="103" t="n"/>
      <c r="BF14" s="555" t="n"/>
      <c r="BG14" s="103" t="n"/>
      <c r="BH14" s="103" t="n"/>
      <c r="BI14" s="225" t="n"/>
      <c r="BJ14" s="103" t="n"/>
      <c r="BK14" s="103" t="n"/>
      <c r="BL14" s="103" t="n"/>
      <c r="BM14" s="103" t="n"/>
      <c r="BN14" s="103" t="n"/>
      <c r="BO14" s="103" t="n"/>
      <c r="BP14" s="103" t="n"/>
      <c r="BQ14" s="103" t="n"/>
      <c r="BR14" s="103" t="n"/>
      <c r="BS14" s="103" t="n"/>
      <c r="BT14" s="103" t="n"/>
      <c r="BU14" s="103" t="n"/>
      <c r="BV14" s="103" t="n"/>
      <c r="BW14" s="103" t="n"/>
      <c r="BX14" s="103" t="n"/>
      <c r="BY14" s="103" t="n"/>
      <c r="BZ14" s="103" t="n"/>
      <c r="CA14" s="103" t="n"/>
    </row>
    <row r="15" ht="18.75" customHeight="1">
      <c r="A15" s="1974" t="n"/>
      <c r="B15" s="310" t="inlineStr">
        <is>
          <t xml:space="preserve">MÖnY‡hvM¨ Rvgvb‡Zi †gvU GjvKv t </t>
        </is>
      </c>
      <c r="C15" s="2614" t="n"/>
      <c r="D15" s="2614" t="n"/>
      <c r="E15" s="2614" t="n"/>
      <c r="F15" s="2614" t="n"/>
      <c r="G15" s="2614" t="n"/>
      <c r="H15" s="2614" t="n"/>
      <c r="I15" s="2614" t="n"/>
      <c r="J15" s="2614" t="n"/>
      <c r="K15" s="1977" t="n"/>
      <c r="L15" s="1980">
        <f>TEXT('Data Input'!N48,"0.0000")&amp;" GKi"</f>
        <v/>
      </c>
      <c r="M15" s="2614" t="n"/>
      <c r="N15" s="2614" t="n"/>
      <c r="O15" s="2614" t="n"/>
      <c r="P15" s="2614" t="n"/>
      <c r="Q15" s="2614" t="n"/>
      <c r="R15" s="1983" t="n"/>
      <c r="S15" s="1977" t="n"/>
      <c r="T15" s="1977" t="n"/>
      <c r="U15" s="310" t="n"/>
      <c r="V15" s="310" t="n"/>
      <c r="W15" s="310" t="n"/>
      <c r="X15" s="310" t="n"/>
      <c r="Y15" s="1977" t="n"/>
      <c r="Z15" s="310" t="n"/>
      <c r="AA15" s="310" t="n"/>
      <c r="AB15" s="310" t="n"/>
      <c r="AC15" s="310" t="n"/>
      <c r="AD15" s="1977" t="n"/>
      <c r="AE15" s="310" t="n"/>
      <c r="AF15" s="310" t="n"/>
      <c r="AG15" s="310" t="n"/>
      <c r="AH15" s="310" t="n"/>
      <c r="AI15" s="1977" t="n"/>
      <c r="AJ15" s="310" t="n"/>
      <c r="AK15" s="310" t="n"/>
      <c r="AL15" s="310" t="n"/>
      <c r="AM15" s="1931" t="n"/>
      <c r="AN15" s="64" t="n"/>
      <c r="AO15" s="136" t="n"/>
      <c r="AP15" s="64" t="n"/>
      <c r="AQ15" s="64" t="n"/>
      <c r="AR15" s="64" t="n"/>
      <c r="AS15" s="64" t="n"/>
      <c r="AT15" s="64" t="n"/>
      <c r="AU15" s="64" t="n"/>
      <c r="AV15" s="64" t="n"/>
      <c r="AW15" s="64" t="n"/>
      <c r="AX15" s="64" t="n"/>
      <c r="AY15" s="136" t="n"/>
      <c r="AZ15" s="64" t="n"/>
      <c r="BA15" s="64" t="n"/>
      <c r="BB15" s="64" t="n"/>
      <c r="BC15" s="64" t="n"/>
      <c r="BD15" s="64" t="n"/>
      <c r="BE15" s="64" t="n"/>
      <c r="BF15" s="308" t="n"/>
      <c r="BG15" s="64" t="n"/>
      <c r="BH15" s="64" t="n"/>
      <c r="BI15" s="136" t="n"/>
      <c r="BJ15" s="64" t="n"/>
      <c r="BK15" s="64" t="n"/>
      <c r="BL15" s="64" t="n"/>
      <c r="BM15" s="64" t="n"/>
      <c r="BN15" s="64" t="n"/>
      <c r="BO15" s="64" t="n"/>
      <c r="BP15" s="64" t="n"/>
      <c r="BQ15" s="64" t="n"/>
      <c r="BR15" s="64" t="n"/>
      <c r="BS15" s="64" t="n"/>
      <c r="BT15" s="64" t="n"/>
      <c r="BU15" s="64" t="n"/>
      <c r="BV15" s="64" t="n"/>
      <c r="BW15" s="64" t="n"/>
      <c r="BX15" s="64" t="n"/>
      <c r="BY15" s="64" t="n"/>
      <c r="BZ15" s="64" t="n"/>
      <c r="CA15" s="64" t="n"/>
    </row>
    <row r="16" ht="20.25" customFormat="1" customHeight="1" s="18">
      <c r="A16" s="1984" t="n"/>
      <c r="B16" s="1985" t="inlineStr">
        <is>
          <t xml:space="preserve">Dc‡Rjv </t>
        </is>
      </c>
      <c r="D16" s="2641" t="n"/>
      <c r="E16" s="1986" t="inlineStr">
        <is>
          <t xml:space="preserve"> †gŠRv / MÖvg</t>
        </is>
      </c>
      <c r="F16" s="2624" t="n"/>
      <c r="G16" s="2624" t="n"/>
      <c r="H16" s="2642" t="n"/>
      <c r="I16" s="1989" t="inlineStr">
        <is>
          <t xml:space="preserve">LwZqvb bs </t>
        </is>
      </c>
      <c r="J16" s="2624" t="n"/>
      <c r="K16" s="2624" t="n"/>
      <c r="L16" s="2624" t="n"/>
      <c r="M16" s="2642" t="n"/>
      <c r="N16" s="716" t="inlineStr">
        <is>
          <t>`vM bs</t>
        </is>
      </c>
      <c r="O16" s="2614" t="n"/>
      <c r="P16" s="2614" t="n"/>
      <c r="Q16" s="2617" t="n"/>
      <c r="R16" s="1991" t="inlineStr">
        <is>
          <t>AvqZb (GK‡i)</t>
        </is>
      </c>
      <c r="S16" s="2624" t="n"/>
      <c r="T16" s="2624" t="n"/>
      <c r="U16" s="2642" t="n"/>
      <c r="V16" s="716" t="inlineStr">
        <is>
          <t>Rvgvb‡Zi m¦Z¡/ gvwjKvbv wel‡q gšÍe¨</t>
        </is>
      </c>
      <c r="W16" s="2614" t="n"/>
      <c r="X16" s="2614" t="n"/>
      <c r="Y16" s="2614" t="n"/>
      <c r="Z16" s="2614" t="n"/>
      <c r="AA16" s="2614" t="n"/>
      <c r="AB16" s="2614" t="n"/>
      <c r="AC16" s="2614" t="n"/>
      <c r="AD16" s="2614" t="n"/>
      <c r="AE16" s="2614" t="n"/>
      <c r="AF16" s="2614" t="n"/>
      <c r="AG16" s="2614" t="n"/>
      <c r="AH16" s="2614" t="n"/>
      <c r="AI16" s="2614" t="n"/>
      <c r="AJ16" s="2614" t="n"/>
      <c r="AK16" s="2614" t="n"/>
      <c r="AL16" s="2614" t="n"/>
      <c r="AM16" s="2617" t="n"/>
      <c r="AN16" s="103" t="n"/>
      <c r="AO16" s="225" t="n"/>
      <c r="AP16" s="103" t="n"/>
      <c r="AQ16" s="103" t="n"/>
      <c r="AR16" s="103" t="n"/>
      <c r="AS16" s="103" t="n"/>
      <c r="AT16" s="103" t="n"/>
      <c r="AU16" s="103" t="n"/>
      <c r="AV16" s="103" t="n"/>
      <c r="AW16" s="103" t="n"/>
      <c r="AX16" s="103" t="n"/>
      <c r="AY16" s="225" t="n"/>
      <c r="AZ16" s="103" t="n"/>
      <c r="BA16" s="103" t="n"/>
      <c r="BB16" s="103" t="n"/>
      <c r="BC16" s="103" t="n"/>
      <c r="BD16" s="103" t="n"/>
      <c r="BE16" s="103" t="n"/>
      <c r="BF16" s="555" t="n"/>
      <c r="BG16" s="103" t="n"/>
      <c r="BH16" s="103" t="n"/>
      <c r="BI16" s="225" t="n"/>
      <c r="BJ16" s="103" t="n"/>
      <c r="BK16" s="103" t="n"/>
      <c r="BL16" s="103" t="n"/>
      <c r="BM16" s="103" t="n"/>
      <c r="BN16" s="103" t="n"/>
      <c r="BO16" s="103" t="n"/>
      <c r="BP16" s="103" t="n"/>
      <c r="BQ16" s="103" t="n"/>
      <c r="BR16" s="103" t="n"/>
      <c r="BS16" s="103" t="n"/>
      <c r="BT16" s="103" t="n"/>
      <c r="BU16" s="103" t="n"/>
      <c r="BV16" s="103" t="n"/>
      <c r="BW16" s="103" t="n"/>
      <c r="BX16" s="103" t="n"/>
      <c r="BY16" s="103" t="n"/>
      <c r="BZ16" s="103" t="n"/>
      <c r="CA16" s="103" t="n"/>
    </row>
    <row r="17" ht="18" customHeight="1">
      <c r="A17" s="1993" t="n"/>
      <c r="B17" s="2643">
        <f>'Data Input'!D22</f>
        <v/>
      </c>
      <c r="C17" s="2624" t="n"/>
      <c r="D17" s="2642" t="n"/>
      <c r="E17" s="1111">
        <f>IF('Data Input'!L4&gt;0,'Data Input'!J4,"")</f>
        <v/>
      </c>
      <c r="F17" s="2624" t="n"/>
      <c r="G17" s="2624" t="n"/>
      <c r="H17" s="2642" t="n"/>
      <c r="I17" s="2644">
        <f>IF('Data Input'!L4&gt;0,+'Data Input'!K4,"")</f>
        <v/>
      </c>
      <c r="J17" s="2624" t="n"/>
      <c r="K17" s="2624" t="n"/>
      <c r="L17" s="2624" t="n"/>
      <c r="M17" s="2642" t="n"/>
      <c r="N17" s="2644">
        <f>IF('Data Input'!L4&gt;0,+'Data Input'!L4,"")</f>
        <v/>
      </c>
      <c r="O17" s="2624" t="n"/>
      <c r="P17" s="2624" t="n"/>
      <c r="Q17" s="2642" t="n"/>
      <c r="R17" s="1999">
        <f>IF('Data Input'!L4&gt;0,+'Data Input'!M4,"")</f>
        <v/>
      </c>
      <c r="S17" s="2645">
        <f>'Data Input'!N4</f>
        <v/>
      </c>
      <c r="T17" s="2624" t="n"/>
      <c r="U17" s="2642" t="n"/>
      <c r="V17" s="2646" t="inlineStr">
        <is>
          <t>wmGmGgB AvIZvq RvgvbZwewnb FY (Z…Zxq cÿxq M¨vivw›U</t>
        </is>
      </c>
      <c r="W17" s="2624" t="n"/>
      <c r="X17" s="2624" t="n"/>
      <c r="Y17" s="2624" t="n"/>
      <c r="Z17" s="2624" t="n"/>
      <c r="AA17" s="2624" t="n"/>
      <c r="AB17" s="2624" t="n"/>
      <c r="AC17" s="2624" t="n"/>
      <c r="AD17" s="2624" t="n"/>
      <c r="AE17" s="2624" t="n"/>
      <c r="AF17" s="2624" t="n"/>
      <c r="AG17" s="2624" t="n"/>
      <c r="AH17" s="2624" t="n"/>
      <c r="AI17" s="2624" t="n"/>
      <c r="AJ17" s="2624" t="n"/>
      <c r="AK17" s="2624" t="n"/>
      <c r="AL17" s="2624" t="n"/>
      <c r="AM17" s="2642" t="n"/>
      <c r="AN17" s="64" t="n"/>
      <c r="AO17" s="136" t="n"/>
      <c r="AP17" s="64" t="n"/>
      <c r="AQ17" s="64" t="n"/>
      <c r="AR17" s="64" t="n"/>
      <c r="AS17" s="64" t="n"/>
      <c r="AT17" s="64" t="n"/>
      <c r="AU17" s="64" t="n"/>
      <c r="AV17" s="64" t="n"/>
      <c r="AW17" s="64" t="n"/>
      <c r="AX17" s="64" t="n"/>
      <c r="AY17" s="136" t="n"/>
      <c r="AZ17" s="64" t="n"/>
      <c r="BA17" s="64" t="n"/>
      <c r="BB17" s="64" t="n"/>
      <c r="BC17" s="64" t="n"/>
      <c r="BD17" s="64" t="n"/>
      <c r="BE17" s="64" t="n"/>
      <c r="BF17" s="308" t="n"/>
      <c r="BG17" s="64" t="n"/>
      <c r="BH17" s="64" t="n"/>
      <c r="BI17" s="136" t="n"/>
      <c r="BJ17" s="64" t="n"/>
      <c r="BK17" s="64" t="n"/>
      <c r="BL17" s="64" t="n"/>
      <c r="BM17" s="64" t="n"/>
      <c r="BN17" s="64" t="n"/>
      <c r="BO17" s="64" t="n"/>
      <c r="BP17" s="64" t="n"/>
      <c r="BQ17" s="64" t="n"/>
      <c r="BR17" s="64" t="n"/>
      <c r="BS17" s="64" t="n"/>
      <c r="BT17" s="64" t="n"/>
      <c r="BU17" s="64" t="n"/>
      <c r="BV17" s="64" t="n"/>
      <c r="BW17" s="64" t="n"/>
      <c r="BX17" s="64" t="n"/>
      <c r="BY17" s="64" t="n"/>
      <c r="BZ17" s="64" t="n"/>
      <c r="CA17" s="64" t="n"/>
    </row>
    <row r="18" ht="16.5" customHeight="1">
      <c r="A18" s="1993" t="n"/>
      <c r="B18" s="2647" t="n"/>
      <c r="D18" s="2641" t="n"/>
      <c r="E18" s="2647" t="n"/>
      <c r="H18" s="2641" t="n"/>
      <c r="I18" s="2647" t="n"/>
      <c r="M18" s="2641" t="n"/>
      <c r="N18" s="2647" t="n"/>
      <c r="Q18" s="2641" t="n"/>
      <c r="R18" s="2647" t="n"/>
      <c r="U18" s="2641" t="n"/>
      <c r="AM18" s="2641" t="n"/>
      <c r="AN18" s="64" t="n"/>
      <c r="AO18" s="136" t="n"/>
      <c r="AP18" s="64" t="n"/>
      <c r="AQ18" s="64" t="n"/>
      <c r="AR18" s="64" t="n"/>
      <c r="AS18" s="64" t="n"/>
      <c r="AT18" s="64" t="n"/>
      <c r="AU18" s="64" t="n"/>
      <c r="AV18" s="64" t="n"/>
      <c r="AW18" s="64" t="n"/>
      <c r="AX18" s="64" t="n"/>
      <c r="AY18" s="136" t="n"/>
      <c r="AZ18" s="64" t="n"/>
      <c r="BA18" s="64" t="n"/>
      <c r="BB18" s="64" t="n"/>
      <c r="BC18" s="64" t="n"/>
      <c r="BD18" s="64" t="n"/>
      <c r="BE18" s="64" t="n"/>
      <c r="BF18" s="308" t="n"/>
      <c r="BG18" s="64" t="n"/>
      <c r="BH18" s="64" t="n"/>
      <c r="BI18" s="136" t="n"/>
      <c r="BJ18" s="64" t="n"/>
      <c r="BK18" s="64" t="n"/>
      <c r="BL18" s="64" t="n"/>
      <c r="BM18" s="64" t="n"/>
      <c r="BN18" s="64" t="n"/>
      <c r="BO18" s="64" t="n"/>
      <c r="BP18" s="64" t="n"/>
      <c r="BQ18" s="64" t="n"/>
      <c r="BR18" s="64" t="n"/>
      <c r="BS18" s="64" t="n"/>
      <c r="BT18" s="64" t="n"/>
      <c r="BU18" s="64" t="n"/>
      <c r="BV18" s="64" t="n"/>
      <c r="BW18" s="64" t="n"/>
      <c r="BX18" s="64" t="n"/>
      <c r="BY18" s="64" t="n"/>
      <c r="BZ18" s="64" t="n"/>
      <c r="CA18" s="64" t="n"/>
    </row>
    <row r="19" ht="55.5" customHeight="1">
      <c r="A19" s="1993" t="n"/>
      <c r="B19" s="2647" t="n"/>
      <c r="D19" s="2641" t="n"/>
      <c r="E19" s="2648" t="n"/>
      <c r="F19" s="2613" t="n"/>
      <c r="G19" s="2613" t="n"/>
      <c r="H19" s="2649" t="n"/>
      <c r="I19" s="2647" t="n"/>
      <c r="M19" s="2641" t="n"/>
      <c r="N19" s="2647" t="n"/>
      <c r="Q19" s="2641" t="n"/>
      <c r="R19" s="2647" t="n"/>
      <c r="U19" s="2641" t="n"/>
      <c r="AM19" s="2641" t="n"/>
      <c r="AN19" s="64" t="n"/>
      <c r="AO19" s="136" t="n"/>
      <c r="AP19" s="64" t="n"/>
      <c r="AQ19" s="64" t="n"/>
      <c r="AR19" s="64" t="n"/>
      <c r="AS19" s="64" t="n"/>
      <c r="AT19" s="64" t="n"/>
      <c r="AU19" s="64" t="n"/>
      <c r="AV19" s="64" t="n"/>
      <c r="AW19" s="64" t="n"/>
      <c r="AX19" s="64" t="n"/>
      <c r="AY19" s="136" t="n"/>
      <c r="AZ19" s="64" t="n"/>
      <c r="BA19" s="64" t="n"/>
      <c r="BB19" s="64" t="n"/>
      <c r="BC19" s="64" t="n"/>
      <c r="BD19" s="64" t="n"/>
      <c r="BE19" s="64" t="n"/>
      <c r="BF19" s="308" t="n"/>
      <c r="BG19" s="64" t="n"/>
      <c r="BH19" s="64" t="n"/>
      <c r="BI19" s="136" t="n"/>
      <c r="BJ19" s="64" t="n"/>
      <c r="BK19" s="64" t="n"/>
      <c r="BL19" s="64" t="n"/>
      <c r="BM19" s="64" t="n"/>
      <c r="BN19" s="64" t="n"/>
      <c r="BO19" s="64" t="n"/>
      <c r="BP19" s="64" t="n"/>
      <c r="BQ19" s="64" t="n"/>
      <c r="BR19" s="64" t="n"/>
      <c r="BS19" s="64" t="n"/>
      <c r="BT19" s="64" t="n"/>
      <c r="BU19" s="64" t="n"/>
      <c r="BV19" s="64" t="n"/>
      <c r="BW19" s="64" t="n"/>
      <c r="BX19" s="64" t="n"/>
      <c r="BY19" s="64" t="n"/>
      <c r="BZ19" s="64" t="n"/>
      <c r="CA19" s="64" t="n"/>
    </row>
    <row r="20" ht="16.5" customHeight="1">
      <c r="A20" s="1993" t="n"/>
      <c r="B20" s="2650" t="n"/>
      <c r="D20" s="2641" t="n"/>
      <c r="E20" s="2651">
        <f>IF('Data Input'!L5&gt;0,'Data Input'!J5,"")</f>
        <v/>
      </c>
      <c r="F20" s="2624" t="n"/>
      <c r="G20" s="2624" t="n"/>
      <c r="H20" s="2642" t="n"/>
      <c r="I20" s="2652">
        <f>IF('Data Input'!L5&gt;0,+'Data Input'!K5,"")</f>
        <v/>
      </c>
      <c r="J20" s="2624" t="n"/>
      <c r="K20" s="2624" t="n"/>
      <c r="L20" s="2624" t="n"/>
      <c r="M20" s="2642" t="n"/>
      <c r="N20" s="2644">
        <f>IF('Data Input'!L5&gt;0,+'Data Input'!L5,"")</f>
        <v/>
      </c>
      <c r="O20" s="2624" t="n"/>
      <c r="P20" s="2624" t="n"/>
      <c r="Q20" s="2642" t="n"/>
      <c r="R20" s="1999">
        <f>IF('Data Input'!L5&gt;0,+'Data Input'!M5,"")</f>
        <v/>
      </c>
      <c r="S20" s="2645" t="n"/>
      <c r="T20" s="2624" t="n"/>
      <c r="U20" s="2642" t="n"/>
      <c r="AM20" s="2641" t="n"/>
      <c r="AN20" s="64" t="n"/>
      <c r="AO20" s="136" t="n"/>
      <c r="AP20" s="64" t="n"/>
      <c r="AQ20" s="64" t="n"/>
      <c r="AR20" s="64" t="n"/>
      <c r="AS20" s="64" t="n"/>
      <c r="AT20" s="64" t="n"/>
      <c r="AU20" s="64" t="n"/>
      <c r="AV20" s="64" t="n"/>
      <c r="AW20" s="64" t="n"/>
      <c r="AX20" s="64" t="n"/>
      <c r="AY20" s="136" t="n"/>
      <c r="AZ20" s="64" t="n"/>
      <c r="BA20" s="64" t="n"/>
      <c r="BB20" s="64" t="n"/>
      <c r="BC20" s="64" t="n"/>
      <c r="BD20" s="64" t="n"/>
      <c r="BE20" s="64" t="n"/>
      <c r="BF20" s="308" t="n"/>
      <c r="BG20" s="64" t="n"/>
      <c r="BH20" s="64" t="n"/>
      <c r="BI20" s="136" t="n"/>
      <c r="BJ20" s="64" t="n"/>
      <c r="BK20" s="64" t="n"/>
      <c r="BL20" s="64" t="n"/>
      <c r="BM20" s="64" t="n"/>
      <c r="BN20" s="64" t="n"/>
      <c r="BO20" s="64" t="n"/>
      <c r="BP20" s="64" t="n"/>
      <c r="BQ20" s="64" t="n"/>
      <c r="BR20" s="64" t="n"/>
      <c r="BS20" s="64" t="n"/>
      <c r="BT20" s="64" t="n"/>
      <c r="BU20" s="64" t="n"/>
      <c r="BV20" s="64" t="n"/>
      <c r="BW20" s="64" t="n"/>
      <c r="BX20" s="64" t="n"/>
      <c r="BY20" s="64" t="n"/>
      <c r="BZ20" s="64" t="n"/>
      <c r="CA20" s="64" t="n"/>
    </row>
    <row r="21" ht="9.75" customHeight="1">
      <c r="A21" s="1993" t="n"/>
      <c r="B21" s="2647" t="n"/>
      <c r="D21" s="2641" t="n"/>
      <c r="E21" s="2647" t="n"/>
      <c r="H21" s="2641" t="n"/>
      <c r="I21" s="2647" t="n"/>
      <c r="M21" s="2641" t="n"/>
      <c r="N21" s="2647" t="n"/>
      <c r="Q21" s="2641" t="n"/>
      <c r="R21" s="2647" t="n"/>
      <c r="U21" s="2641" t="n"/>
      <c r="AM21" s="2641" t="n"/>
      <c r="AN21" s="64" t="n"/>
      <c r="AO21" s="136" t="n"/>
      <c r="AP21" s="64" t="n"/>
      <c r="AQ21" s="64" t="n"/>
      <c r="AR21" s="64" t="n"/>
      <c r="AS21" s="64" t="n"/>
      <c r="AT21" s="64" t="n"/>
      <c r="AU21" s="64" t="n"/>
      <c r="AV21" s="64" t="n"/>
      <c r="AW21" s="64" t="n"/>
      <c r="AX21" s="64" t="n"/>
      <c r="AY21" s="136" t="n"/>
      <c r="AZ21" s="64" t="n"/>
      <c r="BA21" s="64" t="n"/>
      <c r="BB21" s="64" t="n"/>
      <c r="BC21" s="64" t="n"/>
      <c r="BD21" s="64" t="n"/>
      <c r="BE21" s="64" t="n"/>
      <c r="BF21" s="308" t="n"/>
      <c r="BG21" s="64" t="n"/>
      <c r="BH21" s="64" t="n"/>
      <c r="BI21" s="136" t="n"/>
      <c r="BJ21" s="64" t="n"/>
      <c r="BK21" s="64" t="n"/>
      <c r="BL21" s="64" t="n"/>
      <c r="BM21" s="64" t="n"/>
      <c r="BN21" s="64" t="n"/>
      <c r="BO21" s="64" t="n"/>
      <c r="BP21" s="64" t="n"/>
      <c r="BQ21" s="64" t="n"/>
      <c r="BR21" s="64" t="n"/>
      <c r="BS21" s="64" t="n"/>
      <c r="BT21" s="64" t="n"/>
      <c r="BU21" s="64" t="n"/>
      <c r="BV21" s="64" t="n"/>
      <c r="BW21" s="64" t="n"/>
      <c r="BX21" s="64" t="n"/>
      <c r="BY21" s="64" t="n"/>
      <c r="BZ21" s="64" t="n"/>
      <c r="CA21" s="64" t="n"/>
    </row>
    <row r="22" ht="10.5" customHeight="1">
      <c r="A22" s="1993" t="n"/>
      <c r="B22" s="2647" t="n"/>
      <c r="D22" s="2641" t="n"/>
      <c r="E22" s="2647" t="n"/>
      <c r="H22" s="2641" t="n"/>
      <c r="I22" s="2647" t="n"/>
      <c r="M22" s="2641" t="n"/>
      <c r="N22" s="2647" t="n"/>
      <c r="Q22" s="2641" t="n"/>
      <c r="R22" s="2647" t="n"/>
      <c r="U22" s="2641" t="n"/>
      <c r="AM22" s="2641" t="n"/>
      <c r="AN22" s="64" t="n"/>
      <c r="AO22" s="136" t="n"/>
      <c r="AP22" s="64" t="n"/>
      <c r="AQ22" s="64" t="n"/>
      <c r="AR22" s="64" t="n"/>
      <c r="AS22" s="64" t="n"/>
      <c r="AT22" s="64" t="n"/>
      <c r="AU22" s="64" t="n"/>
      <c r="AV22" s="64" t="n"/>
      <c r="AW22" s="64" t="n"/>
      <c r="AX22" s="64" t="n"/>
      <c r="AY22" s="136" t="n"/>
      <c r="AZ22" s="64" t="n"/>
      <c r="BA22" s="64" t="n"/>
      <c r="BB22" s="64" t="n"/>
      <c r="BC22" s="64" t="n"/>
      <c r="BD22" s="64" t="n"/>
      <c r="BE22" s="64" t="n"/>
      <c r="BF22" s="308" t="n"/>
      <c r="BG22" s="64" t="n"/>
      <c r="BH22" s="64" t="n"/>
      <c r="BI22" s="136" t="n"/>
      <c r="BJ22" s="64" t="n"/>
      <c r="BK22" s="64" t="n"/>
      <c r="BL22" s="64" t="n"/>
      <c r="BM22" s="64" t="n"/>
      <c r="BN22" s="64" t="n"/>
      <c r="BO22" s="64" t="n"/>
      <c r="BP22" s="64" t="n"/>
      <c r="BQ22" s="64" t="n"/>
      <c r="BR22" s="64" t="n"/>
      <c r="BS22" s="64" t="n"/>
      <c r="BT22" s="64" t="n"/>
      <c r="BU22" s="64" t="n"/>
      <c r="BV22" s="64" t="n"/>
      <c r="BW22" s="64" t="n"/>
      <c r="BX22" s="64" t="n"/>
      <c r="BY22" s="64" t="n"/>
      <c r="BZ22" s="64" t="n"/>
      <c r="CA22" s="64" t="n"/>
    </row>
    <row r="23" ht="16.5" customHeight="1">
      <c r="A23" s="1993" t="n"/>
      <c r="B23" s="2653" t="n"/>
      <c r="C23" s="2613" t="n"/>
      <c r="D23" s="2649" t="n"/>
      <c r="E23" s="1876">
        <f>IF('Data Input'!L12&gt;0,'Data Input'!J12,"")</f>
        <v/>
      </c>
      <c r="H23" s="2641" t="n"/>
      <c r="I23" s="2654">
        <f>IF('Data Input'!L12&gt;0,+'Data Input'!K12,"")</f>
        <v/>
      </c>
      <c r="M23" s="2641" t="n"/>
      <c r="N23" s="2655">
        <f>IF('Data Input'!L12&gt;0,+'Data Input'!L12,"")</f>
        <v/>
      </c>
      <c r="O23" s="2613" t="n"/>
      <c r="P23" s="2613" t="n"/>
      <c r="Q23" s="2649" t="n"/>
      <c r="R23" s="2025">
        <f>IF('Data Input'!L12&gt;0,+'Data Input'!M12,"")</f>
        <v/>
      </c>
      <c r="S23" s="1872">
        <f>IF('Data Input'!L12&gt;0,"-","")</f>
        <v/>
      </c>
      <c r="T23" s="2026">
        <f>IF('Data Input'!L12&gt;0,'Data Input'!N12,"")</f>
        <v/>
      </c>
      <c r="U23" s="2649" t="n"/>
      <c r="V23" s="2613" t="n"/>
      <c r="W23" s="2613" t="n"/>
      <c r="X23" s="2613" t="n"/>
      <c r="Y23" s="2613" t="n"/>
      <c r="Z23" s="2613" t="n"/>
      <c r="AA23" s="2613" t="n"/>
      <c r="AB23" s="2613" t="n"/>
      <c r="AC23" s="2613" t="n"/>
      <c r="AD23" s="2613" t="n"/>
      <c r="AE23" s="2613" t="n"/>
      <c r="AF23" s="2613" t="n"/>
      <c r="AG23" s="2613" t="n"/>
      <c r="AH23" s="2613" t="n"/>
      <c r="AI23" s="2613" t="n"/>
      <c r="AJ23" s="2613" t="n"/>
      <c r="AK23" s="2613" t="n"/>
      <c r="AL23" s="2613" t="n"/>
      <c r="AM23" s="2649" t="n"/>
      <c r="AN23" s="64" t="n"/>
      <c r="AO23" s="136" t="n"/>
      <c r="AP23" s="64" t="n"/>
      <c r="AQ23" s="64" t="n"/>
      <c r="AR23" s="64" t="n"/>
      <c r="AS23" s="64" t="n"/>
      <c r="AT23" s="64" t="n"/>
      <c r="AU23" s="64" t="n"/>
      <c r="AV23" s="64" t="n"/>
      <c r="AW23" s="64" t="n"/>
      <c r="AX23" s="64" t="n"/>
      <c r="AY23" s="136" t="n"/>
      <c r="AZ23" s="64" t="n"/>
      <c r="BA23" s="64" t="n"/>
      <c r="BB23" s="64" t="n"/>
      <c r="BC23" s="64" t="n"/>
      <c r="BD23" s="64" t="n"/>
      <c r="BE23" s="64" t="n"/>
      <c r="BF23" s="308" t="n"/>
      <c r="BG23" s="64" t="n"/>
      <c r="BH23" s="64" t="n"/>
      <c r="BI23" s="136" t="n"/>
      <c r="BJ23" s="64" t="n"/>
      <c r="BK23" s="64" t="n"/>
      <c r="BL23" s="64" t="n"/>
      <c r="BM23" s="64" t="n"/>
      <c r="BN23" s="64" t="n"/>
      <c r="BO23" s="64" t="n"/>
      <c r="BP23" s="64" t="n"/>
      <c r="BQ23" s="64" t="n"/>
      <c r="BR23" s="64" t="n"/>
      <c r="BS23" s="64" t="n"/>
      <c r="BT23" s="64" t="n"/>
      <c r="BU23" s="64" t="n"/>
      <c r="BV23" s="64" t="n"/>
      <c r="BW23" s="64" t="n"/>
      <c r="BX23" s="64" t="n"/>
      <c r="BY23" s="64" t="n"/>
      <c r="BZ23" s="64" t="n"/>
      <c r="CA23" s="64" t="n"/>
    </row>
    <row r="24" ht="16.5" customFormat="1" customHeight="1" s="18">
      <c r="A24" s="2028" t="n"/>
      <c r="B24" s="2653" t="inlineStr">
        <is>
          <t xml:space="preserve">       ‡gvU Rwgi cwigvb</t>
        </is>
      </c>
      <c r="C24" s="2613" t="n"/>
      <c r="D24" s="2613" t="n"/>
      <c r="E24" s="2613" t="n"/>
      <c r="F24" s="2613" t="n"/>
      <c r="G24" s="2613" t="n"/>
      <c r="H24" s="2613" t="n"/>
      <c r="I24" s="2613" t="n"/>
      <c r="J24" s="2613" t="n"/>
      <c r="K24" s="2613" t="n"/>
      <c r="L24" s="2613" t="n"/>
      <c r="M24" s="2613" t="n"/>
      <c r="N24" s="2613" t="n"/>
      <c r="O24" s="2613" t="n"/>
      <c r="P24" s="2613" t="n"/>
      <c r="Q24" s="2649" t="n"/>
      <c r="R24" s="2032">
        <f>SUM(S17:S20)</f>
        <v/>
      </c>
      <c r="S24" s="2614" t="n"/>
      <c r="T24" s="2614" t="n"/>
      <c r="U24" s="2617" t="n"/>
      <c r="V24" s="1735" t="n"/>
      <c r="W24" s="2614" t="n"/>
      <c r="X24" s="2614" t="n"/>
      <c r="Y24" s="2614" t="n"/>
      <c r="Z24" s="2614" t="n"/>
      <c r="AA24" s="2614" t="n"/>
      <c r="AB24" s="2614" t="n"/>
      <c r="AC24" s="2614" t="n"/>
      <c r="AD24" s="2614" t="n"/>
      <c r="AE24" s="2614" t="n"/>
      <c r="AF24" s="2614" t="n"/>
      <c r="AG24" s="2614" t="n"/>
      <c r="AH24" s="2614" t="n"/>
      <c r="AI24" s="2614" t="n"/>
      <c r="AJ24" s="2614" t="n"/>
      <c r="AK24" s="2614" t="n"/>
      <c r="AL24" s="2614" t="n"/>
      <c r="AM24" s="2617" t="n"/>
      <c r="AN24" s="103" t="n"/>
      <c r="AO24" s="225" t="n"/>
      <c r="AP24" s="103" t="n"/>
      <c r="AQ24" s="103" t="n"/>
      <c r="AR24" s="103" t="n"/>
      <c r="AS24" s="103" t="n"/>
      <c r="AT24" s="103" t="n"/>
      <c r="AU24" s="103" t="n"/>
      <c r="AV24" s="103" t="n"/>
      <c r="AW24" s="103" t="n"/>
      <c r="AX24" s="103" t="n"/>
      <c r="AY24" s="225" t="n"/>
      <c r="AZ24" s="103" t="n"/>
      <c r="BA24" s="103" t="n"/>
      <c r="BB24" s="103" t="n"/>
      <c r="BC24" s="103" t="n"/>
      <c r="BD24" s="103" t="n"/>
      <c r="BE24" s="103" t="n"/>
      <c r="BF24" s="555" t="n"/>
      <c r="BG24" s="103" t="n"/>
      <c r="BH24" s="103" t="n"/>
      <c r="BI24" s="225" t="n"/>
      <c r="BJ24" s="103" t="n"/>
      <c r="BK24" s="103" t="n"/>
      <c r="BL24" s="103" t="n"/>
      <c r="BM24" s="103" t="n"/>
      <c r="BN24" s="103" t="n"/>
      <c r="BO24" s="103" t="n"/>
      <c r="BP24" s="103" t="n"/>
      <c r="BQ24" s="103" t="n"/>
      <c r="BR24" s="103" t="n"/>
      <c r="BS24" s="103" t="n"/>
      <c r="BT24" s="103" t="n"/>
      <c r="BU24" s="103" t="n"/>
      <c r="BV24" s="103" t="n"/>
      <c r="BW24" s="103" t="n"/>
      <c r="BX24" s="103" t="n"/>
      <c r="BY24" s="103" t="n"/>
      <c r="BZ24" s="103" t="n"/>
      <c r="CA24" s="103" t="n"/>
    </row>
    <row r="25" ht="16.5" customFormat="1" customHeight="1" s="18">
      <c r="A25" s="746" t="n"/>
      <c r="B25" s="199" t="n"/>
      <c r="C25" s="199" t="n"/>
      <c r="D25" s="199" t="n"/>
      <c r="E25" s="1969" t="n"/>
      <c r="F25" s="199" t="n"/>
      <c r="G25" s="1967" t="n"/>
      <c r="H25" s="746" t="n"/>
      <c r="I25" s="746" t="n"/>
      <c r="J25" s="199" t="n"/>
      <c r="K25" s="746" t="n"/>
      <c r="L25" s="199" t="n"/>
      <c r="M25" s="746" t="n"/>
      <c r="N25" s="199" t="n"/>
      <c r="O25" s="1604" t="n"/>
      <c r="P25" s="94" t="n"/>
      <c r="Q25" s="746" t="n"/>
      <c r="R25" s="94" t="n"/>
      <c r="S25" s="746" t="n"/>
      <c r="T25" s="746" t="n"/>
      <c r="U25" s="199" t="n"/>
      <c r="V25" s="199" t="n"/>
      <c r="W25" s="199" t="n"/>
      <c r="X25" s="199" t="n"/>
      <c r="Y25" s="746" t="n"/>
      <c r="Z25" s="199" t="n"/>
      <c r="AA25" s="199" t="n"/>
      <c r="AB25" s="199" t="n"/>
      <c r="AC25" s="199" t="n"/>
      <c r="AD25" s="746" t="n"/>
      <c r="AE25" s="199" t="n"/>
      <c r="AF25" s="199" t="n"/>
      <c r="AG25" s="199" t="n"/>
      <c r="AH25" s="199" t="n"/>
      <c r="AI25" s="746" t="n"/>
      <c r="AJ25" s="199" t="n"/>
      <c r="AK25" s="199" t="n"/>
      <c r="AL25" s="199" t="n"/>
      <c r="AM25" s="199" t="n"/>
      <c r="AN25" s="103" t="n"/>
      <c r="AO25" s="225" t="n"/>
      <c r="AP25" s="103" t="n"/>
      <c r="AQ25" s="103" t="n"/>
      <c r="AR25" s="103" t="n"/>
      <c r="AS25" s="103" t="n"/>
      <c r="AT25" s="103" t="n"/>
      <c r="AU25" s="103" t="n"/>
      <c r="AV25" s="103" t="n"/>
      <c r="AW25" s="103" t="n"/>
      <c r="AX25" s="103" t="n"/>
      <c r="AY25" s="225" t="n"/>
      <c r="AZ25" s="103" t="n"/>
      <c r="BA25" s="103" t="n"/>
      <c r="BB25" s="103" t="n"/>
      <c r="BC25" s="103" t="n"/>
      <c r="BD25" s="103" t="n"/>
      <c r="BE25" s="103" t="n"/>
      <c r="BF25" s="555" t="n"/>
      <c r="BG25" s="103" t="n"/>
      <c r="BH25" s="103" t="n"/>
      <c r="BI25" s="225" t="n"/>
      <c r="BJ25" s="103" t="n"/>
      <c r="BK25" s="103" t="n"/>
      <c r="BL25" s="103" t="n"/>
      <c r="BM25" s="103" t="n"/>
      <c r="BN25" s="103" t="n"/>
      <c r="BO25" s="103" t="n"/>
      <c r="BP25" s="103" t="n"/>
      <c r="BQ25" s="103" t="n"/>
      <c r="BR25" s="103" t="n"/>
      <c r="BS25" s="103" t="n"/>
      <c r="BT25" s="103" t="n"/>
      <c r="BU25" s="103" t="n"/>
      <c r="BV25" s="103" t="n"/>
      <c r="BW25" s="103" t="n"/>
      <c r="BX25" s="103" t="n"/>
      <c r="BY25" s="103" t="n"/>
      <c r="BZ25" s="103" t="n"/>
      <c r="CA25" s="103" t="n"/>
    </row>
    <row r="26" ht="16.5" customFormat="1" customHeight="1" s="18">
      <c r="A26" s="746" t="n"/>
      <c r="B26" s="199" t="n"/>
      <c r="C26" s="199" t="n"/>
      <c r="D26" s="199" t="n"/>
      <c r="E26" s="1969" t="n"/>
      <c r="F26" s="199" t="n"/>
      <c r="G26" s="1967" t="n"/>
      <c r="H26" s="746" t="n"/>
      <c r="I26" s="746" t="n"/>
      <c r="J26" s="199" t="n"/>
      <c r="K26" s="746" t="n"/>
      <c r="L26" s="199" t="n"/>
      <c r="M26" s="746" t="n"/>
      <c r="N26" s="199" t="n"/>
      <c r="O26" s="1604" t="n"/>
      <c r="P26" s="94" t="n"/>
      <c r="Q26" s="746" t="n"/>
      <c r="R26" s="94" t="n"/>
      <c r="S26" s="746" t="n"/>
      <c r="T26" s="746" t="n"/>
      <c r="U26" s="199" t="n"/>
      <c r="V26" s="199" t="n"/>
      <c r="W26" s="199" t="n"/>
      <c r="X26" s="199" t="n"/>
      <c r="Y26" s="746" t="n"/>
      <c r="Z26" s="199" t="n"/>
      <c r="AA26" s="199" t="n"/>
      <c r="AB26" s="199" t="n"/>
      <c r="AC26" s="199" t="n"/>
      <c r="AD26" s="746" t="n"/>
      <c r="AE26" s="199" t="n"/>
      <c r="AF26" s="199" t="n"/>
      <c r="AG26" s="199" t="n"/>
      <c r="AH26" s="199" t="n"/>
      <c r="AI26" s="746" t="n"/>
      <c r="AJ26" s="199" t="n"/>
      <c r="AK26" s="199" t="n"/>
      <c r="AL26" s="199" t="n"/>
      <c r="AM26" s="199" t="n"/>
      <c r="AN26" s="103" t="n"/>
      <c r="AO26" s="225" t="n"/>
      <c r="AP26" s="103" t="n"/>
      <c r="AQ26" s="103" t="n"/>
      <c r="AR26" s="103" t="n"/>
      <c r="AS26" s="103" t="n"/>
      <c r="AT26" s="103" t="n"/>
      <c r="AU26" s="103" t="n"/>
      <c r="AV26" s="103" t="n"/>
      <c r="AW26" s="103" t="n"/>
      <c r="AX26" s="103" t="n"/>
      <c r="AY26" s="225" t="n"/>
      <c r="AZ26" s="103" t="n"/>
      <c r="BA26" s="103" t="n"/>
      <c r="BB26" s="103" t="n"/>
      <c r="BC26" s="103" t="n"/>
      <c r="BD26" s="103" t="n"/>
      <c r="BE26" s="103" t="n"/>
      <c r="BF26" s="555" t="n"/>
      <c r="BG26" s="103" t="n"/>
      <c r="BH26" s="103" t="n"/>
      <c r="BI26" s="225" t="n"/>
      <c r="BJ26" s="103" t="n"/>
      <c r="BK26" s="103" t="n"/>
      <c r="BL26" s="103" t="n"/>
      <c r="BM26" s="103" t="n"/>
      <c r="BN26" s="103" t="n"/>
      <c r="BO26" s="103" t="n"/>
      <c r="BP26" s="103" t="n"/>
      <c r="BQ26" s="103" t="n"/>
      <c r="BR26" s="103" t="n"/>
      <c r="BS26" s="103" t="n"/>
      <c r="BT26" s="103" t="n"/>
      <c r="BU26" s="103" t="n"/>
      <c r="BV26" s="103" t="n"/>
      <c r="BW26" s="103" t="n"/>
      <c r="BX26" s="103" t="n"/>
      <c r="BY26" s="103" t="n"/>
      <c r="BZ26" s="103" t="n"/>
      <c r="CA26" s="103" t="n"/>
    </row>
    <row r="27" ht="16.5" customFormat="1" customHeight="1" s="18">
      <c r="A27" s="746" t="n"/>
      <c r="B27" s="199" t="n"/>
      <c r="C27" s="199" t="n"/>
      <c r="D27" s="199" t="n"/>
      <c r="E27" s="1969" t="n"/>
      <c r="F27" s="199" t="n"/>
      <c r="G27" s="1967" t="n"/>
      <c r="H27" s="746" t="n"/>
      <c r="I27" s="746" t="n"/>
      <c r="J27" s="199" t="n"/>
      <c r="K27" s="746" t="n"/>
      <c r="L27" s="199" t="n"/>
      <c r="M27" s="746" t="n"/>
      <c r="N27" s="199" t="n"/>
      <c r="O27" s="1604" t="n"/>
      <c r="P27" s="94" t="n"/>
      <c r="Q27" s="746" t="n"/>
      <c r="R27" s="94" t="n"/>
      <c r="S27" s="746" t="n"/>
      <c r="T27" s="746" t="n"/>
      <c r="U27" s="199" t="n"/>
      <c r="V27" s="199" t="n"/>
      <c r="W27" s="199" t="n"/>
      <c r="X27" s="199" t="n"/>
      <c r="Y27" s="746" t="n"/>
      <c r="Z27" s="199" t="n"/>
      <c r="AA27" s="199" t="n"/>
      <c r="AB27" s="199" t="n"/>
      <c r="AC27" s="199" t="n"/>
      <c r="AD27" s="746" t="n"/>
      <c r="AE27" s="199" t="n"/>
      <c r="AF27" s="199" t="n"/>
      <c r="AG27" s="199" t="n"/>
      <c r="AH27" s="199" t="n"/>
      <c r="AI27" s="746" t="n"/>
      <c r="AJ27" s="199" t="n"/>
      <c r="AK27" s="199" t="n"/>
      <c r="AL27" s="199" t="n"/>
      <c r="AM27" s="199" t="n"/>
      <c r="AN27" s="103" t="n"/>
      <c r="AO27" s="225" t="n"/>
      <c r="AP27" s="103" t="n"/>
      <c r="AQ27" s="103" t="n"/>
      <c r="AR27" s="103" t="n"/>
      <c r="AS27" s="103" t="n"/>
      <c r="AT27" s="103" t="n"/>
      <c r="AU27" s="103" t="n"/>
      <c r="AV27" s="103" t="n"/>
      <c r="AW27" s="103" t="n"/>
      <c r="AX27" s="103" t="n"/>
      <c r="AY27" s="225" t="n"/>
      <c r="AZ27" s="103" t="n"/>
      <c r="BA27" s="103" t="n"/>
      <c r="BB27" s="103" t="n"/>
      <c r="BC27" s="103" t="n"/>
      <c r="BD27" s="103" t="n"/>
      <c r="BE27" s="103" t="n"/>
      <c r="BF27" s="555" t="n"/>
      <c r="BG27" s="103" t="n"/>
      <c r="BH27" s="103" t="n"/>
      <c r="BI27" s="225" t="n"/>
      <c r="BJ27" s="103" t="n"/>
      <c r="BK27" s="103" t="n"/>
      <c r="BL27" s="103" t="n"/>
      <c r="BM27" s="103" t="n"/>
      <c r="BN27" s="103" t="n"/>
      <c r="BO27" s="103" t="n"/>
      <c r="BP27" s="103" t="n"/>
      <c r="BQ27" s="103" t="n"/>
      <c r="BR27" s="103" t="n"/>
      <c r="BS27" s="103" t="n"/>
      <c r="BT27" s="103" t="n"/>
      <c r="BU27" s="103" t="n"/>
      <c r="BV27" s="103" t="n"/>
      <c r="BW27" s="103" t="n"/>
      <c r="BX27" s="103" t="n"/>
      <c r="BY27" s="103" t="n"/>
      <c r="BZ27" s="103" t="n"/>
      <c r="CA27" s="103" t="n"/>
    </row>
    <row r="28" ht="16.5" customFormat="1" customHeight="1" s="18">
      <c r="A28" s="746" t="n"/>
      <c r="B28" s="199" t="n"/>
      <c r="C28" s="199" t="n"/>
      <c r="D28" s="199" t="n"/>
      <c r="E28" s="1969" t="n"/>
      <c r="F28" s="199" t="n"/>
      <c r="G28" s="1967" t="n"/>
      <c r="H28" s="746" t="n"/>
      <c r="I28" s="746" t="n"/>
      <c r="J28" s="199" t="n"/>
      <c r="K28" s="746" t="n"/>
      <c r="L28" s="199" t="n"/>
      <c r="M28" s="746" t="n"/>
      <c r="N28" s="199" t="n"/>
      <c r="O28" s="1604" t="n"/>
      <c r="P28" s="94" t="n"/>
      <c r="Q28" s="746" t="n"/>
      <c r="R28" s="94" t="n"/>
      <c r="S28" s="746" t="n"/>
      <c r="T28" s="746" t="n"/>
      <c r="U28" s="199" t="n"/>
      <c r="V28" s="199" t="n"/>
      <c r="W28" s="199" t="n"/>
      <c r="X28" s="199" t="n"/>
      <c r="Y28" s="746" t="n"/>
      <c r="Z28" s="199" t="n"/>
      <c r="AA28" s="199" t="n"/>
      <c r="AB28" s="199" t="n"/>
      <c r="AC28" s="199" t="n"/>
      <c r="AD28" s="746" t="n"/>
      <c r="AE28" s="199" t="n"/>
      <c r="AF28" s="199" t="n"/>
      <c r="AG28" s="199" t="n"/>
      <c r="AH28" s="199" t="n"/>
      <c r="AI28" s="746" t="n"/>
      <c r="AJ28" s="199" t="n"/>
      <c r="AK28" s="199" t="n"/>
      <c r="AL28" s="199" t="n"/>
      <c r="AM28" s="199" t="n"/>
      <c r="AN28" s="103" t="n"/>
      <c r="AO28" s="225" t="n"/>
      <c r="AP28" s="103" t="n"/>
      <c r="AQ28" s="103" t="n"/>
      <c r="AR28" s="103" t="n"/>
      <c r="AS28" s="103" t="n"/>
      <c r="AT28" s="103" t="n"/>
      <c r="AU28" s="103" t="n"/>
      <c r="AV28" s="103" t="n"/>
      <c r="AW28" s="103" t="n"/>
      <c r="AX28" s="103" t="n"/>
      <c r="AY28" s="225" t="n"/>
      <c r="AZ28" s="103" t="n"/>
      <c r="BA28" s="103" t="n"/>
      <c r="BB28" s="103" t="n"/>
      <c r="BC28" s="103" t="n"/>
      <c r="BD28" s="103" t="n"/>
      <c r="BE28" s="103" t="n"/>
      <c r="BF28" s="555" t="n"/>
      <c r="BG28" s="103" t="n"/>
      <c r="BH28" s="103" t="n"/>
      <c r="BI28" s="225" t="n"/>
      <c r="BJ28" s="103" t="n"/>
      <c r="BK28" s="103" t="n"/>
      <c r="BL28" s="103" t="n"/>
      <c r="BM28" s="103" t="n"/>
      <c r="BN28" s="103" t="n"/>
      <c r="BO28" s="103" t="n"/>
      <c r="BP28" s="103" t="n"/>
      <c r="BQ28" s="103" t="n"/>
      <c r="BR28" s="103" t="n"/>
      <c r="BS28" s="103" t="n"/>
      <c r="BT28" s="103" t="n"/>
      <c r="BU28" s="103" t="n"/>
      <c r="BV28" s="103" t="n"/>
      <c r="BW28" s="103" t="n"/>
      <c r="BX28" s="103" t="n"/>
      <c r="BY28" s="103" t="n"/>
      <c r="BZ28" s="103" t="n"/>
      <c r="CA28" s="103" t="n"/>
    </row>
    <row r="29" ht="16.5" customFormat="1" customHeight="1" s="18">
      <c r="A29" s="746" t="n"/>
      <c r="B29" s="199" t="n"/>
      <c r="C29" s="199" t="n"/>
      <c r="D29" s="199" t="n"/>
      <c r="E29" s="1969" t="n"/>
      <c r="F29" s="199" t="n"/>
      <c r="G29" s="1967" t="n"/>
      <c r="H29" s="746" t="n"/>
      <c r="I29" s="746" t="n"/>
      <c r="J29" s="199" t="n"/>
      <c r="K29" s="746" t="n"/>
      <c r="L29" s="199" t="n"/>
      <c r="M29" s="746" t="n"/>
      <c r="N29" s="199" t="n"/>
      <c r="O29" s="1604" t="n"/>
      <c r="P29" s="94" t="n"/>
      <c r="Q29" s="746" t="n"/>
      <c r="R29" s="94" t="n"/>
      <c r="S29" s="746" t="n"/>
      <c r="T29" s="746" t="n"/>
      <c r="U29" s="199" t="n"/>
      <c r="V29" s="199" t="n"/>
      <c r="W29" s="199" t="n"/>
      <c r="X29" s="199" t="n"/>
      <c r="Y29" s="746" t="n"/>
      <c r="Z29" s="199" t="n"/>
      <c r="AA29" s="199" t="n"/>
      <c r="AB29" s="199" t="n"/>
      <c r="AC29" s="199" t="n"/>
      <c r="AD29" s="746" t="n"/>
      <c r="AE29" s="199" t="n"/>
      <c r="AF29" s="199" t="n"/>
      <c r="AG29" s="199" t="n"/>
      <c r="AH29" s="199" t="n"/>
      <c r="AI29" s="746" t="n"/>
      <c r="AJ29" s="199" t="n"/>
      <c r="AK29" s="199" t="n"/>
      <c r="AL29" s="199" t="n"/>
      <c r="AM29" s="199" t="n"/>
      <c r="AN29" s="103" t="n"/>
      <c r="AO29" s="225" t="n"/>
      <c r="AP29" s="103" t="n"/>
      <c r="AQ29" s="103" t="n"/>
      <c r="AR29" s="103" t="n"/>
      <c r="AS29" s="103" t="n"/>
      <c r="AT29" s="103" t="n"/>
      <c r="AU29" s="103" t="n"/>
      <c r="AV29" s="103" t="n"/>
      <c r="AW29" s="103" t="n"/>
      <c r="AX29" s="103" t="n"/>
      <c r="AY29" s="225" t="n"/>
      <c r="AZ29" s="103" t="n"/>
      <c r="BA29" s="103" t="n"/>
      <c r="BB29" s="103" t="n"/>
      <c r="BC29" s="103" t="n"/>
      <c r="BD29" s="103" t="n"/>
      <c r="BE29" s="103" t="n"/>
      <c r="BF29" s="555" t="n"/>
      <c r="BG29" s="103" t="n"/>
      <c r="BH29" s="103" t="n"/>
      <c r="BI29" s="225" t="n"/>
      <c r="BJ29" s="103" t="n"/>
      <c r="BK29" s="103" t="n"/>
      <c r="BL29" s="103" t="n"/>
      <c r="BM29" s="103" t="n"/>
      <c r="BN29" s="103" t="n"/>
      <c r="BO29" s="103" t="n"/>
      <c r="BP29" s="103" t="n"/>
      <c r="BQ29" s="103" t="n"/>
      <c r="BR29" s="103" t="n"/>
      <c r="BS29" s="103" t="n"/>
      <c r="BT29" s="103" t="n"/>
      <c r="BU29" s="103" t="n"/>
      <c r="BV29" s="103" t="n"/>
      <c r="BW29" s="103" t="n"/>
      <c r="BX29" s="103" t="n"/>
      <c r="BY29" s="103" t="n"/>
      <c r="BZ29" s="103" t="n"/>
      <c r="CA29" s="103" t="n"/>
    </row>
    <row r="30" ht="16.5" customHeight="1">
      <c r="A30" s="136" t="n"/>
      <c r="B30" s="64" t="n"/>
      <c r="C30" s="64" t="n"/>
      <c r="D30" s="64" t="n"/>
      <c r="E30" s="307" t="n"/>
      <c r="F30" s="64" t="n"/>
      <c r="G30" s="748" t="n"/>
      <c r="H30" s="136" t="n"/>
      <c r="I30" s="136" t="n"/>
      <c r="J30" s="64" t="n"/>
      <c r="K30" s="136" t="n"/>
      <c r="L30" s="64" t="n"/>
      <c r="M30" s="136" t="n"/>
      <c r="N30" s="64" t="n"/>
      <c r="O30" s="545" t="n"/>
      <c r="P30" s="543" t="n"/>
      <c r="Q30" s="136" t="n"/>
      <c r="R30" s="543" t="n"/>
      <c r="S30" s="136" t="n"/>
      <c r="T30" s="136" t="n"/>
      <c r="U30" s="64" t="n"/>
      <c r="V30" s="64" t="n"/>
      <c r="W30" s="64" t="n"/>
      <c r="X30" s="64" t="n"/>
      <c r="Y30" s="136" t="n"/>
      <c r="Z30" s="64" t="n"/>
      <c r="AA30" s="64" t="n"/>
      <c r="AB30" s="64" t="n"/>
      <c r="AC30" s="64" t="n"/>
      <c r="AD30" s="136" t="n"/>
      <c r="AE30" s="64" t="n"/>
      <c r="AF30" s="64" t="n"/>
      <c r="AG30" s="64" t="n"/>
      <c r="AH30" s="64" t="n"/>
      <c r="AI30" s="136" t="n"/>
      <c r="AJ30" s="64" t="n"/>
      <c r="AK30" s="64" t="n"/>
      <c r="AL30" s="64" t="n"/>
      <c r="AM30" s="64" t="n"/>
      <c r="AN30" s="64" t="n"/>
      <c r="AO30" s="2034">
        <f>R24='Data Input'!N48</f>
        <v/>
      </c>
      <c r="AP30" s="64" t="n"/>
      <c r="AQ30" s="64" t="n"/>
      <c r="AR30" s="64" t="n"/>
      <c r="AS30" s="64" t="n"/>
      <c r="AT30" s="64" t="n"/>
      <c r="AU30" s="64" t="n"/>
      <c r="AV30" s="64" t="n"/>
      <c r="AW30" s="64" t="n"/>
      <c r="AX30" s="64" t="n"/>
      <c r="AY30" s="136" t="n"/>
      <c r="AZ30" s="64" t="n"/>
      <c r="BA30" s="64" t="n"/>
      <c r="BB30" s="64" t="n"/>
      <c r="BC30" s="64" t="n"/>
      <c r="BD30" s="64" t="n"/>
      <c r="BE30" s="64" t="n"/>
      <c r="BF30" s="308" t="n"/>
      <c r="BG30" s="64" t="n"/>
      <c r="BH30" s="64" t="n"/>
      <c r="BI30" s="136" t="n"/>
      <c r="BJ30" s="64" t="n"/>
      <c r="BK30" s="64" t="n"/>
      <c r="BL30" s="64" t="n"/>
      <c r="BM30" s="64" t="n"/>
      <c r="BN30" s="64" t="n"/>
      <c r="BO30" s="64" t="n"/>
      <c r="BP30" s="64" t="n"/>
      <c r="BQ30" s="64" t="n"/>
      <c r="BR30" s="64" t="n"/>
      <c r="BS30" s="64" t="n"/>
      <c r="BT30" s="64" t="n"/>
      <c r="BU30" s="64" t="n"/>
      <c r="BV30" s="64" t="n"/>
      <c r="BW30" s="64" t="n"/>
      <c r="BX30" s="64" t="n"/>
      <c r="BY30" s="64" t="n"/>
      <c r="BZ30" s="64" t="n"/>
      <c r="CA30" s="64" t="n"/>
    </row>
    <row r="31" ht="6.75" customFormat="1" customHeight="1" s="18">
      <c r="A31" s="746" t="n"/>
      <c r="B31" s="222" t="n"/>
      <c r="C31" s="222" t="n"/>
      <c r="D31" s="222" t="n"/>
      <c r="E31" s="300" t="n"/>
      <c r="F31" s="222" t="n"/>
      <c r="G31" s="2035" t="n"/>
      <c r="H31" s="224" t="n"/>
      <c r="I31" s="224" t="n"/>
      <c r="J31" s="222" t="n"/>
      <c r="K31" s="224" t="n"/>
      <c r="L31" s="222" t="n"/>
      <c r="M31" s="224" t="n"/>
      <c r="N31" s="222" t="n"/>
      <c r="O31" s="2036" t="n"/>
      <c r="P31" s="93" t="n"/>
      <c r="Q31" s="224" t="n"/>
      <c r="R31" s="2035" t="n"/>
      <c r="S31" s="2035" t="n"/>
      <c r="T31" s="2035" t="n"/>
      <c r="U31" s="2035" t="n"/>
      <c r="V31" s="199" t="n"/>
      <c r="W31" s="199" t="n"/>
      <c r="X31" s="199" t="n"/>
      <c r="Y31" s="225" t="n"/>
      <c r="Z31" s="199" t="n"/>
      <c r="AA31" s="199" t="n"/>
      <c r="AB31" s="199" t="n"/>
      <c r="AC31" s="199" t="n"/>
      <c r="AD31" s="746" t="n"/>
      <c r="AE31" s="199" t="n"/>
      <c r="AF31" s="199" t="n"/>
      <c r="AG31" s="199" t="n"/>
      <c r="AH31" s="199" t="n"/>
      <c r="AI31" s="746" t="n"/>
      <c r="AJ31" s="199" t="n"/>
      <c r="AK31" s="199" t="n"/>
      <c r="AL31" s="199" t="n"/>
      <c r="AM31" s="199" t="n"/>
      <c r="AN31" s="103" t="n"/>
      <c r="AO31" s="225" t="n"/>
      <c r="AP31" s="103" t="n"/>
      <c r="AQ31" s="103" t="n"/>
      <c r="AR31" s="103" t="n"/>
      <c r="AS31" s="103" t="n"/>
      <c r="AT31" s="103" t="n"/>
      <c r="AU31" s="103" t="n"/>
      <c r="AV31" s="103" t="n"/>
      <c r="AW31" s="103" t="n"/>
      <c r="AX31" s="103" t="n"/>
      <c r="AY31" s="225" t="n"/>
      <c r="AZ31" s="103" t="n"/>
      <c r="BA31" s="103" t="n"/>
      <c r="BB31" s="103" t="n"/>
      <c r="BC31" s="103" t="n"/>
      <c r="BD31" s="103" t="n"/>
      <c r="BE31" s="103" t="n"/>
      <c r="BF31" s="555" t="n"/>
      <c r="BG31" s="103" t="n"/>
      <c r="BH31" s="103" t="n"/>
      <c r="BI31" s="225" t="n"/>
      <c r="BJ31" s="103" t="n"/>
      <c r="BK31" s="103" t="n"/>
      <c r="BL31" s="103" t="n"/>
      <c r="BM31" s="103" t="n"/>
      <c r="BN31" s="103" t="n"/>
      <c r="BO31" s="103" t="n"/>
      <c r="BP31" s="103" t="n"/>
      <c r="BQ31" s="103" t="n"/>
      <c r="BR31" s="103" t="n"/>
      <c r="BS31" s="103" t="n"/>
      <c r="BT31" s="103" t="n"/>
      <c r="BU31" s="103" t="n"/>
      <c r="BV31" s="103" t="n"/>
      <c r="BW31" s="103" t="n"/>
      <c r="BX31" s="103" t="n"/>
      <c r="BY31" s="103" t="n"/>
      <c r="BZ31" s="103" t="n"/>
      <c r="CA31" s="103" t="n"/>
    </row>
    <row r="32" ht="16.5" customFormat="1" customHeight="1" s="18">
      <c r="A32" s="770" t="inlineStr">
        <is>
          <t>mb` cÎ t</t>
        </is>
      </c>
      <c r="AN32" s="103" t="n"/>
      <c r="AO32" s="225" t="n"/>
      <c r="AP32" s="103" t="n"/>
      <c r="AQ32" s="103" t="n"/>
      <c r="AR32" s="103" t="n"/>
      <c r="AS32" s="103" t="n"/>
      <c r="AT32" s="103" t="n"/>
      <c r="AU32" s="103" t="n"/>
      <c r="AV32" s="103" t="n"/>
      <c r="AW32" s="103" t="n"/>
      <c r="AX32" s="103" t="n"/>
      <c r="AY32" s="225" t="n"/>
      <c r="AZ32" s="103" t="n"/>
      <c r="BA32" s="103" t="n"/>
      <c r="BB32" s="103" t="n"/>
      <c r="BC32" s="103" t="n"/>
      <c r="BD32" s="103" t="n"/>
      <c r="BE32" s="103" t="n"/>
      <c r="BF32" s="555" t="n"/>
      <c r="BG32" s="103" t="n"/>
      <c r="BH32" s="103" t="n"/>
      <c r="BI32" s="225" t="n"/>
      <c r="BJ32" s="103" t="n"/>
      <c r="BK32" s="103" t="n"/>
      <c r="BL32" s="103" t="n"/>
      <c r="BM32" s="103" t="n"/>
      <c r="BN32" s="103" t="n"/>
      <c r="BO32" s="103" t="n"/>
      <c r="BP32" s="103" t="n"/>
      <c r="BQ32" s="103" t="n"/>
      <c r="BR32" s="103" t="n"/>
      <c r="BS32" s="103" t="n"/>
      <c r="BT32" s="103" t="n"/>
      <c r="BU32" s="103" t="n"/>
      <c r="BV32" s="103" t="n"/>
      <c r="BW32" s="103" t="n"/>
      <c r="BX32" s="103" t="n"/>
      <c r="BY32" s="103" t="n"/>
      <c r="BZ32" s="103" t="n"/>
      <c r="CA32" s="103" t="n"/>
    </row>
    <row r="33" ht="18" customHeight="1">
      <c r="A33" s="135" t="inlineStr">
        <is>
          <t>K)</t>
        </is>
      </c>
      <c r="B33" s="1964" t="inlineStr">
        <is>
          <t>Avwg</t>
        </is>
      </c>
      <c r="C33" s="1964" t="n"/>
      <c r="D33" s="2037" t="inlineStr">
        <is>
          <t>wmw×iMÄ</t>
        </is>
      </c>
      <c r="E33" s="2656" t="n"/>
      <c r="F33" s="2656" t="n"/>
      <c r="G33" s="2656" t="n"/>
      <c r="H33" s="2656" t="n"/>
      <c r="I33" s="2656" t="n"/>
      <c r="J33" s="2656" t="n"/>
      <c r="K33" s="2656" t="n"/>
      <c r="L33" s="2656" t="n"/>
      <c r="M33" s="2657" t="n"/>
      <c r="N33" s="1964" t="inlineStr">
        <is>
          <t xml:space="preserve">Znwkj Awdm </t>
        </is>
      </c>
      <c r="O33" s="545" t="n"/>
      <c r="P33" s="543" t="n"/>
      <c r="Q33" s="136" t="n"/>
      <c r="R33" s="2041" t="n">
        <v>45676</v>
      </c>
      <c r="S33" s="2656" t="n"/>
      <c r="T33" s="2656" t="n"/>
      <c r="U33" s="2657" t="n"/>
      <c r="V33" s="2044" t="inlineStr">
        <is>
          <t xml:space="preserve">ZvwiL cwi`k©b Ges wbeÜ-02 mn Ab¨vb¨ bw_‡Z Rbve/Rbvev  </t>
        </is>
      </c>
      <c r="AN33" s="64" t="n"/>
      <c r="AO33" s="136" t="n"/>
      <c r="AP33" s="1964" t="n"/>
      <c r="AQ33" s="1964" t="n"/>
      <c r="AR33" s="1964" t="n"/>
      <c r="AS33" s="64" t="n"/>
      <c r="AT33" s="64" t="n"/>
      <c r="AU33" s="64" t="n"/>
      <c r="AV33" s="64" t="n"/>
      <c r="AW33" s="64" t="n"/>
      <c r="AX33" s="64" t="n"/>
      <c r="AY33" s="136" t="n"/>
      <c r="AZ33" s="64" t="n"/>
      <c r="BA33" s="64" t="n"/>
      <c r="BB33" s="64" t="n"/>
      <c r="BC33" s="64" t="n"/>
      <c r="BD33" s="64" t="n"/>
      <c r="BE33" s="64" t="n"/>
      <c r="BF33" s="308" t="n"/>
      <c r="BG33" s="64" t="n"/>
      <c r="BH33" s="64" t="n"/>
      <c r="BI33" s="136" t="n"/>
      <c r="BJ33" s="64" t="n"/>
      <c r="BK33" s="64" t="n"/>
      <c r="BL33" s="64" t="n"/>
      <c r="BM33" s="64" t="n"/>
      <c r="BN33" s="64" t="n"/>
      <c r="BO33" s="64" t="n"/>
      <c r="BP33" s="64" t="n"/>
      <c r="BQ33" s="64" t="n"/>
      <c r="BR33" s="64" t="n"/>
      <c r="BS33" s="64" t="n"/>
      <c r="BT33" s="64" t="n"/>
      <c r="BU33" s="64" t="n"/>
      <c r="BV33" s="64" t="n"/>
      <c r="BW33" s="64" t="n"/>
      <c r="BX33" s="64" t="n"/>
      <c r="BY33" s="64" t="n"/>
      <c r="BZ33" s="64" t="n"/>
      <c r="CA33" s="64" t="n"/>
    </row>
    <row r="34" ht="6" customHeight="1">
      <c r="A34" s="135" t="n"/>
      <c r="B34" s="2583">
        <f>'Data Input'!D12&amp; ", wcZv/m¦vgxt "&amp;'Data Input'!D13&amp;" Gi cÖ¯ÍvweZ Rvgvb‡Zi  cixÿv I ch©‡eÿY KwiqvwQ| "&amp;'Data Input'!D5&amp;" G Avwg †`wLjvg †h, eÜKx m¤úwËwU (1) Av‡e`bKvix A_ev Zvnvi wcZvi "&amp;"wbR"&amp;" bv‡g GK‡PwUqv gvwjK/kwiK wnmv‡e `wjjK…Z A_ev (2) we‡µZvi bv‡g (Lwi`K…Z m¤úwËi †ÿ‡Î) `wjjK…Z| `„k¨Zt () Rvgvb‡Zi Rb¨  cÖ¯ÍvweZ m¤úwË wU Av‡e`bKvixi  DËivwaKvi m~‡Î cvBevi Ges n¯ÍvšÍ‡ii AwaKvi iwnqv‡Q "</f>
        <v/>
      </c>
      <c r="AN34" s="64" t="n"/>
      <c r="AO34" s="136" t="n"/>
      <c r="AP34" s="64" t="n"/>
      <c r="AQ34" s="64" t="n"/>
      <c r="AR34" s="64" t="n"/>
      <c r="AS34" s="64" t="n"/>
      <c r="AT34" s="64" t="n"/>
      <c r="AU34" s="64" t="n"/>
      <c r="AV34" s="64" t="n"/>
      <c r="AW34" s="64" t="n"/>
      <c r="AX34" s="64" t="n"/>
      <c r="AY34" s="136" t="n"/>
      <c r="AZ34" s="64" t="n"/>
      <c r="BA34" s="64" t="n"/>
      <c r="BB34" s="64" t="n"/>
      <c r="BC34" s="64" t="n"/>
      <c r="BD34" s="64" t="n"/>
      <c r="BE34" s="64" t="n"/>
      <c r="BF34" s="308" t="n"/>
      <c r="BG34" s="64" t="n"/>
      <c r="BH34" s="64" t="n"/>
      <c r="BI34" s="136" t="n"/>
      <c r="BJ34" s="64" t="n"/>
      <c r="BK34" s="64" t="n"/>
      <c r="BL34" s="64" t="n"/>
      <c r="BM34" s="64" t="n"/>
      <c r="BN34" s="64" t="n"/>
      <c r="BO34" s="64" t="n"/>
      <c r="BP34" s="64" t="n"/>
      <c r="BQ34" s="64" t="n"/>
      <c r="BR34" s="64" t="n"/>
      <c r="BS34" s="64" t="n"/>
      <c r="BT34" s="64" t="n"/>
      <c r="BU34" s="64" t="n"/>
      <c r="BV34" s="64" t="n"/>
      <c r="BW34" s="64" t="n"/>
      <c r="BX34" s="64" t="n"/>
      <c r="BY34" s="64" t="n"/>
      <c r="BZ34" s="64" t="n"/>
      <c r="CA34" s="64" t="n"/>
    </row>
    <row r="35" ht="27.75" customHeight="1">
      <c r="A35" s="135" t="n"/>
      <c r="AN35" s="64" t="n"/>
      <c r="AO35" s="136" t="n"/>
      <c r="AP35" s="1246" t="n"/>
      <c r="AQ35" s="64" t="n"/>
      <c r="AR35" s="64" t="n"/>
      <c r="AS35" s="64" t="n"/>
      <c r="AT35" s="64" t="n"/>
      <c r="AU35" s="64" t="n"/>
      <c r="AV35" s="64" t="n"/>
      <c r="AW35" s="64" t="n"/>
      <c r="AX35" s="64" t="n"/>
      <c r="AY35" s="136" t="n"/>
      <c r="AZ35" s="64" t="n"/>
      <c r="BA35" s="64" t="n"/>
      <c r="BB35" s="64" t="n"/>
      <c r="BC35" s="64" t="n"/>
      <c r="BD35" s="64" t="n"/>
      <c r="BE35" s="64" t="n"/>
      <c r="BF35" s="308" t="n"/>
      <c r="BG35" s="64" t="n"/>
      <c r="BH35" s="64" t="n"/>
      <c r="BI35" s="136" t="n"/>
      <c r="BJ35" s="64" t="n"/>
      <c r="BK35" s="64" t="n"/>
      <c r="BL35" s="64" t="n"/>
      <c r="BM35" s="64" t="n"/>
      <c r="BN35" s="64" t="n"/>
      <c r="BO35" s="64" t="n"/>
      <c r="BP35" s="64" t="n"/>
      <c r="BQ35" s="64" t="n"/>
      <c r="BR35" s="64" t="n"/>
      <c r="BS35" s="64" t="n"/>
      <c r="BT35" s="64" t="n"/>
      <c r="BU35" s="64" t="n"/>
      <c r="BV35" s="64" t="n"/>
      <c r="BW35" s="64" t="n"/>
      <c r="BX35" s="64" t="n"/>
      <c r="BY35" s="64" t="n"/>
      <c r="BZ35" s="64" t="n"/>
      <c r="CA35" s="64" t="n"/>
    </row>
    <row r="36" ht="27.75" customHeight="1">
      <c r="A36" s="135" t="n"/>
      <c r="AN36" s="64" t="n"/>
      <c r="AO36" s="136" t="n"/>
      <c r="AP36" s="64" t="n"/>
      <c r="AQ36" s="64" t="n"/>
      <c r="AR36" s="64" t="n"/>
      <c r="AS36" s="64" t="n"/>
      <c r="AT36" s="64" t="n"/>
      <c r="AU36" s="64" t="n"/>
      <c r="AV36" s="64" t="n"/>
      <c r="AW36" s="64" t="n"/>
      <c r="AX36" s="64" t="n"/>
      <c r="AY36" s="136" t="n"/>
      <c r="AZ36" s="64" t="n"/>
      <c r="BA36" s="64" t="n"/>
      <c r="BB36" s="64" t="n"/>
      <c r="BC36" s="64" t="n"/>
      <c r="BD36" s="64" t="n"/>
      <c r="BE36" s="64" t="n"/>
      <c r="BF36" s="308" t="n"/>
      <c r="BG36" s="64" t="n"/>
      <c r="BH36" s="64" t="n"/>
      <c r="BI36" s="136" t="n"/>
      <c r="BJ36" s="64" t="n"/>
      <c r="BK36" s="64" t="n"/>
      <c r="BL36" s="64" t="n"/>
      <c r="BM36" s="64" t="n"/>
      <c r="BN36" s="64" t="n"/>
      <c r="BO36" s="64" t="n"/>
      <c r="BP36" s="64" t="n"/>
      <c r="BQ36" s="64" t="n"/>
      <c r="BR36" s="64" t="n"/>
      <c r="BS36" s="64" t="n"/>
      <c r="BT36" s="64" t="n"/>
      <c r="BU36" s="64" t="n"/>
      <c r="BV36" s="64" t="n"/>
      <c r="BW36" s="64" t="n"/>
      <c r="BX36" s="64" t="n"/>
      <c r="BY36" s="64" t="n"/>
      <c r="BZ36" s="64" t="n"/>
      <c r="CA36" s="64" t="n"/>
    </row>
    <row r="37" ht="30.75" customFormat="1" customHeight="1" s="18">
      <c r="A37" s="225" t="n"/>
      <c r="AN37" s="103" t="n"/>
      <c r="AO37" s="225" t="n"/>
      <c r="AP37" s="103" t="n"/>
      <c r="AQ37" s="103" t="n"/>
      <c r="AR37" s="103" t="n"/>
      <c r="AS37" s="103" t="n"/>
      <c r="AT37" s="103" t="n"/>
      <c r="AU37" s="103" t="n"/>
      <c r="AV37" s="103" t="n"/>
      <c r="AW37" s="103" t="n"/>
      <c r="AX37" s="103" t="n"/>
      <c r="AY37" s="225" t="n"/>
      <c r="AZ37" s="103" t="n"/>
      <c r="BA37" s="103" t="n"/>
      <c r="BB37" s="103" t="n"/>
      <c r="BC37" s="103" t="n"/>
      <c r="BD37" s="103" t="n"/>
      <c r="BE37" s="103" t="n"/>
      <c r="BF37" s="555" t="n"/>
      <c r="BG37" s="103" t="n"/>
      <c r="BH37" s="103" t="n"/>
      <c r="BI37" s="225" t="n"/>
      <c r="BJ37" s="103" t="n"/>
      <c r="BK37" s="103" t="n"/>
      <c r="BL37" s="103" t="n"/>
      <c r="BM37" s="103" t="n"/>
      <c r="BN37" s="103" t="n"/>
      <c r="BO37" s="103" t="n"/>
      <c r="BP37" s="103" t="n"/>
      <c r="BQ37" s="103" t="n"/>
      <c r="BR37" s="103" t="n"/>
      <c r="BS37" s="103" t="n"/>
      <c r="BT37" s="103" t="n"/>
      <c r="BU37" s="103" t="n"/>
      <c r="BV37" s="103" t="n"/>
      <c r="BW37" s="103" t="n"/>
      <c r="BX37" s="103" t="n"/>
      <c r="BY37" s="103" t="n"/>
      <c r="BZ37" s="103" t="n"/>
      <c r="CA37" s="103" t="n"/>
    </row>
    <row r="38" ht="22.5" customHeight="1">
      <c r="A38" s="135" t="inlineStr">
        <is>
          <t>L)</t>
        </is>
      </c>
      <c r="B38" s="2583">
        <f>"Avwg "&amp;IF(R33="","                  ",TEXT(R33,"dd/mm/yyyy")&amp;" Bs")&amp;" Zvwi‡L Dc‡ivwjøwLZ m¤úwËwU m‡iRwg‡b Z`šÍ KwiqvwQ Ges ‡`wLqvwQ †h, Dnv cÖK…Zc‡ÿ Ges GKvšÍ fv‡e Av‡e`bKvix / Av‡e`bKvixM‡Yi `L‡j iwnqv‡Q|"</f>
        <v/>
      </c>
      <c r="AN38" s="64" t="n"/>
      <c r="AO38" s="136" t="n"/>
      <c r="AP38" s="64" t="n"/>
      <c r="AQ38" s="64" t="n"/>
      <c r="AR38" s="64" t="n"/>
      <c r="AS38" s="64" t="n"/>
      <c r="AT38" s="64" t="n"/>
      <c r="AU38" s="64" t="n"/>
      <c r="AV38" s="64" t="n"/>
      <c r="AW38" s="64" t="n"/>
      <c r="AX38" s="64" t="n"/>
      <c r="AY38" s="136" t="n"/>
      <c r="AZ38" s="64" t="n"/>
      <c r="BA38" s="64" t="n"/>
      <c r="BB38" s="64" t="n"/>
      <c r="BC38" s="64" t="n"/>
      <c r="BD38" s="64" t="n"/>
      <c r="BE38" s="64" t="n"/>
      <c r="BF38" s="308" t="n"/>
      <c r="BG38" s="64" t="n"/>
      <c r="BH38" s="64" t="n"/>
      <c r="BI38" s="136" t="n"/>
      <c r="BJ38" s="64" t="n"/>
      <c r="BK38" s="64" t="n"/>
      <c r="BL38" s="64" t="n"/>
      <c r="BM38" s="64" t="n"/>
      <c r="BN38" s="64" t="n"/>
      <c r="BO38" s="64" t="n"/>
      <c r="BP38" s="64" t="n"/>
      <c r="BQ38" s="64" t="n"/>
      <c r="BR38" s="64" t="n"/>
      <c r="BS38" s="64" t="n"/>
      <c r="BT38" s="64" t="n"/>
      <c r="BU38" s="64" t="n"/>
      <c r="BV38" s="64" t="n"/>
      <c r="BW38" s="64" t="n"/>
      <c r="BX38" s="64" t="n"/>
      <c r="BY38" s="64" t="n"/>
      <c r="BZ38" s="64" t="n"/>
      <c r="CA38" s="64" t="n"/>
    </row>
    <row r="39" ht="24" customHeight="1">
      <c r="A39" s="135" t="n"/>
      <c r="AN39" s="64" t="n"/>
      <c r="AO39" s="136" t="n"/>
      <c r="AP39" s="64" t="n"/>
      <c r="AQ39" s="64" t="n"/>
      <c r="AR39" s="64" t="n"/>
      <c r="AS39" s="64" t="n"/>
      <c r="AT39" s="64" t="n"/>
      <c r="AU39" s="64" t="n"/>
      <c r="AV39" s="64" t="n"/>
      <c r="AW39" s="64" t="n"/>
      <c r="AX39" s="64" t="n"/>
      <c r="AY39" s="136" t="n"/>
      <c r="AZ39" s="64" t="n"/>
      <c r="BA39" s="64" t="n"/>
      <c r="BB39" s="64" t="n"/>
      <c r="BC39" s="64" t="n"/>
      <c r="BD39" s="64" t="n"/>
      <c r="BE39" s="64" t="n"/>
      <c r="BF39" s="308" t="n"/>
      <c r="BG39" s="64" t="n"/>
      <c r="BH39" s="64" t="n"/>
      <c r="BI39" s="136" t="n"/>
      <c r="BJ39" s="64" t="n"/>
      <c r="BK39" s="64" t="n"/>
      <c r="BL39" s="64" t="n"/>
      <c r="BM39" s="64" t="n"/>
      <c r="BN39" s="64" t="n"/>
      <c r="BO39" s="64" t="n"/>
      <c r="BP39" s="64" t="n"/>
      <c r="BQ39" s="64" t="n"/>
      <c r="BR39" s="64" t="n"/>
      <c r="BS39" s="64" t="n"/>
      <c r="BT39" s="64" t="n"/>
      <c r="BU39" s="64" t="n"/>
      <c r="BV39" s="64" t="n"/>
      <c r="BW39" s="64" t="n"/>
      <c r="BX39" s="64" t="n"/>
      <c r="BY39" s="64" t="n"/>
      <c r="BZ39" s="64" t="n"/>
      <c r="CA39" s="64" t="n"/>
    </row>
    <row r="40" ht="19.5" customHeight="1">
      <c r="A40" s="135" t="n"/>
      <c r="B40" s="64" t="n"/>
      <c r="C40" s="1964" t="n"/>
      <c r="D40" s="1964" t="n"/>
      <c r="E40" s="307" t="n"/>
      <c r="F40" s="1964" t="n"/>
      <c r="G40" s="1965" t="n"/>
      <c r="H40" s="135" t="n"/>
      <c r="I40" s="135" t="n"/>
      <c r="J40" s="1964" t="n"/>
      <c r="K40" s="135" t="n"/>
      <c r="L40" s="1964" t="n"/>
      <c r="M40" s="135" t="n"/>
      <c r="N40" s="1964" t="n"/>
      <c r="O40" s="467" t="n"/>
      <c r="P40" s="88" t="n"/>
      <c r="Q40" s="135" t="n"/>
      <c r="R40" s="88" t="n"/>
      <c r="S40" s="135" t="n"/>
      <c r="T40" s="135" t="n"/>
      <c r="U40" s="1964" t="n"/>
      <c r="V40" s="1964" t="n"/>
      <c r="W40" s="1964" t="n"/>
      <c r="X40" s="1964" t="n"/>
      <c r="Y40" s="135" t="n"/>
      <c r="Z40" s="1964" t="n"/>
      <c r="AA40" s="1964" t="n"/>
      <c r="AB40" s="1964" t="n"/>
      <c r="AC40" s="1964" t="inlineStr">
        <is>
          <t>¯^vÿi</t>
        </is>
      </c>
      <c r="AD40" s="135" t="n"/>
      <c r="AE40" s="1964" t="n"/>
      <c r="AF40" s="1964" t="n"/>
      <c r="AG40" s="1964" t="n"/>
      <c r="AH40" s="1964" t="n"/>
      <c r="AI40" s="135" t="n"/>
      <c r="AJ40" s="1964" t="n"/>
      <c r="AK40" s="1964" t="n"/>
      <c r="AL40" s="1964" t="n"/>
      <c r="AM40" s="1964" t="n"/>
      <c r="AN40" s="64" t="n"/>
      <c r="AO40" s="136" t="n"/>
      <c r="AP40" s="64" t="n"/>
      <c r="AQ40" s="64" t="n"/>
      <c r="AR40" s="64" t="n"/>
      <c r="AS40" s="64" t="n"/>
      <c r="AT40" s="64" t="n"/>
      <c r="AU40" s="64" t="n"/>
      <c r="AV40" s="64" t="n"/>
      <c r="AW40" s="64" t="n"/>
      <c r="AX40" s="64" t="n"/>
      <c r="AY40" s="136" t="n"/>
      <c r="AZ40" s="64" t="n"/>
      <c r="BA40" s="64" t="n"/>
      <c r="BB40" s="64" t="n"/>
      <c r="BC40" s="64" t="n"/>
      <c r="BD40" s="64" t="n"/>
      <c r="BE40" s="64" t="n"/>
      <c r="BF40" s="308" t="n"/>
      <c r="BG40" s="64" t="n"/>
      <c r="BH40" s="64" t="n"/>
      <c r="BI40" s="136" t="n"/>
      <c r="BJ40" s="64" t="n"/>
      <c r="BK40" s="64" t="n"/>
      <c r="BL40" s="64" t="n"/>
      <c r="BM40" s="64" t="n"/>
      <c r="BN40" s="64" t="n"/>
      <c r="BO40" s="64" t="n"/>
      <c r="BP40" s="64" t="n"/>
      <c r="BQ40" s="64" t="n"/>
      <c r="BR40" s="64" t="n"/>
      <c r="BS40" s="64" t="n"/>
      <c r="BT40" s="64" t="n"/>
      <c r="BU40" s="64" t="n"/>
      <c r="BV40" s="64" t="n"/>
      <c r="BW40" s="64" t="n"/>
      <c r="BX40" s="64" t="n"/>
      <c r="BY40" s="64" t="n"/>
      <c r="BZ40" s="64" t="n"/>
      <c r="CA40" s="64" t="n"/>
    </row>
    <row r="41" ht="19.5" customHeight="1">
      <c r="A41" s="135" t="n"/>
      <c r="B41" s="1964" t="inlineStr">
        <is>
          <t>¯’vb    t</t>
        </is>
      </c>
      <c r="C41" s="1964" t="n"/>
      <c r="D41" s="1964" t="n"/>
      <c r="E41" s="303" t="inlineStr">
        <is>
          <t>wnivwSj AvevwmK GjvKv</t>
        </is>
      </c>
      <c r="W41" s="1964" t="n"/>
      <c r="X41" s="1964" t="n"/>
      <c r="Y41" s="135" t="n"/>
      <c r="Z41" s="1964" t="n"/>
      <c r="AA41" s="1964" t="n"/>
      <c r="AB41" s="1964" t="n"/>
      <c r="AC41" s="1964" t="inlineStr">
        <is>
          <t>c~Y© bvg</t>
        </is>
      </c>
      <c r="AD41" s="135" t="n"/>
      <c r="AE41" s="64" t="n"/>
      <c r="AF41" s="1964" t="n"/>
      <c r="AG41" s="1964" t="n"/>
      <c r="AH41" s="1964" t="n"/>
      <c r="AI41" s="135" t="n"/>
      <c r="AJ41" s="1964" t="n"/>
      <c r="AK41" s="1964" t="n"/>
      <c r="AL41" s="1964" t="n"/>
      <c r="AM41" s="1964" t="n"/>
      <c r="AN41" s="64" t="n"/>
      <c r="AO41" s="136" t="n"/>
      <c r="AP41" s="64" t="n"/>
      <c r="AQ41" s="64" t="n"/>
      <c r="AR41" s="64" t="n"/>
      <c r="AS41" s="64" t="n"/>
      <c r="AT41" s="64" t="n"/>
      <c r="AU41" s="64" t="n"/>
      <c r="AV41" s="64" t="n"/>
      <c r="AW41" s="64" t="n"/>
      <c r="AX41" s="64" t="n"/>
      <c r="AY41" s="136" t="n"/>
      <c r="AZ41" s="64" t="n"/>
      <c r="BA41" s="64" t="n"/>
      <c r="BB41" s="64" t="n"/>
      <c r="BC41" s="64" t="n"/>
      <c r="BD41" s="64" t="n"/>
      <c r="BE41" s="64" t="n"/>
      <c r="BF41" s="308" t="n"/>
      <c r="BG41" s="64" t="n"/>
      <c r="BH41" s="64" t="n"/>
      <c r="BI41" s="136" t="n"/>
      <c r="BJ41" s="64" t="n"/>
      <c r="BK41" s="64" t="n"/>
      <c r="BL41" s="64" t="n"/>
      <c r="BM41" s="64" t="n"/>
      <c r="BN41" s="64" t="n"/>
      <c r="BO41" s="64" t="n"/>
      <c r="BP41" s="64" t="n"/>
      <c r="BQ41" s="64" t="n"/>
      <c r="BR41" s="64" t="n"/>
      <c r="BS41" s="64" t="n"/>
      <c r="BT41" s="64" t="n"/>
      <c r="BU41" s="64" t="n"/>
      <c r="BV41" s="64" t="n"/>
      <c r="BW41" s="64" t="n"/>
      <c r="BX41" s="64" t="n"/>
      <c r="BY41" s="64" t="n"/>
      <c r="BZ41" s="64" t="n"/>
      <c r="CA41" s="64" t="n"/>
    </row>
    <row r="42" ht="19.5" customHeight="1">
      <c r="A42" s="135" t="n"/>
      <c r="B42" s="1964" t="inlineStr">
        <is>
          <t>ZvwiL t</t>
        </is>
      </c>
      <c r="C42" s="1964" t="n"/>
      <c r="D42" s="1964" t="n"/>
      <c r="E42" s="2051" t="n">
        <v>45676</v>
      </c>
      <c r="F42" s="2615" t="n"/>
      <c r="G42" s="2615" t="n"/>
      <c r="H42" s="2615" t="n"/>
      <c r="I42" s="2616" t="n"/>
      <c r="J42" s="2052" t="inlineStr">
        <is>
          <t>Bs</t>
        </is>
      </c>
      <c r="K42" s="2053" t="n"/>
      <c r="L42" s="2053" t="n"/>
      <c r="M42" s="2053" t="n"/>
      <c r="N42" s="2053" t="n"/>
      <c r="O42" s="2053" t="n"/>
      <c r="P42" s="2053" t="n"/>
      <c r="Q42" s="2053" t="n"/>
      <c r="R42" s="2053" t="n"/>
      <c r="S42" s="135" t="n"/>
      <c r="T42" s="135" t="n"/>
      <c r="U42" s="1964" t="n"/>
      <c r="V42" s="1964" t="n"/>
      <c r="W42" s="1964" t="n"/>
      <c r="X42" s="1964" t="n"/>
      <c r="Y42" s="135" t="n"/>
      <c r="Z42" s="1964" t="n"/>
      <c r="AA42" s="1964" t="n"/>
      <c r="AB42" s="1964" t="n"/>
      <c r="AC42" s="1964" t="inlineStr">
        <is>
          <t>c`ex</t>
        </is>
      </c>
      <c r="AD42" s="135" t="n"/>
      <c r="AE42" s="1964" t="n"/>
      <c r="AF42" s="1964" t="n"/>
      <c r="AG42" s="1964" t="n"/>
      <c r="AH42" s="1964" t="n"/>
      <c r="AI42" s="135" t="n"/>
      <c r="AJ42" s="1964" t="n"/>
      <c r="AK42" s="1964" t="n"/>
      <c r="AL42" s="1964" t="n"/>
      <c r="AM42" s="1964" t="n"/>
      <c r="AN42" s="64" t="n"/>
      <c r="AO42" s="136" t="n"/>
      <c r="AP42" s="64" t="n"/>
      <c r="AQ42" s="64" t="n"/>
      <c r="AR42" s="64" t="n"/>
      <c r="AS42" s="64" t="n"/>
      <c r="AT42" s="64" t="n"/>
      <c r="AU42" s="64" t="n"/>
      <c r="AV42" s="64" t="n"/>
      <c r="AW42" s="64" t="n"/>
      <c r="AX42" s="64" t="n"/>
      <c r="AY42" s="136" t="n"/>
      <c r="AZ42" s="64" t="n"/>
      <c r="BA42" s="64" t="n"/>
      <c r="BB42" s="64" t="n"/>
      <c r="BC42" s="64" t="n"/>
      <c r="BD42" s="64" t="n"/>
      <c r="BE42" s="64" t="n"/>
      <c r="BF42" s="308" t="n"/>
      <c r="BG42" s="64" t="n"/>
      <c r="BH42" s="64" t="n"/>
      <c r="BI42" s="136" t="n"/>
      <c r="BJ42" s="64" t="n"/>
      <c r="BK42" s="64" t="n"/>
      <c r="BL42" s="64" t="n"/>
      <c r="BM42" s="64" t="n"/>
      <c r="BN42" s="64" t="n"/>
      <c r="BO42" s="64" t="n"/>
      <c r="BP42" s="64" t="n"/>
      <c r="BQ42" s="64" t="n"/>
      <c r="BR42" s="64" t="n"/>
      <c r="BS42" s="64" t="n"/>
      <c r="BT42" s="64" t="n"/>
      <c r="BU42" s="64" t="n"/>
      <c r="BV42" s="64" t="n"/>
      <c r="BW42" s="64" t="n"/>
      <c r="BX42" s="64" t="n"/>
      <c r="BY42" s="64" t="n"/>
      <c r="BZ42" s="64" t="n"/>
      <c r="CA42" s="64" t="n"/>
    </row>
    <row r="43" ht="19.5" customHeight="1">
      <c r="A43" s="135" t="n"/>
      <c r="B43" s="1964" t="n"/>
      <c r="C43" s="1964" t="n"/>
      <c r="D43" s="1964" t="n"/>
      <c r="E43" s="303" t="n"/>
      <c r="F43" s="1964" t="n"/>
      <c r="G43" s="1965" t="n"/>
      <c r="H43" s="135" t="n"/>
      <c r="I43" s="135" t="n"/>
      <c r="J43" s="1964" t="n"/>
      <c r="K43" s="135" t="n"/>
      <c r="L43" s="1964" t="n"/>
      <c r="M43" s="135" t="n"/>
      <c r="N43" s="1964" t="n"/>
      <c r="O43" s="2053" t="n"/>
      <c r="P43" s="2053" t="n"/>
      <c r="Q43" s="2053" t="n"/>
      <c r="R43" s="2053" t="n"/>
      <c r="S43" s="135" t="n"/>
      <c r="T43" s="135" t="n"/>
      <c r="U43" s="1964" t="n"/>
      <c r="V43" s="1964" t="n"/>
      <c r="W43" s="1964" t="n"/>
      <c r="X43" s="1964" t="n"/>
      <c r="Y43" s="135" t="n"/>
      <c r="Z43" s="1964" t="n"/>
      <c r="AA43" s="1964" t="n"/>
      <c r="AB43" s="1964" t="n"/>
      <c r="AC43" s="1964" t="n"/>
      <c r="AD43" s="135" t="n"/>
      <c r="AE43" s="1964" t="n"/>
      <c r="AF43" s="1964" t="n"/>
      <c r="AG43" s="1964" t="n"/>
      <c r="AH43" s="1964" t="n"/>
      <c r="AI43" s="135" t="n"/>
      <c r="AJ43" s="1964" t="n"/>
      <c r="AK43" s="1964" t="n"/>
      <c r="AL43" s="1964" t="n"/>
      <c r="AM43" s="1964" t="n"/>
      <c r="AN43" s="64" t="n"/>
      <c r="AO43" s="136" t="n"/>
      <c r="AP43" s="64" t="n"/>
      <c r="AQ43" s="64" t="n"/>
      <c r="AR43" s="64" t="n"/>
      <c r="AS43" s="64" t="n"/>
      <c r="AT43" s="64" t="n"/>
      <c r="AU43" s="64" t="n"/>
      <c r="AV43" s="64" t="n"/>
      <c r="AW43" s="64" t="n"/>
      <c r="AX43" s="64" t="n"/>
      <c r="AY43" s="136" t="n"/>
      <c r="AZ43" s="64" t="n"/>
      <c r="BA43" s="64" t="n"/>
      <c r="BB43" s="64" t="n"/>
      <c r="BC43" s="64" t="n"/>
      <c r="BD43" s="64" t="n"/>
      <c r="BE43" s="64" t="n"/>
      <c r="BF43" s="308" t="n"/>
      <c r="BG43" s="64" t="n"/>
      <c r="BH43" s="64" t="n"/>
      <c r="BI43" s="136" t="n"/>
      <c r="BJ43" s="64" t="n"/>
      <c r="BK43" s="64" t="n"/>
      <c r="BL43" s="64" t="n"/>
      <c r="BM43" s="64" t="n"/>
      <c r="BN43" s="64" t="n"/>
      <c r="BO43" s="64" t="n"/>
      <c r="BP43" s="64" t="n"/>
      <c r="BQ43" s="64" t="n"/>
      <c r="BR43" s="64" t="n"/>
      <c r="BS43" s="64" t="n"/>
      <c r="BT43" s="64" t="n"/>
      <c r="BU43" s="64" t="n"/>
      <c r="BV43" s="64" t="n"/>
      <c r="BW43" s="64" t="n"/>
      <c r="BX43" s="64" t="n"/>
      <c r="BY43" s="64" t="n"/>
      <c r="BZ43" s="64" t="n"/>
      <c r="CA43" s="64" t="n"/>
    </row>
    <row r="44" ht="19.5" customHeight="1">
      <c r="A44" s="135" t="n"/>
      <c r="B44" s="1964" t="n"/>
      <c r="C44" s="1964" t="n"/>
      <c r="D44" s="1964" t="n"/>
      <c r="E44" s="303" t="n"/>
      <c r="F44" s="1964" t="n"/>
      <c r="G44" s="1965" t="n"/>
      <c r="H44" s="135" t="n"/>
      <c r="I44" s="135" t="n"/>
      <c r="J44" s="1964" t="n"/>
      <c r="K44" s="135" t="n"/>
      <c r="L44" s="1964" t="n"/>
      <c r="M44" s="135" t="n"/>
      <c r="N44" s="2053" t="n"/>
      <c r="O44" s="2053" t="n"/>
      <c r="P44" s="2053" t="n"/>
      <c r="Q44" s="2053" t="n"/>
      <c r="R44" s="2053" t="n"/>
      <c r="S44" s="135" t="n"/>
      <c r="T44" s="135" t="n"/>
      <c r="U44" s="1964" t="n"/>
      <c r="V44" s="1964" t="n"/>
      <c r="W44" s="1964" t="n"/>
      <c r="X44" s="1964" t="n"/>
      <c r="Y44" s="135" t="n"/>
      <c r="Z44" s="1964" t="n"/>
      <c r="AA44" s="1964" t="n"/>
      <c r="AB44" s="1964" t="n"/>
      <c r="AC44" s="1964" t="n"/>
      <c r="AD44" s="135" t="n"/>
      <c r="AE44" s="1964" t="n"/>
      <c r="AF44" s="1964" t="n"/>
      <c r="AG44" s="1964" t="n"/>
      <c r="AH44" s="1964" t="n"/>
      <c r="AI44" s="135" t="n"/>
      <c r="AJ44" s="1964" t="n"/>
      <c r="AK44" s="1964" t="n"/>
      <c r="AL44" s="1964" t="n"/>
      <c r="AM44" s="1964" t="n"/>
      <c r="AN44" s="64" t="n"/>
      <c r="AO44" s="136" t="n"/>
      <c r="AP44" s="64" t="n"/>
      <c r="AQ44" s="64" t="n"/>
      <c r="AR44" s="64" t="n"/>
      <c r="AS44" s="64" t="n"/>
      <c r="AT44" s="64" t="n"/>
      <c r="AU44" s="64" t="n"/>
      <c r="AV44" s="64" t="n"/>
      <c r="AW44" s="64" t="n"/>
      <c r="AX44" s="64" t="n"/>
      <c r="AY44" s="136" t="n"/>
      <c r="AZ44" s="64" t="n"/>
      <c r="BA44" s="64" t="n"/>
      <c r="BB44" s="64" t="n"/>
      <c r="BC44" s="64" t="n"/>
      <c r="BD44" s="64" t="n"/>
      <c r="BE44" s="64" t="n"/>
      <c r="BF44" s="308" t="n"/>
      <c r="BG44" s="64" t="n"/>
      <c r="BH44" s="64" t="n"/>
      <c r="BI44" s="136" t="n"/>
      <c r="BJ44" s="64" t="n"/>
      <c r="BK44" s="64" t="n"/>
      <c r="BL44" s="64" t="n"/>
      <c r="BM44" s="64" t="n"/>
      <c r="BN44" s="64" t="n"/>
      <c r="BO44" s="64" t="n"/>
      <c r="BP44" s="64" t="n"/>
      <c r="BQ44" s="64" t="n"/>
      <c r="BR44" s="64" t="n"/>
      <c r="BS44" s="64" t="n"/>
      <c r="BT44" s="64" t="n"/>
      <c r="BU44" s="64" t="n"/>
      <c r="BV44" s="64" t="n"/>
      <c r="BW44" s="64" t="n"/>
      <c r="BX44" s="64" t="n"/>
      <c r="BY44" s="64" t="n"/>
      <c r="BZ44" s="64" t="n"/>
      <c r="CA44" s="64" t="n"/>
    </row>
    <row r="45" ht="19.5" customHeight="1">
      <c r="A45" s="135" t="n"/>
      <c r="B45" s="1964" t="n"/>
      <c r="C45" s="1964" t="n"/>
      <c r="D45" s="1964" t="n"/>
      <c r="E45" s="303" t="n"/>
      <c r="F45" s="1964" t="n"/>
      <c r="G45" s="1965" t="n"/>
      <c r="H45" s="135" t="n"/>
      <c r="I45" s="135" t="n"/>
      <c r="J45" s="1964" t="n"/>
      <c r="K45" s="135" t="n"/>
      <c r="L45" s="1964" t="n"/>
      <c r="M45" s="135" t="n"/>
      <c r="N45" s="2053" t="n"/>
      <c r="O45" s="2053" t="n"/>
      <c r="P45" s="2053" t="n"/>
      <c r="Q45" s="2053" t="n"/>
      <c r="R45" s="2053" t="n"/>
      <c r="S45" s="135" t="n"/>
      <c r="T45" s="135" t="n"/>
      <c r="U45" s="1964" t="n"/>
      <c r="V45" s="1964" t="n"/>
      <c r="W45" s="1964" t="n"/>
      <c r="X45" s="1964" t="n"/>
      <c r="Y45" s="135" t="n"/>
      <c r="Z45" s="1964" t="n"/>
      <c r="AA45" s="1964" t="n"/>
      <c r="AB45" s="1964" t="n"/>
      <c r="AC45" s="1964" t="n"/>
      <c r="AD45" s="135" t="n"/>
      <c r="AE45" s="1964" t="n"/>
      <c r="AF45" s="1964" t="n"/>
      <c r="AG45" s="1964" t="n"/>
      <c r="AH45" s="1964" t="n"/>
      <c r="AI45" s="135" t="n"/>
      <c r="AJ45" s="1964" t="n"/>
      <c r="AK45" s="1964" t="n"/>
      <c r="AL45" s="1964" t="n"/>
      <c r="AM45" s="1964" t="n"/>
      <c r="AN45" s="64" t="n"/>
      <c r="AO45" s="136" t="n"/>
      <c r="AP45" s="64" t="n"/>
      <c r="AQ45" s="64" t="n"/>
      <c r="AR45" s="64" t="n"/>
      <c r="AS45" s="64" t="n"/>
      <c r="AT45" s="64" t="n"/>
      <c r="AU45" s="64" t="n"/>
      <c r="AV45" s="64" t="n"/>
      <c r="AW45" s="64" t="n"/>
      <c r="AX45" s="64" t="n"/>
      <c r="AY45" s="136" t="n"/>
      <c r="AZ45" s="64" t="n"/>
      <c r="BA45" s="64" t="n"/>
      <c r="BB45" s="64" t="n"/>
      <c r="BC45" s="64" t="n"/>
      <c r="BD45" s="64" t="n"/>
      <c r="BE45" s="64" t="n"/>
      <c r="BF45" s="308" t="n"/>
      <c r="BG45" s="64" t="n"/>
      <c r="BH45" s="64" t="n"/>
      <c r="BI45" s="136" t="n"/>
      <c r="BJ45" s="64" t="n"/>
      <c r="BK45" s="64" t="n"/>
      <c r="BL45" s="64" t="n"/>
      <c r="BM45" s="64" t="n"/>
      <c r="BN45" s="64" t="n"/>
      <c r="BO45" s="64" t="n"/>
      <c r="BP45" s="64" t="n"/>
      <c r="BQ45" s="64" t="n"/>
      <c r="BR45" s="64" t="n"/>
      <c r="BS45" s="64" t="n"/>
      <c r="BT45" s="64" t="n"/>
      <c r="BU45" s="64" t="n"/>
      <c r="BV45" s="64" t="n"/>
      <c r="BW45" s="64" t="n"/>
      <c r="BX45" s="64" t="n"/>
      <c r="BY45" s="64" t="n"/>
      <c r="BZ45" s="64" t="n"/>
      <c r="CA45" s="64" t="n"/>
    </row>
    <row r="46" ht="19.5" customHeight="1">
      <c r="A46" s="135" t="n"/>
      <c r="B46" s="1964" t="n"/>
      <c r="C46" s="1964" t="n"/>
      <c r="D46" s="1964" t="n"/>
      <c r="E46" s="303" t="n"/>
      <c r="F46" s="1964" t="n"/>
      <c r="G46" s="1965" t="n"/>
      <c r="H46" s="135" t="n"/>
      <c r="I46" s="135" t="n"/>
      <c r="J46" s="1964" t="n"/>
      <c r="K46" s="135" t="n"/>
      <c r="L46" s="1964" t="n"/>
      <c r="M46" s="135" t="n"/>
      <c r="N46" s="2053" t="n"/>
      <c r="O46" s="2053" t="n"/>
      <c r="P46" s="2053" t="n"/>
      <c r="Q46" s="2053" t="n"/>
      <c r="R46" s="2053" t="n"/>
      <c r="S46" s="135" t="n"/>
      <c r="T46" s="135" t="n"/>
      <c r="U46" s="1964" t="n"/>
      <c r="V46" s="1964" t="n"/>
      <c r="W46" s="1964" t="n"/>
      <c r="X46" s="1964" t="n"/>
      <c r="Y46" s="135" t="n"/>
      <c r="Z46" s="1964" t="n"/>
      <c r="AA46" s="1964" t="n"/>
      <c r="AB46" s="1964" t="n"/>
      <c r="AC46" s="1964" t="n"/>
      <c r="AD46" s="135" t="n"/>
      <c r="AE46" s="1964" t="n"/>
      <c r="AF46" s="1964" t="n"/>
      <c r="AG46" s="1964" t="n"/>
      <c r="AH46" s="1964" t="n"/>
      <c r="AI46" s="135" t="n"/>
      <c r="AJ46" s="1964" t="n"/>
      <c r="AK46" s="1964" t="n"/>
      <c r="AL46" s="1964" t="n"/>
      <c r="AM46" s="1964" t="n"/>
      <c r="AN46" s="64" t="n"/>
      <c r="AO46" s="136" t="n"/>
      <c r="AP46" s="64" t="n"/>
      <c r="AQ46" s="64" t="n"/>
      <c r="AR46" s="64" t="n"/>
      <c r="AS46" s="64" t="n"/>
      <c r="AT46" s="64" t="n"/>
      <c r="AU46" s="64" t="n"/>
      <c r="AV46" s="64" t="n"/>
      <c r="AW46" s="64" t="n"/>
      <c r="AX46" s="64" t="n"/>
      <c r="AY46" s="136" t="n"/>
      <c r="AZ46" s="64" t="n"/>
      <c r="BA46" s="64" t="n"/>
      <c r="BB46" s="64" t="n"/>
      <c r="BC46" s="64" t="n"/>
      <c r="BD46" s="64" t="n"/>
      <c r="BE46" s="64" t="n"/>
      <c r="BF46" s="308" t="n"/>
      <c r="BG46" s="64" t="n"/>
      <c r="BH46" s="64" t="n"/>
      <c r="BI46" s="136" t="n"/>
      <c r="BJ46" s="64" t="n"/>
      <c r="BK46" s="64" t="n"/>
      <c r="BL46" s="64" t="n"/>
      <c r="BM46" s="64" t="n"/>
      <c r="BN46" s="64" t="n"/>
      <c r="BO46" s="64" t="n"/>
      <c r="BP46" s="64" t="n"/>
      <c r="BQ46" s="64" t="n"/>
      <c r="BR46" s="64" t="n"/>
      <c r="BS46" s="64" t="n"/>
      <c r="BT46" s="64" t="n"/>
      <c r="BU46" s="64" t="n"/>
      <c r="BV46" s="64" t="n"/>
      <c r="BW46" s="64" t="n"/>
      <c r="BX46" s="64" t="n"/>
      <c r="BY46" s="64" t="n"/>
      <c r="BZ46" s="64" t="n"/>
      <c r="CA46" s="64" t="n"/>
    </row>
    <row r="47" ht="19.5" customHeight="1">
      <c r="A47" s="2054" t="inlineStr">
        <is>
          <t>3|</t>
        </is>
      </c>
      <c r="B47" s="2055" t="inlineStr">
        <is>
          <t>Rvgvb‡Zi g~j¨vqb t</t>
        </is>
      </c>
      <c r="C47" s="130" t="n"/>
      <c r="D47" s="130" t="n"/>
      <c r="E47" s="2056" t="n"/>
      <c r="F47" s="62" t="n"/>
      <c r="G47" s="2057" t="n"/>
      <c r="H47" s="132" t="n"/>
      <c r="I47" s="132" t="n"/>
      <c r="J47" s="62" t="n"/>
      <c r="K47" s="132" t="n"/>
      <c r="L47" s="62" t="n"/>
      <c r="M47" s="132" t="n"/>
      <c r="N47" s="62" t="n"/>
      <c r="O47" s="484" t="n"/>
      <c r="P47" s="82" t="n"/>
      <c r="Q47" s="132" t="n"/>
      <c r="R47" s="82" t="n"/>
      <c r="S47" s="132" t="n"/>
      <c r="T47" s="132" t="n"/>
      <c r="U47" s="62" t="n"/>
      <c r="V47" s="62" t="n"/>
      <c r="W47" s="62" t="n"/>
      <c r="X47" s="62" t="n"/>
      <c r="Y47" s="132" t="n"/>
      <c r="Z47" s="62" t="n"/>
      <c r="AA47" s="62" t="n"/>
      <c r="AB47" s="62" t="n"/>
      <c r="AC47" s="62" t="n"/>
      <c r="AD47" s="132" t="n"/>
      <c r="AE47" s="62" t="n"/>
      <c r="AF47" s="62" t="n"/>
      <c r="AG47" s="62" t="n"/>
      <c r="AH47" s="62" t="n"/>
      <c r="AI47" s="132" t="n"/>
      <c r="AJ47" s="62" t="n"/>
      <c r="AK47" s="62" t="n"/>
      <c r="AL47" s="62" t="n"/>
      <c r="AM47" s="62" t="n"/>
      <c r="AN47" s="64" t="n"/>
      <c r="AO47" s="136" t="n"/>
      <c r="AP47" s="64" t="n"/>
      <c r="AQ47" s="64" t="n"/>
      <c r="AR47" s="64" t="n"/>
      <c r="AS47" s="64" t="n"/>
      <c r="AT47" s="64" t="n"/>
      <c r="AU47" s="64" t="n"/>
      <c r="AV47" s="64" t="n"/>
      <c r="AW47" s="64" t="n"/>
      <c r="AX47" s="64" t="n"/>
      <c r="AY47" s="136" t="n"/>
      <c r="AZ47" s="64" t="n"/>
      <c r="BA47" s="64" t="n"/>
      <c r="BB47" s="64" t="n"/>
      <c r="BC47" s="64" t="n"/>
      <c r="BD47" s="64" t="n"/>
      <c r="BE47" s="64" t="n"/>
      <c r="BF47" s="308" t="n"/>
      <c r="BG47" s="64" t="n"/>
      <c r="BH47" s="64" t="n"/>
      <c r="BI47" s="136" t="n"/>
      <c r="BJ47" s="64" t="n"/>
      <c r="BK47" s="64" t="n"/>
      <c r="BL47" s="64" t="n"/>
      <c r="BM47" s="64" t="n"/>
      <c r="BN47" s="64" t="n"/>
      <c r="BO47" s="64" t="n"/>
      <c r="BP47" s="64" t="n"/>
      <c r="BQ47" s="64" t="n"/>
      <c r="BR47" s="64" t="n"/>
      <c r="BS47" s="64" t="n"/>
      <c r="BT47" s="64" t="n"/>
      <c r="BU47" s="64" t="n"/>
      <c r="BV47" s="64" t="n"/>
      <c r="BW47" s="64" t="n"/>
      <c r="BX47" s="64" t="n"/>
      <c r="BY47" s="64" t="n"/>
      <c r="BZ47" s="64" t="n"/>
      <c r="CA47" s="64" t="n"/>
    </row>
    <row r="48" ht="19.5" customHeight="1">
      <c r="A48" s="136" t="n"/>
      <c r="B48" s="1964" t="inlineStr">
        <is>
          <t>(K)</t>
        </is>
      </c>
      <c r="C48" s="169" t="inlineStr">
        <is>
          <t>Rwgi †kÖYx web¨vm</t>
        </is>
      </c>
      <c r="AN48" s="64" t="n"/>
      <c r="AO48" s="136" t="n"/>
      <c r="AP48" s="64" t="n"/>
      <c r="AQ48" s="64" t="n"/>
      <c r="AR48" s="64" t="n"/>
      <c r="AS48" s="64" t="n"/>
      <c r="AT48" s="64" t="n"/>
      <c r="AU48" s="64" t="n"/>
      <c r="AV48" s="64" t="n"/>
      <c r="AW48" s="64" t="n"/>
      <c r="AX48" s="64" t="n"/>
      <c r="AY48" s="136" t="n"/>
      <c r="AZ48" s="64" t="n"/>
      <c r="BA48" s="64" t="n"/>
      <c r="BB48" s="64" t="n"/>
      <c r="BC48" s="64" t="n"/>
      <c r="BD48" s="64" t="n"/>
      <c r="BE48" s="64" t="n"/>
      <c r="BF48" s="308" t="n"/>
      <c r="BG48" s="64" t="n"/>
      <c r="BH48" s="64" t="n"/>
      <c r="BI48" s="136" t="n"/>
      <c r="BJ48" s="64" t="n"/>
      <c r="BK48" s="64" t="n"/>
      <c r="BL48" s="64" t="n"/>
      <c r="BM48" s="64" t="n"/>
      <c r="BN48" s="64" t="n"/>
      <c r="BO48" s="64" t="n"/>
      <c r="BP48" s="64" t="n"/>
      <c r="BQ48" s="64" t="n"/>
      <c r="BR48" s="64" t="n"/>
      <c r="BS48" s="64" t="n"/>
      <c r="BT48" s="64" t="n"/>
      <c r="BU48" s="64" t="n"/>
      <c r="BV48" s="64" t="n"/>
      <c r="BW48" s="64" t="n"/>
      <c r="BX48" s="64" t="n"/>
      <c r="BY48" s="64" t="n"/>
      <c r="BZ48" s="64" t="n"/>
      <c r="CA48" s="64" t="n"/>
    </row>
    <row r="49" ht="19.5" customHeight="1">
      <c r="A49" s="136" t="n"/>
      <c r="B49" s="96" t="n"/>
      <c r="C49" s="1964">
        <f>"Av‡e`bKvix (MY)i ‡gvU Rwgi cwigvYt "</f>
        <v/>
      </c>
      <c r="AN49" s="64" t="n"/>
      <c r="AO49" s="2062" t="inlineStr">
        <is>
          <t>Wªc WvDb †gby wm‡j± Kiæb</t>
        </is>
      </c>
      <c r="AP49" s="2063" t="inlineStr">
        <is>
          <t xml:space="preserve"> Rwgi †kÖbx wjLyb</t>
        </is>
      </c>
      <c r="AQ49" s="64" t="n"/>
      <c r="AR49" s="64" t="n"/>
      <c r="AS49" s="64" t="n"/>
      <c r="AT49" s="64" t="n"/>
      <c r="AU49" s="64" t="n"/>
      <c r="AV49" s="64" t="n"/>
      <c r="AW49" s="64" t="n"/>
      <c r="AX49" s="64" t="n"/>
      <c r="AY49" s="136" t="n"/>
      <c r="AZ49" s="64" t="n"/>
      <c r="BA49" s="64" t="n"/>
      <c r="BB49" s="64" t="n"/>
      <c r="BC49" s="64" t="n"/>
      <c r="BD49" s="64" t="n"/>
      <c r="BE49" s="64" t="n"/>
      <c r="BF49" s="308" t="n"/>
      <c r="BG49" s="64" t="n"/>
      <c r="BH49" s="64" t="n"/>
      <c r="BI49" s="136" t="n"/>
      <c r="BJ49" s="64" t="n"/>
      <c r="BK49" s="64" t="n"/>
      <c r="BL49" s="64" t="n"/>
      <c r="BM49" s="64" t="n"/>
      <c r="BN49" s="64" t="n"/>
      <c r="BO49" s="64" t="n"/>
      <c r="BP49" s="64" t="n"/>
      <c r="BQ49" s="64" t="n"/>
      <c r="BR49" s="64" t="n"/>
      <c r="BS49" s="64" t="n"/>
      <c r="BT49" s="64" t="n"/>
      <c r="BU49" s="64" t="n"/>
      <c r="BV49" s="64" t="n"/>
      <c r="BW49" s="64" t="n"/>
      <c r="BX49" s="64" t="n"/>
      <c r="BY49" s="64" t="n"/>
      <c r="BZ49" s="64" t="n"/>
      <c r="CA49" s="64" t="n"/>
    </row>
    <row r="50" ht="28.5" customHeight="1">
      <c r="A50" s="2064" t="inlineStr">
        <is>
          <t>K…wl Rwg</t>
        </is>
      </c>
      <c r="B50" s="2614" t="n"/>
      <c r="C50" s="2614" t="n"/>
      <c r="D50" s="2614" t="n"/>
      <c r="E50" s="2614" t="n"/>
      <c r="F50" s="2614" t="n"/>
      <c r="G50" s="2614" t="n"/>
      <c r="H50" s="2614" t="n"/>
      <c r="I50" s="2614" t="n"/>
      <c r="J50" s="2617" t="n"/>
      <c r="K50" s="2068" t="inlineStr">
        <is>
          <t>AvqZb (GK‡i)</t>
        </is>
      </c>
      <c r="L50" s="2614" t="n"/>
      <c r="M50" s="2614" t="n"/>
      <c r="N50" s="2614" t="n"/>
      <c r="O50" s="2614" t="n"/>
      <c r="P50" s="2614" t="n"/>
      <c r="Q50" s="2614" t="n"/>
      <c r="R50" s="2614" t="n"/>
      <c r="S50" s="2614" t="n"/>
      <c r="T50" s="2617" t="n"/>
      <c r="U50" s="2065" t="inlineStr">
        <is>
          <t xml:space="preserve">‡cŠi Rwg </t>
        </is>
      </c>
      <c r="V50" s="2614" t="n"/>
      <c r="W50" s="2614" t="n"/>
      <c r="X50" s="2614" t="n"/>
      <c r="Y50" s="2614" t="n"/>
      <c r="Z50" s="2614" t="n"/>
      <c r="AA50" s="2614" t="n"/>
      <c r="AB50" s="2614" t="n"/>
      <c r="AC50" s="2617" t="n"/>
      <c r="AD50" s="2064" t="inlineStr">
        <is>
          <t>AvqZb (GK‡i)</t>
        </is>
      </c>
      <c r="AE50" s="2614" t="n"/>
      <c r="AF50" s="2614" t="n"/>
      <c r="AG50" s="2614" t="n"/>
      <c r="AH50" s="2614" t="n"/>
      <c r="AI50" s="2614" t="n"/>
      <c r="AJ50" s="2614" t="n"/>
      <c r="AK50" s="2614" t="n"/>
      <c r="AL50" s="2614" t="n"/>
      <c r="AM50" s="2617" t="n"/>
      <c r="AN50" s="64" t="n"/>
      <c r="AO50" s="2618" t="n"/>
      <c r="AP50" s="2618" t="n"/>
      <c r="AQ50" s="64" t="n"/>
      <c r="AR50" s="64" t="n"/>
      <c r="AS50" s="64" t="n"/>
      <c r="AT50" s="64" t="n"/>
      <c r="AU50" s="64" t="n"/>
      <c r="AV50" s="64" t="n"/>
      <c r="AW50" s="64" t="n"/>
      <c r="AX50" s="64" t="n"/>
      <c r="AY50" s="136" t="n"/>
      <c r="AZ50" s="64" t="n"/>
      <c r="BA50" s="64" t="n"/>
      <c r="BB50" s="64" t="n"/>
      <c r="BC50" s="64" t="n"/>
      <c r="BD50" s="64" t="n"/>
      <c r="BE50" s="64" t="n"/>
      <c r="BF50" s="308" t="n"/>
      <c r="BG50" s="64" t="n"/>
      <c r="BH50" s="64" t="n"/>
      <c r="BI50" s="136" t="n"/>
      <c r="BJ50" s="64" t="n"/>
      <c r="BK50" s="64" t="n"/>
      <c r="BL50" s="64" t="n"/>
      <c r="BM50" s="64" t="n"/>
      <c r="BN50" s="64" t="n"/>
      <c r="BO50" s="64" t="n"/>
      <c r="BP50" s="64" t="n"/>
      <c r="BQ50" s="64" t="n"/>
      <c r="BR50" s="64" t="n"/>
      <c r="BS50" s="64" t="n"/>
      <c r="BT50" s="64" t="n"/>
      <c r="BU50" s="64" t="n"/>
      <c r="BV50" s="64" t="n"/>
      <c r="BW50" s="64" t="n"/>
      <c r="BX50" s="64" t="n"/>
      <c r="BY50" s="64" t="n"/>
      <c r="BZ50" s="64" t="n"/>
      <c r="CA50" s="64" t="n"/>
    </row>
    <row r="51" ht="28.5" customHeight="1">
      <c r="A51" s="2073" t="inlineStr">
        <is>
          <t>(1) D”P g~‡j¨i Rwg</t>
        </is>
      </c>
      <c r="B51" s="2614" t="n"/>
      <c r="C51" s="2614" t="n"/>
      <c r="D51" s="2614" t="n"/>
      <c r="E51" s="2614" t="n"/>
      <c r="F51" s="2614" t="n"/>
      <c r="G51" s="2614" t="n"/>
      <c r="H51" s="2614" t="n"/>
      <c r="I51" s="2614" t="n"/>
      <c r="J51" s="2617" t="n"/>
      <c r="K51" s="2077" t="n"/>
      <c r="L51" s="2614" t="n"/>
      <c r="M51" s="2614" t="n"/>
      <c r="N51" s="2614" t="n"/>
      <c r="O51" s="2614" t="n"/>
      <c r="P51" s="2614" t="n"/>
      <c r="Q51" s="2614" t="n"/>
      <c r="R51" s="2614" t="n"/>
      <c r="S51" s="2614" t="n"/>
      <c r="T51" s="2658" t="n"/>
      <c r="U51" s="2074" t="inlineStr">
        <is>
          <t>(1) Lvwj Rwg</t>
        </is>
      </c>
      <c r="V51" s="2614" t="n"/>
      <c r="W51" s="2614" t="n"/>
      <c r="X51" s="2614" t="n"/>
      <c r="Y51" s="2614" t="n"/>
      <c r="Z51" s="2614" t="n"/>
      <c r="AA51" s="2614" t="n"/>
      <c r="AB51" s="2614" t="n"/>
      <c r="AC51" s="2617" t="n"/>
      <c r="AD51" s="2073" t="n"/>
      <c r="AE51" s="2614" t="n"/>
      <c r="AF51" s="2614" t="n"/>
      <c r="AG51" s="2614" t="n"/>
      <c r="AH51" s="2614" t="n"/>
      <c r="AI51" s="2614" t="n"/>
      <c r="AJ51" s="2614" t="n"/>
      <c r="AK51" s="2614" t="n"/>
      <c r="AL51" s="2614" t="n"/>
      <c r="AM51" s="2617" t="n"/>
      <c r="AN51" s="64" t="n"/>
      <c r="AO51" s="2080" t="inlineStr">
        <is>
          <t>AvwU</t>
        </is>
      </c>
      <c r="AP51" s="2081" t="inlineStr">
        <is>
          <t>bvj</t>
        </is>
      </c>
      <c r="AQ51" s="64" t="n"/>
      <c r="AR51" s="64" t="n"/>
      <c r="AS51" s="64" t="n"/>
      <c r="AT51" s="1964" t="n"/>
      <c r="AU51" s="64" t="n"/>
      <c r="AV51" s="64" t="n"/>
      <c r="AW51" s="64" t="n"/>
      <c r="AX51" s="64" t="n"/>
      <c r="AY51" s="136" t="n"/>
      <c r="AZ51" s="64" t="n"/>
      <c r="BA51" s="64" t="n"/>
      <c r="BB51" s="64" t="n"/>
      <c r="BC51" s="64" t="n"/>
      <c r="BD51" s="64" t="n"/>
      <c r="BE51" s="64" t="n"/>
      <c r="BF51" s="308" t="n"/>
      <c r="BG51" s="64" t="n"/>
      <c r="BH51" s="64" t="n"/>
      <c r="BI51" s="136" t="n"/>
      <c r="BJ51" s="64" t="n"/>
      <c r="BK51" s="64" t="n"/>
      <c r="BL51" s="64" t="n"/>
      <c r="BM51" s="64" t="n"/>
      <c r="BN51" s="64" t="n"/>
      <c r="BO51" s="64" t="n"/>
      <c r="BP51" s="64" t="n"/>
      <c r="BQ51" s="64" t="n"/>
      <c r="BR51" s="64" t="n"/>
      <c r="BS51" s="64" t="n"/>
      <c r="BT51" s="64" t="n"/>
      <c r="BU51" s="64" t="n"/>
      <c r="BV51" s="64" t="n"/>
      <c r="BW51" s="64" t="n"/>
      <c r="BX51" s="64" t="n"/>
      <c r="BY51" s="64" t="n"/>
      <c r="BZ51" s="64" t="n"/>
      <c r="CA51" s="64" t="n"/>
    </row>
    <row r="52" ht="28.5" customHeight="1">
      <c r="A52" s="2073" t="inlineStr">
        <is>
          <t>(2) ga¨g g~‡j¨i Rwg</t>
        </is>
      </c>
      <c r="B52" s="2614" t="n"/>
      <c r="C52" s="2614" t="n"/>
      <c r="D52" s="2614" t="n"/>
      <c r="E52" s="2614" t="n"/>
      <c r="F52" s="2614" t="n"/>
      <c r="G52" s="2614" t="n"/>
      <c r="H52" s="2614" t="n"/>
      <c r="I52" s="2614" t="n"/>
      <c r="J52" s="2617" t="n"/>
      <c r="K52" s="2082" t="n"/>
      <c r="L52" s="2614" t="n"/>
      <c r="M52" s="2614" t="n"/>
      <c r="N52" s="2614" t="n"/>
      <c r="O52" s="2614" t="n"/>
      <c r="P52" s="2614" t="n"/>
      <c r="Q52" s="2614" t="n"/>
      <c r="R52" s="2614" t="n"/>
      <c r="S52" s="2614" t="n"/>
      <c r="T52" s="2658" t="n"/>
      <c r="U52" s="2074" t="inlineStr">
        <is>
          <t>(2) BgviZmn</t>
        </is>
      </c>
      <c r="V52" s="2614" t="n"/>
      <c r="W52" s="2614" t="n"/>
      <c r="X52" s="2614" t="n"/>
      <c r="Y52" s="2614" t="n"/>
      <c r="Z52" s="2614" t="n"/>
      <c r="AA52" s="2614" t="n"/>
      <c r="AB52" s="2614" t="n"/>
      <c r="AC52" s="2617" t="n"/>
      <c r="AD52" s="2073" t="n"/>
      <c r="AE52" s="2614" t="n"/>
      <c r="AF52" s="2614" t="n"/>
      <c r="AG52" s="2614" t="n"/>
      <c r="AH52" s="2614" t="n"/>
      <c r="AI52" s="2614" t="n"/>
      <c r="AJ52" s="2614" t="n"/>
      <c r="AK52" s="2614" t="n"/>
      <c r="AL52" s="2614" t="n"/>
      <c r="AM52" s="2617" t="n"/>
      <c r="AN52" s="64" t="n"/>
      <c r="AO52" s="2080" t="n"/>
      <c r="AP52" s="2081" t="n"/>
      <c r="AQ52" s="64" t="n"/>
      <c r="AR52" s="64" t="n"/>
      <c r="AS52" s="64" t="n"/>
      <c r="AT52" s="64" t="n"/>
      <c r="AU52" s="64" t="n"/>
      <c r="AV52" s="64" t="n"/>
      <c r="AW52" s="64" t="n"/>
      <c r="AX52" s="64" t="n"/>
      <c r="AY52" s="136" t="n"/>
      <c r="AZ52" s="64" t="n"/>
      <c r="BA52" s="64" t="n"/>
      <c r="BB52" s="64" t="n"/>
      <c r="BC52" s="64" t="n"/>
      <c r="BD52" s="64" t="n"/>
      <c r="BE52" s="64" t="n"/>
      <c r="BF52" s="308" t="n"/>
      <c r="BG52" s="64" t="n"/>
      <c r="BH52" s="64" t="n"/>
      <c r="BI52" s="136" t="n"/>
      <c r="BJ52" s="64" t="n"/>
      <c r="BK52" s="64" t="n"/>
      <c r="BL52" s="64" t="n"/>
      <c r="BM52" s="64" t="n"/>
      <c r="BN52" s="64" t="n"/>
      <c r="BO52" s="64" t="n"/>
      <c r="BP52" s="64" t="n"/>
      <c r="BQ52" s="64" t="n"/>
      <c r="BR52" s="64" t="n"/>
      <c r="BS52" s="64" t="n"/>
      <c r="BT52" s="64" t="n"/>
      <c r="BU52" s="64" t="n"/>
      <c r="BV52" s="64" t="n"/>
      <c r="BW52" s="64" t="n"/>
      <c r="BX52" s="64" t="n"/>
      <c r="BY52" s="64" t="n"/>
      <c r="BZ52" s="64" t="n"/>
      <c r="CA52" s="64" t="n"/>
    </row>
    <row r="53" ht="28.5" customHeight="1">
      <c r="A53" s="2073" t="inlineStr">
        <is>
          <t>(3) wbgœ g~‡j¨i Rwg</t>
        </is>
      </c>
      <c r="B53" s="2614" t="n"/>
      <c r="C53" s="2614" t="n"/>
      <c r="D53" s="2614" t="n"/>
      <c r="E53" s="2614" t="n"/>
      <c r="F53" s="2614" t="n"/>
      <c r="G53" s="2614" t="n"/>
      <c r="H53" s="2614" t="n"/>
      <c r="I53" s="2614" t="n"/>
      <c r="J53" s="2617" t="n"/>
      <c r="K53" s="2082" t="n"/>
      <c r="L53" s="2614" t="n"/>
      <c r="M53" s="2614" t="n"/>
      <c r="N53" s="2614" t="n"/>
      <c r="O53" s="2614" t="n"/>
      <c r="P53" s="2614" t="n"/>
      <c r="Q53" s="2614" t="n"/>
      <c r="R53" s="2614" t="n"/>
      <c r="S53" s="2614" t="n"/>
      <c r="T53" s="2658" t="n"/>
      <c r="U53" s="2074" t="inlineStr">
        <is>
          <t>(3) Ab¨vb¨</t>
        </is>
      </c>
      <c r="V53" s="2614" t="n"/>
      <c r="W53" s="2614" t="n"/>
      <c r="X53" s="2614" t="n"/>
      <c r="Y53" s="2614" t="n"/>
      <c r="Z53" s="2614" t="n"/>
      <c r="AA53" s="2614" t="n"/>
      <c r="AB53" s="2614" t="n"/>
      <c r="AC53" s="2617" t="n"/>
      <c r="AD53" s="2073">
        <f>S17</f>
        <v/>
      </c>
      <c r="AE53" s="2614" t="n"/>
      <c r="AF53" s="2614" t="n"/>
      <c r="AG53" s="2614" t="n"/>
      <c r="AH53" s="2614" t="n"/>
      <c r="AI53" s="2614" t="n"/>
      <c r="AJ53" s="2614" t="n"/>
      <c r="AK53" s="2614" t="n"/>
      <c r="AL53" s="2614" t="n"/>
      <c r="AM53" s="2617" t="n"/>
      <c r="AN53" s="64" t="n"/>
      <c r="AO53" s="2080" t="n"/>
      <c r="AP53" s="2081" t="n"/>
      <c r="AQ53" s="64" t="n"/>
      <c r="AR53" s="64" t="n"/>
      <c r="AS53" s="64" t="n"/>
      <c r="AT53" s="64" t="n"/>
      <c r="AU53" s="64" t="n"/>
      <c r="AV53" s="64" t="n"/>
      <c r="AW53" s="64" t="n"/>
      <c r="AX53" s="64" t="n"/>
      <c r="AY53" s="136" t="n"/>
      <c r="AZ53" s="64" t="n"/>
      <c r="BA53" s="64" t="n"/>
      <c r="BB53" s="64" t="n"/>
      <c r="BC53" s="64" t="n"/>
      <c r="BD53" s="64" t="n"/>
      <c r="BE53" s="64" t="n"/>
      <c r="BF53" s="308" t="n"/>
      <c r="BG53" s="64" t="n"/>
      <c r="BH53" s="64" t="n"/>
      <c r="BI53" s="136" t="n"/>
      <c r="BJ53" s="64" t="n"/>
      <c r="BK53" s="64" t="n"/>
      <c r="BL53" s="64" t="n"/>
      <c r="BM53" s="64" t="n"/>
      <c r="BN53" s="64" t="n"/>
      <c r="BO53" s="64" t="n"/>
      <c r="BP53" s="64" t="n"/>
      <c r="BQ53" s="64" t="n"/>
      <c r="BR53" s="64" t="n"/>
      <c r="BS53" s="64" t="n"/>
      <c r="BT53" s="64" t="n"/>
      <c r="BU53" s="64" t="n"/>
      <c r="BV53" s="64" t="n"/>
      <c r="BW53" s="64" t="n"/>
      <c r="BX53" s="64" t="n"/>
      <c r="BY53" s="64" t="n"/>
      <c r="BZ53" s="64" t="n"/>
      <c r="CA53" s="64" t="n"/>
    </row>
    <row r="54" ht="28.5" customHeight="1">
      <c r="A54" s="2073">
        <f>IF(AO54="","","(4) "&amp;AP54&amp;" Rwg, gŠRvt "&amp;AO54)</f>
        <v/>
      </c>
      <c r="B54" s="2614" t="n"/>
      <c r="C54" s="2614" t="n"/>
      <c r="D54" s="2614" t="n"/>
      <c r="E54" s="2614" t="n"/>
      <c r="F54" s="2614" t="n"/>
      <c r="G54" s="2614" t="n"/>
      <c r="H54" s="2614" t="n"/>
      <c r="I54" s="2614" t="n"/>
      <c r="J54" s="2617" t="n"/>
      <c r="K54" s="2082" t="n"/>
      <c r="L54" s="2614" t="n"/>
      <c r="M54" s="2614" t="n"/>
      <c r="N54" s="2614" t="n"/>
      <c r="O54" s="2614" t="n"/>
      <c r="P54" s="2614" t="n"/>
      <c r="Q54" s="2614" t="n"/>
      <c r="R54" s="2614" t="n"/>
      <c r="S54" s="2614" t="n"/>
      <c r="T54" s="2658" t="n"/>
      <c r="U54" s="2186" t="n"/>
      <c r="V54" s="2614" t="n"/>
      <c r="W54" s="2614" t="n"/>
      <c r="X54" s="2614" t="n"/>
      <c r="Y54" s="2614" t="n"/>
      <c r="Z54" s="2614" t="n"/>
      <c r="AA54" s="2614" t="n"/>
      <c r="AB54" s="2614" t="n"/>
      <c r="AC54" s="2617" t="n"/>
      <c r="AD54" s="2073" t="n"/>
      <c r="AE54" s="2614" t="n"/>
      <c r="AF54" s="2614" t="n"/>
      <c r="AG54" s="2614" t="n"/>
      <c r="AH54" s="2614" t="n"/>
      <c r="AI54" s="2614" t="n"/>
      <c r="AJ54" s="2614" t="n"/>
      <c r="AK54" s="2614" t="n"/>
      <c r="AL54" s="2614" t="n"/>
      <c r="AM54" s="2617" t="n"/>
      <c r="AN54" s="64" t="n"/>
      <c r="AO54" s="2080" t="n"/>
      <c r="AP54" s="2081" t="n"/>
      <c r="AQ54" s="64" t="n"/>
      <c r="AR54" s="64" t="n"/>
      <c r="AS54" s="64" t="n"/>
      <c r="AT54" s="64" t="n"/>
      <c r="AU54" s="64" t="n"/>
      <c r="AV54" s="64" t="n"/>
      <c r="AW54" s="64" t="n"/>
      <c r="AX54" s="64" t="n"/>
      <c r="AY54" s="136" t="n"/>
      <c r="AZ54" s="64" t="n"/>
      <c r="BA54" s="64" t="n"/>
      <c r="BB54" s="64" t="n"/>
      <c r="BC54" s="64" t="n"/>
      <c r="BD54" s="64" t="n"/>
      <c r="BE54" s="64" t="n"/>
      <c r="BF54" s="308" t="n"/>
      <c r="BG54" s="64" t="n"/>
      <c r="BH54" s="64" t="n"/>
      <c r="BI54" s="136" t="n"/>
      <c r="BJ54" s="64" t="n"/>
      <c r="BK54" s="64" t="n"/>
      <c r="BL54" s="64" t="n"/>
      <c r="BM54" s="64" t="n"/>
      <c r="BN54" s="64" t="n"/>
      <c r="BO54" s="64" t="n"/>
      <c r="BP54" s="64" t="n"/>
      <c r="BQ54" s="64" t="n"/>
      <c r="BR54" s="64" t="n"/>
      <c r="BS54" s="64" t="n"/>
      <c r="BT54" s="64" t="n"/>
      <c r="BU54" s="64" t="n"/>
      <c r="BV54" s="64" t="n"/>
      <c r="BW54" s="64" t="n"/>
      <c r="BX54" s="64" t="n"/>
      <c r="BY54" s="64" t="n"/>
      <c r="BZ54" s="64" t="n"/>
      <c r="CA54" s="64" t="n"/>
    </row>
    <row r="55" ht="21" customHeight="1">
      <c r="A55" s="1661" t="inlineStr">
        <is>
          <t>‡gvU</t>
        </is>
      </c>
      <c r="B55" s="2614" t="n"/>
      <c r="C55" s="2614" t="n"/>
      <c r="D55" s="2614" t="n"/>
      <c r="E55" s="2614" t="n"/>
      <c r="F55" s="2614" t="n"/>
      <c r="G55" s="2614" t="n"/>
      <c r="H55" s="2614" t="n"/>
      <c r="I55" s="2614" t="n"/>
      <c r="J55" s="2614" t="n"/>
      <c r="K55" s="2614" t="n"/>
      <c r="L55" s="2614" t="n"/>
      <c r="M55" s="2614" t="n"/>
      <c r="N55" s="2614" t="n"/>
      <c r="O55" s="2614" t="n"/>
      <c r="P55" s="2614" t="n"/>
      <c r="Q55" s="2614" t="n"/>
      <c r="R55" s="2614" t="n"/>
      <c r="S55" s="2614" t="n"/>
      <c r="T55" s="2614" t="n"/>
      <c r="U55" s="2614" t="n"/>
      <c r="V55" s="2614" t="n"/>
      <c r="W55" s="2614" t="n"/>
      <c r="X55" s="2614" t="n"/>
      <c r="Y55" s="2614" t="n"/>
      <c r="Z55" s="2614" t="n"/>
      <c r="AA55" s="2614" t="n"/>
      <c r="AB55" s="2614" t="n"/>
      <c r="AC55" s="2617" t="n"/>
      <c r="AD55" s="2093">
        <f>AD53</f>
        <v/>
      </c>
      <c r="AE55" s="2614" t="n"/>
      <c r="AF55" s="2614" t="n"/>
      <c r="AG55" s="2614" t="n"/>
      <c r="AH55" s="1931" t="inlineStr">
        <is>
          <t>GKi</t>
        </is>
      </c>
      <c r="AI55" s="2614" t="n"/>
      <c r="AJ55" s="2614" t="n"/>
      <c r="AK55" s="2614" t="n"/>
      <c r="AL55" s="2614" t="n"/>
      <c r="AM55" s="2617" t="n"/>
      <c r="AN55" s="64" t="n"/>
      <c r="AO55" s="2095">
        <f>SUM(K51:T54,AD51:AM54)='LF-5'!R24</f>
        <v/>
      </c>
      <c r="AP55" s="64" t="n"/>
      <c r="AQ55" s="64" t="n"/>
      <c r="AR55" s="64" t="n"/>
      <c r="AS55" s="64" t="n"/>
      <c r="AT55" s="64" t="n"/>
      <c r="AU55" s="64" t="n"/>
      <c r="AV55" s="64" t="n"/>
      <c r="AW55" s="64" t="n"/>
      <c r="AX55" s="64" t="n"/>
      <c r="AY55" s="136" t="n"/>
      <c r="AZ55" s="64" t="n"/>
      <c r="BA55" s="64" t="n"/>
      <c r="BB55" s="64" t="n"/>
      <c r="BC55" s="64" t="n"/>
      <c r="BD55" s="64" t="n"/>
      <c r="BE55" s="64" t="n"/>
      <c r="BF55" s="308" t="n"/>
      <c r="BG55" s="64" t="n"/>
      <c r="BH55" s="64" t="n"/>
      <c r="BI55" s="136" t="n"/>
      <c r="BJ55" s="64" t="n"/>
      <c r="BK55" s="64" t="n"/>
      <c r="BL55" s="64" t="n"/>
      <c r="BM55" s="64" t="n"/>
      <c r="BN55" s="64" t="n"/>
      <c r="BO55" s="64" t="n"/>
      <c r="BP55" s="64" t="n"/>
      <c r="BQ55" s="64" t="n"/>
      <c r="BR55" s="64" t="n"/>
      <c r="BS55" s="64" t="n"/>
      <c r="BT55" s="64" t="n"/>
      <c r="BU55" s="64" t="n"/>
      <c r="BV55" s="64" t="n"/>
      <c r="BW55" s="64" t="n"/>
      <c r="BX55" s="64" t="n"/>
      <c r="BY55" s="64" t="n"/>
      <c r="BZ55" s="64" t="n"/>
      <c r="CA55" s="64" t="n"/>
    </row>
    <row r="56" ht="18.75" customHeight="1">
      <c r="A56" s="1963" t="inlineStr">
        <is>
          <t>4|</t>
        </is>
      </c>
      <c r="B56" s="2096" t="inlineStr">
        <is>
          <t>g~j¨vqb wb¤œiƒct</t>
        </is>
      </c>
      <c r="C56" s="2624" t="n"/>
      <c r="D56" s="2624" t="n"/>
      <c r="E56" s="2624" t="n"/>
      <c r="F56" s="2624" t="n"/>
      <c r="G56" s="2624" t="n"/>
      <c r="H56" s="2099" t="n"/>
      <c r="I56" s="2624" t="n"/>
      <c r="J56" s="2624" t="n"/>
      <c r="K56" s="2624" t="n"/>
      <c r="L56" s="2624" t="n"/>
      <c r="M56" s="2624" t="n"/>
      <c r="N56" s="2624" t="n"/>
      <c r="O56" s="2624" t="n"/>
      <c r="P56" s="2624" t="n"/>
      <c r="Q56" s="2624" t="n"/>
      <c r="R56" s="2624" t="n"/>
      <c r="S56" s="2624" t="n"/>
      <c r="T56" s="2624" t="n"/>
      <c r="U56" s="2624" t="n"/>
      <c r="V56" s="2624" t="n"/>
      <c r="W56" s="2624" t="n"/>
      <c r="X56" s="2624" t="n"/>
      <c r="Y56" s="2624" t="n"/>
      <c r="Z56" s="2624" t="n"/>
      <c r="AA56" s="2624" t="n"/>
      <c r="AB56" s="2624" t="n"/>
      <c r="AC56" s="2624" t="n"/>
      <c r="AD56" s="2624" t="n"/>
      <c r="AE56" s="2624" t="n"/>
      <c r="AF56" s="2624" t="n"/>
      <c r="AG56" s="2624" t="n"/>
      <c r="AH56" s="2624" t="n"/>
      <c r="AI56" s="2624" t="n"/>
      <c r="AJ56" s="2624" t="n"/>
      <c r="AK56" s="2624" t="n"/>
      <c r="AL56" s="2624" t="n"/>
      <c r="AM56" s="2624" t="n"/>
      <c r="AN56" s="64" t="n"/>
      <c r="AO56" s="2103" t="inlineStr">
        <is>
          <t>g~j¨q‡bi wfwË t</t>
        </is>
      </c>
      <c r="AP56" s="2659" t="inlineStr">
        <is>
          <t>সাব-রেজিষ্ট্রি অফিসে রক্ষিত সর্বনিম্ন মৌজা রেট</t>
        </is>
      </c>
      <c r="AQ56" s="2630" t="n"/>
      <c r="AR56" s="2630" t="n"/>
      <c r="AS56" s="2660" t="n"/>
      <c r="AT56" s="1964" t="n"/>
      <c r="AU56" s="1964" t="n"/>
      <c r="AV56" s="2107" t="inlineStr">
        <is>
          <t xml:space="preserve">wba©vwiZ g~j¨vqb d¨v±i |
</t>
        </is>
      </c>
      <c r="AW56" s="2615" t="n"/>
      <c r="AX56" s="2615" t="n"/>
      <c r="AY56" s="2616" t="n"/>
      <c r="AZ56" s="64" t="n"/>
      <c r="BA56" s="64" t="n"/>
      <c r="BB56" s="64" t="n"/>
      <c r="BC56" s="64" t="n"/>
      <c r="BD56" s="64" t="n"/>
      <c r="BE56" s="64" t="n"/>
      <c r="BF56" s="308" t="n"/>
      <c r="BG56" s="64" t="n"/>
      <c r="BH56" s="64" t="n"/>
      <c r="BI56" s="136" t="n"/>
      <c r="BJ56" s="64" t="n"/>
      <c r="BK56" s="64" t="n"/>
      <c r="BL56" s="64" t="n"/>
      <c r="BM56" s="64" t="n"/>
      <c r="BN56" s="64" t="n"/>
      <c r="BO56" s="64" t="n"/>
      <c r="BP56" s="64" t="n"/>
      <c r="BQ56" s="64" t="n"/>
      <c r="BR56" s="64" t="n"/>
      <c r="BS56" s="64" t="n"/>
      <c r="BT56" s="64" t="n"/>
      <c r="BU56" s="64" t="n"/>
      <c r="BV56" s="64" t="n"/>
      <c r="BW56" s="64" t="n"/>
      <c r="BX56" s="64" t="n"/>
      <c r="BY56" s="64" t="n"/>
      <c r="BZ56" s="64" t="n"/>
      <c r="CA56" s="64" t="n"/>
    </row>
    <row r="57" ht="20.25" customHeight="1">
      <c r="A57" s="2109" t="n"/>
      <c r="B57" s="2615" t="n"/>
      <c r="C57" s="2615" t="n"/>
      <c r="D57" s="2615" t="n"/>
      <c r="E57" s="2615" t="n"/>
      <c r="F57" s="2615" t="n"/>
      <c r="G57" s="2615" t="n"/>
      <c r="H57" s="2615" t="n"/>
      <c r="I57" s="2615" t="n"/>
      <c r="J57" s="2615" t="n"/>
      <c r="K57" s="2615" t="n"/>
      <c r="L57" s="2615" t="n"/>
      <c r="M57" s="2615" t="n"/>
      <c r="N57" s="2615" t="n"/>
      <c r="O57" s="2615" t="n"/>
      <c r="P57" s="2615" t="n"/>
      <c r="Q57" s="2615" t="n"/>
      <c r="R57" s="2615" t="n"/>
      <c r="S57" s="2615" t="n"/>
      <c r="T57" s="2615" t="n"/>
      <c r="U57" s="2615" t="n"/>
      <c r="V57" s="2615" t="n"/>
      <c r="W57" s="2615" t="n"/>
      <c r="X57" s="2615" t="n"/>
      <c r="Y57" s="2615" t="n"/>
      <c r="Z57" s="2615" t="n"/>
      <c r="AA57" s="2615" t="n"/>
      <c r="AB57" s="2615" t="n"/>
      <c r="AC57" s="2615" t="n"/>
      <c r="AD57" s="2615" t="n"/>
      <c r="AE57" s="2615" t="n"/>
      <c r="AF57" s="2615" t="n"/>
      <c r="AG57" s="2615" t="n"/>
      <c r="AH57" s="2615" t="n"/>
      <c r="AI57" s="2615" t="n"/>
      <c r="AJ57" s="2615" t="n"/>
      <c r="AK57" s="2615" t="n"/>
      <c r="AL57" s="2615" t="n"/>
      <c r="AM57" s="2616" t="n"/>
      <c r="AN57" s="64" t="n"/>
      <c r="AO57" s="2115" t="inlineStr">
        <is>
          <t>‡gŠRv</t>
        </is>
      </c>
      <c r="AP57" s="2116" t="inlineStr">
        <is>
          <t>AvwU</t>
        </is>
      </c>
      <c r="AQ57" s="2117" t="n"/>
      <c r="AR57" s="2117" t="n"/>
      <c r="AS57" s="2117" t="n"/>
      <c r="AT57" s="64" t="n"/>
      <c r="AU57" s="64" t="n"/>
      <c r="AV57" s="809" t="inlineStr">
        <is>
          <t>mve-‡iwRwóª Awd‡m iwÿZ me©wb¤œ †gŠRv †iU |</t>
        </is>
      </c>
      <c r="AW57" s="2615" t="n"/>
      <c r="AX57" s="2615" t="n"/>
      <c r="AY57" s="2616" t="n"/>
      <c r="AZ57" s="64" t="n"/>
      <c r="BA57" s="64" t="n"/>
      <c r="BB57" s="64" t="n"/>
      <c r="BC57" s="64" t="n"/>
      <c r="BD57" s="64" t="n"/>
      <c r="BE57" s="64" t="n"/>
      <c r="BF57" s="308" t="n"/>
      <c r="BG57" s="64" t="n"/>
      <c r="BH57" s="64" t="n"/>
      <c r="BI57" s="136" t="n"/>
      <c r="BJ57" s="64" t="n"/>
      <c r="BK57" s="64" t="n"/>
      <c r="BL57" s="64" t="n"/>
      <c r="BM57" s="64" t="n"/>
      <c r="BN57" s="64" t="n"/>
      <c r="BO57" s="64" t="n"/>
      <c r="BP57" s="64" t="n"/>
      <c r="BQ57" s="64" t="n"/>
      <c r="BR57" s="64" t="n"/>
      <c r="BS57" s="64" t="n"/>
      <c r="BT57" s="64" t="n"/>
      <c r="BU57" s="64" t="n"/>
      <c r="BV57" s="64" t="n"/>
      <c r="BW57" s="64" t="n"/>
      <c r="BX57" s="64" t="n"/>
      <c r="BY57" s="64" t="n"/>
      <c r="BZ57" s="64" t="n"/>
      <c r="CA57" s="64" t="n"/>
    </row>
    <row r="58" ht="21" customHeight="1">
      <c r="A58" s="2118" t="n"/>
      <c r="X58" s="2124" t="n"/>
      <c r="AA58" s="733" t="n"/>
      <c r="AH58" s="733" t="n"/>
      <c r="AI58" s="730" t="n"/>
      <c r="AJ58" s="733" t="n"/>
      <c r="AK58" s="733" t="n"/>
      <c r="AL58" s="733" t="n"/>
      <c r="AM58" s="733" t="n"/>
      <c r="AN58" s="64" t="n"/>
      <c r="AO58" s="2126" t="inlineStr">
        <is>
          <t xml:space="preserve">Rwgi Ae¯’vb I eZ©gvb evRvi`i we‡ePbv K‡i kZK cÖwZ Rwgi g~j¨ </t>
        </is>
      </c>
      <c r="AS58" s="2128" t="n"/>
      <c r="AT58" s="1964" t="inlineStr">
        <is>
          <t>UvKv aiv n‡q‡Q</t>
        </is>
      </c>
      <c r="AU58" s="64" t="n"/>
      <c r="AV58" s="809" t="n"/>
      <c r="AW58" s="809" t="n"/>
      <c r="AX58" s="809" t="n"/>
      <c r="AY58" s="807" t="n"/>
      <c r="AZ58" s="64" t="n"/>
      <c r="BA58" s="64" t="n"/>
      <c r="BB58" s="64" t="n"/>
      <c r="BC58" s="64" t="n"/>
      <c r="BD58" s="64" t="n"/>
      <c r="BE58" s="64" t="n"/>
      <c r="BF58" s="308" t="n"/>
      <c r="BG58" s="64" t="n"/>
      <c r="BH58" s="64" t="n"/>
      <c r="BI58" s="136" t="n"/>
      <c r="BJ58" s="64" t="n"/>
      <c r="BK58" s="64" t="n"/>
      <c r="BL58" s="64" t="n"/>
      <c r="BM58" s="64" t="n"/>
      <c r="BN58" s="64" t="n"/>
      <c r="BO58" s="64" t="n"/>
      <c r="BP58" s="64" t="n"/>
      <c r="BQ58" s="64" t="n"/>
      <c r="BR58" s="64" t="n"/>
      <c r="BS58" s="64" t="n"/>
      <c r="BT58" s="64" t="n"/>
      <c r="BU58" s="64" t="n"/>
      <c r="BV58" s="64" t="n"/>
      <c r="BW58" s="64" t="n"/>
      <c r="BX58" s="64" t="n"/>
      <c r="BY58" s="64" t="n"/>
      <c r="BZ58" s="64" t="n"/>
      <c r="CA58" s="64" t="n"/>
    </row>
    <row r="59" ht="21.75" customHeight="1">
      <c r="A59" s="1963" t="inlineStr">
        <is>
          <t xml:space="preserve">K) </t>
        </is>
      </c>
      <c r="B59" s="169" t="inlineStr">
        <is>
          <t>K…wl Rwg</t>
        </is>
      </c>
      <c r="C59" s="169" t="n"/>
      <c r="D59" s="169" t="n"/>
      <c r="E59" s="2058" t="n"/>
      <c r="F59" s="169" t="n"/>
      <c r="G59" s="2059" t="n"/>
      <c r="H59" s="1963" t="n"/>
      <c r="I59" s="1963" t="n"/>
      <c r="J59" s="169" t="n"/>
      <c r="K59" s="1963" t="n"/>
      <c r="L59" s="169" t="n"/>
      <c r="M59" s="1963" t="n"/>
      <c r="N59" s="169" t="n"/>
      <c r="O59" s="2060" t="n"/>
      <c r="P59" s="2061" t="n"/>
      <c r="Q59" s="1898" t="n"/>
      <c r="R59" s="2129" t="n"/>
      <c r="S59" s="1898" t="n"/>
      <c r="T59" s="1898" t="n"/>
      <c r="U59" s="1899" t="n"/>
      <c r="V59" s="1899" t="n"/>
      <c r="W59" s="1899" t="n"/>
      <c r="X59" s="1899" t="n"/>
      <c r="Y59" s="1898" t="n"/>
      <c r="Z59" s="1899" t="n"/>
      <c r="AA59" s="1899" t="n"/>
      <c r="AB59" s="1899" t="n"/>
      <c r="AC59" s="1899" t="n"/>
      <c r="AD59" s="1963" t="n"/>
      <c r="AE59" s="64" t="n"/>
      <c r="AF59" s="2130" t="n"/>
      <c r="AG59" s="64" t="n"/>
      <c r="AH59" s="64" t="n"/>
      <c r="AI59" s="136" t="n"/>
      <c r="AJ59" s="64" t="n"/>
      <c r="AK59" s="64" t="n"/>
      <c r="AL59" s="64" t="n"/>
      <c r="AM59" s="64" t="n"/>
      <c r="AN59" s="64" t="n"/>
      <c r="AO59" s="2103" t="inlineStr">
        <is>
          <t xml:space="preserve"> cwiKíbv &amp;I cwiPvjb cwicÎ bs-02/2022 Zvs-14/02/2022 †gvZv‡eK me©wb¤œ †gŠRv g~‡j¨i 2.5 d¨v±i we‡ePbv Kiv n‡q‡Q</t>
        </is>
      </c>
      <c r="AP59" s="64" t="n"/>
      <c r="AQ59" s="64" t="n"/>
      <c r="AR59" s="64" t="n"/>
      <c r="AS59" s="64" t="n"/>
      <c r="AT59" s="64" t="n"/>
      <c r="AU59" s="2107" t="n"/>
      <c r="AV59" s="809" t="inlineStr">
        <is>
          <t>g~j¨vqb KwgwU KZ„©K eZ©gvb evRvi g~j¨|</t>
        </is>
      </c>
      <c r="AW59" s="2615" t="n"/>
      <c r="AX59" s="2615" t="n"/>
      <c r="AY59" s="2616" t="n"/>
      <c r="AZ59" s="2107" t="n"/>
      <c r="BA59" s="2107" t="n"/>
      <c r="BB59" s="2107" t="n"/>
      <c r="BC59" s="2107" t="n"/>
      <c r="BD59" s="2107" t="n"/>
      <c r="BE59" s="2107" t="n"/>
      <c r="BF59" s="2131" t="n"/>
      <c r="BG59" s="64" t="n"/>
      <c r="BH59" s="64" t="n"/>
      <c r="BI59" s="136" t="n"/>
      <c r="BJ59" s="64" t="n"/>
      <c r="BK59" s="64" t="n"/>
      <c r="BL59" s="64" t="n"/>
      <c r="BM59" s="64" t="n"/>
      <c r="BN59" s="64" t="n"/>
      <c r="BO59" s="64" t="n"/>
      <c r="BP59" s="64" t="n"/>
      <c r="BQ59" s="64" t="n"/>
      <c r="BR59" s="64" t="n"/>
      <c r="BS59" s="64" t="n"/>
      <c r="BT59" s="64" t="n"/>
      <c r="BU59" s="64" t="n"/>
      <c r="BV59" s="64" t="n"/>
      <c r="BW59" s="64" t="n"/>
      <c r="BX59" s="64" t="n"/>
      <c r="BY59" s="64" t="n"/>
      <c r="BZ59" s="64" t="n"/>
      <c r="CA59" s="64" t="n"/>
    </row>
    <row r="60" ht="25.5" customHeight="1">
      <c r="A60" s="2132" t="inlineStr">
        <is>
          <t>Rwgi †kÖYx</t>
        </is>
      </c>
      <c r="B60" s="2624" t="n"/>
      <c r="C60" s="2624" t="n"/>
      <c r="D60" s="2624" t="n"/>
      <c r="E60" s="2624" t="n"/>
      <c r="F60" s="2642" t="n"/>
      <c r="G60" s="2135" t="inlineStr">
        <is>
          <t>AvqZb GK‡i</t>
        </is>
      </c>
      <c r="H60" s="2624" t="n"/>
      <c r="I60" s="2624" t="n"/>
      <c r="J60" s="2642" t="n"/>
      <c r="K60" s="2136" t="inlineStr">
        <is>
          <t>GKi cÖwZ g~j¨ (wfAvBAvi)</t>
        </is>
      </c>
      <c r="L60" s="2624" t="n"/>
      <c r="M60" s="2624" t="n"/>
      <c r="N60" s="2624" t="n"/>
      <c r="O60" s="2624" t="n"/>
      <c r="P60" s="2642" t="n"/>
      <c r="Q60" s="1661" t="inlineStr">
        <is>
          <t>c~e©vbygvb Kg©Pvix</t>
        </is>
      </c>
      <c r="R60" s="2614" t="n"/>
      <c r="S60" s="2614" t="n"/>
      <c r="T60" s="2614" t="n"/>
      <c r="U60" s="2614" t="n"/>
      <c r="V60" s="2614" t="n"/>
      <c r="W60" s="2614" t="n"/>
      <c r="X60" s="2617" t="n"/>
      <c r="Y60" s="1661" t="inlineStr">
        <is>
          <t>e¨e¯’vcK</t>
        </is>
      </c>
      <c r="Z60" s="2614" t="n"/>
      <c r="AA60" s="2614" t="n"/>
      <c r="AB60" s="2614" t="n"/>
      <c r="AC60" s="2614" t="n"/>
      <c r="AD60" s="2614" t="n"/>
      <c r="AE60" s="2614" t="n"/>
      <c r="AF60" s="2617" t="n"/>
      <c r="AG60" s="2133" t="inlineStr">
        <is>
          <t>AvÂwjK e¨e¯’vcK</t>
        </is>
      </c>
      <c r="AH60" s="2614" t="n"/>
      <c r="AI60" s="2614" t="n"/>
      <c r="AJ60" s="2614" t="n"/>
      <c r="AK60" s="2614" t="n"/>
      <c r="AL60" s="2614" t="n"/>
      <c r="AM60" s="2617" t="n"/>
      <c r="AN60" s="64" t="n"/>
      <c r="AO60" s="2103" t="inlineStr">
        <is>
          <t xml:space="preserve">Avkvïwb mve-‡iwRóvi KZ©„K 2022 mv‡ji †gŠRv Iqvix cÖwZ kZvsk Mo Rwgi g~j¨ Ges evRvigyj¨ †gvZv‡eK </t>
        </is>
      </c>
      <c r="AP60" s="64" t="n"/>
      <c r="AQ60" s="64" t="n"/>
      <c r="AR60" s="64" t="n"/>
      <c r="AS60" s="64" t="n"/>
      <c r="AT60" s="64" t="n"/>
      <c r="AU60" s="809" t="n"/>
      <c r="AV60" s="809" t="n"/>
      <c r="AW60" s="809" t="n"/>
      <c r="AX60" s="809" t="n"/>
      <c r="AY60" s="807" t="n"/>
      <c r="AZ60" s="809" t="n"/>
      <c r="BA60" s="809" t="n"/>
      <c r="BB60" s="809" t="n"/>
      <c r="BC60" s="809" t="n"/>
      <c r="BD60" s="809" t="n"/>
      <c r="BE60" s="809" t="n"/>
      <c r="BF60" s="808" t="n"/>
      <c r="BG60" s="64" t="n"/>
      <c r="BH60" s="64" t="n"/>
      <c r="BI60" s="136" t="n"/>
      <c r="BJ60" s="64" t="n"/>
      <c r="BK60" s="64" t="n"/>
      <c r="BL60" s="64" t="n"/>
      <c r="BM60" s="64" t="n"/>
      <c r="BN60" s="64" t="n"/>
      <c r="BO60" s="64" t="n"/>
      <c r="BP60" s="64" t="n"/>
      <c r="BQ60" s="64" t="n"/>
      <c r="BR60" s="64" t="n"/>
      <c r="BS60" s="64" t="n"/>
      <c r="BT60" s="64" t="n"/>
      <c r="BU60" s="64" t="n"/>
      <c r="BV60" s="64" t="n"/>
      <c r="BW60" s="64" t="n"/>
      <c r="BX60" s="64" t="n"/>
      <c r="BY60" s="64" t="n"/>
      <c r="BZ60" s="64" t="n"/>
      <c r="CA60" s="64" t="n"/>
    </row>
    <row r="61" ht="22.5" customHeight="1">
      <c r="A61" s="2648" t="n"/>
      <c r="B61" s="2613" t="n"/>
      <c r="C61" s="2613" t="n"/>
      <c r="D61" s="2613" t="n"/>
      <c r="E61" s="2613" t="n"/>
      <c r="F61" s="2649" t="n"/>
      <c r="G61" s="2648" t="n"/>
      <c r="H61" s="2613" t="n"/>
      <c r="I61" s="2613" t="n"/>
      <c r="J61" s="2649" t="n"/>
      <c r="K61" s="2648" t="n"/>
      <c r="L61" s="2613" t="n"/>
      <c r="M61" s="2613" t="n"/>
      <c r="N61" s="2613" t="n"/>
      <c r="O61" s="2613" t="n"/>
      <c r="P61" s="2649" t="n"/>
      <c r="Q61" s="1661" t="inlineStr">
        <is>
          <t>g~j¨</t>
        </is>
      </c>
      <c r="R61" s="2614" t="n"/>
      <c r="S61" s="2614" t="n"/>
      <c r="T61" s="2617" t="n"/>
      <c r="U61" s="2133" t="inlineStr">
        <is>
          <t>¯^vÿi</t>
        </is>
      </c>
      <c r="V61" s="2614" t="n"/>
      <c r="W61" s="2614" t="n"/>
      <c r="X61" s="2617" t="n"/>
      <c r="Y61" s="1661" t="inlineStr">
        <is>
          <t>g~j¨</t>
        </is>
      </c>
      <c r="Z61" s="2614" t="n"/>
      <c r="AA61" s="2614" t="n"/>
      <c r="AB61" s="2617" t="n"/>
      <c r="AC61" s="2133" t="inlineStr">
        <is>
          <t>¯^vÿi</t>
        </is>
      </c>
      <c r="AD61" s="2614" t="n"/>
      <c r="AE61" s="2614" t="n"/>
      <c r="AF61" s="2617" t="n"/>
      <c r="AG61" s="2133" t="inlineStr">
        <is>
          <t>g~j¨</t>
        </is>
      </c>
      <c r="AH61" s="2614" t="n"/>
      <c r="AI61" s="2617" t="n"/>
      <c r="AJ61" s="2133" t="inlineStr">
        <is>
          <t>¯^vÿi</t>
        </is>
      </c>
      <c r="AK61" s="2614" t="n"/>
      <c r="AL61" s="2614" t="n"/>
      <c r="AM61" s="2617" t="n"/>
      <c r="AN61" s="64" t="n"/>
      <c r="AO61" s="136" t="n"/>
      <c r="AP61" s="64" t="n"/>
      <c r="AQ61" s="809" t="n"/>
      <c r="AR61" s="809" t="n"/>
      <c r="AS61" s="809" t="n"/>
      <c r="AT61" s="809" t="n"/>
      <c r="AU61" s="809" t="n"/>
      <c r="AV61" s="809" t="n"/>
      <c r="AW61" s="809" t="n"/>
      <c r="AX61" s="809" t="n"/>
      <c r="AY61" s="807" t="n"/>
      <c r="AZ61" s="809" t="n"/>
      <c r="BA61" s="809" t="n"/>
      <c r="BB61" s="809" t="n"/>
      <c r="BC61" s="809" t="n"/>
      <c r="BD61" s="809" t="n"/>
      <c r="BE61" s="809" t="n"/>
      <c r="BF61" s="808" t="n"/>
      <c r="BG61" s="64" t="n"/>
      <c r="BH61" s="64" t="n"/>
      <c r="BI61" s="136" t="n"/>
      <c r="BJ61" s="64" t="n"/>
      <c r="BK61" s="64" t="n"/>
      <c r="BL61" s="64" t="n"/>
      <c r="BM61" s="64" t="n"/>
      <c r="BN61" s="64" t="n"/>
      <c r="BO61" s="64" t="n"/>
      <c r="BP61" s="64" t="n"/>
      <c r="BQ61" s="64" t="n"/>
      <c r="BR61" s="64" t="n"/>
      <c r="BS61" s="64" t="n"/>
      <c r="BT61" s="64" t="n"/>
      <c r="BU61" s="64" t="n"/>
      <c r="BV61" s="64" t="n"/>
      <c r="BW61" s="64" t="n"/>
      <c r="BX61" s="64" t="n"/>
      <c r="BY61" s="64" t="n"/>
      <c r="BZ61" s="64" t="n"/>
      <c r="CA61" s="64" t="n"/>
    </row>
    <row r="62" ht="30" customHeight="1">
      <c r="A62" s="1596" t="inlineStr">
        <is>
          <t>(1) D”P g~‡j¨i Rwg</t>
        </is>
      </c>
      <c r="B62" s="2614" t="n"/>
      <c r="C62" s="2614" t="n"/>
      <c r="D62" s="2614" t="n"/>
      <c r="E62" s="2614" t="n"/>
      <c r="F62" s="2617" t="n"/>
      <c r="G62" s="2151" t="n"/>
      <c r="H62" s="2614" t="n"/>
      <c r="I62" s="2614" t="n"/>
      <c r="J62" s="2617" t="n"/>
      <c r="K62" s="2143" t="n"/>
      <c r="L62" s="2614" t="n"/>
      <c r="M62" s="2614" t="n"/>
      <c r="N62" s="2614" t="n"/>
      <c r="O62" s="2614" t="n"/>
      <c r="P62" s="2617" t="n"/>
      <c r="Q62" s="2144">
        <f>IF(K51="",0,G62*K62)</f>
        <v/>
      </c>
      <c r="R62" s="2614" t="n"/>
      <c r="S62" s="2614" t="n"/>
      <c r="T62" s="2617" t="n"/>
      <c r="U62" s="2145" t="n"/>
      <c r="V62" s="2614" t="n"/>
      <c r="W62" s="2614" t="n"/>
      <c r="X62" s="2617" t="n"/>
      <c r="Y62" s="2144">
        <f>+Q62</f>
        <v/>
      </c>
      <c r="Z62" s="2614" t="n"/>
      <c r="AA62" s="2614" t="n"/>
      <c r="AB62" s="2617" t="n"/>
      <c r="AC62" s="2146" t="n"/>
      <c r="AD62" s="2614" t="n"/>
      <c r="AE62" s="2614" t="n"/>
      <c r="AF62" s="2617" t="n"/>
      <c r="AG62" s="2144" t="n"/>
      <c r="AH62" s="2614" t="n"/>
      <c r="AI62" s="2617" t="n"/>
      <c r="AJ62" s="2144" t="n"/>
      <c r="AK62" s="2614" t="n"/>
      <c r="AL62" s="2614" t="n"/>
      <c r="AM62" s="2617" t="n"/>
      <c r="AN62" s="64" t="n"/>
      <c r="AO62" s="136" t="n"/>
      <c r="AP62" s="64" t="n"/>
      <c r="AQ62" s="64" t="n"/>
      <c r="AR62" s="64" t="n"/>
      <c r="AS62" s="64" t="n"/>
      <c r="AT62" s="64" t="n"/>
      <c r="AU62" s="64" t="n"/>
      <c r="AV62" s="64" t="n"/>
      <c r="AW62" s="64" t="n"/>
      <c r="AX62" s="64" t="n"/>
      <c r="AY62" s="136" t="n"/>
      <c r="AZ62" s="64" t="n"/>
      <c r="BA62" s="64" t="n"/>
      <c r="BB62" s="64" t="n"/>
      <c r="BC62" s="64" t="n"/>
      <c r="BD62" s="64" t="n"/>
      <c r="BE62" s="64" t="n"/>
      <c r="BF62" s="308" t="n"/>
      <c r="BG62" s="64" t="n"/>
      <c r="BH62" s="64" t="n"/>
      <c r="BI62" s="136" t="n"/>
      <c r="BJ62" s="64" t="n"/>
      <c r="BK62" s="64" t="n"/>
      <c r="BL62" s="64" t="n"/>
      <c r="BM62" s="64" t="n"/>
      <c r="BN62" s="64" t="n"/>
      <c r="BO62" s="64" t="n"/>
      <c r="BP62" s="64" t="n"/>
      <c r="BQ62" s="64" t="n"/>
      <c r="BR62" s="64" t="n"/>
      <c r="BS62" s="64" t="n"/>
      <c r="BT62" s="64" t="n"/>
      <c r="BU62" s="64" t="n"/>
      <c r="BV62" s="64" t="n"/>
      <c r="BW62" s="64" t="n"/>
      <c r="BX62" s="64" t="n"/>
      <c r="BY62" s="64" t="n"/>
      <c r="BZ62" s="64" t="n"/>
      <c r="CA62" s="64" t="n"/>
    </row>
    <row r="63" ht="31.5" customHeight="1">
      <c r="A63" s="1596" t="inlineStr">
        <is>
          <t>(2) ga¨g g~‡j¨i Rwg</t>
        </is>
      </c>
      <c r="B63" s="2614" t="n"/>
      <c r="C63" s="2614" t="n"/>
      <c r="D63" s="2614" t="n"/>
      <c r="E63" s="2614" t="n"/>
      <c r="F63" s="2617" t="n"/>
      <c r="G63" s="2661">
        <f>IF(K52="","",+K52)</f>
        <v/>
      </c>
      <c r="H63" s="2614" t="n"/>
      <c r="I63" s="2614" t="n"/>
      <c r="J63" s="2617" t="n"/>
      <c r="K63" s="2143" t="n"/>
      <c r="L63" s="2614" t="n"/>
      <c r="M63" s="2614" t="n"/>
      <c r="N63" s="2614" t="n"/>
      <c r="O63" s="2614" t="n"/>
      <c r="P63" s="2617" t="n"/>
      <c r="Q63" s="2144">
        <f>IF(K52="",0,G63*K63)</f>
        <v/>
      </c>
      <c r="R63" s="2614" t="n"/>
      <c r="S63" s="2614" t="n"/>
      <c r="T63" s="2617" t="n"/>
      <c r="U63" s="2150" t="n"/>
      <c r="V63" s="2614" t="n"/>
      <c r="W63" s="2614" t="n"/>
      <c r="X63" s="2617" t="n"/>
      <c r="Y63" s="2144">
        <f>+Q63</f>
        <v/>
      </c>
      <c r="Z63" s="2614" t="n"/>
      <c r="AA63" s="2614" t="n"/>
      <c r="AB63" s="2617" t="n"/>
      <c r="AC63" s="2144" t="n"/>
      <c r="AD63" s="2614" t="n"/>
      <c r="AE63" s="2614" t="n"/>
      <c r="AF63" s="2617" t="n"/>
      <c r="AG63" s="2144" t="n"/>
      <c r="AH63" s="2614" t="n"/>
      <c r="AI63" s="2617" t="n"/>
      <c r="AJ63" s="2144" t="n"/>
      <c r="AK63" s="2614" t="n"/>
      <c r="AL63" s="2614" t="n"/>
      <c r="AM63" s="2617" t="n"/>
      <c r="AN63" s="64" t="n"/>
      <c r="AO63" s="136" t="n"/>
      <c r="AP63" s="64" t="n"/>
      <c r="AQ63" s="64" t="n"/>
      <c r="AR63" s="64" t="n"/>
      <c r="AS63" s="64" t="n"/>
      <c r="AT63" s="64" t="n"/>
      <c r="AU63" s="64" t="n"/>
      <c r="AV63" s="64" t="n"/>
      <c r="AW63" s="64" t="n"/>
      <c r="AX63" s="64" t="n"/>
      <c r="AY63" s="136" t="n"/>
      <c r="AZ63" s="64" t="n"/>
      <c r="BA63" s="64" t="n"/>
      <c r="BB63" s="64" t="n"/>
      <c r="BC63" s="64" t="n"/>
      <c r="BD63" s="64" t="n"/>
      <c r="BE63" s="64" t="n"/>
      <c r="BF63" s="308" t="n"/>
      <c r="BG63" s="64" t="n"/>
      <c r="BH63" s="64" t="n"/>
      <c r="BI63" s="136" t="n"/>
      <c r="BJ63" s="64" t="n"/>
      <c r="BK63" s="64" t="n"/>
      <c r="BL63" s="64" t="n"/>
      <c r="BM63" s="64" t="n"/>
      <c r="BN63" s="64" t="n"/>
      <c r="BO63" s="64" t="n"/>
      <c r="BP63" s="64" t="n"/>
      <c r="BQ63" s="64" t="n"/>
      <c r="BR63" s="64" t="n"/>
      <c r="BS63" s="64" t="n"/>
      <c r="BT63" s="64" t="n"/>
      <c r="BU63" s="64" t="n"/>
      <c r="BV63" s="64" t="n"/>
      <c r="BW63" s="64" t="n"/>
      <c r="BX63" s="64" t="n"/>
      <c r="BY63" s="64" t="n"/>
      <c r="BZ63" s="64" t="n"/>
      <c r="CA63" s="64" t="n"/>
    </row>
    <row r="64" ht="31.5" customHeight="1">
      <c r="A64" s="1596" t="inlineStr">
        <is>
          <t>(3) wbgœ g~‡j¨i Rwg</t>
        </is>
      </c>
      <c r="B64" s="2614" t="n"/>
      <c r="C64" s="2614" t="n"/>
      <c r="D64" s="2614" t="n"/>
      <c r="E64" s="2614" t="n"/>
      <c r="F64" s="2617" t="n"/>
      <c r="G64" s="2661">
        <f>IF(K53="","",+K53)</f>
        <v/>
      </c>
      <c r="H64" s="2614" t="n"/>
      <c r="I64" s="2614" t="n"/>
      <c r="J64" s="2617" t="n"/>
      <c r="K64" s="2143" t="n"/>
      <c r="L64" s="2614" t="n"/>
      <c r="M64" s="2614" t="n"/>
      <c r="N64" s="2614" t="n"/>
      <c r="O64" s="2614" t="n"/>
      <c r="P64" s="2617" t="n"/>
      <c r="Q64" s="2144">
        <f>IF(K53="",0,G64*K64)</f>
        <v/>
      </c>
      <c r="R64" s="2614" t="n"/>
      <c r="S64" s="2614" t="n"/>
      <c r="T64" s="2617" t="n"/>
      <c r="U64" s="2150" t="n"/>
      <c r="V64" s="2614" t="n"/>
      <c r="W64" s="2614" t="n"/>
      <c r="X64" s="2617" t="n"/>
      <c r="Y64" s="2144">
        <f>+Q64</f>
        <v/>
      </c>
      <c r="Z64" s="2614" t="n"/>
      <c r="AA64" s="2614" t="n"/>
      <c r="AB64" s="2617" t="n"/>
      <c r="AC64" s="2144" t="n"/>
      <c r="AD64" s="2614" t="n"/>
      <c r="AE64" s="2614" t="n"/>
      <c r="AF64" s="2617" t="n"/>
      <c r="AG64" s="2144" t="n"/>
      <c r="AH64" s="2614" t="n"/>
      <c r="AI64" s="2617" t="n"/>
      <c r="AJ64" s="2144" t="n"/>
      <c r="AK64" s="2614" t="n"/>
      <c r="AL64" s="2614" t="n"/>
      <c r="AM64" s="2617" t="n"/>
      <c r="AN64" s="64" t="n"/>
      <c r="AO64" s="136" t="n"/>
      <c r="AP64" s="64" t="n"/>
      <c r="AQ64" s="64" t="n"/>
      <c r="AR64" s="64" t="n"/>
      <c r="AS64" s="64" t="n"/>
      <c r="AT64" s="64" t="n"/>
      <c r="AU64" s="64" t="n"/>
      <c r="AV64" s="64" t="n"/>
      <c r="AW64" s="64" t="n"/>
      <c r="AX64" s="64" t="n"/>
      <c r="AY64" s="136" t="n"/>
      <c r="AZ64" s="64" t="n"/>
      <c r="BA64" s="64" t="n"/>
      <c r="BB64" s="64" t="n"/>
      <c r="BC64" s="64" t="n"/>
      <c r="BD64" s="64" t="n"/>
      <c r="BE64" s="64" t="n"/>
      <c r="BF64" s="308" t="n"/>
      <c r="BG64" s="64" t="n"/>
      <c r="BH64" s="64" t="n"/>
      <c r="BI64" s="136" t="n"/>
      <c r="BJ64" s="64" t="n"/>
      <c r="BK64" s="64" t="n"/>
      <c r="BL64" s="64" t="n"/>
      <c r="BM64" s="64" t="n"/>
      <c r="BN64" s="64" t="n"/>
      <c r="BO64" s="64" t="n"/>
      <c r="BP64" s="64" t="n"/>
      <c r="BQ64" s="64" t="n"/>
      <c r="BR64" s="64" t="n"/>
      <c r="BS64" s="64" t="n"/>
      <c r="BT64" s="64" t="n"/>
      <c r="BU64" s="64" t="n"/>
      <c r="BV64" s="64" t="n"/>
      <c r="BW64" s="64" t="n"/>
      <c r="BX64" s="64" t="n"/>
      <c r="BY64" s="64" t="n"/>
      <c r="BZ64" s="64" t="n"/>
      <c r="CA64" s="64" t="n"/>
    </row>
    <row r="65" ht="21.75" customHeight="1">
      <c r="A65" s="2073" t="inlineStr">
        <is>
          <t xml:space="preserve">‡gvU t </t>
        </is>
      </c>
      <c r="B65" s="2614" t="n"/>
      <c r="C65" s="2614" t="n"/>
      <c r="D65" s="2614" t="n"/>
      <c r="E65" s="2614" t="n"/>
      <c r="F65" s="2617" t="n"/>
      <c r="G65" s="2151">
        <f>SUM(G62:J64)</f>
        <v/>
      </c>
      <c r="H65" s="2614" t="n"/>
      <c r="I65" s="2614" t="n"/>
      <c r="J65" s="2617" t="n"/>
      <c r="K65" s="2144" t="n"/>
      <c r="L65" s="2614" t="n"/>
      <c r="M65" s="2614" t="n"/>
      <c r="N65" s="2614" t="n"/>
      <c r="O65" s="2614" t="n"/>
      <c r="P65" s="2617" t="n"/>
      <c r="Q65" s="2144">
        <f>SUM(Q62:T64)</f>
        <v/>
      </c>
      <c r="R65" s="2614" t="n"/>
      <c r="S65" s="2614" t="n"/>
      <c r="T65" s="2617" t="n"/>
      <c r="U65" s="2144" t="n"/>
      <c r="V65" s="2614" t="n"/>
      <c r="W65" s="2614" t="n"/>
      <c r="X65" s="2617" t="n"/>
      <c r="Y65" s="2152">
        <f>SUM(Y62:AB64)</f>
        <v/>
      </c>
      <c r="Z65" s="2614" t="n"/>
      <c r="AA65" s="2614" t="n"/>
      <c r="AB65" s="2617" t="n"/>
      <c r="AC65" s="2153" t="n"/>
      <c r="AD65" s="2614" t="n"/>
      <c r="AE65" s="2614" t="n"/>
      <c r="AF65" s="2617" t="n"/>
      <c r="AG65" s="2144" t="n"/>
      <c r="AH65" s="2614" t="n"/>
      <c r="AI65" s="2617" t="n"/>
      <c r="AJ65" s="2153" t="n"/>
      <c r="AK65" s="2614" t="n"/>
      <c r="AL65" s="2614" t="n"/>
      <c r="AM65" s="2617" t="n"/>
      <c r="AN65" s="64" t="n"/>
      <c r="AO65" s="2154">
        <f>'Data Input'!N48</f>
        <v/>
      </c>
      <c r="AP65" s="64" t="n"/>
      <c r="AQ65" s="64" t="n"/>
      <c r="AR65" s="64" t="n"/>
      <c r="AS65" s="64" t="n"/>
      <c r="AT65" s="64" t="n"/>
      <c r="AU65" s="64" t="n"/>
      <c r="AV65" s="64" t="n"/>
      <c r="AW65" s="64" t="n"/>
      <c r="AX65" s="64" t="n"/>
      <c r="AY65" s="136" t="n"/>
      <c r="AZ65" s="64" t="n"/>
      <c r="BA65" s="64" t="n"/>
      <c r="BB65" s="64" t="n"/>
      <c r="BC65" s="64" t="n"/>
      <c r="BD65" s="64" t="n"/>
      <c r="BE65" s="64" t="n"/>
      <c r="BF65" s="308" t="n"/>
      <c r="BG65" s="64" t="n"/>
      <c r="BH65" s="64" t="n"/>
      <c r="BI65" s="136" t="n"/>
      <c r="BJ65" s="64" t="n"/>
      <c r="BK65" s="64" t="n"/>
      <c r="BL65" s="64" t="n"/>
      <c r="BM65" s="64" t="n"/>
      <c r="BN65" s="64" t="n"/>
      <c r="BO65" s="64" t="n"/>
      <c r="BP65" s="64" t="n"/>
      <c r="BQ65" s="64" t="n"/>
      <c r="BR65" s="64" t="n"/>
      <c r="BS65" s="64" t="n"/>
      <c r="BT65" s="64" t="n"/>
      <c r="BU65" s="64" t="n"/>
      <c r="BV65" s="64" t="n"/>
      <c r="BW65" s="64" t="n"/>
      <c r="BX65" s="64" t="n"/>
      <c r="BY65" s="64" t="n"/>
      <c r="BZ65" s="64" t="n"/>
      <c r="CA65" s="64" t="n"/>
    </row>
    <row r="66" ht="22.5" customHeight="1">
      <c r="A66" s="465" t="n"/>
      <c r="K66" s="2155" t="n"/>
      <c r="L66" s="2624" t="n"/>
      <c r="M66" s="2624" t="n"/>
      <c r="N66" s="2624" t="n"/>
      <c r="O66" s="2624" t="n"/>
      <c r="P66" s="2624" t="n"/>
      <c r="Q66" s="2158" t="n"/>
      <c r="R66" s="2159" t="n"/>
      <c r="S66" s="2624" t="n"/>
      <c r="T66" s="2158" t="n"/>
      <c r="U66" s="2045" t="n"/>
      <c r="Y66" s="2045" t="n"/>
      <c r="AC66" s="2044" t="n"/>
      <c r="AG66" s="2045" t="n"/>
      <c r="AJ66" s="2160" t="n"/>
      <c r="AK66" s="2160" t="n"/>
      <c r="AL66" s="2160" t="n"/>
      <c r="AM66" s="2160" t="inlineStr">
        <is>
          <t>4K</t>
        </is>
      </c>
      <c r="AN66" s="64" t="n"/>
      <c r="AO66" s="465" t="inlineStr">
        <is>
          <t xml:space="preserve">d¨v±i g~j¨= </t>
        </is>
      </c>
      <c r="AY66" s="2155">
        <f>+BE65</f>
        <v/>
      </c>
      <c r="AZ66" s="2624" t="n"/>
      <c r="BA66" s="2624" t="n"/>
      <c r="BB66" s="2624" t="n"/>
      <c r="BC66" s="2624" t="n"/>
      <c r="BD66" s="2624" t="n"/>
      <c r="BE66" s="2052" t="inlineStr">
        <is>
          <t>*</t>
        </is>
      </c>
      <c r="BF66" s="2159" t="n">
        <v>2.5</v>
      </c>
      <c r="BG66" s="2624" t="n"/>
      <c r="BH66" s="2052" t="inlineStr">
        <is>
          <t>=</t>
        </is>
      </c>
      <c r="BI66" s="2045">
        <f>+AY66*BF66</f>
        <v/>
      </c>
      <c r="BM66" s="2045" t="n"/>
      <c r="BQ66" s="2044" t="n"/>
      <c r="BU66" s="2045" t="n"/>
      <c r="BX66" s="2044" t="n"/>
    </row>
    <row r="67" ht="21" customHeight="1">
      <c r="A67" s="136" t="n"/>
      <c r="B67" s="62" t="inlineStr">
        <is>
          <t>L)</t>
        </is>
      </c>
      <c r="C67" s="666" t="inlineStr">
        <is>
          <t>‡cŠi Rwgt</t>
        </is>
      </c>
      <c r="AN67" s="64" t="n"/>
      <c r="AO67" s="136" t="n"/>
      <c r="AP67" s="64" t="n"/>
      <c r="AQ67" s="64" t="n"/>
      <c r="AR67" s="64" t="n"/>
      <c r="AS67" s="64" t="n"/>
      <c r="AT67" s="64" t="n"/>
      <c r="AU67" s="64" t="n"/>
      <c r="AV67" s="64" t="n"/>
      <c r="AW67" s="64" t="n"/>
      <c r="AX67" s="64" t="n"/>
      <c r="AY67" s="136" t="n"/>
      <c r="AZ67" s="64" t="n"/>
      <c r="BA67" s="64" t="n"/>
      <c r="BB67" s="64" t="n"/>
      <c r="BC67" s="64" t="n"/>
      <c r="BD67" s="64" t="n"/>
      <c r="BE67" s="64" t="n"/>
      <c r="BF67" s="308" t="n"/>
      <c r="BG67" s="64" t="n"/>
      <c r="BH67" s="64" t="n"/>
      <c r="BI67" s="136" t="n"/>
      <c r="BJ67" s="64" t="n"/>
      <c r="BK67" s="64" t="n"/>
      <c r="BL67" s="64" t="n"/>
      <c r="BM67" s="64" t="n"/>
      <c r="BN67" s="64" t="n"/>
      <c r="BO67" s="64" t="n"/>
      <c r="BP67" s="64" t="n"/>
      <c r="BQ67" s="64" t="n"/>
      <c r="BR67" s="64" t="n"/>
      <c r="BS67" s="64" t="n"/>
      <c r="BT67" s="64" t="n"/>
      <c r="BU67" s="64" t="n"/>
      <c r="BV67" s="64" t="n"/>
      <c r="BW67" s="64" t="n"/>
      <c r="BX67" s="64" t="n"/>
      <c r="BY67" s="64" t="n"/>
      <c r="BZ67" s="64" t="n"/>
      <c r="CA67" s="64" t="n"/>
    </row>
    <row r="68" ht="42.75" customHeight="1">
      <c r="A68" s="2165" t="n"/>
      <c r="B68" s="1879" t="n"/>
      <c r="C68" s="2613" t="n"/>
      <c r="D68" s="2613" t="n"/>
      <c r="E68" s="2613" t="n"/>
      <c r="F68" s="2613" t="n"/>
      <c r="G68" s="2613" t="n"/>
      <c r="H68" s="2613" t="n"/>
      <c r="I68" s="2613" t="n"/>
      <c r="J68" s="2613" t="n"/>
      <c r="K68" s="2613" t="n"/>
      <c r="L68" s="2613" t="n"/>
      <c r="M68" s="2613" t="n"/>
      <c r="N68" s="2613" t="n"/>
      <c r="O68" s="2613" t="n"/>
      <c r="P68" s="2613" t="n"/>
      <c r="Q68" s="2613" t="n"/>
      <c r="R68" s="2613" t="n"/>
      <c r="S68" s="2613" t="n"/>
      <c r="T68" s="2613" t="n"/>
      <c r="U68" s="2613" t="n"/>
      <c r="V68" s="2613" t="n"/>
      <c r="W68" s="2613" t="n"/>
      <c r="X68" s="2613" t="n"/>
      <c r="Y68" s="2613" t="n"/>
      <c r="Z68" s="2613" t="n"/>
      <c r="AA68" s="2613" t="n"/>
      <c r="AB68" s="2613" t="n"/>
      <c r="AC68" s="2613" t="n"/>
      <c r="AD68" s="2613" t="n"/>
      <c r="AE68" s="2613" t="n"/>
      <c r="AF68" s="2613" t="n"/>
      <c r="AG68" s="2613" t="n"/>
      <c r="AH68" s="2613" t="n"/>
      <c r="AI68" s="2613" t="n"/>
      <c r="AJ68" s="2613" t="n"/>
      <c r="AK68" s="2613" t="n"/>
      <c r="AL68" s="2613" t="n"/>
      <c r="AM68" s="2613" t="n"/>
      <c r="AN68" s="64" t="n"/>
      <c r="AO68" s="136" t="n"/>
      <c r="AP68" s="2171" t="n"/>
      <c r="AQ68" s="64" t="n"/>
      <c r="AR68" s="64" t="n"/>
      <c r="AS68" s="64" t="n"/>
      <c r="AT68" s="64" t="n"/>
      <c r="AU68" s="64" t="n"/>
      <c r="AV68" s="64" t="n"/>
      <c r="AW68" s="64" t="n"/>
      <c r="AX68" s="64" t="n"/>
      <c r="AY68" s="136" t="n"/>
      <c r="AZ68" s="64" t="n"/>
      <c r="BA68" s="64" t="n"/>
      <c r="BB68" s="64" t="n"/>
      <c r="BC68" s="64" t="n"/>
      <c r="BD68" s="64" t="n"/>
      <c r="BE68" s="64" t="n"/>
      <c r="BF68" s="308" t="n"/>
      <c r="BG68" s="64" t="n"/>
      <c r="BH68" s="64" t="n"/>
      <c r="BI68" s="136" t="n"/>
      <c r="BJ68" s="64" t="n"/>
      <c r="BK68" s="64" t="n"/>
      <c r="BL68" s="64" t="n"/>
      <c r="BM68" s="64" t="n"/>
      <c r="BN68" s="64" t="n"/>
      <c r="BO68" s="64" t="n"/>
      <c r="BP68" s="64" t="n"/>
      <c r="BQ68" s="64" t="n"/>
      <c r="BR68" s="64" t="n"/>
      <c r="BS68" s="64" t="n"/>
      <c r="BT68" s="64" t="n"/>
      <c r="BU68" s="64" t="n"/>
      <c r="BV68" s="64" t="n"/>
      <c r="BW68" s="64" t="n"/>
      <c r="BX68" s="64" t="n"/>
      <c r="BY68" s="64" t="n"/>
      <c r="BZ68" s="64" t="n"/>
      <c r="CA68" s="64" t="n"/>
    </row>
    <row r="69" ht="31.5" customFormat="1" customHeight="1" s="18">
      <c r="A69" s="511" t="inlineStr">
        <is>
          <t>Rwgi cÖKvi aiY</t>
        </is>
      </c>
      <c r="B69" s="2614" t="n"/>
      <c r="C69" s="2614" t="n"/>
      <c r="D69" s="2617" t="n"/>
      <c r="E69" s="2172" t="inlineStr">
        <is>
          <t>Ae¯’vb (GKi)</t>
        </is>
      </c>
      <c r="F69" s="2614" t="n"/>
      <c r="G69" s="2614" t="n"/>
      <c r="H69" s="2617" t="n"/>
      <c r="I69" s="511" t="inlineStr">
        <is>
          <t>GKi cÖwZ g~j¨</t>
        </is>
      </c>
      <c r="J69" s="2614" t="n"/>
      <c r="K69" s="2614" t="n"/>
      <c r="L69" s="2614" t="n"/>
      <c r="M69" s="2614" t="n"/>
      <c r="N69" s="2617" t="n"/>
      <c r="O69" s="2183" t="inlineStr">
        <is>
          <t>Rwgi g~j¨</t>
        </is>
      </c>
      <c r="P69" s="2614" t="n"/>
      <c r="Q69" s="2614" t="n"/>
      <c r="R69" s="2617" t="n"/>
      <c r="S69" s="511" t="inlineStr">
        <is>
          <t>c~e©vbygvb Kg©Pvix</t>
        </is>
      </c>
      <c r="T69" s="2614" t="n"/>
      <c r="U69" s="2614" t="n"/>
      <c r="V69" s="2614" t="n"/>
      <c r="W69" s="2614" t="n"/>
      <c r="X69" s="2617" t="n"/>
      <c r="Y69" s="511" t="inlineStr">
        <is>
          <t>e¨e¯’vcK</t>
        </is>
      </c>
      <c r="Z69" s="2614" t="n"/>
      <c r="AA69" s="2614" t="n"/>
      <c r="AB69" s="2614" t="n"/>
      <c r="AC69" s="2614" t="n"/>
      <c r="AD69" s="2614" t="n"/>
      <c r="AE69" s="2614" t="n"/>
      <c r="AF69" s="2617" t="n"/>
      <c r="AG69" s="716" t="inlineStr">
        <is>
          <t>AvÂwjK e¨e¯’vcK</t>
        </is>
      </c>
      <c r="AH69" s="2614" t="n"/>
      <c r="AI69" s="2614" t="n"/>
      <c r="AJ69" s="2614" t="n"/>
      <c r="AK69" s="2614" t="n"/>
      <c r="AL69" s="2614" t="n"/>
      <c r="AM69" s="2617" t="n"/>
      <c r="AN69" s="103" t="n"/>
      <c r="AO69" s="225" t="n"/>
      <c r="AP69" s="103" t="n"/>
      <c r="AQ69" s="103" t="n"/>
      <c r="AR69" s="103" t="n"/>
      <c r="AS69" s="103" t="n"/>
      <c r="AT69" s="103" t="n"/>
      <c r="AU69" s="103" t="n"/>
      <c r="AV69" s="103" t="n"/>
      <c r="AW69" s="103" t="n"/>
      <c r="AX69" s="103" t="n"/>
      <c r="AY69" s="225" t="n"/>
      <c r="AZ69" s="103" t="n"/>
      <c r="BA69" s="103" t="n"/>
      <c r="BB69" s="103" t="n"/>
      <c r="BC69" s="103" t="n"/>
      <c r="BD69" s="103" t="n"/>
      <c r="BE69" s="103" t="n"/>
      <c r="BF69" s="555" t="n"/>
      <c r="BG69" s="103" t="n"/>
      <c r="BH69" s="103" t="n"/>
      <c r="BI69" s="225" t="n"/>
      <c r="BJ69" s="103" t="n"/>
      <c r="BK69" s="103" t="n"/>
      <c r="BL69" s="103" t="n"/>
      <c r="BM69" s="103" t="n"/>
      <c r="BN69" s="103" t="n"/>
      <c r="BO69" s="103" t="n"/>
      <c r="BP69" s="103" t="n"/>
      <c r="BQ69" s="103" t="n"/>
      <c r="BR69" s="103" t="n"/>
      <c r="BS69" s="103" t="n"/>
      <c r="BT69" s="103" t="n"/>
      <c r="BU69" s="103" t="n"/>
      <c r="BV69" s="103" t="n"/>
      <c r="BW69" s="103" t="n"/>
      <c r="BX69" s="103" t="n"/>
      <c r="BY69" s="103" t="n"/>
      <c r="BZ69" s="103" t="n"/>
      <c r="CA69" s="103" t="n"/>
    </row>
    <row r="70" ht="21" customHeight="1">
      <c r="A70" s="1661" t="inlineStr">
        <is>
          <t>evwo</t>
        </is>
      </c>
      <c r="B70" s="2614" t="n"/>
      <c r="C70" s="2614" t="n"/>
      <c r="D70" s="2617" t="n"/>
      <c r="E70" s="853">
        <f>IF(+AD55="","",AD55)</f>
        <v/>
      </c>
      <c r="F70" s="2614" t="n"/>
      <c r="G70" s="2614" t="n"/>
      <c r="H70" s="2617" t="n"/>
      <c r="I70" s="513">
        <f>Valuation!K64*100*100000</f>
        <v/>
      </c>
      <c r="J70" s="2614" t="n"/>
      <c r="K70" s="2614" t="n"/>
      <c r="L70" s="2614" t="n"/>
      <c r="M70" s="2614" t="n"/>
      <c r="N70" s="2617" t="n"/>
      <c r="O70" s="2176">
        <f>Valuation!AF64</f>
        <v/>
      </c>
      <c r="P70" s="2614" t="n"/>
      <c r="Q70" s="2614" t="n"/>
      <c r="R70" s="2658" t="n"/>
      <c r="S70" s="2179">
        <f>O70</f>
        <v/>
      </c>
      <c r="T70" s="2614" t="n"/>
      <c r="U70" s="2614" t="n"/>
      <c r="V70" s="2614" t="n"/>
      <c r="W70" s="2614" t="n"/>
      <c r="X70" s="2617" t="n"/>
      <c r="Y70" s="1661">
        <f>+S70</f>
        <v/>
      </c>
      <c r="Z70" s="2614" t="n"/>
      <c r="AA70" s="2614" t="n"/>
      <c r="AB70" s="2614" t="n"/>
      <c r="AC70" s="2614" t="n"/>
      <c r="AD70" s="2614" t="n"/>
      <c r="AE70" s="2614" t="n"/>
      <c r="AF70" s="2617" t="n"/>
      <c r="AG70" s="2133" t="n"/>
      <c r="AH70" s="2614" t="n"/>
      <c r="AI70" s="2614" t="n"/>
      <c r="AJ70" s="2614" t="n"/>
      <c r="AK70" s="2614" t="n"/>
      <c r="AL70" s="2614" t="n"/>
      <c r="AM70" s="2617" t="n"/>
      <c r="AN70" s="64" t="n"/>
      <c r="AO70" s="136" t="n"/>
      <c r="AP70" s="64" t="n"/>
      <c r="AQ70" s="64" t="n"/>
      <c r="AR70" s="64" t="n"/>
      <c r="AS70" s="64" t="n"/>
      <c r="AT70" s="64" t="n"/>
      <c r="AU70" s="64" t="n"/>
      <c r="AV70" s="64" t="n"/>
      <c r="AW70" s="64" t="n"/>
      <c r="AX70" s="64" t="n"/>
      <c r="AY70" s="136" t="n"/>
      <c r="AZ70" s="64" t="n"/>
      <c r="BA70" s="64" t="n"/>
      <c r="BB70" s="64" t="n"/>
      <c r="BC70" s="64" t="n"/>
      <c r="BD70" s="64" t="n"/>
      <c r="BE70" s="64" t="n"/>
      <c r="BF70" s="308" t="n"/>
      <c r="BG70" s="64" t="n"/>
      <c r="BH70" s="64" t="n"/>
      <c r="BI70" s="136" t="n"/>
      <c r="BJ70" s="64" t="n"/>
      <c r="BK70" s="64" t="n"/>
      <c r="BL70" s="64" t="n"/>
      <c r="BM70" s="64" t="n"/>
      <c r="BN70" s="64" t="n"/>
      <c r="BO70" s="64" t="n"/>
      <c r="BP70" s="64" t="n"/>
      <c r="BQ70" s="64" t="n"/>
      <c r="BR70" s="64" t="n"/>
      <c r="BS70" s="64" t="n"/>
      <c r="BT70" s="64" t="n"/>
      <c r="BU70" s="64" t="n"/>
      <c r="BV70" s="64" t="n"/>
      <c r="BW70" s="64" t="n"/>
      <c r="BX70" s="64" t="n"/>
      <c r="BY70" s="64" t="n"/>
      <c r="BZ70" s="64" t="n"/>
      <c r="CA70" s="64" t="n"/>
    </row>
    <row r="71" ht="17.25" customHeight="1">
      <c r="A71" s="2180" t="n"/>
      <c r="G71" s="2045" t="n"/>
      <c r="K71" s="2045" t="n"/>
      <c r="S71" s="2158" t="n"/>
      <c r="Y71" s="2045" t="n"/>
      <c r="AG71" s="2045" t="n"/>
      <c r="AM71" s="1964" t="inlineStr">
        <is>
          <t>4L</t>
        </is>
      </c>
      <c r="AN71" s="64" t="n"/>
      <c r="AO71" s="136" t="n"/>
      <c r="AP71" s="64" t="n"/>
      <c r="AQ71" s="64" t="n"/>
      <c r="AR71" s="64" t="n"/>
      <c r="AS71" s="64" t="n"/>
      <c r="AT71" s="64" t="n"/>
      <c r="AU71" s="64" t="n"/>
      <c r="AV71" s="64" t="n"/>
      <c r="AW71" s="64" t="n"/>
      <c r="AX71" s="64" t="n"/>
      <c r="AY71" s="136" t="n"/>
      <c r="AZ71" s="64" t="n"/>
      <c r="BA71" s="64" t="n"/>
      <c r="BB71" s="64" t="n"/>
      <c r="BC71" s="64" t="n"/>
      <c r="BD71" s="64" t="n"/>
      <c r="BE71" s="64" t="n"/>
      <c r="BF71" s="308" t="n"/>
      <c r="BG71" s="64" t="n"/>
      <c r="BH71" s="64" t="n"/>
      <c r="BI71" s="136" t="n"/>
      <c r="BJ71" s="64" t="n"/>
      <c r="BK71" s="64" t="n"/>
      <c r="BL71" s="64" t="n"/>
      <c r="BM71" s="64" t="n"/>
      <c r="BN71" s="64" t="n"/>
      <c r="BO71" s="64" t="n"/>
      <c r="BP71" s="64" t="n"/>
      <c r="BQ71" s="64" t="n"/>
      <c r="BR71" s="64" t="n"/>
      <c r="BS71" s="64" t="n"/>
      <c r="BT71" s="64" t="n"/>
      <c r="BU71" s="64" t="n"/>
      <c r="BV71" s="64" t="n"/>
      <c r="BW71" s="64" t="n"/>
      <c r="BX71" s="64" t="n"/>
      <c r="BY71" s="64" t="n"/>
      <c r="BZ71" s="64" t="n"/>
      <c r="CA71" s="64" t="n"/>
    </row>
    <row r="72" ht="16.5" customHeight="1">
      <c r="A72" s="135" t="n"/>
      <c r="B72" s="1964" t="inlineStr">
        <is>
          <t>M)</t>
        </is>
      </c>
      <c r="C72" s="169" t="inlineStr">
        <is>
          <t>BgviZ</t>
        </is>
      </c>
      <c r="AN72" s="64" t="n"/>
      <c r="AO72" s="136" t="n"/>
      <c r="AP72" s="64" t="n"/>
      <c r="AQ72" s="64" t="n"/>
      <c r="AR72" s="64" t="n"/>
      <c r="AS72" s="64" t="n"/>
      <c r="AT72" s="64" t="n"/>
      <c r="AU72" s="64" t="n"/>
      <c r="AV72" s="64" t="n"/>
      <c r="AW72" s="64" t="n"/>
      <c r="AX72" s="64" t="n"/>
      <c r="AY72" s="136" t="n"/>
      <c r="AZ72" s="64" t="n"/>
      <c r="BA72" s="64" t="n"/>
      <c r="BB72" s="64" t="n"/>
      <c r="BC72" s="64" t="n"/>
      <c r="BD72" s="64" t="n"/>
      <c r="BE72" s="64" t="n"/>
      <c r="BF72" s="308" t="n"/>
      <c r="BG72" s="64" t="n"/>
      <c r="BH72" s="64" t="n"/>
      <c r="BI72" s="136" t="n"/>
      <c r="BJ72" s="64" t="n"/>
      <c r="BK72" s="64" t="n"/>
      <c r="BL72" s="64" t="n"/>
      <c r="BM72" s="64" t="n"/>
      <c r="BN72" s="64" t="n"/>
      <c r="BO72" s="64" t="n"/>
      <c r="BP72" s="64" t="n"/>
      <c r="BQ72" s="64" t="n"/>
      <c r="BR72" s="64" t="n"/>
      <c r="BS72" s="64" t="n"/>
      <c r="BT72" s="64" t="n"/>
      <c r="BU72" s="64" t="n"/>
      <c r="BV72" s="64" t="n"/>
      <c r="BW72" s="64" t="n"/>
      <c r="BX72" s="64" t="n"/>
      <c r="BY72" s="64" t="n"/>
      <c r="BZ72" s="64" t="n"/>
      <c r="CA72" s="64" t="n"/>
    </row>
    <row r="73" ht="20.25" customHeight="1">
      <c r="A73" s="135" t="n"/>
      <c r="B73" s="1964" t="inlineStr">
        <is>
          <t xml:space="preserve">Ae¯’vb t </t>
        </is>
      </c>
      <c r="C73" s="1964" t="n"/>
      <c r="D73" s="1964" t="n"/>
      <c r="E73" s="303" t="n"/>
      <c r="V73" s="1964" t="inlineStr">
        <is>
          <t>wbg©vY eQi t</t>
        </is>
      </c>
      <c r="W73" s="1964" t="n"/>
      <c r="X73" s="1964" t="n"/>
      <c r="Y73" s="135" t="n"/>
      <c r="Z73" s="1846" t="n"/>
      <c r="AA73" s="2613" t="n"/>
      <c r="AB73" s="2613" t="n"/>
      <c r="AC73" s="2613" t="n"/>
      <c r="AD73" s="2613" t="n"/>
      <c r="AE73" s="2613" t="n"/>
      <c r="AF73" s="2613" t="n"/>
      <c r="AG73" s="2613" t="n"/>
      <c r="AH73" s="2613" t="n"/>
      <c r="AI73" s="2613" t="n"/>
      <c r="AJ73" s="2613" t="n"/>
      <c r="AK73" s="2613" t="n"/>
      <c r="AL73" s="2613" t="n"/>
      <c r="AM73" s="2613" t="n"/>
      <c r="AN73" s="64" t="n"/>
      <c r="AO73" s="136" t="n"/>
      <c r="AP73" s="64" t="n"/>
      <c r="AQ73" s="64" t="n"/>
      <c r="AR73" s="64" t="n"/>
      <c r="AS73" s="64" t="n"/>
      <c r="AT73" s="64" t="n"/>
      <c r="AU73" s="64" t="n"/>
      <c r="AV73" s="64" t="n"/>
      <c r="AW73" s="64" t="n"/>
      <c r="AX73" s="64" t="n"/>
      <c r="AY73" s="136" t="n"/>
      <c r="AZ73" s="64" t="n"/>
      <c r="BA73" s="64" t="n"/>
      <c r="BB73" s="64" t="n"/>
      <c r="BC73" s="64" t="n"/>
      <c r="BD73" s="64" t="n"/>
      <c r="BE73" s="64" t="n"/>
      <c r="BF73" s="308" t="n"/>
      <c r="BG73" s="64" t="n"/>
      <c r="BH73" s="64" t="n"/>
      <c r="BI73" s="136" t="n"/>
      <c r="BJ73" s="64" t="n"/>
      <c r="BK73" s="64" t="n"/>
      <c r="BL73" s="64" t="n"/>
      <c r="BM73" s="64" t="n"/>
      <c r="BN73" s="64" t="n"/>
      <c r="BO73" s="64" t="n"/>
      <c r="BP73" s="64" t="n"/>
      <c r="BQ73" s="64" t="n"/>
      <c r="BR73" s="64" t="n"/>
      <c r="BS73" s="64" t="n"/>
      <c r="BT73" s="64" t="n"/>
      <c r="BU73" s="64" t="n"/>
      <c r="BV73" s="64" t="n"/>
      <c r="BW73" s="64" t="n"/>
      <c r="BX73" s="64" t="n"/>
      <c r="BY73" s="64" t="n"/>
      <c r="BZ73" s="64" t="n"/>
      <c r="CA73" s="64" t="n"/>
    </row>
    <row r="74" ht="33" customFormat="1" customHeight="1" s="18">
      <c r="A74" s="511" t="inlineStr">
        <is>
          <t>Bgvi‡Zi cÖKvi</t>
        </is>
      </c>
      <c r="B74" s="2614" t="n"/>
      <c r="C74" s="2614" t="n"/>
      <c r="D74" s="2614" t="n"/>
      <c r="E74" s="2617" t="n"/>
      <c r="F74" s="716" t="inlineStr">
        <is>
          <t>wbg©v‡Yi cÖKvi</t>
        </is>
      </c>
      <c r="G74" s="2614" t="n"/>
      <c r="H74" s="2614" t="n"/>
      <c r="I74" s="2617" t="n"/>
      <c r="J74" s="35" t="inlineStr">
        <is>
          <t>‡gvU AvIZvaxb RvqMv</t>
        </is>
      </c>
      <c r="K74" s="2614" t="n"/>
      <c r="L74" s="2614" t="n"/>
      <c r="M74" s="2614" t="n"/>
      <c r="N74" s="2617" t="n"/>
      <c r="O74" s="2183" t="inlineStr">
        <is>
          <t>nvi cÖwZ eM©dzU</t>
        </is>
      </c>
      <c r="P74" s="2614" t="n"/>
      <c r="Q74" s="2614" t="n"/>
      <c r="R74" s="2617" t="n"/>
      <c r="S74" s="511" t="inlineStr">
        <is>
          <t>Bgvi‡Zi ¯’zj g~j¨</t>
        </is>
      </c>
      <c r="T74" s="2614" t="n"/>
      <c r="U74" s="2614" t="n"/>
      <c r="V74" s="2614" t="n"/>
      <c r="W74" s="2617" t="n"/>
      <c r="X74" s="716" t="inlineStr">
        <is>
          <t>AePq</t>
        </is>
      </c>
      <c r="Y74" s="2614" t="n"/>
      <c r="Z74" s="2614" t="n"/>
      <c r="AA74" s="2617" t="n"/>
      <c r="AB74" s="716" t="inlineStr">
        <is>
          <t>Bgvi‡Zi bxU g~j¨</t>
        </is>
      </c>
      <c r="AC74" s="2614" t="n"/>
      <c r="AD74" s="2614" t="n"/>
      <c r="AE74" s="2614" t="n"/>
      <c r="AF74" s="2614" t="n"/>
      <c r="AG74" s="2614" t="n"/>
      <c r="AH74" s="2617" t="n"/>
      <c r="AI74" s="511" t="inlineStr">
        <is>
          <t>hvnvi Øviv ¯^xK…Z</t>
        </is>
      </c>
      <c r="AJ74" s="2614" t="n"/>
      <c r="AK74" s="2614" t="n"/>
      <c r="AL74" s="2614" t="n"/>
      <c r="AM74" s="2617" t="n"/>
      <c r="AN74" s="103" t="n"/>
      <c r="AO74" s="225" t="n"/>
      <c r="AP74" s="103" t="n"/>
      <c r="AQ74" s="103" t="n"/>
      <c r="AR74" s="103" t="n"/>
      <c r="AS74" s="103" t="n"/>
      <c r="AT74" s="103" t="n"/>
      <c r="AU74" s="103" t="n"/>
      <c r="AV74" s="103" t="n"/>
      <c r="AW74" s="103" t="n"/>
      <c r="AX74" s="103" t="n"/>
      <c r="AY74" s="225" t="n"/>
      <c r="AZ74" s="103" t="n"/>
      <c r="BA74" s="103" t="n"/>
      <c r="BB74" s="103" t="n"/>
      <c r="BC74" s="103" t="n"/>
      <c r="BD74" s="103" t="n"/>
      <c r="BE74" s="103" t="n"/>
      <c r="BF74" s="555" t="n"/>
      <c r="BG74" s="103" t="n"/>
      <c r="BH74" s="103" t="n"/>
      <c r="BI74" s="225" t="n"/>
      <c r="BJ74" s="103" t="n"/>
      <c r="BK74" s="103" t="n"/>
      <c r="BL74" s="103" t="n"/>
      <c r="BM74" s="103" t="n"/>
      <c r="BN74" s="103" t="n"/>
      <c r="BO74" s="103" t="n"/>
      <c r="BP74" s="103" t="n"/>
      <c r="BQ74" s="103" t="n"/>
      <c r="BR74" s="103" t="n"/>
      <c r="BS74" s="103" t="n"/>
      <c r="BT74" s="103" t="n"/>
      <c r="BU74" s="103" t="n"/>
      <c r="BV74" s="103" t="n"/>
      <c r="BW74" s="103" t="n"/>
      <c r="BX74" s="103" t="n"/>
      <c r="BY74" s="103" t="n"/>
      <c r="BZ74" s="103" t="n"/>
      <c r="CA74" s="103" t="n"/>
    </row>
    <row r="75" ht="17.25" customHeight="1">
      <c r="A75" s="2185" t="n"/>
      <c r="B75" s="2614" t="n"/>
      <c r="C75" s="2614" t="n"/>
      <c r="D75" s="2614" t="n"/>
      <c r="E75" s="2617" t="n"/>
      <c r="F75" s="2074" t="n"/>
      <c r="G75" s="2614" t="n"/>
      <c r="H75" s="2614" t="n"/>
      <c r="I75" s="2617" t="n"/>
      <c r="J75" s="2133" t="n"/>
      <c r="K75" s="2614" t="n"/>
      <c r="L75" s="2614" t="n"/>
      <c r="M75" s="2614" t="n"/>
      <c r="N75" s="2617" t="n"/>
      <c r="O75" s="2188" t="n"/>
      <c r="P75" s="2614" t="n"/>
      <c r="Q75" s="2614" t="n"/>
      <c r="R75" s="2617" t="n"/>
      <c r="S75" s="1661" t="n"/>
      <c r="T75" s="2614" t="n"/>
      <c r="U75" s="2614" t="n"/>
      <c r="V75" s="2614" t="n"/>
      <c r="W75" s="2617" t="n"/>
      <c r="X75" s="2133" t="n"/>
      <c r="Y75" s="2614" t="n"/>
      <c r="Z75" s="2614" t="n"/>
      <c r="AA75" s="2617" t="n"/>
      <c r="AB75" s="2133" t="n"/>
      <c r="AC75" s="2614" t="n"/>
      <c r="AD75" s="2614" t="n"/>
      <c r="AE75" s="2614" t="n"/>
      <c r="AF75" s="2614" t="n"/>
      <c r="AG75" s="2614" t="n"/>
      <c r="AH75" s="2617" t="n"/>
      <c r="AI75" s="1661" t="n"/>
      <c r="AJ75" s="2614" t="n"/>
      <c r="AK75" s="2614" t="n"/>
      <c r="AL75" s="2614" t="n"/>
      <c r="AM75" s="2617" t="n"/>
      <c r="AN75" s="64" t="n"/>
      <c r="AO75" s="136" t="n"/>
      <c r="AP75" s="64" t="n"/>
      <c r="AQ75" s="64" t="n"/>
      <c r="AR75" s="64" t="n"/>
      <c r="AS75" s="64" t="n"/>
      <c r="AT75" s="64" t="n"/>
      <c r="AU75" s="64" t="n"/>
      <c r="AV75" s="64" t="n"/>
      <c r="AW75" s="64" t="n"/>
      <c r="AX75" s="64" t="n"/>
      <c r="AY75" s="136" t="n"/>
      <c r="AZ75" s="64" t="n"/>
      <c r="BA75" s="64" t="n"/>
      <c r="BB75" s="64" t="n"/>
      <c r="BC75" s="64" t="n"/>
      <c r="BD75" s="64" t="n"/>
      <c r="BE75" s="64" t="n"/>
      <c r="BF75" s="308" t="n"/>
      <c r="BG75" s="64" t="n"/>
      <c r="BH75" s="64" t="n"/>
      <c r="BI75" s="136" t="n"/>
      <c r="BJ75" s="64" t="n"/>
      <c r="BK75" s="64" t="n"/>
      <c r="BL75" s="64" t="n"/>
      <c r="BM75" s="64" t="n"/>
      <c r="BN75" s="64" t="n"/>
      <c r="BO75" s="64" t="n"/>
      <c r="BP75" s="64" t="n"/>
      <c r="BQ75" s="64" t="n"/>
      <c r="BR75" s="64" t="n"/>
      <c r="BS75" s="64" t="n"/>
      <c r="BT75" s="64" t="n"/>
      <c r="BU75" s="64" t="n"/>
      <c r="BV75" s="64" t="n"/>
      <c r="BW75" s="64" t="n"/>
      <c r="BX75" s="64" t="n"/>
      <c r="BY75" s="64" t="n"/>
      <c r="BZ75" s="64" t="n"/>
      <c r="CA75" s="64" t="n"/>
    </row>
    <row r="76" ht="12.75" customHeight="1">
      <c r="A76" s="135" t="n"/>
      <c r="B76" s="1964" t="n"/>
      <c r="C76" s="1964" t="n"/>
      <c r="D76" s="1964" t="n"/>
      <c r="E76" s="303" t="n"/>
      <c r="F76" s="1964" t="n"/>
      <c r="G76" s="1965" t="n"/>
      <c r="H76" s="136" t="n"/>
      <c r="I76" s="135" t="n"/>
      <c r="J76" s="1964" t="n"/>
      <c r="K76" s="135" t="n"/>
      <c r="L76" s="1964" t="n"/>
      <c r="M76" s="135" t="n"/>
      <c r="N76" s="1964" t="n"/>
      <c r="O76" s="467" t="n"/>
      <c r="P76" s="88" t="n"/>
      <c r="Q76" s="135" t="n"/>
      <c r="R76" s="88" t="n"/>
      <c r="S76" s="135" t="n"/>
      <c r="T76" s="135" t="n"/>
      <c r="U76" s="1964" t="n"/>
      <c r="V76" s="1964" t="n"/>
      <c r="W76" s="1964" t="n"/>
      <c r="X76" s="1964" t="n"/>
      <c r="Y76" s="135" t="n"/>
      <c r="Z76" s="1964" t="n"/>
      <c r="AA76" s="1964" t="n"/>
      <c r="AB76" s="1964" t="n"/>
      <c r="AC76" s="1964" t="n"/>
      <c r="AD76" s="135" t="n"/>
      <c r="AE76" s="1964" t="n"/>
      <c r="AF76" s="1964" t="n"/>
      <c r="AG76" s="64" t="n"/>
      <c r="AH76" s="64" t="n"/>
      <c r="AI76" s="136" t="n"/>
      <c r="AJ76" s="64" t="n"/>
      <c r="AK76" s="64" t="n"/>
      <c r="AL76" s="64" t="n"/>
      <c r="AM76" s="1964" t="inlineStr">
        <is>
          <t>4M</t>
        </is>
      </c>
      <c r="AN76" s="64" t="n"/>
      <c r="AO76" s="136" t="n"/>
      <c r="AP76" s="64" t="n"/>
      <c r="AQ76" s="64" t="n"/>
      <c r="AR76" s="64" t="n"/>
      <c r="AS76" s="64" t="n"/>
      <c r="AT76" s="64" t="n"/>
      <c r="AU76" s="64" t="n"/>
      <c r="AV76" s="64" t="n"/>
      <c r="AW76" s="64" t="n"/>
      <c r="AX76" s="64" t="n"/>
      <c r="AY76" s="136" t="n"/>
      <c r="AZ76" s="64" t="n"/>
      <c r="BA76" s="64" t="n"/>
      <c r="BB76" s="64" t="n"/>
      <c r="BC76" s="64" t="n"/>
      <c r="BD76" s="64" t="n"/>
      <c r="BE76" s="64" t="n"/>
      <c r="BF76" s="308" t="n"/>
      <c r="BG76" s="64" t="n"/>
      <c r="BH76" s="64" t="n"/>
      <c r="BI76" s="136" t="n"/>
      <c r="BJ76" s="64" t="n"/>
      <c r="BK76" s="64" t="n"/>
      <c r="BL76" s="64" t="n"/>
      <c r="BM76" s="64" t="n"/>
      <c r="BN76" s="64" t="n"/>
      <c r="BO76" s="64" t="n"/>
      <c r="BP76" s="64" t="n"/>
      <c r="BQ76" s="64" t="n"/>
      <c r="BR76" s="64" t="n"/>
      <c r="BS76" s="64" t="n"/>
      <c r="BT76" s="64" t="n"/>
      <c r="BU76" s="64" t="n"/>
      <c r="BV76" s="64" t="n"/>
      <c r="BW76" s="64" t="n"/>
      <c r="BX76" s="64" t="n"/>
      <c r="BY76" s="64" t="n"/>
      <c r="BZ76" s="64" t="n"/>
      <c r="CA76" s="64" t="n"/>
    </row>
    <row r="77" ht="20.25" customHeight="1">
      <c r="A77" s="132" t="inlineStr">
        <is>
          <t>5)</t>
        </is>
      </c>
      <c r="B77" s="666" t="inlineStr">
        <is>
          <t>m‡e©v”P FY mxgvt</t>
        </is>
      </c>
      <c r="AN77" s="64" t="n"/>
      <c r="AO77" s="136" t="n"/>
      <c r="AP77" s="64" t="n"/>
      <c r="AQ77" s="64" t="n"/>
      <c r="AR77" s="64" t="n"/>
      <c r="AS77" s="64" t="n"/>
      <c r="AT77" s="64" t="n"/>
      <c r="AU77" s="64" t="n"/>
      <c r="AV77" s="64" t="n"/>
      <c r="AW77" s="64" t="n"/>
      <c r="AX77" s="64" t="n"/>
      <c r="AY77" s="136" t="n"/>
      <c r="AZ77" s="64" t="n"/>
      <c r="BA77" s="64" t="n"/>
      <c r="BB77" s="64" t="n"/>
      <c r="BC77" s="64" t="n"/>
      <c r="BD77" s="64" t="n"/>
      <c r="BE77" s="64" t="n"/>
      <c r="BF77" s="308" t="n"/>
      <c r="BG77" s="64" t="n"/>
      <c r="BH77" s="64" t="n"/>
      <c r="BI77" s="136" t="n"/>
      <c r="BJ77" s="64" t="n"/>
      <c r="BK77" s="64" t="n"/>
      <c r="BL77" s="64" t="n"/>
      <c r="BM77" s="64" t="n"/>
      <c r="BN77" s="64" t="n"/>
      <c r="BO77" s="64" t="n"/>
      <c r="BP77" s="64" t="n"/>
      <c r="BQ77" s="64" t="n"/>
      <c r="BR77" s="64" t="n"/>
      <c r="BS77" s="64" t="n"/>
      <c r="BT77" s="64" t="n"/>
      <c r="BU77" s="64" t="n"/>
      <c r="BV77" s="64" t="n"/>
      <c r="BW77" s="64" t="n"/>
      <c r="BX77" s="64" t="n"/>
      <c r="BY77" s="64" t="n"/>
      <c r="BZ77" s="64" t="n"/>
      <c r="CA77" s="64" t="n"/>
    </row>
    <row r="78" ht="18" customFormat="1" customHeight="1" s="18">
      <c r="A78" s="224">
        <f>+A57</f>
        <v/>
      </c>
      <c r="AN78" s="103" t="n"/>
      <c r="AO78" s="225" t="n"/>
      <c r="AP78" s="103" t="n"/>
      <c r="AQ78" s="103" t="n"/>
      <c r="AR78" s="103" t="n"/>
      <c r="AS78" s="103" t="n"/>
      <c r="AT78" s="103" t="n"/>
      <c r="AU78" s="103" t="n"/>
      <c r="AV78" s="103" t="n"/>
      <c r="AW78" s="103" t="n"/>
      <c r="AX78" s="103" t="n"/>
      <c r="AY78" s="225" t="n"/>
      <c r="AZ78" s="103" t="n"/>
      <c r="BA78" s="103" t="n"/>
      <c r="BB78" s="103" t="n"/>
      <c r="BC78" s="103" t="n"/>
      <c r="BD78" s="103" t="n"/>
      <c r="BE78" s="103" t="n"/>
      <c r="BF78" s="555" t="n"/>
      <c r="BG78" s="103" t="n"/>
      <c r="BH78" s="103" t="n"/>
      <c r="BI78" s="225" t="n"/>
      <c r="BJ78" s="103" t="n"/>
      <c r="BK78" s="103" t="n"/>
      <c r="BL78" s="103" t="n"/>
      <c r="BM78" s="103" t="n"/>
      <c r="BN78" s="103" t="n"/>
      <c r="BO78" s="103" t="n"/>
      <c r="BP78" s="103" t="n"/>
      <c r="BQ78" s="103" t="n"/>
      <c r="BR78" s="103" t="n"/>
      <c r="BS78" s="103" t="n"/>
      <c r="BT78" s="103" t="n"/>
      <c r="BU78" s="103" t="n"/>
      <c r="BV78" s="103" t="n"/>
      <c r="BW78" s="103" t="n"/>
      <c r="BX78" s="103" t="n"/>
      <c r="BY78" s="103" t="n"/>
      <c r="BZ78" s="103" t="n"/>
      <c r="CA78" s="103" t="n"/>
    </row>
    <row r="79" ht="14.25" customFormat="1" customHeight="1" s="18">
      <c r="A79" s="2027">
        <f>+A58</f>
        <v/>
      </c>
      <c r="B79" s="2613" t="n"/>
      <c r="C79" s="2613" t="n"/>
      <c r="D79" s="2613" t="n"/>
      <c r="E79" s="2613" t="n"/>
      <c r="F79" s="2613" t="n"/>
      <c r="G79" s="2613" t="n"/>
      <c r="H79" s="2613" t="n"/>
      <c r="I79" s="2613" t="n"/>
      <c r="J79" s="2613" t="n"/>
      <c r="K79" s="2613" t="n"/>
      <c r="L79" s="2613" t="n"/>
      <c r="M79" s="2613" t="n"/>
      <c r="N79" s="2613" t="n"/>
      <c r="O79" s="2613" t="n"/>
      <c r="P79" s="2613" t="n"/>
      <c r="Q79" s="2613" t="n"/>
      <c r="R79" s="2613" t="n"/>
      <c r="S79" s="2613" t="n"/>
      <c r="T79" s="2613" t="n"/>
      <c r="U79" s="2613" t="n"/>
      <c r="V79" s="2613" t="n"/>
      <c r="W79" s="2613" t="n"/>
      <c r="X79" s="2613" t="n"/>
      <c r="Y79" s="2613" t="n"/>
      <c r="Z79" s="2613" t="n"/>
      <c r="AA79" s="2613" t="n"/>
      <c r="AB79" s="2613" t="n"/>
      <c r="AC79" s="2613" t="n"/>
      <c r="AD79" s="2613" t="n"/>
      <c r="AE79" s="2613" t="n"/>
      <c r="AF79" s="2613" t="n"/>
      <c r="AG79" s="2613" t="n"/>
      <c r="AH79" s="2613" t="n"/>
      <c r="AI79" s="2613" t="n"/>
      <c r="AJ79" s="2613" t="n"/>
      <c r="AK79" s="2613" t="n"/>
      <c r="AL79" s="2613" t="n"/>
      <c r="AM79" s="2613" t="n"/>
      <c r="AN79" s="103" t="n"/>
      <c r="AO79" s="225" t="n"/>
      <c r="AP79" s="103" t="n"/>
      <c r="AQ79" s="103" t="n"/>
      <c r="AR79" s="103" t="n"/>
      <c r="AS79" s="103" t="n"/>
      <c r="AT79" s="103" t="n"/>
      <c r="AU79" s="103" t="n"/>
      <c r="AV79" s="103" t="n"/>
      <c r="AW79" s="103" t="n"/>
      <c r="AX79" s="103" t="n"/>
      <c r="AY79" s="225" t="n"/>
      <c r="AZ79" s="103" t="n"/>
      <c r="BA79" s="103" t="n"/>
      <c r="BB79" s="103" t="n"/>
      <c r="BC79" s="103" t="n"/>
      <c r="BD79" s="103" t="n"/>
      <c r="BE79" s="103" t="n"/>
      <c r="BF79" s="555" t="n"/>
      <c r="BG79" s="103" t="n"/>
      <c r="BH79" s="103" t="n"/>
      <c r="BI79" s="225" t="n"/>
      <c r="BJ79" s="103" t="n"/>
      <c r="BK79" s="103" t="n"/>
      <c r="BL79" s="103" t="n"/>
      <c r="BM79" s="103" t="n"/>
      <c r="BN79" s="103" t="n"/>
      <c r="BO79" s="103" t="n"/>
      <c r="BP79" s="103" t="n"/>
      <c r="BQ79" s="103" t="n"/>
      <c r="BR79" s="103" t="n"/>
      <c r="BS79" s="103" t="n"/>
      <c r="BT79" s="103" t="n"/>
      <c r="BU79" s="103" t="n"/>
      <c r="BV79" s="103" t="n"/>
      <c r="BW79" s="103" t="n"/>
      <c r="BX79" s="103" t="n"/>
      <c r="BY79" s="103" t="n"/>
      <c r="BZ79" s="103" t="n"/>
      <c r="CA79" s="103" t="n"/>
    </row>
    <row r="80" ht="30.75" customHeight="1">
      <c r="A80" s="2064" t="inlineStr">
        <is>
          <t>mxgv</t>
        </is>
      </c>
      <c r="B80" s="2614" t="n"/>
      <c r="C80" s="2614" t="n"/>
      <c r="D80" s="2614" t="n"/>
      <c r="E80" s="2614" t="n"/>
      <c r="F80" s="2614" t="n"/>
      <c r="G80" s="2614" t="n"/>
      <c r="H80" s="2617" t="n"/>
      <c r="I80" s="2064" t="inlineStr">
        <is>
          <t>K…wl Rwg</t>
        </is>
      </c>
      <c r="J80" s="2614" t="n"/>
      <c r="K80" s="2614" t="n"/>
      <c r="L80" s="2614" t="n"/>
      <c r="M80" s="2614" t="n"/>
      <c r="N80" s="2614" t="n"/>
      <c r="O80" s="2614" t="n"/>
      <c r="P80" s="2614" t="n"/>
      <c r="Q80" s="2617" t="n"/>
      <c r="R80" s="2192" t="n"/>
      <c r="S80" s="2617" t="n"/>
      <c r="T80" s="2194" t="inlineStr">
        <is>
          <t>‡cŠi/AvevwmK Rwg</t>
        </is>
      </c>
      <c r="U80" s="2614" t="n"/>
      <c r="V80" s="2614" t="n"/>
      <c r="W80" s="2658" t="n"/>
      <c r="X80" s="2065" t="inlineStr">
        <is>
          <t>BgviZ</t>
        </is>
      </c>
      <c r="Y80" s="2614" t="n"/>
      <c r="Z80" s="2614" t="n"/>
      <c r="AA80" s="2614" t="n"/>
      <c r="AB80" s="2614" t="n"/>
      <c r="AC80" s="2614" t="n"/>
      <c r="AD80" s="2614" t="n"/>
      <c r="AE80" s="2614" t="n"/>
      <c r="AF80" s="2617" t="n"/>
      <c r="AG80" s="2196" t="inlineStr">
        <is>
          <t>‡gvU FY mxgv gbÍe¨ (4K+4L+4M)</t>
        </is>
      </c>
      <c r="AH80" s="2614" t="n"/>
      <c r="AI80" s="2614" t="n"/>
      <c r="AJ80" s="2614" t="n"/>
      <c r="AK80" s="2614" t="n"/>
      <c r="AL80" s="2614" t="n"/>
      <c r="AM80" s="2617" t="n"/>
      <c r="AN80" s="64" t="n"/>
      <c r="AO80" s="136" t="n"/>
      <c r="AP80" s="64" t="n"/>
      <c r="AQ80" s="64" t="n"/>
      <c r="AR80" s="64" t="n"/>
      <c r="AS80" s="64" t="n"/>
      <c r="AT80" s="64" t="n"/>
      <c r="AU80" s="64" t="n"/>
      <c r="AV80" s="64" t="n"/>
      <c r="AW80" s="64" t="n"/>
      <c r="AX80" s="64" t="n"/>
      <c r="AY80" s="136" t="n"/>
      <c r="AZ80" s="64" t="n"/>
      <c r="BA80" s="64" t="n"/>
      <c r="BB80" s="64" t="n"/>
      <c r="BC80" s="64" t="n"/>
      <c r="BD80" s="64" t="n"/>
      <c r="BE80" s="64" t="n"/>
      <c r="BF80" s="308" t="n"/>
      <c r="BG80" s="64" t="n"/>
      <c r="BH80" s="64" t="n"/>
      <c r="BI80" s="136" t="n"/>
      <c r="BJ80" s="64" t="n"/>
      <c r="BK80" s="64" t="n"/>
      <c r="BL80" s="64" t="n"/>
      <c r="BM80" s="64" t="n"/>
      <c r="BN80" s="64" t="n"/>
      <c r="BO80" s="64" t="n"/>
      <c r="BP80" s="64" t="n"/>
      <c r="BQ80" s="64" t="n"/>
      <c r="BR80" s="64" t="n"/>
      <c r="BS80" s="64" t="n"/>
      <c r="BT80" s="64" t="n"/>
      <c r="BU80" s="64" t="n"/>
      <c r="BV80" s="64" t="n"/>
      <c r="BW80" s="64" t="n"/>
      <c r="BX80" s="64" t="n"/>
      <c r="BY80" s="64" t="n"/>
      <c r="BZ80" s="64" t="n"/>
      <c r="CA80" s="64" t="n"/>
    </row>
    <row r="81" ht="25.5" customHeight="1">
      <c r="A81" s="1059" t="inlineStr">
        <is>
          <t>75% nv‡i (GKK gvwjKvbvq)</t>
        </is>
      </c>
      <c r="B81" s="2614" t="n"/>
      <c r="C81" s="2614" t="n"/>
      <c r="D81" s="2614" t="n"/>
      <c r="E81" s="2614" t="n"/>
      <c r="F81" s="2614" t="n"/>
      <c r="G81" s="2614" t="n"/>
      <c r="H81" s="2617" t="n"/>
      <c r="I81" s="2073" t="inlineStr">
        <is>
          <t>UvKvt</t>
        </is>
      </c>
      <c r="J81" s="2617" t="n"/>
      <c r="K81" s="2179">
        <f>ROUNDDOWN(+Q65*0.75,-2)</f>
        <v/>
      </c>
      <c r="L81" s="2614" t="n"/>
      <c r="M81" s="2614" t="n"/>
      <c r="N81" s="2614" t="n"/>
      <c r="O81" s="2614" t="n"/>
      <c r="P81" s="2614" t="n"/>
      <c r="Q81" s="2617" t="n"/>
      <c r="R81" s="2198" t="inlineStr">
        <is>
          <t>UvKvt</t>
        </is>
      </c>
      <c r="S81" s="2617" t="n"/>
      <c r="T81" s="1074">
        <f>S70*75%</f>
        <v/>
      </c>
      <c r="U81" s="2614" t="n"/>
      <c r="V81" s="2614" t="n"/>
      <c r="W81" s="2617" t="n"/>
      <c r="X81" s="2074" t="inlineStr">
        <is>
          <t>UvKvt</t>
        </is>
      </c>
      <c r="Y81" s="2617" t="n"/>
      <c r="Z81" s="2179" t="n"/>
      <c r="AA81" s="2614" t="n"/>
      <c r="AB81" s="2614" t="n"/>
      <c r="AC81" s="2614" t="n"/>
      <c r="AD81" s="2614" t="n"/>
      <c r="AE81" s="2614" t="n"/>
      <c r="AF81" s="2617" t="n"/>
      <c r="AG81" s="2074" t="inlineStr">
        <is>
          <t>UvKvt</t>
        </is>
      </c>
      <c r="AH81" s="2617" t="n"/>
      <c r="AI81" s="1661">
        <f>IFERROR(+K81+T81+Z81,0)</f>
        <v/>
      </c>
      <c r="AJ81" s="2614" t="n"/>
      <c r="AK81" s="2614" t="n"/>
      <c r="AL81" s="2614" t="n"/>
      <c r="AM81" s="2617" t="n"/>
      <c r="AN81" s="64" t="n"/>
      <c r="AO81" s="136" t="n"/>
      <c r="AP81" s="64" t="n"/>
      <c r="AQ81" s="64" t="n"/>
      <c r="AR81" s="64" t="n"/>
      <c r="AS81" s="64" t="n"/>
      <c r="AT81" s="64" t="n"/>
      <c r="AU81" s="64" t="n"/>
      <c r="AV81" s="64" t="n"/>
      <c r="AW81" s="64" t="n"/>
      <c r="AX81" s="64" t="n"/>
      <c r="AY81" s="136" t="n"/>
      <c r="AZ81" s="64" t="n"/>
      <c r="BA81" s="64" t="n"/>
      <c r="BB81" s="64" t="n"/>
      <c r="BC81" s="64" t="n"/>
      <c r="BD81" s="64" t="n"/>
      <c r="BE81" s="64" t="n"/>
      <c r="BF81" s="308" t="n"/>
      <c r="BG81" s="64" t="n"/>
      <c r="BH81" s="64" t="n"/>
      <c r="BI81" s="136" t="n"/>
      <c r="BJ81" s="64" t="n"/>
      <c r="BK81" s="64" t="n"/>
      <c r="BL81" s="64" t="n"/>
      <c r="BM81" s="64" t="n"/>
      <c r="BN81" s="64" t="n"/>
      <c r="BO81" s="64" t="n"/>
      <c r="BP81" s="64" t="n"/>
      <c r="BQ81" s="64" t="n"/>
      <c r="BR81" s="64" t="n"/>
      <c r="BS81" s="64" t="n"/>
      <c r="BT81" s="64" t="n"/>
      <c r="BU81" s="64" t="n"/>
      <c r="BV81" s="64" t="n"/>
      <c r="BW81" s="64" t="n"/>
      <c r="BX81" s="64" t="n"/>
      <c r="BY81" s="64" t="n"/>
      <c r="BZ81" s="64" t="n"/>
      <c r="CA81" s="64" t="n"/>
    </row>
    <row r="82" ht="48.75" customHeight="1">
      <c r="A82" s="1963" t="n"/>
      <c r="B82" s="96" t="n"/>
      <c r="C82" s="96" t="n"/>
      <c r="D82" s="96" t="n"/>
      <c r="E82" s="2199" t="n"/>
      <c r="F82" s="96" t="n"/>
      <c r="G82" s="2200" t="n"/>
      <c r="H82" s="2165" t="n"/>
      <c r="I82" s="2165" t="n"/>
      <c r="J82" s="96" t="n"/>
      <c r="K82" s="2165" t="n"/>
      <c r="L82" s="96" t="n"/>
      <c r="M82" s="2165" t="n"/>
      <c r="N82" s="96" t="n"/>
      <c r="O82" s="2201" t="n"/>
      <c r="P82" s="543" t="n"/>
      <c r="Q82" s="135" t="n"/>
      <c r="R82" s="88" t="n"/>
      <c r="S82" s="135" t="n"/>
      <c r="T82" s="135" t="n"/>
      <c r="U82" s="1964" t="n"/>
      <c r="V82" s="1964" t="n"/>
      <c r="W82" s="1964" t="n"/>
      <c r="X82" s="1964" t="n"/>
      <c r="Y82" s="135" t="n"/>
      <c r="Z82" s="464" t="n"/>
      <c r="AA82" s="464" t="n"/>
      <c r="AB82" s="464" t="n"/>
      <c r="AC82" s="464" t="n"/>
      <c r="AD82" s="465" t="n"/>
      <c r="AE82" s="464" t="n"/>
      <c r="AF82" s="464" t="n"/>
      <c r="AG82" s="302" t="n"/>
      <c r="AH82" s="302" t="n"/>
      <c r="AI82" s="302" t="n"/>
      <c r="AJ82" s="302" t="n"/>
      <c r="AK82" s="302" t="n"/>
      <c r="AL82" s="302" t="n"/>
      <c r="AM82" s="302" t="n"/>
      <c r="AN82" s="302" t="n"/>
      <c r="AO82" s="2165" t="n"/>
      <c r="AP82" s="96" t="n"/>
      <c r="AQ82" s="64" t="n"/>
      <c r="AR82" s="64" t="n"/>
      <c r="AS82" s="64" t="n"/>
      <c r="AT82" s="64" t="n"/>
      <c r="AU82" s="64" t="n"/>
      <c r="AV82" s="64" t="n"/>
      <c r="AW82" s="64" t="n"/>
      <c r="AX82" s="64" t="n"/>
      <c r="AY82" s="136" t="n"/>
      <c r="AZ82" s="64" t="n"/>
      <c r="BA82" s="64" t="n"/>
      <c r="BB82" s="64" t="n"/>
      <c r="BC82" s="64" t="n"/>
      <c r="BD82" s="64" t="n"/>
      <c r="BE82" s="64" t="n"/>
      <c r="BF82" s="308" t="n"/>
      <c r="BG82" s="64" t="n"/>
      <c r="BH82" s="64" t="n"/>
      <c r="BI82" s="136" t="n"/>
      <c r="BJ82" s="64" t="n"/>
      <c r="BK82" s="64" t="n"/>
      <c r="BL82" s="64" t="n"/>
      <c r="BM82" s="64" t="n"/>
      <c r="BN82" s="64" t="n"/>
      <c r="BO82" s="64" t="n"/>
      <c r="BP82" s="64" t="n"/>
      <c r="BQ82" s="64" t="n"/>
      <c r="BR82" s="64" t="n"/>
      <c r="BS82" s="64" t="n"/>
      <c r="BT82" s="64" t="n"/>
      <c r="BU82" s="64" t="n"/>
      <c r="BV82" s="64" t="n"/>
      <c r="BW82" s="64" t="n"/>
      <c r="BX82" s="64" t="n"/>
      <c r="BY82" s="64" t="n"/>
      <c r="BZ82" s="64" t="n"/>
      <c r="CA82" s="64" t="n"/>
    </row>
    <row r="83" ht="20.25" customHeight="1">
      <c r="A83" s="135" t="n"/>
      <c r="B83" s="219" t="n"/>
      <c r="H83" s="135" t="n"/>
      <c r="I83" s="135" t="n"/>
      <c r="J83" s="1964" t="n"/>
      <c r="K83" s="135" t="n"/>
      <c r="L83" s="1964" t="n"/>
      <c r="M83" s="135" t="n"/>
      <c r="N83" s="1964" t="n"/>
      <c r="O83" s="467" t="n"/>
      <c r="P83" s="87" t="n"/>
      <c r="V83" s="1964" t="n"/>
      <c r="W83" s="1964" t="n"/>
      <c r="X83" s="64" t="n"/>
      <c r="Y83" s="136" t="n"/>
      <c r="Z83" s="64" t="n"/>
      <c r="AA83" s="64" t="n"/>
      <c r="AB83" s="64" t="n"/>
      <c r="AC83" s="64" t="n"/>
      <c r="AD83" s="135" t="n"/>
      <c r="AE83" s="1964" t="n"/>
      <c r="AF83" s="219" t="n"/>
      <c r="AM83" s="1964" t="n"/>
      <c r="AN83" s="64" t="n"/>
      <c r="AO83" s="136" t="n"/>
      <c r="AP83" s="64" t="n"/>
      <c r="AQ83" s="64" t="n"/>
      <c r="AR83" s="64" t="n"/>
      <c r="AS83" s="64" t="n"/>
      <c r="AT83" s="64" t="n"/>
      <c r="AU83" s="64" t="n"/>
      <c r="AV83" s="64" t="n"/>
      <c r="AW83" s="64" t="n"/>
      <c r="AX83" s="64" t="n"/>
      <c r="AY83" s="136" t="n"/>
      <c r="AZ83" s="64" t="n"/>
      <c r="BA83" s="64" t="n"/>
      <c r="BB83" s="64" t="n"/>
      <c r="BC83" s="64" t="n"/>
      <c r="BD83" s="64" t="n"/>
      <c r="BE83" s="64" t="n"/>
      <c r="BF83" s="308" t="n"/>
      <c r="BG83" s="64" t="n"/>
      <c r="BH83" s="64" t="n"/>
      <c r="BI83" s="136" t="n"/>
      <c r="BJ83" s="64" t="n"/>
      <c r="BK83" s="64" t="n"/>
      <c r="BL83" s="64" t="n"/>
      <c r="BM83" s="64" t="n"/>
      <c r="BN83" s="64" t="n"/>
      <c r="BO83" s="64" t="n"/>
      <c r="BP83" s="64" t="n"/>
      <c r="BQ83" s="64" t="n"/>
      <c r="BR83" s="64" t="n"/>
      <c r="BS83" s="64" t="n"/>
      <c r="BT83" s="64" t="n"/>
      <c r="BU83" s="64" t="n"/>
      <c r="BV83" s="64" t="n"/>
      <c r="BW83" s="64" t="n"/>
      <c r="BX83" s="64" t="n"/>
      <c r="BY83" s="64" t="n"/>
      <c r="BZ83" s="64" t="n"/>
      <c r="CA83" s="64" t="n"/>
    </row>
    <row r="84" ht="22.5" customHeight="1">
      <c r="A84" s="135" t="n"/>
      <c r="B84" s="219" t="n"/>
      <c r="C84" s="219" t="n"/>
      <c r="D84" s="219" t="n"/>
      <c r="E84" s="1954" t="n"/>
      <c r="F84" s="219" t="n"/>
      <c r="G84" s="1207" t="n"/>
      <c r="H84" s="135" t="n"/>
      <c r="I84" s="135" t="n"/>
      <c r="J84" s="1964" t="n"/>
      <c r="K84" s="135" t="n"/>
      <c r="L84" s="1964" t="n"/>
      <c r="M84" s="135" t="n"/>
      <c r="N84" s="1964" t="n"/>
      <c r="O84" s="467" t="n"/>
      <c r="P84" s="87" t="n"/>
      <c r="Q84" s="302" t="n"/>
      <c r="R84" s="87" t="n"/>
      <c r="S84" s="302" t="n"/>
      <c r="T84" s="302" t="n"/>
      <c r="U84" s="219" t="n"/>
      <c r="V84" s="1964" t="n"/>
      <c r="W84" s="1964" t="n"/>
      <c r="X84" s="64" t="n"/>
      <c r="Y84" s="136" t="n"/>
      <c r="Z84" s="64" t="n"/>
      <c r="AA84" s="64" t="n"/>
      <c r="AB84" s="64" t="n"/>
      <c r="AC84" s="64" t="n"/>
      <c r="AD84" s="135" t="n"/>
      <c r="AE84" s="1964" t="n"/>
      <c r="AF84" s="219" t="n"/>
      <c r="AG84" s="219" t="n"/>
      <c r="AH84" s="219" t="n"/>
      <c r="AI84" s="302" t="n"/>
      <c r="AJ84" s="219" t="n"/>
      <c r="AK84" s="219" t="n"/>
      <c r="AL84" s="219" t="n"/>
      <c r="AM84" s="1964" t="n"/>
      <c r="AN84" s="64" t="n"/>
      <c r="AO84" s="136" t="n"/>
      <c r="AP84" s="64" t="n"/>
      <c r="AQ84" s="64" t="n"/>
      <c r="AR84" s="64" t="n"/>
      <c r="AS84" s="64" t="n"/>
      <c r="AT84" s="64" t="n"/>
      <c r="AU84" s="64" t="n"/>
      <c r="AV84" s="64" t="n"/>
      <c r="AW84" s="64" t="n"/>
      <c r="AX84" s="64" t="n"/>
      <c r="AY84" s="136" t="n"/>
      <c r="AZ84" s="64" t="n"/>
      <c r="BA84" s="64" t="n"/>
      <c r="BB84" s="64" t="n"/>
      <c r="BC84" s="64" t="n"/>
      <c r="BD84" s="64" t="n"/>
      <c r="BE84" s="64" t="n"/>
      <c r="BF84" s="308" t="n"/>
      <c r="BG84" s="64" t="n"/>
      <c r="BH84" s="64" t="n"/>
      <c r="BI84" s="136" t="n"/>
      <c r="BJ84" s="64" t="n"/>
      <c r="BK84" s="64" t="n"/>
      <c r="BL84" s="64" t="n"/>
      <c r="BM84" s="64" t="n"/>
      <c r="BN84" s="64" t="n"/>
      <c r="BO84" s="64" t="n"/>
      <c r="BP84" s="64" t="n"/>
      <c r="BQ84" s="64" t="n"/>
      <c r="BR84" s="64" t="n"/>
      <c r="BS84" s="64" t="n"/>
      <c r="BT84" s="64" t="n"/>
      <c r="BU84" s="64" t="n"/>
      <c r="BV84" s="64" t="n"/>
      <c r="BW84" s="64" t="n"/>
      <c r="BX84" s="64" t="n"/>
      <c r="BY84" s="64" t="n"/>
      <c r="BZ84" s="64" t="n"/>
      <c r="CA84" s="64" t="n"/>
    </row>
    <row r="85" ht="20.25" customHeight="1">
      <c r="A85" s="135" t="n"/>
      <c r="B85" s="219" t="n"/>
      <c r="C85" s="219" t="n"/>
      <c r="D85" s="219" t="n"/>
      <c r="E85" s="1954" t="n"/>
      <c r="F85" s="219" t="n"/>
      <c r="G85" s="1207" t="n"/>
      <c r="H85" s="135" t="n"/>
      <c r="I85" s="135" t="n"/>
      <c r="J85" s="1964" t="n"/>
      <c r="K85" s="135" t="n"/>
      <c r="L85" s="1964" t="n"/>
      <c r="M85" s="135" t="n"/>
      <c r="N85" s="1964" t="n"/>
      <c r="O85" s="467" t="n"/>
      <c r="P85" s="87" t="n"/>
      <c r="Q85" s="302" t="n"/>
      <c r="R85" s="87" t="n"/>
      <c r="S85" s="302" t="n"/>
      <c r="T85" s="302" t="n"/>
      <c r="U85" s="219" t="n"/>
      <c r="V85" s="1964" t="n"/>
      <c r="W85" s="1964" t="n"/>
      <c r="X85" s="64" t="n"/>
      <c r="Y85" s="136" t="n"/>
      <c r="Z85" s="64" t="n"/>
      <c r="AA85" s="64" t="n"/>
      <c r="AB85" s="64" t="n"/>
      <c r="AC85" s="64" t="n"/>
      <c r="AD85" s="135" t="n"/>
      <c r="AE85" s="1964" t="n"/>
      <c r="AF85" s="219" t="n"/>
      <c r="AG85" s="219" t="n"/>
      <c r="AH85" s="219" t="n"/>
      <c r="AI85" s="302" t="n"/>
      <c r="AJ85" s="219" t="n"/>
      <c r="AK85" s="219" t="n"/>
      <c r="AL85" s="219" t="n"/>
      <c r="AM85" s="1964" t="n"/>
      <c r="AN85" s="64" t="n"/>
      <c r="AO85" s="136" t="n"/>
      <c r="AP85" s="64" t="n"/>
      <c r="AQ85" s="64" t="n"/>
      <c r="AR85" s="64" t="n"/>
      <c r="AS85" s="64" t="n"/>
      <c r="AT85" s="64" t="n"/>
      <c r="AU85" s="64" t="n"/>
      <c r="AV85" s="64" t="n"/>
      <c r="AW85" s="64" t="n"/>
      <c r="AX85" s="64" t="n"/>
      <c r="AY85" s="136" t="n"/>
      <c r="AZ85" s="64" t="n"/>
      <c r="BA85" s="64" t="n"/>
      <c r="BB85" s="64" t="n"/>
      <c r="BC85" s="64" t="n"/>
      <c r="BD85" s="64" t="n"/>
      <c r="BE85" s="64" t="n"/>
      <c r="BF85" s="308" t="n"/>
      <c r="BG85" s="64" t="n"/>
      <c r="BH85" s="64" t="n"/>
      <c r="BI85" s="136" t="n"/>
      <c r="BJ85" s="64" t="n"/>
      <c r="BK85" s="64" t="n"/>
      <c r="BL85" s="64" t="n"/>
      <c r="BM85" s="64" t="n"/>
      <c r="BN85" s="64" t="n"/>
      <c r="BO85" s="64" t="n"/>
      <c r="BP85" s="64" t="n"/>
      <c r="BQ85" s="64" t="n"/>
      <c r="BR85" s="64" t="n"/>
      <c r="BS85" s="64" t="n"/>
      <c r="BT85" s="64" t="n"/>
      <c r="BU85" s="64" t="n"/>
      <c r="BV85" s="64" t="n"/>
      <c r="BW85" s="64" t="n"/>
      <c r="BX85" s="64" t="n"/>
      <c r="BY85" s="64" t="n"/>
      <c r="BZ85" s="64" t="n"/>
      <c r="CA85" s="64" t="n"/>
    </row>
    <row r="86" ht="11.25" customHeight="1">
      <c r="A86" s="135" t="n"/>
      <c r="B86" s="219" t="n"/>
      <c r="C86" s="219" t="n"/>
      <c r="D86" s="219" t="n"/>
      <c r="E86" s="1954" t="n"/>
      <c r="F86" s="219" t="n"/>
      <c r="G86" s="1207" t="n"/>
      <c r="H86" s="135" t="n"/>
      <c r="I86" s="135" t="n"/>
      <c r="J86" s="1964" t="n"/>
      <c r="K86" s="135" t="n"/>
      <c r="L86" s="1964" t="n"/>
      <c r="M86" s="135" t="n"/>
      <c r="N86" s="1964" t="n"/>
      <c r="O86" s="467" t="n"/>
      <c r="P86" s="87" t="n"/>
      <c r="Q86" s="302" t="n"/>
      <c r="R86" s="87" t="n"/>
      <c r="S86" s="302" t="n"/>
      <c r="T86" s="302" t="n"/>
      <c r="U86" s="219" t="n"/>
      <c r="V86" s="1964" t="n"/>
      <c r="W86" s="1964" t="n"/>
      <c r="X86" s="64" t="n"/>
      <c r="Y86" s="136" t="n"/>
      <c r="Z86" s="64" t="n"/>
      <c r="AA86" s="64" t="n"/>
      <c r="AB86" s="64" t="n"/>
      <c r="AC86" s="64" t="n"/>
      <c r="AD86" s="135" t="n"/>
      <c r="AE86" s="1964" t="n"/>
      <c r="AF86" s="219" t="n"/>
      <c r="AG86" s="219" t="n"/>
      <c r="AH86" s="219" t="n"/>
      <c r="AI86" s="302" t="n"/>
      <c r="AJ86" s="219" t="n"/>
      <c r="AK86" s="219" t="n"/>
      <c r="AL86" s="219" t="n"/>
      <c r="AM86" s="1964" t="n"/>
      <c r="AN86" s="64" t="n"/>
      <c r="AO86" s="136" t="n"/>
      <c r="AP86" s="64" t="n"/>
      <c r="AQ86" s="64" t="n"/>
      <c r="AR86" s="64" t="n"/>
      <c r="AS86" s="64" t="n"/>
      <c r="AT86" s="64" t="n"/>
      <c r="AU86" s="64" t="n"/>
      <c r="AV86" s="64" t="n"/>
      <c r="AW86" s="64" t="n"/>
      <c r="AX86" s="64" t="n"/>
      <c r="AY86" s="136" t="n"/>
      <c r="AZ86" s="64" t="n"/>
      <c r="BA86" s="64" t="n"/>
      <c r="BB86" s="64" t="n"/>
      <c r="BC86" s="64" t="n"/>
      <c r="BD86" s="64" t="n"/>
      <c r="BE86" s="64" t="n"/>
      <c r="BF86" s="308" t="n"/>
      <c r="BG86" s="64" t="n"/>
      <c r="BH86" s="64" t="n"/>
      <c r="BI86" s="136" t="n"/>
      <c r="BJ86" s="64" t="n"/>
      <c r="BK86" s="64" t="n"/>
      <c r="BL86" s="64" t="n"/>
      <c r="BM86" s="64" t="n"/>
      <c r="BN86" s="64" t="n"/>
      <c r="BO86" s="64" t="n"/>
      <c r="BP86" s="64" t="n"/>
      <c r="BQ86" s="64" t="n"/>
      <c r="BR86" s="64" t="n"/>
      <c r="BS86" s="64" t="n"/>
      <c r="BT86" s="64" t="n"/>
      <c r="BU86" s="64" t="n"/>
      <c r="BV86" s="64" t="n"/>
      <c r="BW86" s="64" t="n"/>
      <c r="BX86" s="64" t="n"/>
      <c r="BY86" s="64" t="n"/>
      <c r="BZ86" s="64" t="n"/>
      <c r="CA86" s="64" t="n"/>
    </row>
    <row r="87" ht="20.25" customHeight="1">
      <c r="A87" s="1963" t="inlineStr">
        <is>
          <t>6|</t>
        </is>
      </c>
      <c r="B87" s="169" t="inlineStr">
        <is>
          <t>Ab¨vb¨ Z_¨ t (wbw`©ó Kwiqv DËi w`‡Z nB‡e)</t>
        </is>
      </c>
      <c r="AN87" s="64" t="n"/>
      <c r="AO87" s="136" t="n"/>
      <c r="AP87" s="64" t="n"/>
      <c r="AQ87" s="64" t="n"/>
      <c r="AR87" s="64" t="n"/>
      <c r="AS87" s="64" t="n"/>
      <c r="AT87" s="64" t="n"/>
      <c r="AU87" s="64" t="n"/>
      <c r="AV87" s="64" t="n"/>
      <c r="AW87" s="64" t="n"/>
      <c r="AX87" s="64" t="n"/>
      <c r="AY87" s="136" t="n"/>
      <c r="AZ87" s="64" t="n"/>
      <c r="BA87" s="64" t="n"/>
      <c r="BB87" s="64" t="n"/>
      <c r="BC87" s="64" t="n"/>
      <c r="BD87" s="64" t="n"/>
      <c r="BE87" s="64" t="n"/>
      <c r="BF87" s="308" t="n"/>
      <c r="BG87" s="64" t="n"/>
      <c r="BH87" s="64" t="n"/>
      <c r="BI87" s="136" t="n"/>
      <c r="BJ87" s="64" t="n"/>
      <c r="BK87" s="64" t="n"/>
      <c r="BL87" s="64" t="n"/>
      <c r="BM87" s="64" t="n"/>
      <c r="BN87" s="64" t="n"/>
      <c r="BO87" s="64" t="n"/>
      <c r="BP87" s="64" t="n"/>
      <c r="BQ87" s="64" t="n"/>
      <c r="BR87" s="64" t="n"/>
      <c r="BS87" s="64" t="n"/>
      <c r="BT87" s="64" t="n"/>
      <c r="BU87" s="64" t="n"/>
      <c r="BV87" s="64" t="n"/>
      <c r="BW87" s="64" t="n"/>
      <c r="BX87" s="64" t="n"/>
      <c r="BY87" s="64" t="n"/>
      <c r="BZ87" s="64" t="n"/>
      <c r="CA87" s="64" t="n"/>
    </row>
    <row r="88" ht="20.25" customHeight="1">
      <c r="A88" s="2202" t="inlineStr">
        <is>
          <t xml:space="preserve">(K) </t>
        </is>
      </c>
      <c r="B88" s="2203" t="inlineStr">
        <is>
          <t>Av‡e`bKvix (MY) A_ev Zvnvi/Zvnv‡`i †cv‡l¨i AÎ e¨vsK/ A_©jMœx cÖwZôvb A_ev Ab¨vb¨ e¨vsK/weAviwWwe mgevq mwgwZi wbKU FY iwnqv‡Q wK?</t>
        </is>
      </c>
      <c r="C88" s="2624" t="n"/>
      <c r="D88" s="2624" t="n"/>
      <c r="E88" s="2624" t="n"/>
      <c r="F88" s="2624" t="n"/>
      <c r="G88" s="2624" t="n"/>
      <c r="H88" s="2624" t="n"/>
      <c r="I88" s="2624" t="n"/>
      <c r="J88" s="2624" t="n"/>
      <c r="K88" s="2624" t="n"/>
      <c r="L88" s="2624" t="n"/>
      <c r="M88" s="2624" t="n"/>
      <c r="N88" s="2624" t="n"/>
      <c r="O88" s="2624" t="n"/>
      <c r="P88" s="2624" t="n"/>
      <c r="Q88" s="2624" t="n"/>
      <c r="R88" s="2624" t="n"/>
      <c r="S88" s="2624" t="n"/>
      <c r="T88" s="2624" t="n"/>
      <c r="U88" s="2624" t="n"/>
      <c r="V88" s="2624" t="n"/>
      <c r="W88" s="2642" t="n"/>
      <c r="X88" s="2206" t="inlineStr">
        <is>
          <t>nvjbvMv` wmAvBwe wi‡c©v‡U  F‡Yi †h Z_¨ cvIqv †M‡Q Zv A‡kÖYxK…Z</t>
        </is>
      </c>
      <c r="Y88" s="2624" t="n"/>
      <c r="Z88" s="2624" t="n"/>
      <c r="AA88" s="2624" t="n"/>
      <c r="AB88" s="2624" t="n"/>
      <c r="AC88" s="2624" t="n"/>
      <c r="AD88" s="2624" t="n"/>
      <c r="AE88" s="2624" t="n"/>
      <c r="AF88" s="2624" t="n"/>
      <c r="AG88" s="2624" t="n"/>
      <c r="AH88" s="2624" t="n"/>
      <c r="AI88" s="2624" t="n"/>
      <c r="AJ88" s="2624" t="n"/>
      <c r="AK88" s="2624" t="n"/>
      <c r="AL88" s="2624" t="n"/>
      <c r="AM88" s="2642" t="n"/>
      <c r="AN88" s="64" t="n"/>
      <c r="AO88" s="136" t="n"/>
      <c r="AP88" s="64" t="n"/>
      <c r="AQ88" s="64" t="n"/>
      <c r="AR88" s="64" t="n"/>
      <c r="AS88" s="64" t="n"/>
      <c r="AT88" s="64" t="n"/>
      <c r="AU88" s="64" t="n"/>
      <c r="AV88" s="64" t="n"/>
      <c r="AW88" s="64" t="n"/>
      <c r="AX88" s="64" t="n"/>
      <c r="AY88" s="136" t="n"/>
      <c r="AZ88" s="64" t="n"/>
      <c r="BA88" s="64" t="n"/>
      <c r="BB88" s="64" t="n"/>
      <c r="BC88" s="64" t="n"/>
      <c r="BD88" s="64" t="n"/>
      <c r="BE88" s="64" t="n"/>
      <c r="BF88" s="308" t="n"/>
      <c r="BG88" s="64" t="n"/>
      <c r="BH88" s="64" t="n"/>
      <c r="BI88" s="136" t="n"/>
      <c r="BJ88" s="64" t="n"/>
      <c r="BK88" s="64" t="n"/>
      <c r="BL88" s="64" t="n"/>
      <c r="BM88" s="64" t="n"/>
      <c r="BN88" s="64" t="n"/>
      <c r="BO88" s="64" t="n"/>
      <c r="BP88" s="64" t="n"/>
      <c r="BQ88" s="64" t="n"/>
      <c r="BR88" s="64" t="n"/>
      <c r="BS88" s="64" t="n"/>
      <c r="BT88" s="64" t="n"/>
      <c r="BU88" s="64" t="n"/>
      <c r="BV88" s="64" t="n"/>
      <c r="BW88" s="64" t="n"/>
      <c r="BX88" s="64" t="n"/>
      <c r="BY88" s="64" t="n"/>
      <c r="BZ88" s="64" t="n"/>
      <c r="CA88" s="64" t="n"/>
    </row>
    <row r="89" ht="20.25" customHeight="1">
      <c r="A89" s="2618" t="n"/>
      <c r="B89" s="2648" t="n"/>
      <c r="C89" s="2613" t="n"/>
      <c r="D89" s="2613" t="n"/>
      <c r="E89" s="2613" t="n"/>
      <c r="F89" s="2613" t="n"/>
      <c r="G89" s="2613" t="n"/>
      <c r="H89" s="2613" t="n"/>
      <c r="I89" s="2613" t="n"/>
      <c r="J89" s="2613" t="n"/>
      <c r="K89" s="2613" t="n"/>
      <c r="L89" s="2613" t="n"/>
      <c r="M89" s="2613" t="n"/>
      <c r="N89" s="2613" t="n"/>
      <c r="O89" s="2613" t="n"/>
      <c r="P89" s="2613" t="n"/>
      <c r="Q89" s="2613" t="n"/>
      <c r="R89" s="2613" t="n"/>
      <c r="S89" s="2613" t="n"/>
      <c r="T89" s="2613" t="n"/>
      <c r="U89" s="2613" t="n"/>
      <c r="V89" s="2613" t="n"/>
      <c r="W89" s="2649" t="n"/>
      <c r="X89" s="2648" t="n"/>
      <c r="Y89" s="2613" t="n"/>
      <c r="Z89" s="2613" t="n"/>
      <c r="AA89" s="2613" t="n"/>
      <c r="AB89" s="2613" t="n"/>
      <c r="AC89" s="2613" t="n"/>
      <c r="AD89" s="2613" t="n"/>
      <c r="AE89" s="2613" t="n"/>
      <c r="AF89" s="2613" t="n"/>
      <c r="AG89" s="2613" t="n"/>
      <c r="AH89" s="2613" t="n"/>
      <c r="AI89" s="2613" t="n"/>
      <c r="AJ89" s="2613" t="n"/>
      <c r="AK89" s="2613" t="n"/>
      <c r="AL89" s="2613" t="n"/>
      <c r="AM89" s="2649" t="n"/>
      <c r="AN89" s="64" t="n"/>
      <c r="AO89" s="136" t="n"/>
      <c r="AP89" s="64" t="n"/>
      <c r="AQ89" s="64" t="n"/>
      <c r="AR89" s="64" t="n"/>
      <c r="AS89" s="64" t="n"/>
      <c r="AT89" s="64" t="n"/>
      <c r="AU89" s="64" t="n"/>
      <c r="AV89" s="64" t="n"/>
      <c r="AW89" s="64" t="n"/>
      <c r="AX89" s="64" t="n"/>
      <c r="AY89" s="136" t="n"/>
      <c r="AZ89" s="64" t="n"/>
      <c r="BA89" s="64" t="n"/>
      <c r="BB89" s="64" t="n"/>
      <c r="BC89" s="64" t="n"/>
      <c r="BD89" s="64" t="n"/>
      <c r="BE89" s="64" t="n"/>
      <c r="BF89" s="308" t="n"/>
      <c r="BG89" s="64" t="n"/>
      <c r="BH89" s="64" t="n"/>
      <c r="BI89" s="136" t="n"/>
      <c r="BJ89" s="64" t="n"/>
      <c r="BK89" s="64" t="n"/>
      <c r="BL89" s="64" t="n"/>
      <c r="BM89" s="64" t="n"/>
      <c r="BN89" s="64" t="n"/>
      <c r="BO89" s="64" t="n"/>
      <c r="BP89" s="64" t="n"/>
      <c r="BQ89" s="64" t="n"/>
      <c r="BR89" s="64" t="n"/>
      <c r="BS89" s="64" t="n"/>
      <c r="BT89" s="64" t="n"/>
      <c r="BU89" s="64" t="n"/>
      <c r="BV89" s="64" t="n"/>
      <c r="BW89" s="64" t="n"/>
      <c r="BX89" s="64" t="n"/>
      <c r="BY89" s="64" t="n"/>
      <c r="BZ89" s="64" t="n"/>
      <c r="CA89" s="64" t="n"/>
    </row>
    <row r="90" ht="20.25" customHeight="1">
      <c r="A90" s="2202" t="inlineStr">
        <is>
          <t xml:space="preserve">(L) </t>
        </is>
      </c>
      <c r="B90" s="2209" t="inlineStr">
        <is>
          <t>1g c„ôvq ewY©Z RvgvbZ m¤úwËi miKvix `Lj RwbZ ÿq-ÿwZi Av‡Q wK?</t>
        </is>
      </c>
      <c r="C90" s="2624" t="n"/>
      <c r="D90" s="2624" t="n"/>
      <c r="E90" s="2624" t="n"/>
      <c r="F90" s="2624" t="n"/>
      <c r="G90" s="2624" t="n"/>
      <c r="H90" s="2624" t="n"/>
      <c r="I90" s="2624" t="n"/>
      <c r="J90" s="2624" t="n"/>
      <c r="K90" s="2624" t="n"/>
      <c r="L90" s="2624" t="n"/>
      <c r="M90" s="2624" t="n"/>
      <c r="N90" s="2624" t="n"/>
      <c r="O90" s="2624" t="n"/>
      <c r="P90" s="2624" t="n"/>
      <c r="Q90" s="2624" t="n"/>
      <c r="R90" s="2624" t="n"/>
      <c r="S90" s="2624" t="n"/>
      <c r="T90" s="2624" t="n"/>
      <c r="U90" s="2624" t="n"/>
      <c r="V90" s="2624" t="n"/>
      <c r="W90" s="2642" t="n"/>
      <c r="X90" s="2206" t="inlineStr">
        <is>
          <t>†Kvb m¤¢ebv ‡bB|</t>
        </is>
      </c>
      <c r="Y90" s="2624" t="n"/>
      <c r="Z90" s="2624" t="n"/>
      <c r="AA90" s="2624" t="n"/>
      <c r="AB90" s="2624" t="n"/>
      <c r="AC90" s="2624" t="n"/>
      <c r="AD90" s="2624" t="n"/>
      <c r="AE90" s="2624" t="n"/>
      <c r="AF90" s="2624" t="n"/>
      <c r="AG90" s="2624" t="n"/>
      <c r="AH90" s="2624" t="n"/>
      <c r="AI90" s="2624" t="n"/>
      <c r="AJ90" s="2624" t="n"/>
      <c r="AK90" s="2624" t="n"/>
      <c r="AL90" s="2624" t="n"/>
      <c r="AM90" s="2642" t="n"/>
      <c r="AN90" s="64" t="n"/>
      <c r="AO90" s="136" t="n"/>
      <c r="AP90" s="64" t="n"/>
      <c r="AQ90" s="64" t="n"/>
      <c r="AR90" s="64" t="n"/>
      <c r="AS90" s="64" t="n"/>
      <c r="AT90" s="64" t="n"/>
      <c r="AU90" s="64" t="n"/>
      <c r="AV90" s="64" t="n"/>
      <c r="AW90" s="64" t="n"/>
      <c r="AX90" s="64" t="n"/>
      <c r="AY90" s="136" t="n"/>
      <c r="AZ90" s="64" t="n"/>
      <c r="BA90" s="64" t="n"/>
      <c r="BB90" s="64" t="n"/>
      <c r="BC90" s="64" t="n"/>
      <c r="BD90" s="64" t="n"/>
      <c r="BE90" s="64" t="n"/>
      <c r="BF90" s="308" t="n"/>
      <c r="BG90" s="64" t="n"/>
      <c r="BH90" s="64" t="n"/>
      <c r="BI90" s="136" t="n"/>
      <c r="BJ90" s="64" t="n"/>
      <c r="BK90" s="64" t="n"/>
      <c r="BL90" s="64" t="n"/>
      <c r="BM90" s="64" t="n"/>
      <c r="BN90" s="64" t="n"/>
      <c r="BO90" s="64" t="n"/>
      <c r="BP90" s="64" t="n"/>
      <c r="BQ90" s="64" t="n"/>
      <c r="BR90" s="64" t="n"/>
      <c r="BS90" s="64" t="n"/>
      <c r="BT90" s="64" t="n"/>
      <c r="BU90" s="64" t="n"/>
      <c r="BV90" s="64" t="n"/>
      <c r="BW90" s="64" t="n"/>
      <c r="BX90" s="64" t="n"/>
      <c r="BY90" s="64" t="n"/>
      <c r="BZ90" s="64" t="n"/>
      <c r="CA90" s="64" t="n"/>
    </row>
    <row r="91" ht="20.25" customHeight="1">
      <c r="A91" s="2618" t="n"/>
      <c r="B91" s="2648" t="n"/>
      <c r="C91" s="2613" t="n"/>
      <c r="D91" s="2613" t="n"/>
      <c r="E91" s="2613" t="n"/>
      <c r="F91" s="2613" t="n"/>
      <c r="G91" s="2613" t="n"/>
      <c r="H91" s="2613" t="n"/>
      <c r="I91" s="2613" t="n"/>
      <c r="J91" s="2613" t="n"/>
      <c r="K91" s="2613" t="n"/>
      <c r="L91" s="2613" t="n"/>
      <c r="M91" s="2613" t="n"/>
      <c r="N91" s="2613" t="n"/>
      <c r="O91" s="2613" t="n"/>
      <c r="P91" s="2613" t="n"/>
      <c r="Q91" s="2613" t="n"/>
      <c r="R91" s="2613" t="n"/>
      <c r="S91" s="2613" t="n"/>
      <c r="T91" s="2613" t="n"/>
      <c r="U91" s="2613" t="n"/>
      <c r="V91" s="2613" t="n"/>
      <c r="W91" s="2649" t="n"/>
      <c r="X91" s="2648" t="n"/>
      <c r="Y91" s="2613" t="n"/>
      <c r="Z91" s="2613" t="n"/>
      <c r="AA91" s="2613" t="n"/>
      <c r="AB91" s="2613" t="n"/>
      <c r="AC91" s="2613" t="n"/>
      <c r="AD91" s="2613" t="n"/>
      <c r="AE91" s="2613" t="n"/>
      <c r="AF91" s="2613" t="n"/>
      <c r="AG91" s="2613" t="n"/>
      <c r="AH91" s="2613" t="n"/>
      <c r="AI91" s="2613" t="n"/>
      <c r="AJ91" s="2613" t="n"/>
      <c r="AK91" s="2613" t="n"/>
      <c r="AL91" s="2613" t="n"/>
      <c r="AM91" s="2649" t="n"/>
      <c r="AN91" s="64" t="n"/>
      <c r="AO91" s="136" t="n"/>
      <c r="AP91" s="64" t="n"/>
      <c r="AQ91" s="64" t="n"/>
      <c r="AR91" s="64" t="n"/>
      <c r="AS91" s="64" t="n"/>
      <c r="AT91" s="64" t="n"/>
      <c r="AU91" s="64" t="n"/>
      <c r="AV91" s="64" t="n"/>
      <c r="AW91" s="64" t="n"/>
      <c r="AX91" s="64" t="n"/>
      <c r="AY91" s="136" t="n"/>
      <c r="AZ91" s="64" t="n"/>
      <c r="BA91" s="64" t="n"/>
      <c r="BB91" s="64" t="n"/>
      <c r="BC91" s="64" t="n"/>
      <c r="BD91" s="64" t="n"/>
      <c r="BE91" s="64" t="n"/>
      <c r="BF91" s="308" t="n"/>
      <c r="BG91" s="64" t="n"/>
      <c r="BH91" s="64" t="n"/>
      <c r="BI91" s="136" t="n"/>
      <c r="BJ91" s="64" t="n"/>
      <c r="BK91" s="64" t="n"/>
      <c r="BL91" s="64" t="n"/>
      <c r="BM91" s="64" t="n"/>
      <c r="BN91" s="64" t="n"/>
      <c r="BO91" s="64" t="n"/>
      <c r="BP91" s="64" t="n"/>
      <c r="BQ91" s="64" t="n"/>
      <c r="BR91" s="64" t="n"/>
      <c r="BS91" s="64" t="n"/>
      <c r="BT91" s="64" t="n"/>
      <c r="BU91" s="64" t="n"/>
      <c r="BV91" s="64" t="n"/>
      <c r="BW91" s="64" t="n"/>
      <c r="BX91" s="64" t="n"/>
      <c r="BY91" s="64" t="n"/>
      <c r="BZ91" s="64" t="n"/>
      <c r="CA91" s="64" t="n"/>
    </row>
    <row r="92" ht="20.25" customHeight="1">
      <c r="A92" s="2202" t="inlineStr">
        <is>
          <t>(M)</t>
        </is>
      </c>
      <c r="B92" s="2209" t="inlineStr">
        <is>
          <t>Av‡e`bKvixi (MY) Aci †Kvb Av‡qi Drm Av‡Q wK? mswÿß eY©bv w`b|</t>
        </is>
      </c>
      <c r="C92" s="2624" t="n"/>
      <c r="D92" s="2624" t="n"/>
      <c r="E92" s="2624" t="n"/>
      <c r="F92" s="2624" t="n"/>
      <c r="G92" s="2624" t="n"/>
      <c r="H92" s="2624" t="n"/>
      <c r="I92" s="2624" t="n"/>
      <c r="J92" s="2624" t="n"/>
      <c r="K92" s="2624" t="n"/>
      <c r="L92" s="2624" t="n"/>
      <c r="M92" s="2624" t="n"/>
      <c r="N92" s="2624" t="n"/>
      <c r="O92" s="2624" t="n"/>
      <c r="P92" s="2624" t="n"/>
      <c r="Q92" s="2624" t="n"/>
      <c r="R92" s="2624" t="n"/>
      <c r="S92" s="2624" t="n"/>
      <c r="T92" s="2624" t="n"/>
      <c r="U92" s="2624" t="n"/>
      <c r="V92" s="2624" t="n"/>
      <c r="W92" s="2642" t="n"/>
      <c r="X92" s="2206" t="inlineStr">
        <is>
          <t>K…wl RwgRgv †_‡K Avq|</t>
        </is>
      </c>
      <c r="Y92" s="2624" t="n"/>
      <c r="Z92" s="2624" t="n"/>
      <c r="AA92" s="2624" t="n"/>
      <c r="AB92" s="2624" t="n"/>
      <c r="AC92" s="2624" t="n"/>
      <c r="AD92" s="2624" t="n"/>
      <c r="AE92" s="2624" t="n"/>
      <c r="AF92" s="2624" t="n"/>
      <c r="AG92" s="2624" t="n"/>
      <c r="AH92" s="2624" t="n"/>
      <c r="AI92" s="2624" t="n"/>
      <c r="AJ92" s="2624" t="n"/>
      <c r="AK92" s="2624" t="n"/>
      <c r="AL92" s="2624" t="n"/>
      <c r="AM92" s="2642" t="n"/>
      <c r="AN92" s="64" t="n"/>
      <c r="AO92" s="136" t="n"/>
      <c r="AP92" s="64" t="n"/>
      <c r="AQ92" s="64" t="n"/>
      <c r="AR92" s="64" t="n"/>
      <c r="AS92" s="64" t="n"/>
      <c r="AT92" s="64" t="n"/>
      <c r="AU92" s="64" t="n"/>
      <c r="AV92" s="64" t="n"/>
      <c r="AW92" s="64" t="n"/>
      <c r="AX92" s="64" t="n"/>
      <c r="AY92" s="136" t="n"/>
      <c r="AZ92" s="64" t="n"/>
      <c r="BA92" s="64" t="n"/>
      <c r="BB92" s="64" t="n"/>
      <c r="BC92" s="64" t="n"/>
      <c r="BD92" s="64" t="n"/>
      <c r="BE92" s="64" t="n"/>
      <c r="BF92" s="308" t="n"/>
      <c r="BG92" s="64" t="n"/>
      <c r="BH92" s="64" t="n"/>
      <c r="BI92" s="136" t="n"/>
      <c r="BJ92" s="64" t="n"/>
      <c r="BK92" s="64" t="n"/>
      <c r="BL92" s="64" t="n"/>
      <c r="BM92" s="64" t="n"/>
      <c r="BN92" s="64" t="n"/>
      <c r="BO92" s="64" t="n"/>
      <c r="BP92" s="64" t="n"/>
      <c r="BQ92" s="64" t="n"/>
      <c r="BR92" s="64" t="n"/>
      <c r="BS92" s="64" t="n"/>
      <c r="BT92" s="64" t="n"/>
      <c r="BU92" s="64" t="n"/>
      <c r="BV92" s="64" t="n"/>
      <c r="BW92" s="64" t="n"/>
      <c r="BX92" s="64" t="n"/>
      <c r="BY92" s="64" t="n"/>
      <c r="BZ92" s="64" t="n"/>
      <c r="CA92" s="64" t="n"/>
    </row>
    <row r="93" ht="20.25" customHeight="1">
      <c r="A93" s="2618" t="n"/>
      <c r="B93" s="2648" t="n"/>
      <c r="C93" s="2613" t="n"/>
      <c r="D93" s="2613" t="n"/>
      <c r="E93" s="2613" t="n"/>
      <c r="F93" s="2613" t="n"/>
      <c r="G93" s="2613" t="n"/>
      <c r="H93" s="2613" t="n"/>
      <c r="I93" s="2613" t="n"/>
      <c r="J93" s="2613" t="n"/>
      <c r="K93" s="2613" t="n"/>
      <c r="L93" s="2613" t="n"/>
      <c r="M93" s="2613" t="n"/>
      <c r="N93" s="2613" t="n"/>
      <c r="O93" s="2613" t="n"/>
      <c r="P93" s="2613" t="n"/>
      <c r="Q93" s="2613" t="n"/>
      <c r="R93" s="2613" t="n"/>
      <c r="S93" s="2613" t="n"/>
      <c r="T93" s="2613" t="n"/>
      <c r="U93" s="2613" t="n"/>
      <c r="V93" s="2613" t="n"/>
      <c r="W93" s="2649" t="n"/>
      <c r="X93" s="2648" t="n"/>
      <c r="Y93" s="2613" t="n"/>
      <c r="Z93" s="2613" t="n"/>
      <c r="AA93" s="2613" t="n"/>
      <c r="AB93" s="2613" t="n"/>
      <c r="AC93" s="2613" t="n"/>
      <c r="AD93" s="2613" t="n"/>
      <c r="AE93" s="2613" t="n"/>
      <c r="AF93" s="2613" t="n"/>
      <c r="AG93" s="2613" t="n"/>
      <c r="AH93" s="2613" t="n"/>
      <c r="AI93" s="2613" t="n"/>
      <c r="AJ93" s="2613" t="n"/>
      <c r="AK93" s="2613" t="n"/>
      <c r="AL93" s="2613" t="n"/>
      <c r="AM93" s="2649" t="n"/>
      <c r="AN93" s="64" t="n"/>
      <c r="AO93" s="136" t="n"/>
      <c r="AP93" s="64" t="n"/>
      <c r="AQ93" s="64" t="n"/>
      <c r="AR93" s="64" t="n"/>
      <c r="AS93" s="64" t="n"/>
      <c r="AT93" s="64" t="n"/>
      <c r="AU93" s="64" t="n"/>
      <c r="AV93" s="64" t="n"/>
      <c r="AW93" s="64" t="n"/>
      <c r="AX93" s="64" t="n"/>
      <c r="AY93" s="136" t="n"/>
      <c r="AZ93" s="64" t="n"/>
      <c r="BA93" s="64" t="n"/>
      <c r="BB93" s="64" t="n"/>
      <c r="BC93" s="64" t="n"/>
      <c r="BD93" s="64" t="n"/>
      <c r="BE93" s="64" t="n"/>
      <c r="BF93" s="308" t="n"/>
      <c r="BG93" s="64" t="n"/>
      <c r="BH93" s="64" t="n"/>
      <c r="BI93" s="136" t="n"/>
      <c r="BJ93" s="64" t="n"/>
      <c r="BK93" s="64" t="n"/>
      <c r="BL93" s="64" t="n"/>
      <c r="BM93" s="64" t="n"/>
      <c r="BN93" s="64" t="n"/>
      <c r="BO93" s="64" t="n"/>
      <c r="BP93" s="64" t="n"/>
      <c r="BQ93" s="64" t="n"/>
      <c r="BR93" s="64" t="n"/>
      <c r="BS93" s="64" t="n"/>
      <c r="BT93" s="64" t="n"/>
      <c r="BU93" s="64" t="n"/>
      <c r="BV93" s="64" t="n"/>
      <c r="BW93" s="64" t="n"/>
      <c r="BX93" s="64" t="n"/>
      <c r="BY93" s="64" t="n"/>
      <c r="BZ93" s="64" t="n"/>
      <c r="CA93" s="64" t="n"/>
    </row>
    <row r="94" ht="20.25" customHeight="1">
      <c r="A94" s="2202" t="inlineStr">
        <is>
          <t>(N)</t>
        </is>
      </c>
      <c r="B94" s="2209" t="inlineStr">
        <is>
          <t>Av‡e`bKvixi PwiÎ Ges FY cwi‡kv‡ai wek¦¯ÍZvi wel‡q gšÍe¨ Kiæb|</t>
        </is>
      </c>
      <c r="C94" s="2624" t="n"/>
      <c r="D94" s="2624" t="n"/>
      <c r="E94" s="2624" t="n"/>
      <c r="F94" s="2624" t="n"/>
      <c r="G94" s="2624" t="n"/>
      <c r="H94" s="2624" t="n"/>
      <c r="I94" s="2624" t="n"/>
      <c r="J94" s="2624" t="n"/>
      <c r="K94" s="2624" t="n"/>
      <c r="L94" s="2624" t="n"/>
      <c r="M94" s="2624" t="n"/>
      <c r="N94" s="2624" t="n"/>
      <c r="O94" s="2624" t="n"/>
      <c r="P94" s="2624" t="n"/>
      <c r="Q94" s="2624" t="n"/>
      <c r="R94" s="2624" t="n"/>
      <c r="S94" s="2624" t="n"/>
      <c r="T94" s="2624" t="n"/>
      <c r="U94" s="2624" t="n"/>
      <c r="V94" s="2624" t="n"/>
      <c r="W94" s="2642" t="n"/>
      <c r="X94" s="2214" t="inlineStr">
        <is>
          <t>PwiÎ fvj Ges FY cwi‡kv‡ai wek¦vm Av‡Q|</t>
        </is>
      </c>
      <c r="Y94" s="2624" t="n"/>
      <c r="Z94" s="2624" t="n"/>
      <c r="AA94" s="2624" t="n"/>
      <c r="AB94" s="2624" t="n"/>
      <c r="AC94" s="2624" t="n"/>
      <c r="AD94" s="2624" t="n"/>
      <c r="AE94" s="2624" t="n"/>
      <c r="AF94" s="2624" t="n"/>
      <c r="AG94" s="2624" t="n"/>
      <c r="AH94" s="2624" t="n"/>
      <c r="AI94" s="2624" t="n"/>
      <c r="AJ94" s="2624" t="n"/>
      <c r="AK94" s="2624" t="n"/>
      <c r="AL94" s="2624" t="n"/>
      <c r="AM94" s="2642" t="n"/>
      <c r="AN94" s="64" t="n"/>
      <c r="AO94" s="136" t="n"/>
      <c r="AP94" s="64" t="n"/>
      <c r="AQ94" s="64" t="n"/>
      <c r="AR94" s="64" t="n"/>
      <c r="AS94" s="64" t="n"/>
      <c r="AT94" s="64" t="n"/>
      <c r="AU94" s="64" t="n"/>
      <c r="AV94" s="64" t="n"/>
      <c r="AW94" s="64" t="n"/>
      <c r="AX94" s="64" t="n"/>
      <c r="AY94" s="136" t="n"/>
      <c r="AZ94" s="64" t="n"/>
      <c r="BA94" s="64" t="n"/>
      <c r="BB94" s="64" t="n"/>
      <c r="BC94" s="64" t="n"/>
      <c r="BD94" s="64" t="n"/>
      <c r="BE94" s="64" t="n"/>
      <c r="BF94" s="308" t="n"/>
      <c r="BG94" s="64" t="n"/>
      <c r="BH94" s="64" t="n"/>
      <c r="BI94" s="136" t="n"/>
      <c r="BJ94" s="64" t="n"/>
      <c r="BK94" s="64" t="n"/>
      <c r="BL94" s="64" t="n"/>
      <c r="BM94" s="64" t="n"/>
      <c r="BN94" s="64" t="n"/>
      <c r="BO94" s="64" t="n"/>
      <c r="BP94" s="64" t="n"/>
      <c r="BQ94" s="64" t="n"/>
      <c r="BR94" s="64" t="n"/>
      <c r="BS94" s="64" t="n"/>
      <c r="BT94" s="64" t="n"/>
      <c r="BU94" s="64" t="n"/>
      <c r="BV94" s="64" t="n"/>
      <c r="BW94" s="64" t="n"/>
      <c r="BX94" s="64" t="n"/>
      <c r="BY94" s="64" t="n"/>
      <c r="BZ94" s="64" t="n"/>
      <c r="CA94" s="64" t="n"/>
    </row>
    <row r="95" ht="20.25" customHeight="1">
      <c r="A95" s="2618" t="n"/>
      <c r="B95" s="2648" t="n"/>
      <c r="C95" s="2613" t="n"/>
      <c r="D95" s="2613" t="n"/>
      <c r="E95" s="2613" t="n"/>
      <c r="F95" s="2613" t="n"/>
      <c r="G95" s="2613" t="n"/>
      <c r="H95" s="2613" t="n"/>
      <c r="I95" s="2613" t="n"/>
      <c r="J95" s="2613" t="n"/>
      <c r="K95" s="2613" t="n"/>
      <c r="L95" s="2613" t="n"/>
      <c r="M95" s="2613" t="n"/>
      <c r="N95" s="2613" t="n"/>
      <c r="O95" s="2613" t="n"/>
      <c r="P95" s="2613" t="n"/>
      <c r="Q95" s="2613" t="n"/>
      <c r="R95" s="2613" t="n"/>
      <c r="S95" s="2613" t="n"/>
      <c r="T95" s="2613" t="n"/>
      <c r="U95" s="2613" t="n"/>
      <c r="V95" s="2613" t="n"/>
      <c r="W95" s="2649" t="n"/>
      <c r="X95" s="2648" t="n"/>
      <c r="Y95" s="2613" t="n"/>
      <c r="Z95" s="2613" t="n"/>
      <c r="AA95" s="2613" t="n"/>
      <c r="AB95" s="2613" t="n"/>
      <c r="AC95" s="2613" t="n"/>
      <c r="AD95" s="2613" t="n"/>
      <c r="AE95" s="2613" t="n"/>
      <c r="AF95" s="2613" t="n"/>
      <c r="AG95" s="2613" t="n"/>
      <c r="AH95" s="2613" t="n"/>
      <c r="AI95" s="2613" t="n"/>
      <c r="AJ95" s="2613" t="n"/>
      <c r="AK95" s="2613" t="n"/>
      <c r="AL95" s="2613" t="n"/>
      <c r="AM95" s="2649" t="n"/>
      <c r="AN95" s="64" t="n"/>
      <c r="AO95" s="136" t="n"/>
      <c r="AP95" s="64" t="n"/>
      <c r="AQ95" s="64" t="n"/>
      <c r="AR95" s="64" t="n"/>
      <c r="AS95" s="64" t="n"/>
      <c r="AT95" s="64" t="n"/>
      <c r="AU95" s="64" t="n"/>
      <c r="AV95" s="64" t="n"/>
      <c r="AW95" s="64" t="n"/>
      <c r="AX95" s="64" t="n"/>
      <c r="AY95" s="136" t="n"/>
      <c r="AZ95" s="64" t="n"/>
      <c r="BA95" s="64" t="n"/>
      <c r="BB95" s="64" t="n"/>
      <c r="BC95" s="64" t="n"/>
      <c r="BD95" s="64" t="n"/>
      <c r="BE95" s="64" t="n"/>
      <c r="BF95" s="308" t="n"/>
      <c r="BG95" s="64" t="n"/>
      <c r="BH95" s="64" t="n"/>
      <c r="BI95" s="136" t="n"/>
      <c r="BJ95" s="64" t="n"/>
      <c r="BK95" s="64" t="n"/>
      <c r="BL95" s="64" t="n"/>
      <c r="BM95" s="64" t="n"/>
      <c r="BN95" s="64" t="n"/>
      <c r="BO95" s="64" t="n"/>
      <c r="BP95" s="64" t="n"/>
      <c r="BQ95" s="64" t="n"/>
      <c r="BR95" s="64" t="n"/>
      <c r="BS95" s="64" t="n"/>
      <c r="BT95" s="64" t="n"/>
      <c r="BU95" s="64" t="n"/>
      <c r="BV95" s="64" t="n"/>
      <c r="BW95" s="64" t="n"/>
      <c r="BX95" s="64" t="n"/>
      <c r="BY95" s="64" t="n"/>
      <c r="BZ95" s="64" t="n"/>
      <c r="CA95" s="64" t="n"/>
    </row>
    <row r="96" ht="20.25" customHeight="1">
      <c r="A96" s="1137" t="inlineStr">
        <is>
          <t>(O)</t>
        </is>
      </c>
      <c r="B96" s="652" t="inlineStr">
        <is>
          <t>Av‡e`bKvixi †gvU gvwjKvbvaxb Rwgi cwigvY</t>
        </is>
      </c>
      <c r="C96" s="2614" t="n"/>
      <c r="D96" s="2614" t="n"/>
      <c r="E96" s="2614" t="n"/>
      <c r="F96" s="2614" t="n"/>
      <c r="G96" s="2614" t="n"/>
      <c r="H96" s="2614" t="n"/>
      <c r="I96" s="2614" t="n"/>
      <c r="J96" s="2614" t="n"/>
      <c r="K96" s="2614" t="n"/>
      <c r="L96" s="2614" t="n"/>
      <c r="M96" s="2614" t="n"/>
      <c r="N96" s="2614" t="n"/>
      <c r="O96" s="2614" t="n"/>
      <c r="P96" s="2614" t="n"/>
      <c r="Q96" s="2614" t="n"/>
      <c r="R96" s="2614" t="n"/>
      <c r="S96" s="2614" t="n"/>
      <c r="T96" s="2614" t="n"/>
      <c r="U96" s="2614" t="n"/>
      <c r="V96" s="2614" t="n"/>
      <c r="W96" s="2617" t="n"/>
      <c r="X96" s="2217" t="inlineStr">
        <is>
          <t>0.51 GKi</t>
        </is>
      </c>
      <c r="Y96" s="2614" t="n"/>
      <c r="Z96" s="2614" t="n"/>
      <c r="AA96" s="2614" t="n"/>
      <c r="AB96" s="2614" t="n"/>
      <c r="AC96" s="2614" t="n"/>
      <c r="AD96" s="2614" t="n"/>
      <c r="AE96" s="2614" t="n"/>
      <c r="AF96" s="2614" t="n"/>
      <c r="AG96" s="2614" t="n"/>
      <c r="AH96" s="2614" t="n"/>
      <c r="AI96" s="2614" t="n"/>
      <c r="AJ96" s="2614" t="n"/>
      <c r="AK96" s="2614" t="n"/>
      <c r="AL96" s="2614" t="n"/>
      <c r="AM96" s="2617" t="n"/>
      <c r="AN96" s="64" t="n"/>
      <c r="AO96" s="136" t="n"/>
      <c r="AP96" s="64" t="n"/>
      <c r="AQ96" s="64" t="n"/>
      <c r="AR96" s="64" t="n"/>
      <c r="AS96" s="64" t="n"/>
      <c r="AT96" s="64" t="n"/>
      <c r="AU96" s="64" t="n"/>
      <c r="AV96" s="64" t="n"/>
      <c r="AW96" s="64" t="n"/>
      <c r="AX96" s="64" t="n"/>
      <c r="AY96" s="136" t="n"/>
      <c r="AZ96" s="64" t="n"/>
      <c r="BA96" s="64" t="n"/>
      <c r="BB96" s="64" t="n"/>
      <c r="BC96" s="64" t="n"/>
      <c r="BD96" s="64" t="n"/>
      <c r="BE96" s="64" t="n"/>
      <c r="BF96" s="308" t="n"/>
      <c r="BG96" s="64" t="n"/>
      <c r="BH96" s="64" t="n"/>
      <c r="BI96" s="136" t="n"/>
      <c r="BJ96" s="64" t="n"/>
      <c r="BK96" s="64" t="n"/>
      <c r="BL96" s="64" t="n"/>
      <c r="BM96" s="64" t="n"/>
      <c r="BN96" s="64" t="n"/>
      <c r="BO96" s="64" t="n"/>
      <c r="BP96" s="64" t="n"/>
      <c r="BQ96" s="64" t="n"/>
      <c r="BR96" s="64" t="n"/>
      <c r="BS96" s="64" t="n"/>
      <c r="BT96" s="64" t="n"/>
      <c r="BU96" s="64" t="n"/>
      <c r="BV96" s="64" t="n"/>
      <c r="BW96" s="64" t="n"/>
      <c r="BX96" s="64" t="n"/>
      <c r="BY96" s="64" t="n"/>
      <c r="BZ96" s="64" t="n"/>
      <c r="CA96" s="64" t="n"/>
    </row>
    <row r="97" ht="20.25" customHeight="1">
      <c r="A97" s="111" t="n"/>
      <c r="B97" s="98" t="n"/>
      <c r="C97" s="98" t="n"/>
      <c r="D97" s="98" t="n"/>
      <c r="E97" s="248" t="n"/>
      <c r="F97" s="98" t="n"/>
      <c r="G97" s="2219" t="n"/>
      <c r="H97" s="247" t="n"/>
      <c r="I97" s="247" t="n"/>
      <c r="J97" s="98" t="n"/>
      <c r="K97" s="247" t="n"/>
      <c r="L97" s="98" t="n"/>
      <c r="M97" s="247" t="n"/>
      <c r="N97" s="98" t="n"/>
      <c r="O97" s="533" t="n"/>
      <c r="P97" s="2220" t="n"/>
      <c r="Q97" s="247" t="n"/>
      <c r="R97" s="2220" t="n"/>
      <c r="S97" s="247" t="n"/>
      <c r="T97" s="247" t="n"/>
      <c r="U97" s="98" t="n"/>
      <c r="V97" s="98" t="n"/>
      <c r="W97" s="98" t="n"/>
      <c r="X97" s="98" t="n"/>
      <c r="Y97" s="247" t="n"/>
      <c r="Z97" s="98" t="n"/>
      <c r="AA97" s="98" t="n"/>
      <c r="AB97" s="98" t="n"/>
      <c r="AC97" s="98" t="n"/>
      <c r="AD97" s="247" t="n"/>
      <c r="AE97" s="98" t="n"/>
      <c r="AF97" s="98" t="n"/>
      <c r="AG97" s="98" t="n"/>
      <c r="AH97" s="98" t="n"/>
      <c r="AI97" s="247" t="n"/>
      <c r="AJ97" s="98" t="n"/>
      <c r="AK97" s="98" t="n"/>
      <c r="AL97" s="98" t="n"/>
      <c r="AM97" s="98" t="n"/>
      <c r="AN97" s="64" t="n"/>
      <c r="AO97" s="136" t="n"/>
      <c r="AP97" s="64" t="n"/>
      <c r="AQ97" s="64" t="n"/>
      <c r="AR97" s="64" t="n"/>
      <c r="AS97" s="64" t="n"/>
      <c r="AT97" s="64" t="n"/>
      <c r="AU97" s="64" t="n"/>
      <c r="AV97" s="64" t="n"/>
      <c r="AW97" s="64" t="n"/>
      <c r="AX97" s="64" t="n"/>
      <c r="AY97" s="136" t="n"/>
      <c r="AZ97" s="64" t="n"/>
      <c r="BA97" s="64" t="n"/>
      <c r="BB97" s="64" t="n"/>
      <c r="BC97" s="64" t="n"/>
      <c r="BD97" s="64" t="n"/>
      <c r="BE97" s="64" t="n"/>
      <c r="BF97" s="308" t="n"/>
      <c r="BG97" s="64" t="n"/>
      <c r="BH97" s="64" t="n"/>
      <c r="BI97" s="136" t="n"/>
      <c r="BJ97" s="64" t="n"/>
      <c r="BK97" s="64" t="n"/>
      <c r="BL97" s="64" t="n"/>
      <c r="BM97" s="64" t="n"/>
      <c r="BN97" s="64" t="n"/>
      <c r="BO97" s="64" t="n"/>
      <c r="BP97" s="64" t="n"/>
      <c r="BQ97" s="64" t="n"/>
      <c r="BR97" s="64" t="n"/>
      <c r="BS97" s="64" t="n"/>
      <c r="BT97" s="64" t="n"/>
      <c r="BU97" s="64" t="n"/>
      <c r="BV97" s="64" t="n"/>
      <c r="BW97" s="64" t="n"/>
      <c r="BX97" s="64" t="n"/>
      <c r="BY97" s="64" t="n"/>
      <c r="BZ97" s="64" t="n"/>
      <c r="CA97" s="64" t="n"/>
    </row>
    <row r="98" ht="20.25" customHeight="1">
      <c r="A98" s="2054" t="inlineStr">
        <is>
          <t>7|</t>
        </is>
      </c>
      <c r="B98" s="666" t="inlineStr">
        <is>
          <t>¯‹xg/cÖK‡íi m¤¢ve¨Zv m¤ú‡K© c~e©vbygvYKvix Kg©KZ©v/Kg©Pvixi gšÍe¨t</t>
        </is>
      </c>
      <c r="AN98" s="64" t="n"/>
      <c r="AO98" s="136" t="n"/>
      <c r="AP98" s="64" t="n"/>
      <c r="AQ98" s="64" t="n"/>
      <c r="AR98" s="64" t="n"/>
      <c r="AS98" s="64" t="n"/>
      <c r="AT98" s="64" t="n"/>
      <c r="AU98" s="64" t="n"/>
      <c r="AV98" s="64" t="n"/>
      <c r="AW98" s="64" t="n"/>
      <c r="AX98" s="64" t="n"/>
      <c r="AY98" s="136" t="n"/>
      <c r="AZ98" s="64" t="n"/>
      <c r="BA98" s="64" t="n"/>
      <c r="BB98" s="64" t="n"/>
      <c r="BC98" s="64" t="n"/>
      <c r="BD98" s="64" t="n"/>
      <c r="BE98" s="64" t="n"/>
      <c r="BF98" s="308" t="n"/>
      <c r="BG98" s="64" t="n"/>
      <c r="BH98" s="64" t="n"/>
      <c r="BI98" s="136" t="n"/>
      <c r="BJ98" s="64" t="n"/>
      <c r="BK98" s="64" t="n"/>
      <c r="BL98" s="64" t="n"/>
      <c r="BM98" s="64" t="n"/>
      <c r="BN98" s="64" t="n"/>
      <c r="BO98" s="64" t="n"/>
      <c r="BP98" s="64" t="n"/>
      <c r="BQ98" s="64" t="n"/>
      <c r="BR98" s="64" t="n"/>
      <c r="BS98" s="64" t="n"/>
      <c r="BT98" s="64" t="n"/>
      <c r="BU98" s="64" t="n"/>
      <c r="BV98" s="64" t="n"/>
      <c r="BW98" s="64" t="n"/>
      <c r="BX98" s="64" t="n"/>
      <c r="BY98" s="64" t="n"/>
      <c r="BZ98" s="64" t="n"/>
      <c r="CA98" s="64" t="n"/>
    </row>
    <row r="99" ht="35.25" customHeight="1">
      <c r="A99" s="2165" t="n"/>
      <c r="B99" s="1964" t="inlineStr">
        <is>
          <t>(cÖ‡qvRb‡ev‡a c„_K KvMR e¨envi Kwi‡Z nB‡e| )</t>
        </is>
      </c>
      <c r="AN99" s="64" t="n"/>
      <c r="AO99" s="136" t="n"/>
      <c r="AP99" s="64" t="n"/>
      <c r="AQ99" s="64" t="n"/>
      <c r="AR99" s="64" t="n"/>
      <c r="AS99" s="64" t="n"/>
      <c r="AT99" s="64" t="n"/>
      <c r="AU99" s="64" t="n"/>
      <c r="AV99" s="64" t="n"/>
      <c r="AW99" s="64" t="n"/>
      <c r="AX99" s="64" t="n"/>
      <c r="AY99" s="136" t="n"/>
      <c r="AZ99" s="64" t="n"/>
      <c r="BA99" s="64" t="n"/>
      <c r="BB99" s="64" t="n"/>
      <c r="BC99" s="64" t="n"/>
      <c r="BD99" s="64" t="n"/>
      <c r="BE99" s="64" t="n"/>
      <c r="BF99" s="308" t="n"/>
      <c r="BG99" s="64" t="n"/>
      <c r="BH99" s="64" t="n"/>
      <c r="BI99" s="136" t="n"/>
      <c r="BJ99" s="64" t="n"/>
      <c r="BK99" s="64" t="n"/>
      <c r="BL99" s="64" t="n"/>
      <c r="BM99" s="64" t="n"/>
      <c r="BN99" s="64" t="n"/>
      <c r="BO99" s="64" t="n"/>
      <c r="BP99" s="64" t="n"/>
      <c r="BQ99" s="64" t="n"/>
      <c r="BR99" s="64" t="n"/>
      <c r="BS99" s="64" t="n"/>
      <c r="BT99" s="64" t="n"/>
      <c r="BU99" s="64" t="n"/>
      <c r="BV99" s="64" t="n"/>
      <c r="BW99" s="64" t="n"/>
      <c r="BX99" s="64" t="n"/>
      <c r="BY99" s="64" t="n"/>
      <c r="BZ99" s="64" t="n"/>
      <c r="CA99" s="64" t="n"/>
    </row>
    <row r="100" ht="33.75" customFormat="1" customHeight="1" s="18">
      <c r="A100" s="2221">
        <f>+'Data Input'!B49</f>
        <v/>
      </c>
      <c r="AN100" s="103" t="n"/>
      <c r="AO100" s="225" t="n"/>
      <c r="AP100" s="103" t="n"/>
      <c r="AQ100" s="103" t="n"/>
      <c r="AR100" s="103" t="n"/>
      <c r="AS100" s="103" t="n"/>
      <c r="AT100" s="103" t="n"/>
      <c r="AU100" s="103" t="n"/>
      <c r="AV100" s="103" t="n"/>
      <c r="AW100" s="103" t="n"/>
      <c r="AX100" s="103" t="n"/>
      <c r="AY100" s="225" t="n"/>
      <c r="AZ100" s="103" t="n"/>
      <c r="BA100" s="103" t="n"/>
      <c r="BB100" s="103" t="n"/>
      <c r="BC100" s="103" t="n"/>
      <c r="BD100" s="103" t="n"/>
      <c r="BE100" s="103" t="n"/>
      <c r="BF100" s="555" t="n"/>
      <c r="BG100" s="103" t="n"/>
      <c r="BH100" s="103" t="n"/>
      <c r="BI100" s="225" t="n"/>
      <c r="BJ100" s="103" t="n"/>
      <c r="BK100" s="103" t="n"/>
      <c r="BL100" s="103" t="n"/>
      <c r="BM100" s="103" t="n"/>
      <c r="BN100" s="103" t="n"/>
      <c r="BO100" s="103" t="n"/>
      <c r="BP100" s="103" t="n"/>
      <c r="BQ100" s="103" t="n"/>
      <c r="BR100" s="103" t="n"/>
      <c r="BS100" s="103" t="n"/>
      <c r="BT100" s="103" t="n"/>
      <c r="BU100" s="103" t="n"/>
      <c r="BV100" s="103" t="n"/>
      <c r="BW100" s="103" t="n"/>
      <c r="BX100" s="103" t="n"/>
      <c r="BY100" s="103" t="n"/>
      <c r="BZ100" s="103" t="n"/>
      <c r="CA100" s="103" t="n"/>
    </row>
    <row r="101" ht="64.5" customFormat="1" customHeight="1" s="18">
      <c r="AN101" s="103" t="n"/>
      <c r="AO101" s="225" t="n"/>
      <c r="AP101" s="103" t="n"/>
      <c r="AQ101" s="103" t="n"/>
      <c r="AR101" s="103" t="n"/>
      <c r="AS101" s="103" t="n"/>
      <c r="AT101" s="103" t="n"/>
      <c r="AU101" s="103" t="n"/>
      <c r="AV101" s="103" t="n"/>
      <c r="AW101" s="103" t="n"/>
      <c r="AX101" s="103" t="n"/>
      <c r="AY101" s="225" t="n"/>
      <c r="AZ101" s="103" t="n"/>
      <c r="BA101" s="103" t="n"/>
      <c r="BB101" s="103" t="n"/>
      <c r="BC101" s="103" t="n"/>
      <c r="BD101" s="103" t="n"/>
      <c r="BE101" s="103" t="n"/>
      <c r="BF101" s="555" t="n"/>
      <c r="BG101" s="103" t="n"/>
      <c r="BH101" s="103" t="n"/>
      <c r="BI101" s="225" t="n"/>
      <c r="BJ101" s="103" t="n"/>
      <c r="BK101" s="103" t="n"/>
      <c r="BL101" s="103" t="n"/>
      <c r="BM101" s="103" t="n"/>
      <c r="BN101" s="103" t="n"/>
      <c r="BO101" s="103" t="n"/>
      <c r="BP101" s="103" t="n"/>
      <c r="BQ101" s="103" t="n"/>
      <c r="BR101" s="103" t="n"/>
      <c r="BS101" s="103" t="n"/>
      <c r="BT101" s="103" t="n"/>
      <c r="BU101" s="103" t="n"/>
      <c r="BV101" s="103" t="n"/>
      <c r="BW101" s="103" t="n"/>
      <c r="BX101" s="103" t="n"/>
      <c r="BY101" s="103" t="n"/>
      <c r="BZ101" s="103" t="n"/>
      <c r="CA101" s="103" t="n"/>
    </row>
    <row r="102" ht="41.25" customFormat="1" customHeight="1" s="18">
      <c r="AN102" s="103" t="n"/>
      <c r="AO102" s="225" t="n"/>
      <c r="AP102" s="103" t="n"/>
      <c r="AQ102" s="103" t="n"/>
      <c r="AR102" s="103" t="n"/>
      <c r="AS102" s="103" t="n"/>
      <c r="AT102" s="103" t="n"/>
      <c r="AU102" s="103" t="n"/>
      <c r="AV102" s="103" t="n"/>
      <c r="AW102" s="103" t="n"/>
      <c r="AX102" s="103" t="n"/>
      <c r="AY102" s="225" t="n"/>
      <c r="AZ102" s="103" t="n"/>
      <c r="BA102" s="103" t="n"/>
      <c r="BB102" s="103" t="n"/>
      <c r="BC102" s="103" t="n"/>
      <c r="BD102" s="103" t="n"/>
      <c r="BE102" s="103" t="n"/>
      <c r="BF102" s="555" t="n"/>
      <c r="BG102" s="103" t="n"/>
      <c r="BH102" s="103" t="n"/>
      <c r="BI102" s="225" t="n"/>
      <c r="BJ102" s="103" t="n"/>
      <c r="BK102" s="103" t="n"/>
      <c r="BL102" s="103" t="n"/>
      <c r="BM102" s="103" t="n"/>
      <c r="BN102" s="103" t="n"/>
      <c r="BO102" s="103" t="n"/>
      <c r="BP102" s="103" t="n"/>
      <c r="BQ102" s="103" t="n"/>
      <c r="BR102" s="103" t="n"/>
      <c r="BS102" s="103" t="n"/>
      <c r="BT102" s="103" t="n"/>
      <c r="BU102" s="103" t="n"/>
      <c r="BV102" s="103" t="n"/>
      <c r="BW102" s="103" t="n"/>
      <c r="BX102" s="103" t="n"/>
      <c r="BY102" s="103" t="n"/>
      <c r="BZ102" s="103" t="n"/>
      <c r="CA102" s="103" t="n"/>
    </row>
    <row r="103" ht="50.25" customFormat="1" customHeight="1" s="18">
      <c r="AN103" s="103" t="n"/>
      <c r="AO103" s="225" t="n"/>
      <c r="AP103" s="103" t="n"/>
      <c r="AQ103" s="103" t="n"/>
      <c r="AR103" s="103" t="n"/>
      <c r="AS103" s="103" t="n"/>
      <c r="AT103" s="103" t="n"/>
      <c r="AU103" s="103" t="n"/>
      <c r="AV103" s="103" t="n"/>
      <c r="AW103" s="103" t="n"/>
      <c r="AX103" s="103" t="n"/>
      <c r="AY103" s="225" t="n"/>
      <c r="AZ103" s="103" t="n"/>
      <c r="BA103" s="103" t="n"/>
      <c r="BB103" s="103" t="n"/>
      <c r="BC103" s="103" t="n"/>
      <c r="BD103" s="103" t="n"/>
      <c r="BE103" s="103" t="n"/>
      <c r="BF103" s="555" t="n"/>
      <c r="BG103" s="103" t="n"/>
      <c r="BH103" s="103" t="n"/>
      <c r="BI103" s="225" t="n"/>
      <c r="BJ103" s="103" t="n"/>
      <c r="BK103" s="103" t="n"/>
      <c r="BL103" s="103" t="n"/>
      <c r="BM103" s="103" t="n"/>
      <c r="BN103" s="103" t="n"/>
      <c r="BO103" s="103" t="n"/>
      <c r="BP103" s="103" t="n"/>
      <c r="BQ103" s="103" t="n"/>
      <c r="BR103" s="103" t="n"/>
      <c r="BS103" s="103" t="n"/>
      <c r="BT103" s="103" t="n"/>
      <c r="BU103" s="103" t="n"/>
      <c r="BV103" s="103" t="n"/>
      <c r="BW103" s="103" t="n"/>
      <c r="BX103" s="103" t="n"/>
      <c r="BY103" s="103" t="n"/>
      <c r="BZ103" s="103" t="n"/>
      <c r="CA103" s="103" t="n"/>
    </row>
    <row r="104" ht="50.25" customFormat="1" customHeight="1" s="18">
      <c r="AN104" s="103" t="n"/>
      <c r="AO104" s="225" t="n"/>
      <c r="AP104" s="103" t="n"/>
      <c r="AQ104" s="103" t="n"/>
      <c r="AR104" s="103" t="n"/>
      <c r="AS104" s="103" t="n"/>
      <c r="AT104" s="103" t="n"/>
      <c r="AU104" s="103" t="n"/>
      <c r="AV104" s="103" t="n"/>
      <c r="AW104" s="103" t="n"/>
      <c r="AX104" s="103" t="n"/>
      <c r="AY104" s="225" t="n"/>
      <c r="AZ104" s="103" t="n"/>
      <c r="BA104" s="103" t="n"/>
      <c r="BB104" s="103" t="n"/>
      <c r="BC104" s="103" t="n"/>
      <c r="BD104" s="103" t="n"/>
      <c r="BE104" s="103" t="n"/>
      <c r="BF104" s="555" t="n"/>
      <c r="BG104" s="103" t="n"/>
      <c r="BH104" s="103" t="n"/>
      <c r="BI104" s="225" t="n"/>
      <c r="BJ104" s="103" t="n"/>
      <c r="BK104" s="103" t="n"/>
      <c r="BL104" s="103" t="n"/>
      <c r="BM104" s="103" t="n"/>
      <c r="BN104" s="103" t="n"/>
      <c r="BO104" s="103" t="n"/>
      <c r="BP104" s="103" t="n"/>
      <c r="BQ104" s="103" t="n"/>
      <c r="BR104" s="103" t="n"/>
      <c r="BS104" s="103" t="n"/>
      <c r="BT104" s="103" t="n"/>
      <c r="BU104" s="103" t="n"/>
      <c r="BV104" s="103" t="n"/>
      <c r="BW104" s="103" t="n"/>
      <c r="BX104" s="103" t="n"/>
      <c r="BY104" s="103" t="n"/>
      <c r="BZ104" s="103" t="n"/>
      <c r="CA104" s="103" t="n"/>
    </row>
    <row r="105" ht="44.25" customFormat="1" customHeight="1" s="18">
      <c r="A105" s="2048" t="n"/>
      <c r="B105" s="206" t="n"/>
      <c r="C105" s="206" t="n"/>
      <c r="D105" s="206" t="n"/>
      <c r="E105" s="2046" t="n"/>
      <c r="F105" s="206" t="n"/>
      <c r="G105" s="2047" t="n"/>
      <c r="H105" s="2048" t="n"/>
      <c r="I105" s="2048" t="n"/>
      <c r="J105" s="206" t="n"/>
      <c r="K105" s="2048" t="n"/>
      <c r="L105" s="206" t="n"/>
      <c r="M105" s="2048" t="n"/>
      <c r="N105" s="206" t="n"/>
      <c r="O105" s="2049" t="n"/>
      <c r="P105" s="2050" t="n"/>
      <c r="Q105" s="2048" t="n"/>
      <c r="R105" s="2050" t="n"/>
      <c r="S105" s="2048" t="n"/>
      <c r="T105" s="2048" t="n"/>
      <c r="U105" s="206" t="n"/>
      <c r="V105" s="206" t="n"/>
      <c r="W105" s="206" t="n"/>
      <c r="X105" s="206" t="n"/>
      <c r="Y105" s="2048" t="n"/>
      <c r="Z105" s="206" t="n"/>
      <c r="AA105" s="206" t="n"/>
      <c r="AB105" s="206" t="n"/>
      <c r="AC105" s="206" t="n"/>
      <c r="AD105" s="2048" t="n"/>
      <c r="AE105" s="206" t="n"/>
      <c r="AF105" s="206" t="n"/>
      <c r="AG105" s="206" t="n"/>
      <c r="AH105" s="206" t="n"/>
      <c r="AI105" s="2048" t="n"/>
      <c r="AJ105" s="206" t="n"/>
      <c r="AK105" s="206" t="n"/>
      <c r="AL105" s="206" t="n"/>
      <c r="AM105" s="206" t="n"/>
      <c r="AN105" s="103" t="n"/>
      <c r="AO105" s="225" t="n"/>
      <c r="AP105" s="103" t="n"/>
      <c r="AQ105" s="103" t="n"/>
      <c r="AR105" s="103" t="n"/>
      <c r="AS105" s="103" t="n"/>
      <c r="AT105" s="103" t="n"/>
      <c r="AU105" s="103" t="n"/>
      <c r="AV105" s="103" t="n"/>
      <c r="AW105" s="103" t="n"/>
      <c r="AX105" s="103" t="n"/>
      <c r="AY105" s="225" t="n"/>
      <c r="AZ105" s="103" t="n"/>
      <c r="BA105" s="103" t="n"/>
      <c r="BB105" s="103" t="n"/>
      <c r="BC105" s="103" t="n"/>
      <c r="BD105" s="103" t="n"/>
      <c r="BE105" s="103" t="n"/>
      <c r="BF105" s="555" t="n"/>
      <c r="BG105" s="103" t="n"/>
      <c r="BH105" s="103" t="n"/>
      <c r="BI105" s="225" t="n"/>
      <c r="BJ105" s="103" t="n"/>
      <c r="BK105" s="103" t="n"/>
      <c r="BL105" s="103" t="n"/>
      <c r="BM105" s="103" t="n"/>
      <c r="BN105" s="103" t="n"/>
      <c r="BO105" s="103" t="n"/>
      <c r="BP105" s="103" t="n"/>
      <c r="BQ105" s="103" t="n"/>
      <c r="BR105" s="103" t="n"/>
      <c r="BS105" s="103" t="n"/>
      <c r="BT105" s="103" t="n"/>
      <c r="BU105" s="103" t="n"/>
      <c r="BV105" s="103" t="n"/>
      <c r="BW105" s="103" t="n"/>
      <c r="BX105" s="103" t="n"/>
      <c r="BY105" s="103" t="n"/>
      <c r="BZ105" s="103" t="n"/>
      <c r="CA105" s="103" t="n"/>
    </row>
    <row r="106" ht="49.5" customHeight="1">
      <c r="A106" s="136" t="n"/>
      <c r="B106" s="295" t="n"/>
      <c r="C106" s="295" t="n"/>
      <c r="D106" s="295" t="n"/>
      <c r="E106" s="296" t="n"/>
      <c r="F106" s="789" t="n"/>
      <c r="G106" s="1236" t="n"/>
      <c r="H106" s="790" t="n"/>
      <c r="I106" s="790" t="n"/>
      <c r="J106" s="789" t="n"/>
      <c r="K106" s="790" t="n"/>
      <c r="L106" s="789" t="n"/>
      <c r="M106" s="790" t="n"/>
      <c r="N106" s="789" t="n"/>
      <c r="O106" s="2222" t="n"/>
      <c r="P106" s="2223" t="n"/>
      <c r="Q106" s="790" t="n"/>
      <c r="R106" s="2223" t="n"/>
      <c r="S106" s="790" t="n"/>
      <c r="T106" s="790" t="n"/>
      <c r="U106" s="399" t="n"/>
      <c r="V106" s="399" t="n"/>
      <c r="W106" s="399" t="n"/>
      <c r="X106" s="399" t="n"/>
      <c r="Y106" s="534" t="n"/>
      <c r="Z106" s="535" t="n"/>
      <c r="AA106" s="535" t="n"/>
      <c r="AB106" s="535" t="n"/>
      <c r="AC106" s="535" t="n"/>
      <c r="AD106" s="534" t="n"/>
      <c r="AE106" s="535" t="n"/>
      <c r="AF106" s="535" t="n"/>
      <c r="AG106" s="535" t="n"/>
      <c r="AH106" s="535" t="n"/>
      <c r="AI106" s="534" t="n"/>
      <c r="AJ106" s="535" t="n"/>
      <c r="AK106" s="535" t="n"/>
      <c r="AL106" s="535" t="n"/>
      <c r="AM106" s="535" t="n"/>
      <c r="AN106" s="64" t="n"/>
      <c r="AO106" s="136" t="n"/>
      <c r="AP106" s="64" t="n"/>
      <c r="AQ106" s="64" t="n"/>
      <c r="AR106" s="64" t="n"/>
      <c r="AS106" s="64" t="n"/>
      <c r="AT106" s="64" t="n"/>
      <c r="AU106" s="64" t="n"/>
      <c r="AV106" s="64" t="n"/>
      <c r="AW106" s="64" t="n"/>
      <c r="AX106" s="64" t="n"/>
      <c r="AY106" s="136" t="n"/>
      <c r="AZ106" s="64" t="n"/>
      <c r="BA106" s="64" t="n"/>
      <c r="BB106" s="64" t="n"/>
      <c r="BC106" s="64" t="n"/>
      <c r="BD106" s="64" t="n"/>
      <c r="BE106" s="64" t="n"/>
      <c r="BF106" s="308" t="n"/>
      <c r="BG106" s="64" t="n"/>
      <c r="BH106" s="64" t="n"/>
      <c r="BI106" s="136" t="n"/>
      <c r="BJ106" s="64" t="n"/>
      <c r="BK106" s="64" t="n"/>
      <c r="BL106" s="64" t="n"/>
      <c r="BM106" s="64" t="n"/>
      <c r="BN106" s="64" t="n"/>
      <c r="BO106" s="64" t="n"/>
      <c r="BP106" s="64" t="n"/>
      <c r="BQ106" s="64" t="n"/>
      <c r="BR106" s="64" t="n"/>
      <c r="BS106" s="64" t="n"/>
      <c r="BT106" s="64" t="n"/>
      <c r="BU106" s="64" t="n"/>
      <c r="BV106" s="64" t="n"/>
      <c r="BW106" s="64" t="n"/>
      <c r="BX106" s="64" t="n"/>
      <c r="BY106" s="64" t="n"/>
      <c r="BZ106" s="64" t="n"/>
      <c r="CA106" s="64" t="n"/>
    </row>
    <row r="107" ht="27.75" customHeight="1">
      <c r="A107" s="136" t="n"/>
      <c r="B107" s="295" t="n"/>
      <c r="C107" s="295" t="n"/>
      <c r="D107" s="295" t="n"/>
      <c r="E107" s="296" t="n"/>
      <c r="F107" s="295" t="n"/>
      <c r="G107" s="1250" t="n"/>
      <c r="H107" s="803" t="n"/>
      <c r="I107" s="803" t="n"/>
      <c r="J107" s="295" t="n"/>
      <c r="K107" s="803" t="n"/>
      <c r="L107" s="295" t="n"/>
      <c r="M107" s="803" t="n"/>
      <c r="N107" s="295" t="n"/>
      <c r="O107" s="1600" t="n"/>
      <c r="P107" s="816" t="n"/>
      <c r="Q107" s="803" t="n"/>
      <c r="R107" s="816" t="n"/>
      <c r="S107" s="803" t="n"/>
      <c r="T107" s="803" t="n"/>
      <c r="U107" s="399" t="n"/>
      <c r="V107" s="399" t="n"/>
      <c r="W107" s="399" t="n"/>
      <c r="X107" s="399" t="n"/>
      <c r="Y107" s="475" t="n"/>
      <c r="Z107" s="399" t="n"/>
      <c r="AA107" s="399" t="n"/>
      <c r="AN107" s="64" t="n"/>
      <c r="AO107" s="136" t="n"/>
      <c r="AP107" s="64" t="n"/>
      <c r="AQ107" s="64" t="n"/>
      <c r="AR107" s="64" t="n"/>
      <c r="AS107" s="64" t="n"/>
      <c r="AT107" s="64" t="n"/>
      <c r="AU107" s="64" t="n"/>
      <c r="AV107" s="64" t="n"/>
      <c r="AW107" s="64" t="n"/>
      <c r="AX107" s="64" t="n"/>
      <c r="AY107" s="136" t="n"/>
      <c r="AZ107" s="64" t="n"/>
      <c r="BA107" s="64" t="n"/>
      <c r="BB107" s="64" t="n"/>
      <c r="BC107" s="64" t="n"/>
      <c r="BD107" s="64" t="n"/>
      <c r="BE107" s="64" t="n"/>
      <c r="BF107" s="308" t="n"/>
      <c r="BG107" s="64" t="n"/>
      <c r="BH107" s="64" t="n"/>
      <c r="BI107" s="136" t="n"/>
      <c r="BJ107" s="64" t="n"/>
      <c r="BK107" s="64" t="n"/>
      <c r="BL107" s="64" t="n"/>
      <c r="BM107" s="64" t="n"/>
      <c r="BN107" s="64" t="n"/>
      <c r="BO107" s="64" t="n"/>
      <c r="BP107" s="64" t="n"/>
      <c r="BQ107" s="64" t="n"/>
      <c r="BR107" s="64" t="n"/>
      <c r="BS107" s="64" t="n"/>
      <c r="BT107" s="64" t="n"/>
      <c r="BU107" s="64" t="n"/>
      <c r="BV107" s="64" t="n"/>
      <c r="BW107" s="64" t="n"/>
      <c r="BX107" s="64" t="n"/>
      <c r="BY107" s="64" t="n"/>
      <c r="BZ107" s="64" t="n"/>
      <c r="CA107" s="64" t="n"/>
    </row>
    <row r="108" ht="20.25" customHeight="1">
      <c r="A108" s="2054" t="inlineStr">
        <is>
          <t>8|</t>
        </is>
      </c>
      <c r="B108" s="666" t="inlineStr">
        <is>
          <t>FY e¨env‡ii ci cÖZ¨vwkZ AvbygvwbK Avq t</t>
        </is>
      </c>
      <c r="AN108" s="64" t="n"/>
      <c r="AO108" s="136" t="n"/>
      <c r="AP108" s="64" t="n"/>
      <c r="AQ108" s="64" t="n"/>
      <c r="AR108" s="64" t="n"/>
      <c r="AS108" s="64" t="n"/>
      <c r="AT108" s="64" t="n"/>
      <c r="AU108" s="64" t="n"/>
      <c r="AV108" s="64" t="n"/>
      <c r="AW108" s="64" t="n"/>
      <c r="AX108" s="64" t="n"/>
      <c r="AY108" s="136" t="n"/>
      <c r="AZ108" s="64" t="n"/>
      <c r="BA108" s="64" t="n"/>
      <c r="BB108" s="64" t="n"/>
      <c r="BC108" s="64" t="n"/>
      <c r="BD108" s="64" t="n"/>
      <c r="BE108" s="64" t="n"/>
      <c r="BF108" s="308" t="n"/>
      <c r="BG108" s="64" t="n"/>
      <c r="BH108" s="64" t="n"/>
      <c r="BI108" s="136" t="n"/>
      <c r="BJ108" s="64" t="n"/>
      <c r="BK108" s="64" t="n"/>
      <c r="BL108" s="64" t="n"/>
      <c r="BM108" s="64" t="n"/>
      <c r="BN108" s="64" t="n"/>
      <c r="BO108" s="64" t="n"/>
      <c r="BP108" s="64" t="n"/>
      <c r="BQ108" s="64" t="n"/>
      <c r="BR108" s="64" t="n"/>
      <c r="BS108" s="64" t="n"/>
      <c r="BT108" s="64" t="n"/>
      <c r="BU108" s="64" t="n"/>
      <c r="BV108" s="64" t="n"/>
      <c r="BW108" s="64" t="n"/>
      <c r="BX108" s="64" t="n"/>
      <c r="BY108" s="64" t="n"/>
      <c r="BZ108" s="64" t="n"/>
      <c r="CA108" s="64" t="n"/>
    </row>
    <row r="109" ht="37.5" customHeight="1">
      <c r="A109" s="1661" t="inlineStr">
        <is>
          <t>eZ©gvb Avq</t>
        </is>
      </c>
      <c r="B109" s="2614" t="n"/>
      <c r="C109" s="2614" t="n"/>
      <c r="D109" s="2614" t="n"/>
      <c r="E109" s="2614" t="n"/>
      <c r="F109" s="2614" t="n"/>
      <c r="G109" s="2614" t="n"/>
      <c r="H109" s="2614" t="n"/>
      <c r="I109" s="2614" t="n"/>
      <c r="J109" s="2614" t="n"/>
      <c r="K109" s="2614" t="n"/>
      <c r="L109" s="2614" t="n"/>
      <c r="M109" s="2614" t="n"/>
      <c r="N109" s="2617" t="n"/>
      <c r="O109" s="2188" t="inlineStr">
        <is>
          <t>FY e¨env‡ii ci cÖZ¨vwkZ AvbygvwbK Avq</t>
        </is>
      </c>
      <c r="P109" s="2614" t="n"/>
      <c r="Q109" s="2614" t="n"/>
      <c r="R109" s="2614" t="n"/>
      <c r="S109" s="2614" t="n"/>
      <c r="T109" s="2614" t="n"/>
      <c r="U109" s="2614" t="n"/>
      <c r="V109" s="2614" t="n"/>
      <c r="W109" s="2614" t="n"/>
      <c r="X109" s="2614" t="n"/>
      <c r="Y109" s="2614" t="n"/>
      <c r="Z109" s="2617" t="n"/>
      <c r="AA109" s="2133" t="inlineStr">
        <is>
          <t>e„w×</t>
        </is>
      </c>
      <c r="AB109" s="2614" t="n"/>
      <c r="AC109" s="2614" t="n"/>
      <c r="AD109" s="2614" t="n"/>
      <c r="AE109" s="2614" t="n"/>
      <c r="AF109" s="2614" t="n"/>
      <c r="AG109" s="2614" t="n"/>
      <c r="AH109" s="2614" t="n"/>
      <c r="AI109" s="2614" t="n"/>
      <c r="AJ109" s="2614" t="n"/>
      <c r="AK109" s="2614" t="n"/>
      <c r="AL109" s="2614" t="n"/>
      <c r="AM109" s="2617" t="n"/>
      <c r="AN109" s="64" t="n"/>
      <c r="AO109" s="136" t="n"/>
      <c r="AP109" s="64" t="n"/>
      <c r="AQ109" s="64" t="n"/>
      <c r="AR109" s="64" t="n"/>
      <c r="AS109" s="64" t="n"/>
      <c r="AT109" s="64" t="n"/>
      <c r="AU109" s="64" t="n"/>
      <c r="AV109" s="64" t="n"/>
      <c r="AW109" s="64" t="n"/>
      <c r="AX109" s="64" t="n"/>
      <c r="AY109" s="136" t="n"/>
      <c r="AZ109" s="64" t="n"/>
      <c r="BA109" s="64" t="n"/>
      <c r="BB109" s="64" t="n"/>
      <c r="BC109" s="64" t="n"/>
      <c r="BD109" s="64" t="n"/>
      <c r="BE109" s="64" t="n"/>
      <c r="BF109" s="308" t="n"/>
      <c r="BG109" s="64" t="n"/>
      <c r="BH109" s="64" t="n"/>
      <c r="BI109" s="136" t="n"/>
      <c r="BJ109" s="64" t="n"/>
      <c r="BK109" s="64" t="n"/>
      <c r="BL109" s="64" t="n"/>
      <c r="BM109" s="64" t="n"/>
      <c r="BN109" s="64" t="n"/>
      <c r="BO109" s="64" t="n"/>
      <c r="BP109" s="64" t="n"/>
      <c r="BQ109" s="64" t="n"/>
      <c r="BR109" s="64" t="n"/>
      <c r="BS109" s="64" t="n"/>
      <c r="BT109" s="64" t="n"/>
      <c r="BU109" s="64" t="n"/>
      <c r="BV109" s="64" t="n"/>
      <c r="BW109" s="64" t="n"/>
      <c r="BX109" s="64" t="n"/>
      <c r="BY109" s="64" t="n"/>
      <c r="BZ109" s="64" t="n"/>
      <c r="CA109" s="64" t="n"/>
    </row>
    <row r="110" ht="36" customHeight="1">
      <c r="A110" s="2073" t="inlineStr">
        <is>
          <t>¯’zj UvKvt</t>
        </is>
      </c>
      <c r="B110" s="2614" t="n"/>
      <c r="C110" s="2614" t="n"/>
      <c r="D110" s="2614" t="n"/>
      <c r="E110" s="2614" t="n"/>
      <c r="F110" s="2614" t="n"/>
      <c r="G110" s="2614" t="n"/>
      <c r="H110" s="2614" t="n"/>
      <c r="I110" s="2614" t="n"/>
      <c r="J110" s="2614" t="n"/>
      <c r="K110" s="2614" t="n"/>
      <c r="L110" s="2614" t="n"/>
      <c r="M110" s="2614" t="n"/>
      <c r="N110" s="2617" t="n"/>
      <c r="O110" s="2225" t="inlineStr">
        <is>
          <t>¯’zj UvKvt</t>
        </is>
      </c>
      <c r="P110" s="2614" t="n"/>
      <c r="Q110" s="2614" t="n"/>
      <c r="R110" s="2614" t="n"/>
      <c r="S110" s="2614" t="n"/>
      <c r="T110" s="2614" t="n"/>
      <c r="U110" s="2614" t="n"/>
      <c r="V110" s="2614" t="n"/>
      <c r="W110" s="2614" t="n"/>
      <c r="X110" s="2614" t="n"/>
      <c r="Y110" s="2614" t="n"/>
      <c r="Z110" s="2617" t="n"/>
      <c r="AA110" s="2074" t="inlineStr">
        <is>
          <t>¯’zj UvKvt</t>
        </is>
      </c>
      <c r="AB110" s="2614" t="n"/>
      <c r="AC110" s="2614" t="n"/>
      <c r="AD110" s="2614" t="n"/>
      <c r="AE110" s="2614" t="n"/>
      <c r="AF110" s="2614" t="n"/>
      <c r="AG110" s="2614" t="n"/>
      <c r="AH110" s="2614" t="n"/>
      <c r="AI110" s="2614" t="n"/>
      <c r="AJ110" s="2614" t="n"/>
      <c r="AK110" s="2614" t="n"/>
      <c r="AL110" s="2614" t="n"/>
      <c r="AM110" s="2617" t="n"/>
      <c r="AN110" s="64" t="n"/>
      <c r="AO110" s="136" t="n"/>
      <c r="AP110" s="64" t="n"/>
      <c r="AQ110" s="64" t="n"/>
      <c r="AR110" s="64" t="n"/>
      <c r="AS110" s="64" t="n"/>
      <c r="AT110" s="64" t="n"/>
      <c r="AU110" s="64" t="n"/>
      <c r="AV110" s="64" t="n"/>
      <c r="AW110" s="64" t="n"/>
      <c r="AX110" s="64" t="n"/>
      <c r="AY110" s="136" t="n"/>
      <c r="AZ110" s="64" t="n"/>
      <c r="BA110" s="64" t="n"/>
      <c r="BB110" s="64" t="n"/>
      <c r="BC110" s="64" t="n"/>
      <c r="BD110" s="64" t="n"/>
      <c r="BE110" s="64" t="n"/>
      <c r="BF110" s="308" t="n"/>
      <c r="BG110" s="64" t="n"/>
      <c r="BH110" s="64" t="n"/>
      <c r="BI110" s="136" t="n"/>
      <c r="BJ110" s="64" t="n"/>
      <c r="BK110" s="64" t="n"/>
      <c r="BL110" s="64" t="n"/>
      <c r="BM110" s="64" t="n"/>
      <c r="BN110" s="64" t="n"/>
      <c r="BO110" s="64" t="n"/>
      <c r="BP110" s="64" t="n"/>
      <c r="BQ110" s="64" t="n"/>
      <c r="BR110" s="64" t="n"/>
      <c r="BS110" s="64" t="n"/>
      <c r="BT110" s="64" t="n"/>
      <c r="BU110" s="64" t="n"/>
      <c r="BV110" s="64" t="n"/>
      <c r="BW110" s="64" t="n"/>
      <c r="BX110" s="64" t="n"/>
      <c r="BY110" s="64" t="n"/>
      <c r="BZ110" s="64" t="n"/>
      <c r="CA110" s="64" t="n"/>
    </row>
    <row r="111" ht="36" customHeight="1">
      <c r="A111" s="2073" t="inlineStr">
        <is>
          <t>bxU UvKvt</t>
        </is>
      </c>
      <c r="B111" s="2614" t="n"/>
      <c r="C111" s="2614" t="n"/>
      <c r="D111" s="2614" t="n"/>
      <c r="E111" s="2614" t="n"/>
      <c r="F111" s="2614" t="n"/>
      <c r="G111" s="2614" t="n"/>
      <c r="H111" s="2614" t="n"/>
      <c r="I111" s="2614" t="n"/>
      <c r="J111" s="2614" t="n"/>
      <c r="K111" s="2614" t="n"/>
      <c r="L111" s="2614" t="n"/>
      <c r="M111" s="2614" t="n"/>
      <c r="N111" s="2617" t="n"/>
      <c r="O111" s="2225" t="inlineStr">
        <is>
          <t>bxU UvKvt</t>
        </is>
      </c>
      <c r="P111" s="2614" t="n"/>
      <c r="Q111" s="2614" t="n"/>
      <c r="R111" s="2614" t="n"/>
      <c r="S111" s="2614" t="n"/>
      <c r="T111" s="2614" t="n"/>
      <c r="U111" s="2614" t="n"/>
      <c r="V111" s="2614" t="n"/>
      <c r="W111" s="2614" t="n"/>
      <c r="X111" s="2614" t="n"/>
      <c r="Y111" s="2614" t="n"/>
      <c r="Z111" s="2617" t="n"/>
      <c r="AA111" s="2074" t="inlineStr">
        <is>
          <t>bxU UvKvt</t>
        </is>
      </c>
      <c r="AB111" s="2614" t="n"/>
      <c r="AC111" s="2614" t="n"/>
      <c r="AD111" s="2614" t="n"/>
      <c r="AE111" s="2614" t="n"/>
      <c r="AF111" s="2614" t="n"/>
      <c r="AG111" s="2614" t="n"/>
      <c r="AH111" s="2614" t="n"/>
      <c r="AI111" s="2614" t="n"/>
      <c r="AJ111" s="2614" t="n"/>
      <c r="AK111" s="2614" t="n"/>
      <c r="AL111" s="2614" t="n"/>
      <c r="AM111" s="2617" t="n"/>
      <c r="AN111" s="64" t="n"/>
      <c r="AO111" s="136" t="n"/>
      <c r="AP111" s="64" t="n"/>
      <c r="AQ111" s="64" t="n"/>
      <c r="AR111" s="64" t="n"/>
      <c r="AS111" s="64" t="n"/>
      <c r="AT111" s="64" t="n"/>
      <c r="AU111" s="64" t="n"/>
      <c r="AV111" s="64" t="n"/>
      <c r="AW111" s="64" t="n"/>
      <c r="AX111" s="64" t="n"/>
      <c r="AY111" s="136" t="n"/>
      <c r="AZ111" s="64" t="n"/>
      <c r="BA111" s="64" t="n"/>
      <c r="BB111" s="64" t="n"/>
      <c r="BC111" s="64" t="n"/>
      <c r="BD111" s="64" t="n"/>
      <c r="BE111" s="64" t="n"/>
      <c r="BF111" s="308" t="n"/>
      <c r="BG111" s="64" t="n"/>
      <c r="BH111" s="64" t="n"/>
      <c r="BI111" s="136" t="n"/>
      <c r="BJ111" s="64" t="n"/>
      <c r="BK111" s="64" t="n"/>
      <c r="BL111" s="64" t="n"/>
      <c r="BM111" s="64" t="n"/>
      <c r="BN111" s="64" t="n"/>
      <c r="BO111" s="64" t="n"/>
      <c r="BP111" s="64" t="n"/>
      <c r="BQ111" s="64" t="n"/>
      <c r="BR111" s="64" t="n"/>
      <c r="BS111" s="64" t="n"/>
      <c r="BT111" s="64" t="n"/>
      <c r="BU111" s="64" t="n"/>
      <c r="BV111" s="64" t="n"/>
      <c r="BW111" s="64" t="n"/>
      <c r="BX111" s="64" t="n"/>
      <c r="BY111" s="64" t="n"/>
      <c r="BZ111" s="64" t="n"/>
      <c r="CA111" s="64" t="n"/>
    </row>
    <row r="112" ht="25.5" customHeight="1">
      <c r="A112" s="135" t="n"/>
      <c r="B112" s="1964" t="n"/>
      <c r="C112" s="1964" t="n"/>
      <c r="D112" s="1964" t="n"/>
      <c r="E112" s="303" t="n"/>
      <c r="F112" s="1964" t="n"/>
      <c r="G112" s="1965" t="n"/>
      <c r="H112" s="135" t="n"/>
      <c r="I112" s="135" t="n"/>
      <c r="J112" s="1964" t="n"/>
      <c r="K112" s="135" t="n"/>
      <c r="L112" s="1964" t="n"/>
      <c r="M112" s="135" t="n"/>
      <c r="N112" s="1964" t="n"/>
      <c r="O112" s="467" t="n"/>
      <c r="P112" s="88" t="n"/>
      <c r="Q112" s="135" t="n"/>
      <c r="R112" s="88" t="n"/>
      <c r="S112" s="135" t="n"/>
      <c r="T112" s="135" t="n"/>
      <c r="U112" s="1964" t="n"/>
      <c r="V112" s="1964" t="n"/>
      <c r="W112" s="1964" t="n"/>
      <c r="X112" s="1964" t="n"/>
      <c r="Y112" s="135" t="n"/>
      <c r="Z112" s="1964" t="n"/>
      <c r="AA112" s="1964" t="n"/>
      <c r="AB112" s="1964" t="n"/>
      <c r="AC112" s="1964" t="n"/>
      <c r="AD112" s="135" t="n"/>
      <c r="AE112" s="1964" t="n"/>
      <c r="AF112" s="1964" t="n"/>
      <c r="AG112" s="1964" t="n"/>
      <c r="AH112" s="1964" t="n"/>
      <c r="AI112" s="135" t="n"/>
      <c r="AJ112" s="1964" t="n"/>
      <c r="AK112" s="1964" t="n"/>
      <c r="AL112" s="1964" t="n"/>
      <c r="AM112" s="1964" t="n"/>
      <c r="AN112" s="64" t="n"/>
      <c r="AO112" s="136" t="n"/>
      <c r="AP112" s="64" t="n"/>
      <c r="AQ112" s="64" t="n"/>
      <c r="AR112" s="64" t="n"/>
      <c r="AS112" s="64" t="n"/>
      <c r="AT112" s="64" t="n"/>
      <c r="AU112" s="64" t="n"/>
      <c r="AV112" s="64" t="n"/>
      <c r="AW112" s="64" t="n"/>
      <c r="AX112" s="64" t="n"/>
      <c r="AY112" s="136" t="n"/>
      <c r="AZ112" s="64" t="n"/>
      <c r="BA112" s="64" t="n"/>
      <c r="BB112" s="64" t="n"/>
      <c r="BC112" s="64" t="n"/>
      <c r="BD112" s="64" t="n"/>
      <c r="BE112" s="64" t="n"/>
      <c r="BF112" s="308" t="n"/>
      <c r="BG112" s="64" t="n"/>
      <c r="BH112" s="64" t="n"/>
      <c r="BI112" s="136" t="n"/>
      <c r="BJ112" s="64" t="n"/>
      <c r="BK112" s="64" t="n"/>
      <c r="BL112" s="64" t="n"/>
      <c r="BM112" s="64" t="n"/>
      <c r="BN112" s="64" t="n"/>
      <c r="BO112" s="64" t="n"/>
      <c r="BP112" s="64" t="n"/>
      <c r="BQ112" s="64" t="n"/>
      <c r="BR112" s="64" t="n"/>
      <c r="BS112" s="64" t="n"/>
      <c r="BT112" s="64" t="n"/>
      <c r="BU112" s="64" t="n"/>
      <c r="BV112" s="64" t="n"/>
      <c r="BW112" s="64" t="n"/>
      <c r="BX112" s="64" t="n"/>
      <c r="BY112" s="64" t="n"/>
      <c r="BZ112" s="64" t="n"/>
      <c r="CA112" s="64" t="n"/>
    </row>
    <row r="113" ht="13.5" customHeight="1">
      <c r="A113" s="135" t="n"/>
      <c r="B113" s="1964" t="n"/>
      <c r="C113" s="1964" t="n"/>
      <c r="D113" s="1964" t="n"/>
      <c r="E113" s="303" t="n"/>
      <c r="F113" s="1964" t="n"/>
      <c r="G113" s="1965" t="n"/>
      <c r="H113" s="135" t="n"/>
      <c r="I113" s="135" t="n"/>
      <c r="J113" s="1964" t="n"/>
      <c r="K113" s="135" t="n"/>
      <c r="L113" s="1964" t="n"/>
      <c r="M113" s="135" t="n"/>
      <c r="N113" s="1964" t="n"/>
      <c r="O113" s="467" t="n"/>
      <c r="P113" s="88" t="n"/>
      <c r="Q113" s="135" t="n"/>
      <c r="R113" s="88" t="n"/>
      <c r="S113" s="135" t="n"/>
      <c r="T113" s="135" t="n"/>
      <c r="U113" s="1964" t="n"/>
      <c r="V113" s="1964" t="n"/>
      <c r="W113" s="1964" t="n"/>
      <c r="X113" s="1964" t="n"/>
      <c r="Y113" s="135" t="n"/>
      <c r="Z113" s="1964" t="n"/>
      <c r="AA113" s="1964" t="n"/>
      <c r="AB113" s="1964" t="n"/>
      <c r="AC113" s="1964" t="n"/>
      <c r="AD113" s="135" t="n"/>
      <c r="AE113" s="1964" t="n"/>
      <c r="AF113" s="1964" t="n"/>
      <c r="AG113" s="1964" t="n"/>
      <c r="AH113" s="1964" t="n"/>
      <c r="AI113" s="135" t="n"/>
      <c r="AJ113" s="1964" t="n"/>
      <c r="AK113" s="1964" t="n"/>
      <c r="AL113" s="1964" t="n"/>
      <c r="AM113" s="1964" t="n"/>
      <c r="AN113" s="64" t="n"/>
      <c r="AO113" s="136" t="n"/>
      <c r="AP113" s="64" t="n"/>
      <c r="AQ113" s="64" t="n"/>
      <c r="AR113" s="64" t="n"/>
      <c r="AS113" s="64" t="n"/>
      <c r="AT113" s="64" t="n"/>
      <c r="AU113" s="64" t="n"/>
      <c r="AV113" s="64" t="n"/>
      <c r="AW113" s="64" t="n"/>
      <c r="AX113" s="64" t="n"/>
      <c r="AY113" s="136" t="n"/>
      <c r="AZ113" s="64" t="n"/>
      <c r="BA113" s="64" t="n"/>
      <c r="BB113" s="64" t="n"/>
      <c r="BC113" s="64" t="n"/>
      <c r="BD113" s="64" t="n"/>
      <c r="BE113" s="64" t="n"/>
      <c r="BF113" s="308" t="n"/>
      <c r="BG113" s="64" t="n"/>
      <c r="BH113" s="64" t="n"/>
      <c r="BI113" s="136" t="n"/>
      <c r="BJ113" s="64" t="n"/>
      <c r="BK113" s="64" t="n"/>
      <c r="BL113" s="64" t="n"/>
      <c r="BM113" s="64" t="n"/>
      <c r="BN113" s="64" t="n"/>
      <c r="BO113" s="64" t="n"/>
      <c r="BP113" s="64" t="n"/>
      <c r="BQ113" s="64" t="n"/>
      <c r="BR113" s="64" t="n"/>
      <c r="BS113" s="64" t="n"/>
      <c r="BT113" s="64" t="n"/>
      <c r="BU113" s="64" t="n"/>
      <c r="BV113" s="64" t="n"/>
      <c r="BW113" s="64" t="n"/>
      <c r="BX113" s="64" t="n"/>
      <c r="BY113" s="64" t="n"/>
      <c r="BZ113" s="64" t="n"/>
      <c r="CA113" s="64" t="n"/>
    </row>
    <row r="114" ht="15.75" customHeight="1">
      <c r="A114" s="135" t="n"/>
      <c r="B114" s="1964" t="n"/>
      <c r="C114" s="1964" t="n"/>
      <c r="D114" s="1964" t="n"/>
      <c r="E114" s="303" t="n"/>
      <c r="F114" s="1964" t="n"/>
      <c r="G114" s="1965" t="n"/>
      <c r="H114" s="135" t="n"/>
      <c r="I114" s="135" t="n"/>
      <c r="J114" s="1964" t="n"/>
      <c r="K114" s="135" t="n"/>
      <c r="L114" s="1964" t="n"/>
      <c r="M114" s="135" t="n"/>
      <c r="N114" s="1964" t="n"/>
      <c r="O114" s="467" t="n"/>
      <c r="P114" s="88" t="n"/>
      <c r="Q114" s="135" t="n"/>
      <c r="R114" s="88" t="n"/>
      <c r="S114" s="135" t="n"/>
      <c r="T114" s="135" t="n"/>
      <c r="U114" s="1964" t="n"/>
      <c r="V114" s="1964" t="n"/>
      <c r="W114" s="1964" t="n"/>
      <c r="X114" s="1964" t="n"/>
      <c r="Y114" s="135" t="n"/>
      <c r="Z114" s="1964" t="n"/>
      <c r="AA114" s="1964" t="n"/>
      <c r="AB114" s="1964" t="n"/>
      <c r="AC114" s="1964" t="n"/>
      <c r="AD114" s="135" t="n"/>
      <c r="AE114" s="1964" t="n"/>
      <c r="AF114" s="1964" t="n"/>
      <c r="AG114" s="1964" t="n"/>
      <c r="AH114" s="1964" t="n"/>
      <c r="AI114" s="135" t="n"/>
      <c r="AJ114" s="1964" t="n"/>
      <c r="AK114" s="1964" t="n"/>
      <c r="AL114" s="1964" t="n"/>
      <c r="AM114" s="1964" t="n"/>
      <c r="AN114" s="64" t="n"/>
      <c r="AO114" s="136" t="n"/>
      <c r="AP114" s="64" t="n"/>
      <c r="AQ114" s="64" t="n"/>
      <c r="AR114" s="64" t="n"/>
      <c r="AS114" s="64" t="n"/>
      <c r="AT114" s="64" t="n"/>
      <c r="AU114" s="64" t="n"/>
      <c r="AV114" s="64" t="n"/>
      <c r="AW114" s="64" t="n"/>
      <c r="AX114" s="64" t="n"/>
      <c r="AY114" s="136" t="n"/>
      <c r="AZ114" s="64" t="n"/>
      <c r="BA114" s="64" t="n"/>
      <c r="BB114" s="64" t="n"/>
      <c r="BC114" s="64" t="n"/>
      <c r="BD114" s="64" t="n"/>
      <c r="BE114" s="64" t="n"/>
      <c r="BF114" s="308" t="n"/>
      <c r="BG114" s="64" t="n"/>
      <c r="BH114" s="64" t="n"/>
      <c r="BI114" s="136" t="n"/>
      <c r="BJ114" s="64" t="n"/>
      <c r="BK114" s="64" t="n"/>
      <c r="BL114" s="64" t="n"/>
      <c r="BM114" s="64" t="n"/>
      <c r="BN114" s="64" t="n"/>
      <c r="BO114" s="64" t="n"/>
      <c r="BP114" s="64" t="n"/>
      <c r="BQ114" s="64" t="n"/>
      <c r="BR114" s="64" t="n"/>
      <c r="BS114" s="64" t="n"/>
      <c r="BT114" s="64" t="n"/>
      <c r="BU114" s="64" t="n"/>
      <c r="BV114" s="64" t="n"/>
      <c r="BW114" s="64" t="n"/>
      <c r="BX114" s="64" t="n"/>
      <c r="BY114" s="64" t="n"/>
      <c r="BZ114" s="64" t="n"/>
      <c r="CA114" s="64" t="n"/>
    </row>
    <row r="115" ht="23.25" customHeight="1">
      <c r="A115" s="135" t="n"/>
      <c r="B115" s="1964" t="n"/>
      <c r="C115" s="1964" t="n"/>
      <c r="D115" s="1964" t="n"/>
      <c r="E115" s="303" t="n"/>
      <c r="F115" s="1964" t="n"/>
      <c r="G115" s="1965" t="n"/>
      <c r="H115" s="135" t="n"/>
      <c r="I115" s="135" t="n"/>
      <c r="J115" s="1964" t="n"/>
      <c r="K115" s="135" t="n"/>
      <c r="L115" s="1964" t="n"/>
      <c r="M115" s="135" t="n"/>
      <c r="N115" s="1964" t="n"/>
      <c r="O115" s="467" t="n"/>
      <c r="P115" s="88" t="n"/>
      <c r="Q115" s="135" t="n"/>
      <c r="R115" s="88" t="n"/>
      <c r="S115" s="135" t="n"/>
      <c r="T115" s="135" t="n"/>
      <c r="U115" s="1964" t="n"/>
      <c r="V115" s="1964" t="n"/>
      <c r="W115" s="1964" t="n"/>
      <c r="X115" s="1964" t="n"/>
      <c r="Y115" s="135" t="n"/>
      <c r="Z115" s="1964" t="n"/>
      <c r="AA115" s="1964" t="n"/>
      <c r="AB115" s="1964" t="n"/>
      <c r="AC115" s="1964" t="n"/>
      <c r="AD115" s="135" t="n"/>
      <c r="AE115" s="1964" t="n"/>
      <c r="AF115" s="1964" t="n"/>
      <c r="AG115" s="1964" t="n"/>
      <c r="AH115" s="1964" t="n"/>
      <c r="AI115" s="135" t="n"/>
      <c r="AJ115" s="1964" t="n"/>
      <c r="AK115" s="1964" t="n"/>
      <c r="AL115" s="1964" t="n"/>
      <c r="AM115" s="1964" t="n"/>
      <c r="AN115" s="64" t="n"/>
      <c r="AO115" s="136" t="n"/>
      <c r="AP115" s="64" t="n"/>
      <c r="AQ115" s="64" t="n"/>
      <c r="AR115" s="64" t="n"/>
      <c r="AS115" s="64" t="n"/>
      <c r="AT115" s="64" t="n"/>
      <c r="AU115" s="64" t="n"/>
      <c r="AV115" s="64" t="n"/>
      <c r="AW115" s="64" t="n"/>
      <c r="AX115" s="64" t="n"/>
      <c r="AY115" s="136" t="n"/>
      <c r="AZ115" s="64" t="n"/>
      <c r="BA115" s="64" t="n"/>
      <c r="BB115" s="64" t="n"/>
      <c r="BC115" s="64" t="n"/>
      <c r="BD115" s="64" t="n"/>
      <c r="BE115" s="64" t="n"/>
      <c r="BF115" s="308" t="n"/>
      <c r="BG115" s="64" t="n"/>
      <c r="BH115" s="64" t="n"/>
      <c r="BI115" s="136" t="n"/>
      <c r="BJ115" s="64" t="n"/>
      <c r="BK115" s="64" t="n"/>
      <c r="BL115" s="64" t="n"/>
      <c r="BM115" s="64" t="n"/>
      <c r="BN115" s="64" t="n"/>
      <c r="BO115" s="64" t="n"/>
      <c r="BP115" s="64" t="n"/>
      <c r="BQ115" s="64" t="n"/>
      <c r="BR115" s="64" t="n"/>
      <c r="BS115" s="64" t="n"/>
      <c r="BT115" s="64" t="n"/>
      <c r="BU115" s="64" t="n"/>
      <c r="BV115" s="64" t="n"/>
      <c r="BW115" s="64" t="n"/>
      <c r="BX115" s="64" t="n"/>
      <c r="BY115" s="64" t="n"/>
      <c r="BZ115" s="64" t="n"/>
      <c r="CA115" s="64" t="n"/>
    </row>
    <row r="116" ht="26.25" customHeight="1">
      <c r="A116" s="1655" t="inlineStr">
        <is>
          <t>Av‡qi weeiYx c„_K c„ôvq †`Lv‡bv n‡q‡Q|</t>
        </is>
      </c>
      <c r="AN116" s="64" t="n"/>
      <c r="AO116" s="136" t="n"/>
      <c r="AP116" s="64" t="n"/>
      <c r="AQ116" s="64" t="n"/>
      <c r="AR116" s="64" t="n"/>
      <c r="AS116" s="64" t="n"/>
      <c r="AT116" s="64" t="n"/>
      <c r="AU116" s="64" t="n"/>
      <c r="AV116" s="64" t="n"/>
      <c r="AW116" s="64" t="n"/>
      <c r="AX116" s="64" t="n"/>
      <c r="AY116" s="136" t="n"/>
      <c r="AZ116" s="64" t="n"/>
      <c r="BA116" s="64" t="n"/>
      <c r="BB116" s="64" t="n"/>
      <c r="BC116" s="64" t="n"/>
      <c r="BD116" s="64" t="n"/>
      <c r="BE116" s="64" t="n"/>
      <c r="BF116" s="308" t="n"/>
      <c r="BG116" s="64" t="n"/>
      <c r="BH116" s="64" t="n"/>
      <c r="BI116" s="136" t="n"/>
      <c r="BJ116" s="64" t="n"/>
      <c r="BK116" s="64" t="n"/>
      <c r="BL116" s="64" t="n"/>
      <c r="BM116" s="64" t="n"/>
      <c r="BN116" s="64" t="n"/>
      <c r="BO116" s="64" t="n"/>
      <c r="BP116" s="64" t="n"/>
      <c r="BQ116" s="64" t="n"/>
      <c r="BR116" s="64" t="n"/>
      <c r="BS116" s="64" t="n"/>
      <c r="BT116" s="64" t="n"/>
      <c r="BU116" s="64" t="n"/>
      <c r="BV116" s="64" t="n"/>
      <c r="BW116" s="64" t="n"/>
      <c r="BX116" s="64" t="n"/>
      <c r="BY116" s="64" t="n"/>
      <c r="BZ116" s="64" t="n"/>
      <c r="CA116" s="64" t="n"/>
    </row>
    <row r="117" ht="20.25" customHeight="1">
      <c r="A117" s="1963" t="n"/>
      <c r="B117" s="96" t="n"/>
      <c r="C117" s="96" t="n"/>
      <c r="D117" s="96" t="n"/>
      <c r="E117" s="2199" t="n"/>
      <c r="F117" s="96" t="n"/>
      <c r="G117" s="2200" t="n"/>
      <c r="H117" s="2165" t="n"/>
      <c r="I117" s="2165" t="n"/>
      <c r="J117" s="96" t="n"/>
      <c r="K117" s="2165" t="n"/>
      <c r="L117" s="96" t="n"/>
      <c r="M117" s="2165" t="n"/>
      <c r="N117" s="96" t="n"/>
      <c r="O117" s="2201" t="n"/>
      <c r="P117" s="2230" t="n"/>
      <c r="Q117" s="2165" t="n"/>
      <c r="R117" s="2230" t="n"/>
      <c r="S117" s="2165" t="n"/>
      <c r="T117" s="2165" t="n"/>
      <c r="U117" s="96" t="n"/>
      <c r="V117" s="96" t="n"/>
      <c r="W117" s="96" t="n"/>
      <c r="X117" s="96" t="n"/>
      <c r="Y117" s="2165" t="n"/>
      <c r="Z117" s="96" t="n"/>
      <c r="AA117" s="96" t="n"/>
      <c r="AB117" s="96" t="n"/>
      <c r="AC117" s="96" t="n"/>
      <c r="AD117" s="2165" t="n"/>
      <c r="AE117" s="96" t="n"/>
      <c r="AF117" s="96" t="n"/>
      <c r="AG117" s="96" t="n"/>
      <c r="AH117" s="96" t="n"/>
      <c r="AI117" s="2165" t="n"/>
      <c r="AJ117" s="96" t="n"/>
      <c r="AK117" s="96" t="n"/>
      <c r="AL117" s="96" t="n"/>
      <c r="AM117" s="96" t="n"/>
      <c r="AN117" s="64" t="n"/>
      <c r="AO117" s="136" t="n"/>
      <c r="AP117" s="64" t="n"/>
      <c r="AQ117" s="64" t="n"/>
      <c r="AR117" s="64" t="n"/>
      <c r="AS117" s="64" t="n"/>
      <c r="AT117" s="64" t="n"/>
      <c r="AU117" s="64" t="n"/>
      <c r="AV117" s="64" t="n"/>
      <c r="AW117" s="64" t="n"/>
      <c r="AX117" s="64" t="n"/>
      <c r="AY117" s="136" t="n"/>
      <c r="AZ117" s="64" t="n"/>
      <c r="BA117" s="64" t="n"/>
      <c r="BB117" s="64" t="n"/>
      <c r="BC117" s="64" t="n"/>
      <c r="BD117" s="64" t="n"/>
      <c r="BE117" s="64" t="n"/>
      <c r="BF117" s="308" t="n"/>
      <c r="BG117" s="64" t="n"/>
      <c r="BH117" s="64" t="n"/>
      <c r="BI117" s="136" t="n"/>
      <c r="BJ117" s="64" t="n"/>
      <c r="BK117" s="64" t="n"/>
      <c r="BL117" s="64" t="n"/>
      <c r="BM117" s="64" t="n"/>
      <c r="BN117" s="64" t="n"/>
      <c r="BO117" s="64" t="n"/>
      <c r="BP117" s="64" t="n"/>
      <c r="BQ117" s="64" t="n"/>
      <c r="BR117" s="64" t="n"/>
      <c r="BS117" s="64" t="n"/>
      <c r="BT117" s="64" t="n"/>
      <c r="BU117" s="64" t="n"/>
      <c r="BV117" s="64" t="n"/>
      <c r="BW117" s="64" t="n"/>
      <c r="BX117" s="64" t="n"/>
      <c r="BY117" s="64" t="n"/>
      <c r="BZ117" s="64" t="n"/>
      <c r="CA117" s="64" t="n"/>
    </row>
    <row r="118" ht="12.75" customHeight="1">
      <c r="A118" s="136" t="n"/>
      <c r="B118" s="64" t="n"/>
      <c r="C118" s="64" t="n"/>
      <c r="D118" s="98" t="n"/>
      <c r="E118" s="248" t="n"/>
      <c r="F118" s="98" t="n"/>
      <c r="G118" s="2219" t="n"/>
      <c r="H118" s="247" t="n"/>
      <c r="I118" s="247" t="n"/>
      <c r="J118" s="98" t="n"/>
      <c r="K118" s="247" t="n"/>
      <c r="L118" s="98" t="n"/>
      <c r="M118" s="247" t="n"/>
      <c r="N118" s="98" t="n"/>
      <c r="O118" s="533" t="n"/>
      <c r="P118" s="2220" t="n"/>
      <c r="Q118" s="247" t="n"/>
      <c r="R118" s="2220" t="n"/>
      <c r="S118" s="247" t="n"/>
      <c r="T118" s="247" t="n"/>
      <c r="U118" s="98" t="n"/>
      <c r="V118" s="98" t="n"/>
      <c r="W118" s="98" t="n"/>
      <c r="X118" s="98" t="n"/>
      <c r="Y118" s="247" t="n"/>
      <c r="Z118" s="98" t="n"/>
      <c r="AA118" s="98" t="n"/>
      <c r="AB118" s="98" t="n"/>
      <c r="AC118" s="98" t="n"/>
      <c r="AD118" s="247" t="n"/>
      <c r="AE118" s="98" t="n"/>
      <c r="AF118" s="98" t="n"/>
      <c r="AG118" s="98" t="n"/>
      <c r="AH118" s="98" t="n"/>
      <c r="AI118" s="247" t="n"/>
      <c r="AJ118" s="98" t="n"/>
      <c r="AK118" s="98" t="n"/>
      <c r="AL118" s="98" t="n"/>
      <c r="AM118" s="98" t="n"/>
      <c r="AN118" s="64" t="n"/>
      <c r="AO118" s="136" t="n"/>
      <c r="AP118" s="64" t="n"/>
      <c r="AQ118" s="64" t="n"/>
      <c r="AR118" s="64" t="n"/>
      <c r="AS118" s="64" t="n"/>
      <c r="AT118" s="64" t="n"/>
      <c r="AU118" s="64" t="n"/>
      <c r="AV118" s="64" t="n"/>
      <c r="AW118" s="64" t="n"/>
      <c r="AX118" s="64" t="n"/>
      <c r="AY118" s="136" t="n"/>
      <c r="AZ118" s="64" t="n"/>
      <c r="BA118" s="64" t="n"/>
      <c r="BB118" s="64" t="n"/>
      <c r="BC118" s="64" t="n"/>
      <c r="BD118" s="64" t="n"/>
      <c r="BE118" s="64" t="n"/>
      <c r="BF118" s="308" t="n"/>
      <c r="BG118" s="64" t="n"/>
      <c r="BH118" s="64" t="n"/>
      <c r="BI118" s="136" t="n"/>
      <c r="BJ118" s="64" t="n"/>
      <c r="BK118" s="64" t="n"/>
      <c r="BL118" s="64" t="n"/>
      <c r="BM118" s="64" t="n"/>
      <c r="BN118" s="64" t="n"/>
      <c r="BO118" s="64" t="n"/>
      <c r="BP118" s="64" t="n"/>
      <c r="BQ118" s="64" t="n"/>
      <c r="BR118" s="64" t="n"/>
      <c r="BS118" s="64" t="n"/>
      <c r="BT118" s="64" t="n"/>
      <c r="BU118" s="64" t="n"/>
      <c r="BV118" s="64" t="n"/>
      <c r="BW118" s="64" t="n"/>
      <c r="BX118" s="64" t="n"/>
      <c r="BY118" s="64" t="n"/>
      <c r="BZ118" s="64" t="n"/>
      <c r="CA118" s="64" t="n"/>
    </row>
    <row r="119" ht="15.75" customHeight="1">
      <c r="A119" s="136" t="n"/>
      <c r="B119" s="64" t="n"/>
      <c r="C119" s="64" t="n"/>
      <c r="D119" s="98" t="n"/>
      <c r="E119" s="248" t="n"/>
      <c r="F119" s="98" t="n"/>
      <c r="G119" s="2219" t="n"/>
      <c r="H119" s="247" t="n"/>
      <c r="I119" s="247" t="n"/>
      <c r="J119" s="98" t="n"/>
      <c r="K119" s="247" t="n"/>
      <c r="L119" s="98" t="n"/>
      <c r="M119" s="247" t="n"/>
      <c r="N119" s="98" t="n"/>
      <c r="O119" s="533" t="n"/>
      <c r="P119" s="2220" t="n"/>
      <c r="Q119" s="247" t="n"/>
      <c r="R119" s="2220" t="n"/>
      <c r="S119" s="247" t="n"/>
      <c r="T119" s="247" t="n"/>
      <c r="U119" s="98" t="n"/>
      <c r="V119" s="98" t="n"/>
      <c r="W119" s="98" t="n"/>
      <c r="X119" s="98" t="n"/>
      <c r="Y119" s="247" t="n"/>
      <c r="Z119" s="98" t="n"/>
      <c r="AA119" s="98" t="n"/>
      <c r="AB119" s="98" t="n"/>
      <c r="AC119" s="98" t="n"/>
      <c r="AD119" s="247" t="n"/>
      <c r="AE119" s="98" t="n"/>
      <c r="AF119" s="98" t="n"/>
      <c r="AG119" s="98" t="n"/>
      <c r="AH119" s="98" t="n"/>
      <c r="AI119" s="247" t="n"/>
      <c r="AJ119" s="98" t="n"/>
      <c r="AK119" s="98" t="n"/>
      <c r="AL119" s="98" t="n"/>
      <c r="AM119" s="98" t="n"/>
      <c r="AN119" s="64" t="n"/>
      <c r="AO119" s="136" t="n"/>
      <c r="AP119" s="64" t="n"/>
      <c r="AQ119" s="64" t="n"/>
      <c r="AR119" s="64" t="n"/>
      <c r="AS119" s="64" t="n"/>
      <c r="AT119" s="64" t="n"/>
      <c r="AU119" s="64" t="n"/>
      <c r="AV119" s="64" t="n"/>
      <c r="AW119" s="64" t="n"/>
      <c r="AX119" s="64" t="n"/>
      <c r="AY119" s="136" t="n"/>
      <c r="AZ119" s="64" t="n"/>
      <c r="BA119" s="64" t="n"/>
      <c r="BB119" s="64" t="n"/>
      <c r="BC119" s="64" t="n"/>
      <c r="BD119" s="64" t="n"/>
      <c r="BE119" s="64" t="n"/>
      <c r="BF119" s="308" t="n"/>
      <c r="BG119" s="64" t="n"/>
      <c r="BH119" s="64" t="n"/>
      <c r="BI119" s="136" t="n"/>
      <c r="BJ119" s="64" t="n"/>
      <c r="BK119" s="64" t="n"/>
      <c r="BL119" s="64" t="n"/>
      <c r="BM119" s="64" t="n"/>
      <c r="BN119" s="64" t="n"/>
      <c r="BO119" s="64" t="n"/>
      <c r="BP119" s="64" t="n"/>
      <c r="BQ119" s="64" t="n"/>
      <c r="BR119" s="64" t="n"/>
      <c r="BS119" s="64" t="n"/>
      <c r="BT119" s="64" t="n"/>
      <c r="BU119" s="64" t="n"/>
      <c r="BV119" s="64" t="n"/>
      <c r="BW119" s="64" t="n"/>
      <c r="BX119" s="64" t="n"/>
      <c r="BY119" s="64" t="n"/>
      <c r="BZ119" s="64" t="n"/>
      <c r="CA119" s="64" t="n"/>
    </row>
    <row r="120" ht="20.25" customHeight="1">
      <c r="A120" s="2231" t="inlineStr">
        <is>
          <t>9|</t>
        </is>
      </c>
      <c r="B120" s="2232" t="inlineStr">
        <is>
          <t>g~j¨vqbKvix Kg©KZ©vi / Kg©Pvixi mycvwik t</t>
        </is>
      </c>
      <c r="C120" s="2614" t="n"/>
      <c r="D120" s="2614" t="n"/>
      <c r="E120" s="2614" t="n"/>
      <c r="F120" s="2614" t="n"/>
      <c r="G120" s="2614" t="n"/>
      <c r="H120" s="2614" t="n"/>
      <c r="I120" s="2614" t="n"/>
      <c r="J120" s="2614" t="n"/>
      <c r="K120" s="2614" t="n"/>
      <c r="L120" s="2614" t="n"/>
      <c r="M120" s="2614" t="n"/>
      <c r="N120" s="2614" t="n"/>
      <c r="O120" s="2614" t="n"/>
      <c r="P120" s="2614" t="n"/>
      <c r="Q120" s="2614" t="n"/>
      <c r="R120" s="2614" t="n"/>
      <c r="S120" s="2614" t="n"/>
      <c r="T120" s="2614" t="n"/>
      <c r="U120" s="2614" t="n"/>
      <c r="V120" s="2614" t="n"/>
      <c r="W120" s="2614" t="n"/>
      <c r="X120" s="2614" t="n"/>
      <c r="Y120" s="2614" t="n"/>
      <c r="Z120" s="2614" t="n"/>
      <c r="AA120" s="2614" t="n"/>
      <c r="AB120" s="2614" t="n"/>
      <c r="AC120" s="2614" t="n"/>
      <c r="AD120" s="2614" t="n"/>
      <c r="AE120" s="2614" t="n"/>
      <c r="AF120" s="2614" t="n"/>
      <c r="AG120" s="2614" t="n"/>
      <c r="AH120" s="2614" t="n"/>
      <c r="AI120" s="2614" t="n"/>
      <c r="AJ120" s="2614" t="n"/>
      <c r="AK120" s="2614" t="n"/>
      <c r="AL120" s="2614" t="n"/>
      <c r="AM120" s="2614" t="n"/>
      <c r="AN120" s="64" t="n"/>
      <c r="AO120" s="136" t="n"/>
      <c r="AP120" s="64" t="n"/>
      <c r="AQ120" s="64" t="n"/>
      <c r="AR120" s="64" t="n"/>
      <c r="AS120" s="64" t="n"/>
      <c r="AT120" s="64" t="n"/>
      <c r="AU120" s="64" t="n"/>
      <c r="AV120" s="64" t="n"/>
      <c r="AW120" s="64" t="n"/>
      <c r="AX120" s="64" t="n"/>
      <c r="AY120" s="136" t="n"/>
      <c r="AZ120" s="64" t="n"/>
      <c r="BA120" s="64" t="n"/>
      <c r="BB120" s="64" t="n"/>
      <c r="BC120" s="64" t="n"/>
      <c r="BD120" s="64" t="n"/>
      <c r="BE120" s="64" t="n"/>
      <c r="BF120" s="308" t="n"/>
      <c r="BG120" s="64" t="n"/>
      <c r="BH120" s="64" t="n"/>
      <c r="BI120" s="136" t="n"/>
      <c r="BJ120" s="64" t="n"/>
      <c r="BK120" s="64" t="n"/>
      <c r="BL120" s="64" t="n"/>
      <c r="BM120" s="64" t="n"/>
      <c r="BN120" s="64" t="n"/>
      <c r="BO120" s="64" t="n"/>
      <c r="BP120" s="64" t="n"/>
      <c r="BQ120" s="64" t="n"/>
      <c r="BR120" s="64" t="n"/>
      <c r="BS120" s="64" t="n"/>
      <c r="BT120" s="64" t="n"/>
      <c r="BU120" s="64" t="n"/>
      <c r="BV120" s="64" t="n"/>
      <c r="BW120" s="64" t="n"/>
      <c r="BX120" s="64" t="n"/>
      <c r="BY120" s="64" t="n"/>
      <c r="BZ120" s="64" t="n"/>
      <c r="CA120" s="64" t="n"/>
    </row>
    <row r="121" ht="20.25" customHeight="1">
      <c r="A121" s="1883" t="inlineStr">
        <is>
          <t>Kvh©µg/D‡Ïk¨</t>
        </is>
      </c>
      <c r="B121" s="2614" t="n"/>
      <c r="C121" s="2614" t="n"/>
      <c r="D121" s="2614" t="n"/>
      <c r="E121" s="2614" t="n"/>
      <c r="F121" s="2614" t="n"/>
      <c r="G121" s="2614" t="n"/>
      <c r="H121" s="2614" t="n"/>
      <c r="I121" s="2614" t="n"/>
      <c r="J121" s="2614" t="n"/>
      <c r="K121" s="2614" t="n"/>
      <c r="L121" s="2658" t="n"/>
      <c r="M121" s="2064" t="inlineStr">
        <is>
          <t>F‡Yi cwigvY</t>
        </is>
      </c>
      <c r="N121" s="2614" t="n"/>
      <c r="O121" s="2614" t="n"/>
      <c r="P121" s="2614" t="n"/>
      <c r="Q121" s="2614" t="n"/>
      <c r="R121" s="2614" t="n"/>
      <c r="S121" s="2614" t="n"/>
      <c r="T121" s="2614" t="n"/>
      <c r="U121" s="2614" t="n"/>
      <c r="V121" s="2617" t="n"/>
      <c r="W121" s="2065" t="inlineStr">
        <is>
          <t>cwi‡kv‡ai kZ©vejx</t>
        </is>
      </c>
      <c r="X121" s="2614" t="n"/>
      <c r="Y121" s="2614" t="n"/>
      <c r="Z121" s="2614" t="n"/>
      <c r="AA121" s="2614" t="n"/>
      <c r="AB121" s="2614" t="n"/>
      <c r="AC121" s="2614" t="n"/>
      <c r="AD121" s="2614" t="n"/>
      <c r="AE121" s="2614" t="n"/>
      <c r="AF121" s="2614" t="n"/>
      <c r="AG121" s="2614" t="n"/>
      <c r="AH121" s="2614" t="n"/>
      <c r="AI121" s="2614" t="n"/>
      <c r="AJ121" s="2614" t="n"/>
      <c r="AK121" s="2614" t="n"/>
      <c r="AL121" s="2614" t="n"/>
      <c r="AM121" s="2617" t="n"/>
      <c r="AN121" s="64" t="n"/>
      <c r="AO121" s="136" t="n"/>
      <c r="AP121" s="64" t="n"/>
      <c r="AQ121" s="64" t="n"/>
      <c r="AR121" s="64" t="n"/>
      <c r="AS121" s="64" t="n"/>
      <c r="AT121" s="64" t="n"/>
      <c r="AU121" s="64" t="n"/>
      <c r="AV121" s="64" t="n"/>
      <c r="AW121" s="64" t="n"/>
      <c r="AX121" s="64" t="n"/>
      <c r="AY121" s="136" t="n"/>
      <c r="AZ121" s="64" t="n"/>
      <c r="BA121" s="64" t="n"/>
      <c r="BB121" s="64" t="n"/>
      <c r="BC121" s="64" t="n"/>
      <c r="BD121" s="64" t="n"/>
      <c r="BE121" s="64" t="n"/>
      <c r="BF121" s="308" t="n"/>
      <c r="BG121" s="64" t="n"/>
      <c r="BH121" s="64" t="n"/>
      <c r="BI121" s="136" t="n"/>
      <c r="BJ121" s="64" t="n"/>
      <c r="BK121" s="64" t="n"/>
      <c r="BL121" s="64" t="n"/>
      <c r="BM121" s="64" t="n"/>
      <c r="BN121" s="64" t="n"/>
      <c r="BO121" s="64" t="n"/>
      <c r="BP121" s="64" t="n"/>
      <c r="BQ121" s="64" t="n"/>
      <c r="BR121" s="64" t="n"/>
      <c r="BS121" s="64" t="n"/>
      <c r="BT121" s="64" t="n"/>
      <c r="BU121" s="64" t="n"/>
      <c r="BV121" s="64" t="n"/>
      <c r="BW121" s="64" t="n"/>
      <c r="BX121" s="64" t="n"/>
      <c r="BY121" s="64" t="n"/>
      <c r="BZ121" s="64" t="n"/>
      <c r="CA121" s="64" t="n"/>
    </row>
    <row r="122" ht="27.75" customHeight="1">
      <c r="A122" s="2073" t="inlineStr">
        <is>
          <t>1|</t>
        </is>
      </c>
      <c r="B122" s="1057" t="inlineStr">
        <is>
          <t>Kvc‡oi e¨emv</t>
        </is>
      </c>
      <c r="C122" s="2614" t="n"/>
      <c r="D122" s="2614" t="n"/>
      <c r="E122" s="2614" t="n"/>
      <c r="F122" s="2614" t="n"/>
      <c r="G122" s="2614" t="n"/>
      <c r="H122" s="2614" t="n"/>
      <c r="I122" s="2614" t="n"/>
      <c r="J122" s="2614" t="n"/>
      <c r="K122" s="2614" t="n"/>
      <c r="L122" s="2617" t="n"/>
      <c r="M122" s="1661">
        <f>+'Data Input'!D11</f>
        <v/>
      </c>
      <c r="N122" s="2614" t="n"/>
      <c r="O122" s="2614" t="n"/>
      <c r="P122" s="2614" t="n"/>
      <c r="Q122" s="2614" t="n"/>
      <c r="R122" s="2614" t="n"/>
      <c r="S122" s="2614" t="n"/>
      <c r="T122" s="2614" t="n"/>
      <c r="U122" s="2614" t="n"/>
      <c r="V122" s="2617" t="n"/>
      <c r="W122" s="2662">
        <f>"FY cÖ`v‡bi ZvwiL n‡Z cÖwZ "&amp;'Data Input'!G18&amp;" gvm ("&amp;'Data Input'!G18*30&amp;" w`b) AšÍi mgš^qmn GK eQ‡ii g‡a¨ my`-Avm‡j cwi‡kva‡hvM¨/ bevqb‡hvM¨|"</f>
        <v/>
      </c>
      <c r="X122" s="2624" t="n"/>
      <c r="Y122" s="2624" t="n"/>
      <c r="Z122" s="2624" t="n"/>
      <c r="AA122" s="2624" t="n"/>
      <c r="AB122" s="2624" t="n"/>
      <c r="AC122" s="2624" t="n"/>
      <c r="AD122" s="2624" t="n"/>
      <c r="AE122" s="2624" t="n"/>
      <c r="AF122" s="2624" t="n"/>
      <c r="AG122" s="2624" t="n"/>
      <c r="AH122" s="2624" t="n"/>
      <c r="AI122" s="2624" t="n"/>
      <c r="AJ122" s="2624" t="n"/>
      <c r="AK122" s="2624" t="n"/>
      <c r="AL122" s="2624" t="n"/>
      <c r="AM122" s="2642" t="n"/>
      <c r="AN122" s="64" t="n"/>
      <c r="AO122" s="136" t="n"/>
      <c r="AP122" s="64" t="n"/>
      <c r="AQ122" s="64" t="n"/>
      <c r="AR122" s="64" t="n"/>
      <c r="AS122" s="64" t="n"/>
      <c r="AT122" s="64" t="n"/>
      <c r="AU122" s="64" t="n"/>
      <c r="AV122" s="64" t="n"/>
      <c r="AW122" s="64" t="n"/>
      <c r="AX122" s="64" t="n"/>
      <c r="AY122" s="136" t="n"/>
      <c r="AZ122" s="64" t="n"/>
      <c r="BA122" s="64" t="n"/>
      <c r="BB122" s="64" t="n"/>
      <c r="BC122" s="64" t="n"/>
      <c r="BD122" s="64" t="n"/>
      <c r="BE122" s="64" t="n"/>
      <c r="BF122" s="308" t="n"/>
      <c r="BG122" s="64" t="n"/>
      <c r="BH122" s="64" t="n"/>
      <c r="BI122" s="136" t="n"/>
      <c r="BJ122" s="64" t="n"/>
      <c r="BK122" s="64" t="n"/>
      <c r="BL122" s="64" t="n"/>
      <c r="BM122" s="64" t="n"/>
      <c r="BN122" s="64" t="n"/>
      <c r="BO122" s="64" t="n"/>
      <c r="BP122" s="64" t="n"/>
      <c r="BQ122" s="64" t="n"/>
      <c r="BR122" s="64" t="n"/>
      <c r="BS122" s="64" t="n"/>
      <c r="BT122" s="64" t="n"/>
      <c r="BU122" s="64" t="n"/>
      <c r="BV122" s="64" t="n"/>
      <c r="BW122" s="64" t="n"/>
      <c r="BX122" s="64" t="n"/>
      <c r="BY122" s="64" t="n"/>
      <c r="BZ122" s="64" t="n"/>
      <c r="CA122" s="64" t="n"/>
    </row>
    <row r="123" ht="18" customHeight="1">
      <c r="A123" s="2073" t="inlineStr">
        <is>
          <t>2|</t>
        </is>
      </c>
      <c r="B123" s="2074" t="n"/>
      <c r="C123" s="2614" t="n"/>
      <c r="D123" s="2614" t="n"/>
      <c r="E123" s="2614" t="n"/>
      <c r="F123" s="2614" t="n"/>
      <c r="G123" s="2614" t="n"/>
      <c r="H123" s="2614" t="n"/>
      <c r="I123" s="2614" t="n"/>
      <c r="J123" s="2614" t="n"/>
      <c r="K123" s="2614" t="n"/>
      <c r="L123" s="2617" t="n"/>
      <c r="M123" s="1661" t="n"/>
      <c r="N123" s="2614" t="n"/>
      <c r="O123" s="2614" t="n"/>
      <c r="P123" s="2614" t="n"/>
      <c r="Q123" s="2614" t="n"/>
      <c r="R123" s="2614" t="n"/>
      <c r="S123" s="2614" t="n"/>
      <c r="T123" s="2614" t="n"/>
      <c r="U123" s="2614" t="n"/>
      <c r="V123" s="2617" t="n"/>
      <c r="W123" s="2647" t="n"/>
      <c r="AM123" s="2641" t="n"/>
      <c r="AN123" s="64" t="n"/>
      <c r="AO123" s="136" t="n"/>
      <c r="AP123" s="64" t="n"/>
      <c r="AQ123" s="64" t="n"/>
      <c r="AR123" s="64" t="n"/>
      <c r="AS123" s="64" t="n"/>
      <c r="AT123" s="64" t="n"/>
      <c r="AU123" s="64" t="n"/>
      <c r="AV123" s="64" t="n"/>
      <c r="AW123" s="64" t="n"/>
      <c r="AX123" s="64" t="n"/>
      <c r="AY123" s="136" t="n"/>
      <c r="AZ123" s="64" t="n"/>
      <c r="BA123" s="64" t="n"/>
      <c r="BB123" s="64" t="n"/>
      <c r="BC123" s="64" t="n"/>
      <c r="BD123" s="64" t="n"/>
      <c r="BE123" s="64" t="n"/>
      <c r="BF123" s="308" t="n"/>
      <c r="BG123" s="64" t="n"/>
      <c r="BH123" s="64" t="n"/>
      <c r="BI123" s="136" t="n"/>
      <c r="BJ123" s="64" t="n"/>
      <c r="BK123" s="64" t="n"/>
      <c r="BL123" s="64" t="n"/>
      <c r="BM123" s="64" t="n"/>
      <c r="BN123" s="64" t="n"/>
      <c r="BO123" s="64" t="n"/>
      <c r="BP123" s="64" t="n"/>
      <c r="BQ123" s="64" t="n"/>
      <c r="BR123" s="64" t="n"/>
      <c r="BS123" s="64" t="n"/>
      <c r="BT123" s="64" t="n"/>
      <c r="BU123" s="64" t="n"/>
      <c r="BV123" s="64" t="n"/>
      <c r="BW123" s="64" t="n"/>
      <c r="BX123" s="64" t="n"/>
      <c r="BY123" s="64" t="n"/>
      <c r="BZ123" s="64" t="n"/>
      <c r="CA123" s="64" t="n"/>
    </row>
    <row r="124" ht="18" customHeight="1">
      <c r="A124" s="2073" t="inlineStr">
        <is>
          <t>3|</t>
        </is>
      </c>
      <c r="B124" s="2074" t="n"/>
      <c r="C124" s="2614" t="n"/>
      <c r="D124" s="2614" t="n"/>
      <c r="E124" s="2614" t="n"/>
      <c r="F124" s="2614" t="n"/>
      <c r="G124" s="2614" t="n"/>
      <c r="H124" s="2614" t="n"/>
      <c r="I124" s="2614" t="n"/>
      <c r="J124" s="2614" t="n"/>
      <c r="K124" s="2614" t="n"/>
      <c r="L124" s="2617" t="n"/>
      <c r="M124" s="1661" t="n"/>
      <c r="N124" s="2614" t="n"/>
      <c r="O124" s="2614" t="n"/>
      <c r="P124" s="2614" t="n"/>
      <c r="Q124" s="2614" t="n"/>
      <c r="R124" s="2614" t="n"/>
      <c r="S124" s="2614" t="n"/>
      <c r="T124" s="2614" t="n"/>
      <c r="U124" s="2614" t="n"/>
      <c r="V124" s="2617" t="n"/>
      <c r="W124" s="2647" t="n"/>
      <c r="AM124" s="2641" t="n"/>
      <c r="AN124" s="64" t="n"/>
      <c r="AO124" s="136" t="n"/>
      <c r="AP124" s="64" t="n"/>
      <c r="AQ124" s="64" t="n"/>
      <c r="AR124" s="64" t="n"/>
      <c r="AS124" s="64" t="n"/>
      <c r="AT124" s="64" t="n"/>
      <c r="AU124" s="64" t="n"/>
      <c r="AV124" s="64" t="n"/>
      <c r="AW124" s="64" t="n"/>
      <c r="AX124" s="64" t="n"/>
      <c r="AY124" s="136" t="n"/>
      <c r="AZ124" s="64" t="n"/>
      <c r="BA124" s="64" t="n"/>
      <c r="BB124" s="64" t="n"/>
      <c r="BC124" s="64" t="n"/>
      <c r="BD124" s="64" t="n"/>
      <c r="BE124" s="64" t="n"/>
      <c r="BF124" s="308" t="n"/>
      <c r="BG124" s="64" t="n"/>
      <c r="BH124" s="64" t="n"/>
      <c r="BI124" s="136" t="n"/>
      <c r="BJ124" s="64" t="n"/>
      <c r="BK124" s="64" t="n"/>
      <c r="BL124" s="64" t="n"/>
      <c r="BM124" s="64" t="n"/>
      <c r="BN124" s="64" t="n"/>
      <c r="BO124" s="64" t="n"/>
      <c r="BP124" s="64" t="n"/>
      <c r="BQ124" s="64" t="n"/>
      <c r="BR124" s="64" t="n"/>
      <c r="BS124" s="64" t="n"/>
      <c r="BT124" s="64" t="n"/>
      <c r="BU124" s="64" t="n"/>
      <c r="BV124" s="64" t="n"/>
      <c r="BW124" s="64" t="n"/>
      <c r="BX124" s="64" t="n"/>
      <c r="BY124" s="64" t="n"/>
      <c r="BZ124" s="64" t="n"/>
      <c r="CA124" s="64" t="n"/>
    </row>
    <row r="125" ht="18" customHeight="1">
      <c r="A125" s="2073" t="inlineStr">
        <is>
          <t>4|</t>
        </is>
      </c>
      <c r="B125" s="2074" t="n"/>
      <c r="C125" s="2614" t="n"/>
      <c r="D125" s="2614" t="n"/>
      <c r="E125" s="2614" t="n"/>
      <c r="F125" s="2614" t="n"/>
      <c r="G125" s="2614" t="n"/>
      <c r="H125" s="2614" t="n"/>
      <c r="I125" s="2614" t="n"/>
      <c r="J125" s="2614" t="n"/>
      <c r="K125" s="2614" t="n"/>
      <c r="L125" s="2617" t="n"/>
      <c r="M125" s="1661" t="n"/>
      <c r="N125" s="2614" t="n"/>
      <c r="O125" s="2614" t="n"/>
      <c r="P125" s="2614" t="n"/>
      <c r="Q125" s="2614" t="n"/>
      <c r="R125" s="2614" t="n"/>
      <c r="S125" s="2614" t="n"/>
      <c r="T125" s="2614" t="n"/>
      <c r="U125" s="2614" t="n"/>
      <c r="V125" s="2617" t="n"/>
      <c r="W125" s="2647" t="n"/>
      <c r="AM125" s="2641" t="n"/>
      <c r="AN125" s="64" t="n"/>
      <c r="AO125" s="136" t="n"/>
      <c r="AP125" s="64" t="n"/>
      <c r="AQ125" s="64" t="n"/>
      <c r="AR125" s="64" t="n"/>
      <c r="AS125" s="64" t="n"/>
      <c r="AT125" s="64" t="n"/>
      <c r="AU125" s="64" t="n"/>
      <c r="AV125" s="64" t="n"/>
      <c r="AW125" s="64" t="n"/>
      <c r="AX125" s="64" t="n"/>
      <c r="AY125" s="136" t="n"/>
      <c r="AZ125" s="64" t="n"/>
      <c r="BA125" s="64" t="n"/>
      <c r="BB125" s="64" t="n"/>
      <c r="BC125" s="64" t="n"/>
      <c r="BD125" s="64" t="n"/>
      <c r="BE125" s="64" t="n"/>
      <c r="BF125" s="308" t="n"/>
      <c r="BG125" s="64" t="n"/>
      <c r="BH125" s="64" t="n"/>
      <c r="BI125" s="136" t="n"/>
      <c r="BJ125" s="64" t="n"/>
      <c r="BK125" s="64" t="n"/>
      <c r="BL125" s="64" t="n"/>
      <c r="BM125" s="64" t="n"/>
      <c r="BN125" s="64" t="n"/>
      <c r="BO125" s="64" t="n"/>
      <c r="BP125" s="64" t="n"/>
      <c r="BQ125" s="64" t="n"/>
      <c r="BR125" s="64" t="n"/>
      <c r="BS125" s="64" t="n"/>
      <c r="BT125" s="64" t="n"/>
      <c r="BU125" s="64" t="n"/>
      <c r="BV125" s="64" t="n"/>
      <c r="BW125" s="64" t="n"/>
      <c r="BX125" s="64" t="n"/>
      <c r="BY125" s="64" t="n"/>
      <c r="BZ125" s="64" t="n"/>
      <c r="CA125" s="64" t="n"/>
    </row>
    <row r="126" ht="18" customHeight="1">
      <c r="A126" s="2073" t="inlineStr">
        <is>
          <t>5|</t>
        </is>
      </c>
      <c r="B126" s="2074" t="n"/>
      <c r="C126" s="2614" t="n"/>
      <c r="D126" s="2614" t="n"/>
      <c r="E126" s="2614" t="n"/>
      <c r="F126" s="2614" t="n"/>
      <c r="G126" s="2614" t="n"/>
      <c r="H126" s="2614" t="n"/>
      <c r="I126" s="2614" t="n"/>
      <c r="J126" s="2614" t="n"/>
      <c r="K126" s="2614" t="n"/>
      <c r="L126" s="2617" t="n"/>
      <c r="M126" s="1661" t="n"/>
      <c r="N126" s="2614" t="n"/>
      <c r="O126" s="2614" t="n"/>
      <c r="P126" s="2614" t="n"/>
      <c r="Q126" s="2614" t="n"/>
      <c r="R126" s="2614" t="n"/>
      <c r="S126" s="2614" t="n"/>
      <c r="T126" s="2614" t="n"/>
      <c r="U126" s="2614" t="n"/>
      <c r="V126" s="2617" t="n"/>
      <c r="W126" s="2647" t="n"/>
      <c r="AM126" s="2641" t="n"/>
      <c r="AN126" s="64" t="n"/>
      <c r="AO126" s="136" t="n"/>
      <c r="AP126" s="64" t="n"/>
      <c r="AQ126" s="64" t="n"/>
      <c r="AR126" s="64" t="n"/>
      <c r="AS126" s="64" t="n"/>
      <c r="AT126" s="64" t="n"/>
      <c r="AU126" s="64" t="n"/>
      <c r="AV126" s="64" t="n"/>
      <c r="AW126" s="64" t="n"/>
      <c r="AX126" s="64" t="n"/>
      <c r="AY126" s="136" t="n"/>
      <c r="AZ126" s="64" t="n"/>
      <c r="BA126" s="64" t="n"/>
      <c r="BB126" s="64" t="n"/>
      <c r="BC126" s="64" t="n"/>
      <c r="BD126" s="64" t="n"/>
      <c r="BE126" s="64" t="n"/>
      <c r="BF126" s="308" t="n"/>
      <c r="BG126" s="64" t="n"/>
      <c r="BH126" s="64" t="n"/>
      <c r="BI126" s="136" t="n"/>
      <c r="BJ126" s="64" t="n"/>
      <c r="BK126" s="64" t="n"/>
      <c r="BL126" s="64" t="n"/>
      <c r="BM126" s="64" t="n"/>
      <c r="BN126" s="64" t="n"/>
      <c r="BO126" s="64" t="n"/>
      <c r="BP126" s="64" t="n"/>
      <c r="BQ126" s="64" t="n"/>
      <c r="BR126" s="64" t="n"/>
      <c r="BS126" s="64" t="n"/>
      <c r="BT126" s="64" t="n"/>
      <c r="BU126" s="64" t="n"/>
      <c r="BV126" s="64" t="n"/>
      <c r="BW126" s="64" t="n"/>
      <c r="BX126" s="64" t="n"/>
      <c r="BY126" s="64" t="n"/>
      <c r="BZ126" s="64" t="n"/>
      <c r="CA126" s="64" t="n"/>
    </row>
    <row r="127" ht="21" customHeight="1">
      <c r="A127" s="2247" t="n"/>
      <c r="B127" s="2248" t="inlineStr">
        <is>
          <t>‡gvU</t>
        </is>
      </c>
      <c r="C127" s="2614" t="n"/>
      <c r="D127" s="2614" t="n"/>
      <c r="E127" s="2614" t="n"/>
      <c r="F127" s="2614" t="n"/>
      <c r="G127" s="2614" t="n"/>
      <c r="H127" s="2614" t="n"/>
      <c r="I127" s="2614" t="n"/>
      <c r="J127" s="2614" t="n"/>
      <c r="K127" s="2614" t="n"/>
      <c r="L127" s="2617" t="n"/>
      <c r="M127" s="1661">
        <f>SUM(M122:V126)</f>
        <v/>
      </c>
      <c r="N127" s="2614" t="n"/>
      <c r="O127" s="2614" t="n"/>
      <c r="P127" s="2614" t="n"/>
      <c r="Q127" s="2614" t="n"/>
      <c r="R127" s="2614" t="n"/>
      <c r="S127" s="2614" t="n"/>
      <c r="T127" s="2614" t="n"/>
      <c r="U127" s="2614" t="n"/>
      <c r="V127" s="2617" t="n"/>
      <c r="W127" s="2648" t="n"/>
      <c r="X127" s="2613" t="n"/>
      <c r="Y127" s="2613" t="n"/>
      <c r="Z127" s="2613" t="n"/>
      <c r="AA127" s="2613" t="n"/>
      <c r="AB127" s="2613" t="n"/>
      <c r="AC127" s="2613" t="n"/>
      <c r="AD127" s="2613" t="n"/>
      <c r="AE127" s="2613" t="n"/>
      <c r="AF127" s="2613" t="n"/>
      <c r="AG127" s="2613" t="n"/>
      <c r="AH127" s="2613" t="n"/>
      <c r="AI127" s="2613" t="n"/>
      <c r="AJ127" s="2613" t="n"/>
      <c r="AK127" s="2613" t="n"/>
      <c r="AL127" s="2613" t="n"/>
      <c r="AM127" s="2649" t="n"/>
      <c r="AN127" s="64" t="n"/>
      <c r="AO127" s="136" t="n"/>
      <c r="AP127" s="64" t="n"/>
      <c r="AQ127" s="64" t="n"/>
      <c r="AR127" s="64" t="n"/>
      <c r="AS127" s="64" t="n"/>
      <c r="AT127" s="64" t="n"/>
      <c r="AU127" s="64" t="n"/>
      <c r="AV127" s="64" t="n"/>
      <c r="AW127" s="64" t="n"/>
      <c r="AX127" s="64" t="n"/>
      <c r="AY127" s="136" t="n"/>
      <c r="AZ127" s="64" t="n"/>
      <c r="BA127" s="64" t="n"/>
      <c r="BB127" s="64" t="n"/>
      <c r="BC127" s="64" t="n"/>
      <c r="BD127" s="64" t="n"/>
      <c r="BE127" s="64" t="n"/>
      <c r="BF127" s="308" t="n"/>
      <c r="BG127" s="64" t="n"/>
      <c r="BH127" s="64" t="n"/>
      <c r="BI127" s="136" t="n"/>
      <c r="BJ127" s="64" t="n"/>
      <c r="BK127" s="64" t="n"/>
      <c r="BL127" s="64" t="n"/>
      <c r="BM127" s="64" t="n"/>
      <c r="BN127" s="64" t="n"/>
      <c r="BO127" s="64" t="n"/>
      <c r="BP127" s="64" t="n"/>
      <c r="BQ127" s="64" t="n"/>
      <c r="BR127" s="64" t="n"/>
      <c r="BS127" s="64" t="n"/>
      <c r="BT127" s="64" t="n"/>
      <c r="BU127" s="64" t="n"/>
      <c r="BV127" s="64" t="n"/>
      <c r="BW127" s="64" t="n"/>
      <c r="BX127" s="64" t="n"/>
      <c r="BY127" s="64" t="n"/>
      <c r="BZ127" s="64" t="n"/>
      <c r="CA127" s="64" t="n"/>
    </row>
    <row r="128" ht="21" customHeight="1">
      <c r="A128" s="1963" t="n"/>
      <c r="B128" s="169" t="n"/>
      <c r="C128" s="169" t="n"/>
      <c r="D128" s="169" t="n"/>
      <c r="E128" s="2058" t="n"/>
      <c r="F128" s="169" t="n"/>
      <c r="G128" s="2059" t="n"/>
      <c r="H128" s="1963" t="n"/>
      <c r="I128" s="1963" t="n"/>
      <c r="J128" s="169" t="n"/>
      <c r="K128" s="1963" t="n"/>
      <c r="L128" s="169" t="n"/>
      <c r="M128" s="302" t="n"/>
      <c r="N128" s="302" t="n"/>
      <c r="O128" s="302" t="n"/>
      <c r="P128" s="302" t="n"/>
      <c r="Q128" s="302" t="n"/>
      <c r="R128" s="302" t="n"/>
      <c r="S128" s="302" t="n"/>
      <c r="T128" s="302" t="n"/>
      <c r="U128" s="302" t="n"/>
      <c r="V128" s="302" t="n"/>
      <c r="W128" s="206" t="n"/>
      <c r="X128" s="206" t="n"/>
      <c r="Y128" s="2048" t="n"/>
      <c r="Z128" s="206" t="n"/>
      <c r="AA128" s="206" t="n"/>
      <c r="AB128" s="206" t="n"/>
      <c r="AC128" s="206" t="n"/>
      <c r="AD128" s="2048" t="n"/>
      <c r="AE128" s="206" t="n"/>
      <c r="AF128" s="206" t="n"/>
      <c r="AG128" s="206" t="n"/>
      <c r="AH128" s="206" t="n"/>
      <c r="AI128" s="2048" t="n"/>
      <c r="AJ128" s="206" t="n"/>
      <c r="AK128" s="206" t="n"/>
      <c r="AL128" s="206" t="n"/>
      <c r="AM128" s="206" t="n"/>
      <c r="AN128" s="64" t="n"/>
      <c r="AO128" s="136" t="n"/>
      <c r="AP128" s="64" t="n"/>
      <c r="AQ128" s="64" t="n"/>
      <c r="AR128" s="64" t="n"/>
      <c r="AS128" s="64" t="n"/>
      <c r="AT128" s="64" t="n"/>
      <c r="AU128" s="64" t="n"/>
      <c r="AV128" s="64" t="n"/>
      <c r="AW128" s="64" t="n"/>
      <c r="AX128" s="64" t="n"/>
      <c r="AY128" s="136" t="n"/>
      <c r="AZ128" s="64" t="n"/>
      <c r="BA128" s="64" t="n"/>
      <c r="BB128" s="64" t="n"/>
      <c r="BC128" s="64" t="n"/>
      <c r="BD128" s="64" t="n"/>
      <c r="BE128" s="64" t="n"/>
      <c r="BF128" s="308" t="n"/>
      <c r="BG128" s="64" t="n"/>
      <c r="BH128" s="64" t="n"/>
      <c r="BI128" s="136" t="n"/>
      <c r="BJ128" s="64" t="n"/>
      <c r="BK128" s="64" t="n"/>
      <c r="BL128" s="64" t="n"/>
      <c r="BM128" s="64" t="n"/>
      <c r="BN128" s="64" t="n"/>
      <c r="BO128" s="64" t="n"/>
      <c r="BP128" s="64" t="n"/>
      <c r="BQ128" s="64" t="n"/>
      <c r="BR128" s="64" t="n"/>
      <c r="BS128" s="64" t="n"/>
      <c r="BT128" s="64" t="n"/>
      <c r="BU128" s="64" t="n"/>
      <c r="BV128" s="64" t="n"/>
      <c r="BW128" s="64" t="n"/>
      <c r="BX128" s="64" t="n"/>
      <c r="BY128" s="64" t="n"/>
      <c r="BZ128" s="64" t="n"/>
      <c r="CA128" s="64" t="n"/>
    </row>
    <row r="129" ht="20.25" customHeight="1">
      <c r="A129" s="1963" t="n"/>
      <c r="B129" s="64" t="n"/>
      <c r="C129" s="96" t="n"/>
      <c r="D129" s="96" t="n"/>
      <c r="E129" s="2199" t="n"/>
      <c r="F129" s="96" t="n"/>
      <c r="G129" s="2200" t="n"/>
      <c r="H129" s="2165" t="n"/>
      <c r="I129" s="2165" t="n"/>
      <c r="J129" s="96" t="n"/>
      <c r="K129" s="2165" t="n"/>
      <c r="L129" s="96" t="n"/>
      <c r="M129" s="2165" t="n"/>
      <c r="N129" s="96" t="n"/>
      <c r="O129" s="2201" t="n"/>
      <c r="P129" s="2230" t="n"/>
      <c r="Q129" s="2165" t="n"/>
      <c r="R129" s="2230" t="n"/>
      <c r="S129" s="2165" t="n"/>
      <c r="T129" s="2165" t="n"/>
      <c r="U129" s="96" t="n"/>
      <c r="V129" s="96" t="n"/>
      <c r="W129" s="1964" t="inlineStr">
        <is>
          <t>g~j¨vqbKvix Kg©KZ©vi ¯^vÿit</t>
        </is>
      </c>
      <c r="X129" s="64" t="n"/>
      <c r="Y129" s="136" t="n"/>
      <c r="Z129" s="64" t="n"/>
      <c r="AA129" s="64" t="n"/>
      <c r="AB129" s="64" t="n"/>
      <c r="AC129" s="64" t="n"/>
      <c r="AD129" s="136" t="n"/>
      <c r="AE129" s="64" t="n"/>
      <c r="AF129" s="64" t="n"/>
      <c r="AG129" s="64" t="n"/>
      <c r="AH129" s="64" t="n"/>
      <c r="AI129" s="136" t="n"/>
      <c r="AJ129" s="64" t="n"/>
      <c r="AK129" s="64" t="n"/>
      <c r="AL129" s="64" t="n"/>
      <c r="AM129" s="64" t="n"/>
      <c r="AN129" s="64" t="n"/>
      <c r="AO129" s="136" t="n"/>
      <c r="AP129" s="64" t="n"/>
      <c r="AQ129" s="64" t="n"/>
      <c r="AR129" s="64" t="n"/>
      <c r="AS129" s="64" t="n"/>
      <c r="AT129" s="64" t="n"/>
      <c r="AU129" s="64" t="n"/>
      <c r="AV129" s="64" t="n"/>
      <c r="AW129" s="64" t="n"/>
      <c r="AX129" s="64" t="n"/>
      <c r="AY129" s="136" t="n"/>
      <c r="AZ129" s="64" t="n"/>
      <c r="BA129" s="64" t="n"/>
      <c r="BB129" s="64" t="n"/>
      <c r="BC129" s="64" t="n"/>
      <c r="BD129" s="64" t="n"/>
      <c r="BE129" s="64" t="n"/>
      <c r="BF129" s="308" t="n"/>
      <c r="BG129" s="64" t="n"/>
      <c r="BH129" s="64" t="n"/>
      <c r="BI129" s="136" t="n"/>
      <c r="BJ129" s="64" t="n"/>
      <c r="BK129" s="64" t="n"/>
      <c r="BL129" s="64" t="n"/>
      <c r="BM129" s="64" t="n"/>
      <c r="BN129" s="64" t="n"/>
      <c r="BO129" s="64" t="n"/>
      <c r="BP129" s="64" t="n"/>
      <c r="BQ129" s="64" t="n"/>
      <c r="BR129" s="64" t="n"/>
      <c r="BS129" s="64" t="n"/>
      <c r="BT129" s="64" t="n"/>
      <c r="BU129" s="64" t="n"/>
      <c r="BV129" s="64" t="n"/>
      <c r="BW129" s="64" t="n"/>
      <c r="BX129" s="64" t="n"/>
      <c r="BY129" s="64" t="n"/>
      <c r="BZ129" s="64" t="n"/>
      <c r="CA129" s="64" t="n"/>
    </row>
    <row r="130" ht="20.25" customHeight="1">
      <c r="A130" s="1963" t="n"/>
      <c r="B130" s="64" t="n"/>
      <c r="C130" s="96" t="n"/>
      <c r="D130" s="96" t="n"/>
      <c r="E130" s="2199" t="n"/>
      <c r="F130" s="96" t="n"/>
      <c r="G130" s="2200" t="n"/>
      <c r="H130" s="2165" t="n"/>
      <c r="I130" s="2165" t="n"/>
      <c r="J130" s="96" t="n"/>
      <c r="K130" s="2165" t="n"/>
      <c r="L130" s="96" t="n"/>
      <c r="M130" s="2165" t="n"/>
      <c r="N130" s="96" t="n"/>
      <c r="O130" s="2201" t="n"/>
      <c r="P130" s="2230" t="n"/>
      <c r="Q130" s="2165" t="n"/>
      <c r="R130" s="2230" t="n"/>
      <c r="S130" s="2165" t="n"/>
      <c r="T130" s="2165" t="n"/>
      <c r="U130" s="96" t="n"/>
      <c r="V130" s="96" t="n"/>
      <c r="W130" s="1964" t="inlineStr">
        <is>
          <t>c~Y© bvg t</t>
        </is>
      </c>
      <c r="X130" s="64" t="n"/>
      <c r="Y130" s="136" t="n"/>
      <c r="Z130" s="64" t="n"/>
      <c r="AA130" s="64" t="n"/>
      <c r="AB130" s="64" t="n"/>
      <c r="AC130" s="64" t="n"/>
      <c r="AD130" s="136" t="n"/>
      <c r="AE130" s="64" t="n"/>
      <c r="AF130" s="64" t="n"/>
      <c r="AG130" s="64" t="n"/>
      <c r="AH130" s="64" t="n"/>
      <c r="AI130" s="136" t="n"/>
      <c r="AJ130" s="64" t="n"/>
      <c r="AK130" s="64" t="n"/>
      <c r="AL130" s="64" t="n"/>
      <c r="AM130" s="64" t="n"/>
      <c r="AN130" s="64" t="n"/>
      <c r="AO130" s="136" t="n"/>
      <c r="AP130" s="64" t="n"/>
      <c r="AQ130" s="64" t="n"/>
      <c r="AR130" s="64" t="n"/>
      <c r="AS130" s="64" t="n"/>
      <c r="AT130" s="64" t="n"/>
      <c r="AU130" s="64" t="n"/>
      <c r="AV130" s="64" t="n"/>
      <c r="AW130" s="64" t="n"/>
      <c r="AX130" s="64" t="n"/>
      <c r="AY130" s="136" t="n"/>
      <c r="AZ130" s="64" t="n"/>
      <c r="BA130" s="64" t="n"/>
      <c r="BB130" s="64" t="n"/>
      <c r="BC130" s="64" t="n"/>
      <c r="BD130" s="64" t="n"/>
      <c r="BE130" s="64" t="n"/>
      <c r="BF130" s="308" t="n"/>
      <c r="BG130" s="64" t="n"/>
      <c r="BH130" s="64" t="n"/>
      <c r="BI130" s="136" t="n"/>
      <c r="BJ130" s="64" t="n"/>
      <c r="BK130" s="64" t="n"/>
      <c r="BL130" s="64" t="n"/>
      <c r="BM130" s="64" t="n"/>
      <c r="BN130" s="64" t="n"/>
      <c r="BO130" s="64" t="n"/>
      <c r="BP130" s="64" t="n"/>
      <c r="BQ130" s="64" t="n"/>
      <c r="BR130" s="64" t="n"/>
      <c r="BS130" s="64" t="n"/>
      <c r="BT130" s="64" t="n"/>
      <c r="BU130" s="64" t="n"/>
      <c r="BV130" s="64" t="n"/>
      <c r="BW130" s="64" t="n"/>
      <c r="BX130" s="64" t="n"/>
      <c r="BY130" s="64" t="n"/>
      <c r="BZ130" s="64" t="n"/>
      <c r="CA130" s="64" t="n"/>
    </row>
    <row r="131" ht="20.25" customHeight="1">
      <c r="A131" s="1963" t="n"/>
      <c r="B131" s="96" t="n"/>
      <c r="C131" s="96" t="n"/>
      <c r="D131" s="96" t="n"/>
      <c r="E131" s="2199" t="n"/>
      <c r="F131" s="96" t="n"/>
      <c r="G131" s="2200" t="n"/>
      <c r="H131" s="2165" t="n"/>
      <c r="I131" s="2165" t="n"/>
      <c r="J131" s="96" t="n"/>
      <c r="K131" s="2165" t="n"/>
      <c r="L131" s="96" t="n"/>
      <c r="M131" s="2165" t="n"/>
      <c r="N131" s="96" t="n"/>
      <c r="O131" s="2201" t="n"/>
      <c r="P131" s="2230" t="n"/>
      <c r="Q131" s="2165" t="n"/>
      <c r="R131" s="2230" t="n"/>
      <c r="S131" s="2165" t="n"/>
      <c r="T131" s="2165" t="n"/>
      <c r="U131" s="96" t="n"/>
      <c r="V131" s="96" t="n"/>
      <c r="W131" s="1964" t="inlineStr">
        <is>
          <t>c`ex t</t>
        </is>
      </c>
      <c r="X131" s="64" t="n"/>
      <c r="Y131" s="136" t="n"/>
      <c r="Z131" s="64" t="n"/>
      <c r="AA131" s="64" t="n"/>
      <c r="AB131" s="64" t="n"/>
      <c r="AC131" s="64" t="n"/>
      <c r="AD131" s="136" t="n"/>
      <c r="AE131" s="64" t="n"/>
      <c r="AF131" s="64" t="n"/>
      <c r="AG131" s="64" t="n"/>
      <c r="AH131" s="64" t="n"/>
      <c r="AI131" s="136" t="n"/>
      <c r="AJ131" s="64" t="n"/>
      <c r="AK131" s="64" t="n"/>
      <c r="AL131" s="64" t="n"/>
      <c r="AM131" s="64" t="n"/>
      <c r="AN131" s="64" t="n"/>
      <c r="AO131" s="136" t="n"/>
      <c r="AP131" s="64" t="n"/>
      <c r="AQ131" s="64" t="n"/>
      <c r="AR131" s="64" t="n"/>
      <c r="AS131" s="64" t="n"/>
      <c r="AT131" s="64" t="n"/>
      <c r="AU131" s="64" t="n"/>
      <c r="AV131" s="64" t="n"/>
      <c r="AW131" s="64" t="n"/>
      <c r="AX131" s="64" t="n"/>
      <c r="AY131" s="136" t="n"/>
      <c r="AZ131" s="64" t="n"/>
      <c r="BA131" s="64" t="n"/>
      <c r="BB131" s="64" t="n"/>
      <c r="BC131" s="64" t="n"/>
      <c r="BD131" s="64" t="n"/>
      <c r="BE131" s="64" t="n"/>
      <c r="BF131" s="308" t="n"/>
      <c r="BG131" s="64" t="n"/>
      <c r="BH131" s="64" t="n"/>
      <c r="BI131" s="136" t="n"/>
      <c r="BJ131" s="64" t="n"/>
      <c r="BK131" s="64" t="n"/>
      <c r="BL131" s="64" t="n"/>
      <c r="BM131" s="64" t="n"/>
      <c r="BN131" s="64" t="n"/>
      <c r="BO131" s="64" t="n"/>
      <c r="BP131" s="64" t="n"/>
      <c r="BQ131" s="64" t="n"/>
      <c r="BR131" s="64" t="n"/>
      <c r="BS131" s="64" t="n"/>
      <c r="BT131" s="64" t="n"/>
      <c r="BU131" s="64" t="n"/>
      <c r="BV131" s="64" t="n"/>
      <c r="BW131" s="64" t="n"/>
      <c r="BX131" s="64" t="n"/>
      <c r="BY131" s="64" t="n"/>
      <c r="BZ131" s="64" t="n"/>
      <c r="CA131" s="64" t="n"/>
    </row>
    <row r="132" ht="27" customHeight="1">
      <c r="A132" s="1963" t="n"/>
      <c r="B132" s="96" t="n"/>
      <c r="C132" s="96" t="n"/>
      <c r="D132" s="96" t="n"/>
      <c r="E132" s="2199" t="n"/>
      <c r="F132" s="96" t="n"/>
      <c r="G132" s="2200" t="n"/>
      <c r="H132" s="2165" t="n"/>
      <c r="I132" s="2165" t="n"/>
      <c r="J132" s="96" t="n"/>
      <c r="K132" s="2165" t="n"/>
      <c r="L132" s="96" t="n"/>
      <c r="M132" s="2165" t="n"/>
      <c r="N132" s="96" t="n"/>
      <c r="O132" s="2201" t="n"/>
      <c r="P132" s="2230" t="n"/>
      <c r="Q132" s="2165" t="n"/>
      <c r="R132" s="2230" t="n"/>
      <c r="S132" s="2165" t="n"/>
      <c r="T132" s="2165" t="n"/>
      <c r="U132" s="96" t="n"/>
      <c r="V132" s="96" t="n"/>
      <c r="W132" s="1964" t="inlineStr">
        <is>
          <t>ZvwiL t</t>
        </is>
      </c>
      <c r="X132" s="64" t="n"/>
      <c r="Y132" s="136" t="n"/>
      <c r="Z132" s="64" t="n"/>
      <c r="AA132" s="64" t="n"/>
      <c r="AB132" s="64" t="n"/>
      <c r="AC132" s="64" t="n"/>
      <c r="AD132" s="136" t="n"/>
      <c r="AE132" s="64" t="n"/>
      <c r="AF132" s="64" t="n"/>
      <c r="AG132" s="64" t="n"/>
      <c r="AH132" s="64" t="n"/>
      <c r="AI132" s="136" t="n"/>
      <c r="AJ132" s="64" t="n"/>
      <c r="AK132" s="64" t="n"/>
      <c r="AL132" s="64" t="n"/>
      <c r="AM132" s="64" t="n"/>
      <c r="AN132" s="64" t="n"/>
      <c r="AO132" s="136" t="n"/>
      <c r="AP132" s="64" t="n"/>
      <c r="AQ132" s="64" t="n"/>
      <c r="AR132" s="64" t="n"/>
      <c r="AS132" s="64" t="n"/>
      <c r="AT132" s="64" t="n"/>
      <c r="AU132" s="64" t="n"/>
      <c r="AV132" s="64" t="n"/>
      <c r="AW132" s="64" t="n"/>
      <c r="AX132" s="64" t="n"/>
      <c r="AY132" s="136" t="n"/>
      <c r="AZ132" s="64" t="n"/>
      <c r="BA132" s="64" t="n"/>
      <c r="BB132" s="64" t="n"/>
      <c r="BC132" s="64" t="n"/>
      <c r="BD132" s="64" t="n"/>
      <c r="BE132" s="64" t="n"/>
      <c r="BF132" s="308" t="n"/>
      <c r="BG132" s="64" t="n"/>
      <c r="BH132" s="64" t="n"/>
      <c r="BI132" s="136" t="n"/>
      <c r="BJ132" s="64" t="n"/>
      <c r="BK132" s="64" t="n"/>
      <c r="BL132" s="64" t="n"/>
      <c r="BM132" s="64" t="n"/>
      <c r="BN132" s="64" t="n"/>
      <c r="BO132" s="64" t="n"/>
      <c r="BP132" s="64" t="n"/>
      <c r="BQ132" s="64" t="n"/>
      <c r="BR132" s="64" t="n"/>
      <c r="BS132" s="64" t="n"/>
      <c r="BT132" s="64" t="n"/>
      <c r="BU132" s="64" t="n"/>
      <c r="BV132" s="64" t="n"/>
      <c r="BW132" s="64" t="n"/>
      <c r="BX132" s="64" t="n"/>
      <c r="BY132" s="64" t="n"/>
      <c r="BZ132" s="64" t="n"/>
      <c r="CA132" s="64" t="n"/>
    </row>
    <row r="133" ht="20.25" customHeight="1">
      <c r="A133" s="2054" t="inlineStr">
        <is>
          <t>10|</t>
        </is>
      </c>
      <c r="B133" s="666" t="inlineStr">
        <is>
          <t>Rvgvb‡Zi wel‡q AvBb Dc‡`óv/e¨e¯’vc‡Ki AwfgZt</t>
        </is>
      </c>
      <c r="AN133" s="64" t="n"/>
      <c r="AO133" s="136" t="n"/>
      <c r="AP133" s="64" t="n"/>
      <c r="AQ133" s="64" t="n"/>
      <c r="AR133" s="64" t="n"/>
      <c r="AS133" s="64" t="n"/>
      <c r="AT133" s="64" t="n"/>
      <c r="AU133" s="64" t="n"/>
      <c r="AV133" s="64" t="n"/>
      <c r="AW133" s="64" t="n"/>
      <c r="AX133" s="64" t="n"/>
      <c r="AY133" s="136" t="n"/>
      <c r="AZ133" s="64" t="n"/>
      <c r="BA133" s="64" t="n"/>
      <c r="BB133" s="64" t="n"/>
      <c r="BC133" s="64" t="n"/>
      <c r="BD133" s="64" t="n"/>
      <c r="BE133" s="64" t="n"/>
      <c r="BF133" s="308" t="n"/>
      <c r="BG133" s="64" t="n"/>
      <c r="BH133" s="64" t="n"/>
      <c r="BI133" s="136" t="n"/>
      <c r="BJ133" s="64" t="n"/>
      <c r="BK133" s="64" t="n"/>
      <c r="BL133" s="64" t="n"/>
      <c r="BM133" s="64" t="n"/>
      <c r="BN133" s="64" t="n"/>
      <c r="BO133" s="64" t="n"/>
      <c r="BP133" s="64" t="n"/>
      <c r="BQ133" s="64" t="n"/>
      <c r="BR133" s="64" t="n"/>
      <c r="BS133" s="64" t="n"/>
      <c r="BT133" s="64" t="n"/>
      <c r="BU133" s="64" t="n"/>
      <c r="BV133" s="64" t="n"/>
      <c r="BW133" s="64" t="n"/>
      <c r="BX133" s="64" t="n"/>
      <c r="BY133" s="64" t="n"/>
      <c r="BZ133" s="64" t="n"/>
      <c r="CA133" s="64" t="n"/>
    </row>
    <row r="134" ht="5.25" customHeight="1">
      <c r="A134" s="2054" t="n"/>
      <c r="B134" s="666" t="n"/>
      <c r="C134" s="666" t="n"/>
      <c r="D134" s="666" t="n"/>
      <c r="E134" s="2161" t="n"/>
      <c r="F134" s="666" t="n"/>
      <c r="G134" s="2162" t="n"/>
      <c r="H134" s="2054" t="n"/>
      <c r="I134" s="2054" t="n"/>
      <c r="J134" s="666" t="n"/>
      <c r="K134" s="2054" t="n"/>
      <c r="L134" s="666" t="n"/>
      <c r="M134" s="2054" t="n"/>
      <c r="N134" s="666" t="n"/>
      <c r="O134" s="2163" t="n"/>
      <c r="P134" s="2164" t="n"/>
      <c r="Q134" s="2054" t="n"/>
      <c r="R134" s="2164" t="n"/>
      <c r="S134" s="2054" t="n"/>
      <c r="T134" s="2054" t="n"/>
      <c r="U134" s="666" t="n"/>
      <c r="V134" s="666" t="n"/>
      <c r="W134" s="666" t="n"/>
      <c r="X134" s="666" t="n"/>
      <c r="Y134" s="2054" t="n"/>
      <c r="Z134" s="666" t="n"/>
      <c r="AA134" s="666" t="n"/>
      <c r="AB134" s="666" t="n"/>
      <c r="AC134" s="666" t="n"/>
      <c r="AD134" s="2054" t="n"/>
      <c r="AE134" s="666" t="n"/>
      <c r="AF134" s="666" t="n"/>
      <c r="AG134" s="666" t="n"/>
      <c r="AH134" s="666" t="n"/>
      <c r="AI134" s="2054" t="n"/>
      <c r="AJ134" s="666" t="n"/>
      <c r="AK134" s="666" t="n"/>
      <c r="AL134" s="666" t="n"/>
      <c r="AM134" s="666" t="n"/>
      <c r="AN134" s="64" t="n"/>
      <c r="AO134" s="136" t="n"/>
      <c r="AP134" s="64" t="n"/>
      <c r="AQ134" s="64" t="n"/>
      <c r="AR134" s="64" t="n"/>
      <c r="AS134" s="64" t="n"/>
      <c r="AT134" s="64" t="n"/>
      <c r="AU134" s="64" t="n"/>
      <c r="AV134" s="64" t="n"/>
      <c r="AW134" s="64" t="n"/>
      <c r="AX134" s="64" t="n"/>
      <c r="AY134" s="136" t="n"/>
      <c r="AZ134" s="64" t="n"/>
      <c r="BA134" s="64" t="n"/>
      <c r="BB134" s="64" t="n"/>
      <c r="BC134" s="64" t="n"/>
      <c r="BD134" s="64" t="n"/>
      <c r="BE134" s="64" t="n"/>
      <c r="BF134" s="308" t="n"/>
      <c r="BG134" s="64" t="n"/>
      <c r="BH134" s="64" t="n"/>
      <c r="BI134" s="136" t="n"/>
      <c r="BJ134" s="64" t="n"/>
      <c r="BK134" s="64" t="n"/>
      <c r="BL134" s="64" t="n"/>
      <c r="BM134" s="64" t="n"/>
      <c r="BN134" s="64" t="n"/>
      <c r="BO134" s="64" t="n"/>
      <c r="BP134" s="64" t="n"/>
      <c r="BQ134" s="64" t="n"/>
      <c r="BR134" s="64" t="n"/>
      <c r="BS134" s="64" t="n"/>
      <c r="BT134" s="64" t="n"/>
      <c r="BU134" s="64" t="n"/>
      <c r="BV134" s="64" t="n"/>
      <c r="BW134" s="64" t="n"/>
      <c r="BX134" s="64" t="n"/>
      <c r="BY134" s="64" t="n"/>
      <c r="BZ134" s="64" t="n"/>
      <c r="CA134" s="64" t="n"/>
    </row>
    <row r="135" ht="20.25" customFormat="1" customHeight="1" s="18">
      <c r="A135" s="2255" t="n"/>
      <c r="B135" s="199" t="inlineStr">
        <is>
          <t>K) Avwg Av‡e`bKvixi (MY) `wjj, ¯^ËvwaKvi  cÎ cixÿv Kwiqv †`wLqvwQ Ges GB g‡g© cÖZ¨vqb Kwi‡ZwQ †h t</t>
        </is>
      </c>
      <c r="AN135" s="103" t="n"/>
      <c r="AO135" s="225" t="n"/>
      <c r="AP135" s="103" t="n"/>
      <c r="AQ135" s="103" t="n"/>
      <c r="AR135" s="103" t="n"/>
      <c r="AS135" s="103" t="n"/>
      <c r="AT135" s="103" t="n"/>
      <c r="AU135" s="103" t="n"/>
      <c r="AV135" s="103" t="n"/>
      <c r="AW135" s="103" t="n"/>
      <c r="AX135" s="103" t="n"/>
      <c r="AY135" s="225" t="n"/>
      <c r="AZ135" s="103" t="n"/>
      <c r="BA135" s="103" t="n"/>
      <c r="BB135" s="103" t="n"/>
      <c r="BC135" s="103" t="n"/>
      <c r="BD135" s="103" t="n"/>
      <c r="BE135" s="103" t="n"/>
      <c r="BF135" s="555" t="n"/>
      <c r="BG135" s="103" t="n"/>
      <c r="BH135" s="103" t="n"/>
      <c r="BI135" s="225" t="n"/>
      <c r="BJ135" s="103" t="n"/>
      <c r="BK135" s="103" t="n"/>
      <c r="BL135" s="103" t="n"/>
      <c r="BM135" s="103" t="n"/>
      <c r="BN135" s="103" t="n"/>
      <c r="BO135" s="103" t="n"/>
      <c r="BP135" s="103" t="n"/>
      <c r="BQ135" s="103" t="n"/>
      <c r="BR135" s="103" t="n"/>
      <c r="BS135" s="103" t="n"/>
      <c r="BT135" s="103" t="n"/>
      <c r="BU135" s="103" t="n"/>
      <c r="BV135" s="103" t="n"/>
      <c r="BW135" s="103" t="n"/>
      <c r="BX135" s="103" t="n"/>
      <c r="BY135" s="103" t="n"/>
      <c r="BZ135" s="103" t="n"/>
      <c r="CA135" s="103" t="n"/>
    </row>
    <row r="136" ht="24.75" customFormat="1" customHeight="1" s="18">
      <c r="A136" s="2255" t="n"/>
      <c r="B136" s="2256" t="inlineStr">
        <is>
          <t>01)</t>
        </is>
      </c>
      <c r="C136" s="2663" t="n"/>
      <c r="D136" s="2258" t="inlineStr">
        <is>
          <t xml:space="preserve">Av‡e`bKvixi (MY) cÖwZ‡e`‡bi 38 c„ôvq ewY©Z RvgvbZx m¤úwËi GK”QÎ gvwjK|                                                </t>
        </is>
      </c>
      <c r="E136" s="2664" t="n"/>
      <c r="F136" s="2664" t="n"/>
      <c r="G136" s="2664" t="n"/>
      <c r="H136" s="2664" t="n"/>
      <c r="I136" s="2664" t="n"/>
      <c r="J136" s="2664" t="n"/>
      <c r="K136" s="2664" t="n"/>
      <c r="L136" s="2664" t="n"/>
      <c r="M136" s="2664" t="n"/>
      <c r="N136" s="2664" t="n"/>
      <c r="O136" s="2664" t="n"/>
      <c r="P136" s="2664" t="n"/>
      <c r="Q136" s="2664" t="n"/>
      <c r="R136" s="2664" t="n"/>
      <c r="S136" s="2664" t="n"/>
      <c r="T136" s="2664" t="n"/>
      <c r="U136" s="2664" t="n"/>
      <c r="V136" s="2664" t="n"/>
      <c r="W136" s="2664" t="n"/>
      <c r="X136" s="2664" t="n"/>
      <c r="Y136" s="2664" t="n"/>
      <c r="Z136" s="2664" t="n"/>
      <c r="AA136" s="2664" t="n"/>
      <c r="AB136" s="2664" t="n"/>
      <c r="AC136" s="2664" t="n"/>
      <c r="AD136" s="2664" t="n"/>
      <c r="AE136" s="2664" t="n"/>
      <c r="AF136" s="2664" t="n"/>
      <c r="AG136" s="2664" t="n"/>
      <c r="AH136" s="2664" t="n"/>
      <c r="AI136" s="2664" t="n"/>
      <c r="AJ136" s="2664" t="n"/>
      <c r="AK136" s="2664" t="n"/>
      <c r="AL136" s="2663" t="n"/>
      <c r="AM136" s="2258" t="n"/>
      <c r="AN136" s="2663" t="n"/>
      <c r="AO136" s="225" t="n"/>
      <c r="AP136" s="103" t="n"/>
      <c r="AQ136" s="103" t="n"/>
      <c r="AR136" s="103" t="n"/>
      <c r="AS136" s="103" t="n"/>
      <c r="AT136" s="103" t="n"/>
      <c r="AU136" s="103" t="n"/>
      <c r="AV136" s="103" t="n"/>
      <c r="AW136" s="103" t="n"/>
      <c r="AX136" s="103" t="n"/>
      <c r="AY136" s="225" t="n"/>
      <c r="AZ136" s="103" t="n"/>
      <c r="BA136" s="103" t="n"/>
      <c r="BB136" s="103" t="n"/>
      <c r="BC136" s="103" t="n"/>
      <c r="BD136" s="103" t="n"/>
      <c r="BE136" s="103" t="n"/>
      <c r="BF136" s="555" t="n"/>
      <c r="BG136" s="103" t="n"/>
      <c r="BH136" s="103" t="n"/>
      <c r="BI136" s="225" t="n"/>
      <c r="BJ136" s="103" t="n"/>
      <c r="BK136" s="103" t="n"/>
      <c r="BL136" s="103" t="n"/>
      <c r="BM136" s="103" t="n"/>
      <c r="BN136" s="103" t="n"/>
      <c r="BO136" s="103" t="n"/>
      <c r="BP136" s="103" t="n"/>
      <c r="BQ136" s="103" t="n"/>
      <c r="BR136" s="103" t="n"/>
      <c r="BS136" s="103" t="n"/>
      <c r="BT136" s="103" t="n"/>
      <c r="BU136" s="103" t="n"/>
      <c r="BV136" s="103" t="n"/>
      <c r="BW136" s="103" t="n"/>
      <c r="BX136" s="103" t="n"/>
      <c r="BY136" s="103" t="n"/>
      <c r="BZ136" s="103" t="n"/>
      <c r="CA136" s="103" t="n"/>
    </row>
    <row r="137" ht="45" customFormat="1" customHeight="1" s="18">
      <c r="A137" s="225" t="n"/>
      <c r="B137" s="2256" t="inlineStr">
        <is>
          <t>02)</t>
        </is>
      </c>
      <c r="C137" s="2663" t="n"/>
      <c r="D137" s="2258" t="inlineStr">
        <is>
          <t>Rwg‡Z Av‡e`bKvixi (MY) DËivaxKvi m~‡Î cvBevi Ges n¯ÍvšÍ‡ii AwaKvi iwnqv‡Q A_©vr RwgwU e¨vs‡Ki wbKU n¯ÍvšÍ‡ii ÿgZv iwnqv‡Q|</t>
        </is>
      </c>
      <c r="E137" s="2664" t="n"/>
      <c r="F137" s="2664" t="n"/>
      <c r="G137" s="2664" t="n"/>
      <c r="H137" s="2664" t="n"/>
      <c r="I137" s="2664" t="n"/>
      <c r="J137" s="2664" t="n"/>
      <c r="K137" s="2664" t="n"/>
      <c r="L137" s="2664" t="n"/>
      <c r="M137" s="2664" t="n"/>
      <c r="N137" s="2664" t="n"/>
      <c r="O137" s="2664" t="n"/>
      <c r="P137" s="2664" t="n"/>
      <c r="Q137" s="2664" t="n"/>
      <c r="R137" s="2664" t="n"/>
      <c r="S137" s="2664" t="n"/>
      <c r="T137" s="2664" t="n"/>
      <c r="U137" s="2664" t="n"/>
      <c r="V137" s="2664" t="n"/>
      <c r="W137" s="2664" t="n"/>
      <c r="X137" s="2664" t="n"/>
      <c r="Y137" s="2664" t="n"/>
      <c r="Z137" s="2664" t="n"/>
      <c r="AA137" s="2664" t="n"/>
      <c r="AB137" s="2664" t="n"/>
      <c r="AC137" s="2664" t="n"/>
      <c r="AD137" s="2664" t="n"/>
      <c r="AE137" s="2664" t="n"/>
      <c r="AF137" s="2664" t="n"/>
      <c r="AG137" s="2664" t="n"/>
      <c r="AH137" s="2664" t="n"/>
      <c r="AI137" s="2664" t="n"/>
      <c r="AJ137" s="2664" t="n"/>
      <c r="AK137" s="2664" t="n"/>
      <c r="AL137" s="2663" t="n"/>
      <c r="AM137" s="2258" t="n"/>
      <c r="AN137" s="2663" t="n"/>
      <c r="AO137" s="225" t="n"/>
      <c r="AP137" s="103" t="n"/>
      <c r="AQ137" s="103" t="n"/>
      <c r="AR137" s="103" t="n"/>
      <c r="AS137" s="103" t="n"/>
      <c r="AT137" s="103" t="n"/>
      <c r="AU137" s="103" t="n"/>
      <c r="AV137" s="103" t="n"/>
      <c r="AW137" s="103" t="n"/>
      <c r="AX137" s="103" t="n"/>
      <c r="AY137" s="225" t="n"/>
      <c r="AZ137" s="103" t="n"/>
      <c r="BA137" s="103" t="n"/>
      <c r="BB137" s="103" t="n"/>
      <c r="BC137" s="103" t="n"/>
      <c r="BD137" s="103" t="n"/>
      <c r="BE137" s="103" t="n"/>
      <c r="BF137" s="555" t="n"/>
      <c r="BG137" s="103" t="n"/>
      <c r="BH137" s="103" t="n"/>
      <c r="BI137" s="225" t="n"/>
      <c r="BJ137" s="103" t="n"/>
      <c r="BK137" s="103" t="n"/>
      <c r="BL137" s="103" t="n"/>
      <c r="BM137" s="103" t="n"/>
      <c r="BN137" s="103" t="n"/>
      <c r="BO137" s="103" t="n"/>
      <c r="BP137" s="103" t="n"/>
      <c r="BQ137" s="103" t="n"/>
      <c r="BR137" s="103" t="n"/>
      <c r="BS137" s="103" t="n"/>
      <c r="BT137" s="103" t="n"/>
      <c r="BU137" s="103" t="n"/>
      <c r="BV137" s="103" t="n"/>
      <c r="BW137" s="103" t="n"/>
      <c r="BX137" s="103" t="n"/>
      <c r="BY137" s="103" t="n"/>
      <c r="BZ137" s="103" t="n"/>
      <c r="CA137" s="103" t="n"/>
    </row>
    <row r="138" ht="30.75" customFormat="1" customHeight="1" s="18">
      <c r="A138" s="2255" t="n"/>
      <c r="B138" s="2256" t="inlineStr">
        <is>
          <t>03)</t>
        </is>
      </c>
      <c r="C138" s="2663" t="n"/>
      <c r="D138" s="2258" t="inlineStr">
        <is>
          <t>Bnv GRgvjx m¤úwË Ges ˆea RvgvbZ wnmv‡e MÖn Kwievi Rb¨ cÖ‡qvRbxq mKj kZ© Av‡e`bKvix (MY) c~iY Kwiqv‡Q|</t>
        </is>
      </c>
      <c r="E138" s="2664" t="n"/>
      <c r="F138" s="2664" t="n"/>
      <c r="G138" s="2664" t="n"/>
      <c r="H138" s="2664" t="n"/>
      <c r="I138" s="2664" t="n"/>
      <c r="J138" s="2664" t="n"/>
      <c r="K138" s="2664" t="n"/>
      <c r="L138" s="2664" t="n"/>
      <c r="M138" s="2664" t="n"/>
      <c r="N138" s="2664" t="n"/>
      <c r="O138" s="2664" t="n"/>
      <c r="P138" s="2664" t="n"/>
      <c r="Q138" s="2664" t="n"/>
      <c r="R138" s="2664" t="n"/>
      <c r="S138" s="2664" t="n"/>
      <c r="T138" s="2664" t="n"/>
      <c r="U138" s="2664" t="n"/>
      <c r="V138" s="2664" t="n"/>
      <c r="W138" s="2664" t="n"/>
      <c r="X138" s="2664" t="n"/>
      <c r="Y138" s="2664" t="n"/>
      <c r="Z138" s="2664" t="n"/>
      <c r="AA138" s="2664" t="n"/>
      <c r="AB138" s="2664" t="n"/>
      <c r="AC138" s="2664" t="n"/>
      <c r="AD138" s="2664" t="n"/>
      <c r="AE138" s="2664" t="n"/>
      <c r="AF138" s="2664" t="n"/>
      <c r="AG138" s="2664" t="n"/>
      <c r="AH138" s="2664" t="n"/>
      <c r="AI138" s="2664" t="n"/>
      <c r="AJ138" s="2664" t="n"/>
      <c r="AK138" s="2664" t="n"/>
      <c r="AL138" s="2663" t="n"/>
      <c r="AM138" s="2258" t="n"/>
      <c r="AN138" s="2663" t="n"/>
      <c r="AO138" s="225" t="n"/>
      <c r="AP138" s="103" t="n"/>
      <c r="AQ138" s="103" t="n"/>
      <c r="AR138" s="103" t="n"/>
      <c r="AS138" s="103" t="n"/>
      <c r="AT138" s="103" t="n"/>
      <c r="AU138" s="103" t="n"/>
      <c r="AV138" s="103" t="n"/>
      <c r="AW138" s="103" t="n"/>
      <c r="AX138" s="103" t="n"/>
      <c r="AY138" s="225" t="n"/>
      <c r="AZ138" s="103" t="n"/>
      <c r="BA138" s="103" t="n"/>
      <c r="BB138" s="103" t="n"/>
      <c r="BC138" s="103" t="n"/>
      <c r="BD138" s="103" t="n"/>
      <c r="BE138" s="103" t="n"/>
      <c r="BF138" s="555" t="n"/>
      <c r="BG138" s="103" t="n"/>
      <c r="BH138" s="103" t="n"/>
      <c r="BI138" s="225" t="n"/>
      <c r="BJ138" s="103" t="n"/>
      <c r="BK138" s="103" t="n"/>
      <c r="BL138" s="103" t="n"/>
      <c r="BM138" s="103" t="n"/>
      <c r="BN138" s="103" t="n"/>
      <c r="BO138" s="103" t="n"/>
      <c r="BP138" s="103" t="n"/>
      <c r="BQ138" s="103" t="n"/>
      <c r="BR138" s="103" t="n"/>
      <c r="BS138" s="103" t="n"/>
      <c r="BT138" s="103" t="n"/>
      <c r="BU138" s="103" t="n"/>
      <c r="BV138" s="103" t="n"/>
      <c r="BW138" s="103" t="n"/>
      <c r="BX138" s="103" t="n"/>
      <c r="BY138" s="103" t="n"/>
      <c r="BZ138" s="103" t="n"/>
      <c r="CA138" s="103" t="n"/>
    </row>
    <row r="139" ht="21" customFormat="1" customHeight="1" s="18">
      <c r="A139" s="2255" t="n"/>
      <c r="B139" s="2256" t="inlineStr">
        <is>
          <t>04)</t>
        </is>
      </c>
      <c r="C139" s="2663" t="n"/>
      <c r="D139" s="2258" t="inlineStr">
        <is>
          <t>ˆea RvgvbZ iƒ‡c MÖnY Kwievi Rb¨ ¯^‡Ë¡ †Kvb wewa wb‡la bvB|</t>
        </is>
      </c>
      <c r="E139" s="2664" t="n"/>
      <c r="F139" s="2664" t="n"/>
      <c r="G139" s="2664" t="n"/>
      <c r="H139" s="2664" t="n"/>
      <c r="I139" s="2664" t="n"/>
      <c r="J139" s="2664" t="n"/>
      <c r="K139" s="2664" t="n"/>
      <c r="L139" s="2664" t="n"/>
      <c r="M139" s="2664" t="n"/>
      <c r="N139" s="2664" t="n"/>
      <c r="O139" s="2664" t="n"/>
      <c r="P139" s="2664" t="n"/>
      <c r="Q139" s="2664" t="n"/>
      <c r="R139" s="2664" t="n"/>
      <c r="S139" s="2664" t="n"/>
      <c r="T139" s="2664" t="n"/>
      <c r="U139" s="2664" t="n"/>
      <c r="V139" s="2664" t="n"/>
      <c r="W139" s="2664" t="n"/>
      <c r="X139" s="2664" t="n"/>
      <c r="Y139" s="2664" t="n"/>
      <c r="Z139" s="2664" t="n"/>
      <c r="AA139" s="2664" t="n"/>
      <c r="AB139" s="2664" t="n"/>
      <c r="AC139" s="2664" t="n"/>
      <c r="AD139" s="2664" t="n"/>
      <c r="AE139" s="2664" t="n"/>
      <c r="AF139" s="2664" t="n"/>
      <c r="AG139" s="2664" t="n"/>
      <c r="AH139" s="2664" t="n"/>
      <c r="AI139" s="2664" t="n"/>
      <c r="AJ139" s="2664" t="n"/>
      <c r="AK139" s="2664" t="n"/>
      <c r="AL139" s="2663" t="n"/>
      <c r="AM139" s="2258" t="n"/>
      <c r="AN139" s="2663" t="n"/>
      <c r="AO139" s="198" t="n"/>
      <c r="AP139" s="76" t="n"/>
      <c r="AQ139" s="76" t="n"/>
      <c r="AR139" s="76" t="n"/>
      <c r="AS139" s="76" t="n"/>
      <c r="AT139" s="76" t="n"/>
      <c r="AU139" s="76" t="n"/>
      <c r="AV139" s="76" t="n"/>
      <c r="AW139" s="76" t="n"/>
      <c r="AX139" s="76" t="n"/>
      <c r="AY139" s="198" t="n"/>
      <c r="AZ139" s="76" t="n"/>
      <c r="BA139" s="76" t="n"/>
      <c r="BB139" s="76" t="n"/>
      <c r="BC139" s="76" t="n"/>
      <c r="BD139" s="76" t="n"/>
      <c r="BE139" s="76" t="n"/>
      <c r="BF139" s="941" t="n"/>
      <c r="BG139" s="76" t="n"/>
      <c r="BH139" s="76" t="n"/>
      <c r="BI139" s="198" t="n"/>
      <c r="BJ139" s="103" t="n"/>
      <c r="BK139" s="103" t="n"/>
      <c r="BL139" s="103" t="n"/>
      <c r="BM139" s="103" t="n"/>
      <c r="BN139" s="103" t="n"/>
      <c r="BO139" s="103" t="n"/>
      <c r="BP139" s="103" t="n"/>
      <c r="BQ139" s="103" t="n"/>
      <c r="BR139" s="103" t="n"/>
      <c r="BS139" s="103" t="n"/>
      <c r="BT139" s="103" t="n"/>
      <c r="BU139" s="103" t="n"/>
      <c r="BV139" s="103" t="n"/>
      <c r="BW139" s="103" t="n"/>
      <c r="BX139" s="103" t="n"/>
      <c r="BY139" s="103" t="n"/>
      <c r="BZ139" s="103" t="n"/>
      <c r="CA139" s="103" t="n"/>
    </row>
    <row r="140" ht="18.75" customHeight="1">
      <c r="A140" s="1963" t="n"/>
      <c r="B140" s="2256" t="inlineStr">
        <is>
          <t>05)</t>
        </is>
      </c>
      <c r="C140" s="2663" t="n"/>
      <c r="D140" s="2258" t="inlineStr">
        <is>
          <t>Rvgvb‡Zi wel‡q AvBb Dc‡`óvi AwfgZ bw_‡Z mshy³ Av‡Q|</t>
        </is>
      </c>
      <c r="E140" s="2664" t="n"/>
      <c r="F140" s="2664" t="n"/>
      <c r="G140" s="2664" t="n"/>
      <c r="H140" s="2664" t="n"/>
      <c r="I140" s="2664" t="n"/>
      <c r="J140" s="2664" t="n"/>
      <c r="K140" s="2664" t="n"/>
      <c r="L140" s="2664" t="n"/>
      <c r="M140" s="2664" t="n"/>
      <c r="N140" s="2664" t="n"/>
      <c r="O140" s="2664" t="n"/>
      <c r="P140" s="2664" t="n"/>
      <c r="Q140" s="2664" t="n"/>
      <c r="R140" s="2664" t="n"/>
      <c r="S140" s="2664" t="n"/>
      <c r="T140" s="2664" t="n"/>
      <c r="U140" s="2664" t="n"/>
      <c r="V140" s="2664" t="n"/>
      <c r="W140" s="2664" t="n"/>
      <c r="X140" s="2664" t="n"/>
      <c r="Y140" s="2664" t="n"/>
      <c r="Z140" s="2664" t="n"/>
      <c r="AA140" s="2664" t="n"/>
      <c r="AB140" s="2664" t="n"/>
      <c r="AC140" s="2664" t="n"/>
      <c r="AD140" s="2664" t="n"/>
      <c r="AE140" s="2664" t="n"/>
      <c r="AF140" s="2664" t="n"/>
      <c r="AG140" s="2664" t="n"/>
      <c r="AH140" s="2664" t="n"/>
      <c r="AI140" s="2664" t="n"/>
      <c r="AJ140" s="2664" t="n"/>
      <c r="AK140" s="2664" t="n"/>
      <c r="AL140" s="2663" t="n"/>
      <c r="AM140" s="64" t="n"/>
      <c r="AN140" s="64" t="n"/>
      <c r="AO140" s="136" t="n"/>
      <c r="AP140" s="64" t="n"/>
      <c r="AQ140" s="64" t="n"/>
      <c r="AR140" s="64" t="n"/>
      <c r="AS140" s="64" t="n"/>
      <c r="AT140" s="64" t="n"/>
      <c r="AU140" s="64" t="n"/>
      <c r="AV140" s="64" t="n"/>
      <c r="AW140" s="64" t="n"/>
      <c r="AX140" s="64" t="n"/>
      <c r="AY140" s="136" t="n"/>
      <c r="AZ140" s="64" t="n"/>
      <c r="BA140" s="64" t="n"/>
      <c r="BB140" s="64" t="n"/>
      <c r="BC140" s="64" t="n"/>
      <c r="BD140" s="64" t="n"/>
      <c r="BE140" s="64" t="n"/>
      <c r="BF140" s="308" t="n"/>
      <c r="BG140" s="64" t="n"/>
      <c r="BH140" s="64" t="n"/>
      <c r="BI140" s="136" t="n"/>
      <c r="BJ140" s="64" t="n"/>
      <c r="BK140" s="64" t="n"/>
      <c r="BL140" s="64" t="n"/>
      <c r="BM140" s="64" t="n"/>
      <c r="BN140" s="64" t="n"/>
      <c r="BO140" s="64" t="n"/>
      <c r="BP140" s="64" t="n"/>
      <c r="BQ140" s="64" t="n"/>
      <c r="BR140" s="64" t="n"/>
      <c r="BS140" s="64" t="n"/>
      <c r="BT140" s="64" t="n"/>
      <c r="BU140" s="64" t="n"/>
      <c r="BV140" s="64" t="n"/>
      <c r="BW140" s="64" t="n"/>
      <c r="BX140" s="64" t="n"/>
      <c r="BY140" s="64" t="n"/>
      <c r="BZ140" s="64" t="n"/>
      <c r="CA140" s="64" t="n"/>
    </row>
    <row r="141" ht="18.75" customHeight="1">
      <c r="A141" s="1963" t="n"/>
      <c r="B141" s="1966" t="n"/>
      <c r="C141" s="1966" t="n"/>
      <c r="D141" s="199" t="n"/>
      <c r="E141" s="1969" t="n"/>
      <c r="F141" s="199" t="n"/>
      <c r="G141" s="1967" t="n"/>
      <c r="H141" s="746" t="n"/>
      <c r="I141" s="746" t="n"/>
      <c r="J141" s="199" t="n"/>
      <c r="K141" s="746" t="n"/>
      <c r="L141" s="199" t="n"/>
      <c r="M141" s="746" t="n"/>
      <c r="N141" s="199" t="n"/>
      <c r="O141" s="1604" t="n"/>
      <c r="P141" s="94" t="n"/>
      <c r="Q141" s="746" t="n"/>
      <c r="R141" s="94" t="n"/>
      <c r="S141" s="746" t="n"/>
      <c r="T141" s="746" t="n"/>
      <c r="U141" s="199" t="n"/>
      <c r="V141" s="199" t="n"/>
      <c r="W141" s="199" t="n"/>
      <c r="X141" s="199" t="n"/>
      <c r="Y141" s="746" t="n"/>
      <c r="Z141" s="199" t="n"/>
      <c r="AA141" s="199" t="n"/>
      <c r="AB141" s="199" t="n"/>
      <c r="AC141" s="199" t="n"/>
      <c r="AD141" s="746" t="n"/>
      <c r="AE141" s="199" t="n"/>
      <c r="AF141" s="199" t="n"/>
      <c r="AG141" s="199" t="n"/>
      <c r="AH141" s="199" t="n"/>
      <c r="AI141" s="746" t="n"/>
      <c r="AJ141" s="199" t="n"/>
      <c r="AK141" s="199" t="n"/>
      <c r="AL141" s="199" t="n"/>
      <c r="AM141" s="64" t="n"/>
      <c r="AN141" s="64" t="n"/>
      <c r="AO141" s="136" t="n"/>
      <c r="AP141" s="64" t="n"/>
      <c r="AQ141" s="64" t="n"/>
      <c r="AR141" s="64" t="n"/>
      <c r="AS141" s="64" t="n"/>
      <c r="AT141" s="64" t="n"/>
      <c r="AU141" s="64" t="n"/>
      <c r="AV141" s="64" t="n"/>
      <c r="AW141" s="64" t="n"/>
      <c r="AX141" s="64" t="n"/>
      <c r="AY141" s="136" t="n"/>
      <c r="AZ141" s="64" t="n"/>
      <c r="BA141" s="64" t="n"/>
      <c r="BB141" s="64" t="n"/>
      <c r="BC141" s="64" t="n"/>
      <c r="BD141" s="64" t="n"/>
      <c r="BE141" s="64" t="n"/>
      <c r="BF141" s="308" t="n"/>
      <c r="BG141" s="64" t="n"/>
      <c r="BH141" s="64" t="n"/>
      <c r="BI141" s="136" t="n"/>
      <c r="BJ141" s="64" t="n"/>
      <c r="BK141" s="64" t="n"/>
      <c r="BL141" s="64" t="n"/>
      <c r="BM141" s="64" t="n"/>
      <c r="BN141" s="64" t="n"/>
      <c r="BO141" s="64" t="n"/>
      <c r="BP141" s="64" t="n"/>
      <c r="BQ141" s="64" t="n"/>
      <c r="BR141" s="64" t="n"/>
      <c r="BS141" s="64" t="n"/>
      <c r="BT141" s="64" t="n"/>
      <c r="BU141" s="64" t="n"/>
      <c r="BV141" s="64" t="n"/>
      <c r="BW141" s="64" t="n"/>
      <c r="BX141" s="64" t="n"/>
      <c r="BY141" s="64" t="n"/>
      <c r="BZ141" s="64" t="n"/>
      <c r="CA141" s="64" t="n"/>
    </row>
    <row r="142" ht="21" customHeight="1">
      <c r="A142" s="1963" t="n"/>
      <c r="B142" s="64" t="n"/>
      <c r="C142" s="96" t="n"/>
      <c r="D142" s="96" t="n"/>
      <c r="E142" s="2199" t="n"/>
      <c r="F142" s="96" t="n"/>
      <c r="G142" s="2200" t="n"/>
      <c r="H142" s="2165" t="n"/>
      <c r="I142" s="2165" t="n"/>
      <c r="J142" s="96" t="n"/>
      <c r="K142" s="2165" t="n"/>
      <c r="L142" s="96" t="n"/>
      <c r="M142" s="2165" t="n"/>
      <c r="N142" s="96" t="n"/>
      <c r="O142" s="2201" t="n"/>
      <c r="P142" s="2230" t="n"/>
      <c r="Q142" s="2165" t="n"/>
      <c r="R142" s="2230" t="n"/>
      <c r="S142" s="2165" t="n"/>
      <c r="T142" s="2165" t="n"/>
      <c r="U142" s="96" t="n"/>
      <c r="V142" s="64" t="n"/>
      <c r="W142" s="64" t="n"/>
      <c r="X142" s="64" t="n"/>
      <c r="Y142" s="136" t="n"/>
      <c r="Z142" s="64" t="n"/>
      <c r="AA142" s="464" t="inlineStr">
        <is>
          <t>¯^vÿi t</t>
        </is>
      </c>
      <c r="AE142" s="1964" t="n"/>
      <c r="AF142" s="1964" t="n"/>
      <c r="AG142" s="1964" t="n"/>
      <c r="AH142" s="1964" t="n"/>
      <c r="AI142" s="135" t="n"/>
      <c r="AJ142" s="1964" t="n"/>
      <c r="AK142" s="1964" t="n"/>
      <c r="AL142" s="1964" t="n"/>
      <c r="AM142" s="1964" t="n"/>
      <c r="AN142" s="1964" t="n"/>
      <c r="AO142" s="136" t="n"/>
      <c r="AP142" s="64" t="n"/>
      <c r="AQ142" s="64" t="n"/>
      <c r="AR142" s="64" t="n"/>
      <c r="AS142" s="64" t="n"/>
      <c r="AT142" s="64" t="n"/>
      <c r="AU142" s="64" t="n"/>
      <c r="AV142" s="64" t="n"/>
      <c r="AW142" s="64" t="n"/>
      <c r="AX142" s="64" t="n"/>
      <c r="AY142" s="136" t="n"/>
      <c r="AZ142" s="64" t="n"/>
      <c r="BA142" s="64" t="n"/>
      <c r="BB142" s="64" t="n"/>
      <c r="BC142" s="64" t="n"/>
      <c r="BD142" s="64" t="n"/>
      <c r="BE142" s="64" t="n"/>
      <c r="BF142" s="308" t="n"/>
      <c r="BG142" s="64" t="n"/>
      <c r="BH142" s="64" t="n"/>
      <c r="BI142" s="136" t="n"/>
      <c r="BJ142" s="64" t="n"/>
      <c r="BK142" s="64" t="n"/>
      <c r="BL142" s="64" t="n"/>
      <c r="BM142" s="64" t="n"/>
      <c r="BN142" s="64" t="n"/>
      <c r="BO142" s="64" t="n"/>
      <c r="BP142" s="64" t="n"/>
      <c r="BQ142" s="64" t="n"/>
      <c r="BR142" s="64" t="n"/>
      <c r="BS142" s="64" t="n"/>
      <c r="BT142" s="64" t="n"/>
      <c r="BU142" s="64" t="n"/>
      <c r="BV142" s="64" t="n"/>
      <c r="BW142" s="64" t="n"/>
      <c r="BX142" s="64" t="n"/>
      <c r="BY142" s="64" t="n"/>
      <c r="BZ142" s="64" t="n"/>
      <c r="CA142" s="64" t="n"/>
    </row>
    <row r="143" ht="21" customHeight="1">
      <c r="A143" s="1963" t="n"/>
      <c r="B143" s="64" t="n"/>
      <c r="C143" s="96" t="n"/>
      <c r="D143" s="96" t="n"/>
      <c r="E143" s="2199" t="n"/>
      <c r="F143" s="96" t="n"/>
      <c r="G143" s="2200" t="n"/>
      <c r="H143" s="2165" t="n"/>
      <c r="I143" s="2165" t="n"/>
      <c r="J143" s="96" t="n"/>
      <c r="K143" s="2165" t="n"/>
      <c r="L143" s="96" t="n"/>
      <c r="M143" s="2165" t="n"/>
      <c r="N143" s="96" t="n"/>
      <c r="O143" s="2201" t="n"/>
      <c r="P143" s="2230" t="n"/>
      <c r="Q143" s="2165" t="n"/>
      <c r="R143" s="2230" t="n"/>
      <c r="S143" s="2165" t="n"/>
      <c r="T143" s="2165" t="n"/>
      <c r="U143" s="96" t="n"/>
      <c r="V143" s="64" t="n"/>
      <c r="W143" s="64" t="n"/>
      <c r="X143" s="64" t="n"/>
      <c r="Y143" s="136" t="n"/>
      <c r="Z143" s="64" t="n"/>
      <c r="AA143" s="243" t="inlineStr">
        <is>
          <t>c~Y© bvg t</t>
        </is>
      </c>
      <c r="AE143" s="1964" t="n"/>
      <c r="AF143" s="1964" t="n"/>
      <c r="AG143" s="1964" t="n"/>
      <c r="AH143" s="1964" t="n"/>
      <c r="AI143" s="135" t="n"/>
      <c r="AJ143" s="1964" t="n"/>
      <c r="AK143" s="1964" t="n"/>
      <c r="AL143" s="1964" t="n"/>
      <c r="AM143" s="1964" t="n"/>
      <c r="AN143" s="1964" t="n"/>
      <c r="AO143" s="136" t="n"/>
      <c r="AP143" s="64" t="n"/>
      <c r="AQ143" s="64" t="n"/>
      <c r="AR143" s="64" t="n"/>
      <c r="AS143" s="64" t="n"/>
      <c r="AT143" s="64" t="n"/>
      <c r="AU143" s="64" t="n"/>
      <c r="AV143" s="64" t="n"/>
      <c r="AW143" s="64" t="n"/>
      <c r="AX143" s="64" t="n"/>
      <c r="AY143" s="136" t="n"/>
      <c r="AZ143" s="64" t="n"/>
      <c r="BA143" s="64" t="n"/>
      <c r="BB143" s="64" t="n"/>
      <c r="BC143" s="64" t="n"/>
      <c r="BD143" s="64" t="n"/>
      <c r="BE143" s="64" t="n"/>
      <c r="BF143" s="308" t="n"/>
      <c r="BG143" s="64" t="n"/>
      <c r="BH143" s="64" t="n"/>
      <c r="BI143" s="136" t="n"/>
      <c r="BJ143" s="64" t="n"/>
      <c r="BK143" s="64" t="n"/>
      <c r="BL143" s="64" t="n"/>
      <c r="BM143" s="64" t="n"/>
      <c r="BN143" s="64" t="n"/>
      <c r="BO143" s="64" t="n"/>
      <c r="BP143" s="64" t="n"/>
      <c r="BQ143" s="64" t="n"/>
      <c r="BR143" s="64" t="n"/>
      <c r="BS143" s="64" t="n"/>
      <c r="BT143" s="64" t="n"/>
      <c r="BU143" s="64" t="n"/>
      <c r="BV143" s="64" t="n"/>
      <c r="BW143" s="64" t="n"/>
      <c r="BX143" s="64" t="n"/>
      <c r="BY143" s="64" t="n"/>
      <c r="BZ143" s="64" t="n"/>
      <c r="CA143" s="64" t="n"/>
    </row>
    <row r="144" ht="22.5" customHeight="1">
      <c r="A144" s="1963" t="n"/>
      <c r="B144" s="64" t="n"/>
      <c r="C144" s="96" t="n"/>
      <c r="D144" s="96" t="n"/>
      <c r="E144" s="2199" t="n"/>
      <c r="F144" s="96" t="n"/>
      <c r="G144" s="2200" t="n"/>
      <c r="H144" s="2165" t="n"/>
      <c r="I144" s="2165" t="n"/>
      <c r="J144" s="96" t="n"/>
      <c r="K144" s="2165" t="n"/>
      <c r="L144" s="96" t="n"/>
      <c r="M144" s="2165" t="n"/>
      <c r="N144" s="96" t="n"/>
      <c r="O144" s="2201" t="n"/>
      <c r="P144" s="2230" t="n"/>
      <c r="Q144" s="2165" t="n"/>
      <c r="R144" s="2230" t="n"/>
      <c r="S144" s="2165" t="n"/>
      <c r="T144" s="2165" t="n"/>
      <c r="U144" s="96" t="n"/>
      <c r="V144" s="64" t="n"/>
      <c r="W144" s="64" t="n"/>
      <c r="X144" s="64" t="n"/>
      <c r="Y144" s="136" t="n"/>
      <c r="Z144" s="64" t="n"/>
      <c r="AA144" s="464" t="inlineStr">
        <is>
          <t>ZvwiL t</t>
        </is>
      </c>
      <c r="AE144" s="1964" t="n"/>
      <c r="AF144" s="1964" t="n"/>
      <c r="AG144" s="1964" t="n"/>
      <c r="AH144" s="1964" t="n"/>
      <c r="AI144" s="135" t="n"/>
      <c r="AJ144" s="1964" t="n"/>
      <c r="AK144" s="1964" t="n"/>
      <c r="AL144" s="1964" t="n"/>
      <c r="AM144" s="1964" t="n"/>
      <c r="AN144" s="1964" t="n"/>
      <c r="AO144" s="136" t="n"/>
      <c r="AP144" s="64" t="n"/>
      <c r="AQ144" s="64" t="n"/>
      <c r="AR144" s="64" t="n"/>
      <c r="AS144" s="64" t="n"/>
      <c r="AT144" s="64" t="n"/>
      <c r="AU144" s="64" t="n"/>
      <c r="AV144" s="64" t="n"/>
      <c r="AW144" s="64" t="n"/>
      <c r="AX144" s="64" t="n"/>
      <c r="AY144" s="136" t="n"/>
      <c r="AZ144" s="64" t="n"/>
      <c r="BA144" s="64" t="n"/>
      <c r="BB144" s="64" t="n"/>
      <c r="BC144" s="64" t="n"/>
      <c r="BD144" s="64" t="n"/>
      <c r="BE144" s="64" t="n"/>
      <c r="BF144" s="308" t="n"/>
      <c r="BG144" s="64" t="n"/>
      <c r="BH144" s="64" t="n"/>
      <c r="BI144" s="136" t="n"/>
      <c r="BJ144" s="64" t="n"/>
      <c r="BK144" s="64" t="n"/>
      <c r="BL144" s="64" t="n"/>
      <c r="BM144" s="64" t="n"/>
      <c r="BN144" s="64" t="n"/>
      <c r="BO144" s="64" t="n"/>
      <c r="BP144" s="64" t="n"/>
      <c r="BQ144" s="64" t="n"/>
      <c r="BR144" s="64" t="n"/>
      <c r="BS144" s="64" t="n"/>
      <c r="BT144" s="64" t="n"/>
      <c r="BU144" s="64" t="n"/>
      <c r="BV144" s="64" t="n"/>
      <c r="BW144" s="64" t="n"/>
      <c r="BX144" s="64" t="n"/>
      <c r="BY144" s="64" t="n"/>
      <c r="BZ144" s="64" t="n"/>
      <c r="CA144" s="64" t="n"/>
    </row>
    <row r="145" ht="24.75" customHeight="1">
      <c r="A145" s="135" t="n"/>
      <c r="B145" s="2266" t="inlineStr">
        <is>
          <t>L) AcÖ‡qvRbxq Ask¸wj ev` w`b|</t>
        </is>
      </c>
      <c r="C145" s="2267" t="n"/>
      <c r="D145" s="2267" t="n"/>
      <c r="E145" s="2268" t="n"/>
      <c r="F145" s="2267" t="n"/>
      <c r="G145" s="2269" t="n"/>
      <c r="H145" s="2270" t="n"/>
      <c r="I145" s="2270" t="n"/>
      <c r="J145" s="2267" t="n"/>
      <c r="K145" s="2270" t="n"/>
      <c r="L145" s="2267" t="n"/>
      <c r="M145" s="2270" t="n"/>
      <c r="N145" s="2267" t="n"/>
      <c r="O145" s="2271" t="n"/>
      <c r="P145" s="2272" t="n"/>
      <c r="Q145" s="2270" t="n"/>
      <c r="R145" s="2272" t="n"/>
      <c r="S145" s="2270" t="n"/>
      <c r="T145" s="2270" t="n"/>
      <c r="U145" s="2267" t="n"/>
      <c r="V145" s="2267" t="n"/>
      <c r="W145" s="2267" t="n"/>
      <c r="X145" s="2267" t="n"/>
      <c r="Y145" s="2270" t="n"/>
      <c r="Z145" s="2267" t="n"/>
      <c r="AA145" s="2267" t="n"/>
      <c r="AB145" s="2267" t="n"/>
      <c r="AC145" s="2267" t="n"/>
      <c r="AD145" s="2270" t="n"/>
      <c r="AE145" s="2266" t="n"/>
      <c r="AF145" s="2266" t="n"/>
      <c r="AG145" s="2266" t="n"/>
      <c r="AH145" s="2266" t="n"/>
      <c r="AI145" s="2273" t="n"/>
      <c r="AJ145" s="2266" t="n"/>
      <c r="AK145" s="2266" t="n"/>
      <c r="AL145" s="2266" t="n"/>
      <c r="AM145" s="2266" t="n"/>
      <c r="AN145" s="2266" t="n"/>
      <c r="AO145" s="136" t="n"/>
      <c r="AP145" s="64" t="n"/>
      <c r="AQ145" s="64" t="n"/>
      <c r="AR145" s="64" t="n"/>
      <c r="AS145" s="64" t="n"/>
      <c r="AT145" s="64" t="n"/>
      <c r="AU145" s="64" t="n"/>
      <c r="AV145" s="64" t="n"/>
      <c r="AW145" s="64" t="n"/>
      <c r="AX145" s="64" t="n"/>
      <c r="AY145" s="136" t="n"/>
      <c r="AZ145" s="64" t="n"/>
      <c r="BA145" s="64" t="n"/>
      <c r="BB145" s="64" t="n"/>
      <c r="BC145" s="64" t="n"/>
      <c r="BD145" s="64" t="n"/>
      <c r="BE145" s="64" t="n"/>
      <c r="BF145" s="308" t="n"/>
      <c r="BG145" s="64" t="n"/>
      <c r="BH145" s="64" t="n"/>
      <c r="BI145" s="136" t="n"/>
      <c r="BJ145" s="64" t="n"/>
      <c r="BK145" s="64" t="n"/>
      <c r="BL145" s="64" t="n"/>
      <c r="BM145" s="64" t="n"/>
      <c r="BN145" s="64" t="n"/>
      <c r="BO145" s="64" t="n"/>
      <c r="BP145" s="64" t="n"/>
      <c r="BQ145" s="64" t="n"/>
      <c r="BR145" s="64" t="n"/>
      <c r="BS145" s="64" t="n"/>
      <c r="BT145" s="64" t="n"/>
      <c r="BU145" s="64" t="n"/>
      <c r="BV145" s="64" t="n"/>
      <c r="BW145" s="64" t="n"/>
      <c r="BX145" s="64" t="n"/>
      <c r="BY145" s="64" t="n"/>
      <c r="BZ145" s="64" t="n"/>
      <c r="CA145" s="64" t="n"/>
    </row>
    <row r="146" ht="28.5" customHeight="1">
      <c r="A146" s="136" t="n"/>
      <c r="B146" s="1778" t="inlineStr">
        <is>
          <t xml:space="preserve">M) cÖ‡qvRb‡ev‡a c„_K KvMR e¨envi Kiæb| </t>
        </is>
      </c>
      <c r="C146" s="2274" t="n"/>
      <c r="D146" s="2274" t="n"/>
      <c r="E146" s="2275" t="n"/>
      <c r="F146" s="2274" t="n"/>
      <c r="G146" s="2276" t="n"/>
      <c r="H146" s="2277" t="n"/>
      <c r="I146" s="2277" t="n"/>
      <c r="J146" s="2274" t="n"/>
      <c r="K146" s="2277" t="n"/>
      <c r="L146" s="2274" t="n"/>
      <c r="M146" s="2277" t="n"/>
      <c r="N146" s="2274" t="n"/>
      <c r="O146" s="2278" t="n"/>
      <c r="P146" s="2279" t="n"/>
      <c r="Q146" s="2277" t="n"/>
      <c r="R146" s="2279" t="n"/>
      <c r="S146" s="2277" t="n"/>
      <c r="T146" s="2277" t="n"/>
      <c r="U146" s="2274" t="n"/>
      <c r="V146" s="2274" t="n"/>
      <c r="W146" s="2274" t="n"/>
      <c r="X146" s="2274" t="n"/>
      <c r="Y146" s="2277" t="n"/>
      <c r="Z146" s="2274" t="n"/>
      <c r="AA146" s="2274" t="n"/>
      <c r="AB146" s="2274" t="n"/>
      <c r="AC146" s="2274" t="n"/>
      <c r="AD146" s="2277" t="n"/>
      <c r="AE146" s="2274" t="n"/>
      <c r="AF146" s="2274" t="n"/>
      <c r="AG146" s="2274" t="n"/>
      <c r="AH146" s="2274" t="n"/>
      <c r="AI146" s="2277" t="n"/>
      <c r="AJ146" s="2274" t="n"/>
      <c r="AK146" s="2274" t="n"/>
      <c r="AL146" s="2274" t="n"/>
      <c r="AM146" s="2274" t="n"/>
      <c r="AN146" s="2274" t="n"/>
      <c r="AO146" s="136" t="n"/>
      <c r="AP146" s="64" t="n"/>
      <c r="AQ146" s="64" t="n"/>
      <c r="AR146" s="64" t="n"/>
      <c r="AS146" s="64" t="n"/>
      <c r="AT146" s="64" t="n"/>
      <c r="AU146" s="64" t="n"/>
      <c r="AV146" s="64" t="n"/>
      <c r="AW146" s="64" t="n"/>
      <c r="AX146" s="64" t="n"/>
      <c r="AY146" s="136" t="n"/>
      <c r="AZ146" s="64" t="n"/>
      <c r="BA146" s="64" t="n"/>
      <c r="BB146" s="64" t="n"/>
      <c r="BC146" s="64" t="n"/>
      <c r="BD146" s="64" t="n"/>
      <c r="BE146" s="64" t="n"/>
      <c r="BF146" s="308" t="n"/>
      <c r="BG146" s="64" t="n"/>
      <c r="BH146" s="64" t="n"/>
      <c r="BI146" s="136" t="n"/>
      <c r="BJ146" s="64" t="n"/>
      <c r="BK146" s="64" t="n"/>
      <c r="BL146" s="64" t="n"/>
      <c r="BM146" s="64" t="n"/>
      <c r="BN146" s="64" t="n"/>
      <c r="BO146" s="64" t="n"/>
      <c r="BP146" s="64" t="n"/>
      <c r="BQ146" s="64" t="n"/>
      <c r="BR146" s="64" t="n"/>
      <c r="BS146" s="64" t="n"/>
      <c r="BT146" s="64" t="n"/>
      <c r="BU146" s="64" t="n"/>
      <c r="BV146" s="64" t="n"/>
      <c r="BW146" s="64" t="n"/>
      <c r="BX146" s="64" t="n"/>
      <c r="BY146" s="64" t="n"/>
      <c r="BZ146" s="64" t="n"/>
      <c r="CA146" s="64" t="n"/>
    </row>
    <row r="147" ht="20.25" customHeight="1">
      <c r="A147" s="136" t="n"/>
      <c r="B147" s="1964" t="n"/>
      <c r="C147" s="96" t="n"/>
      <c r="D147" s="96" t="n"/>
      <c r="E147" s="2199" t="n"/>
      <c r="F147" s="96" t="n"/>
      <c r="G147" s="2200" t="n"/>
      <c r="H147" s="2165" t="n"/>
      <c r="I147" s="2165" t="n"/>
      <c r="J147" s="96" t="n"/>
      <c r="K147" s="2165" t="n"/>
      <c r="L147" s="96" t="n"/>
      <c r="M147" s="2165" t="n"/>
      <c r="N147" s="96" t="n"/>
      <c r="O147" s="2201" t="n"/>
      <c r="P147" s="2230" t="n"/>
      <c r="Q147" s="2165" t="n"/>
      <c r="R147" s="2230" t="n"/>
      <c r="S147" s="2165" t="n"/>
      <c r="T147" s="2165" t="n"/>
      <c r="U147" s="96" t="n"/>
      <c r="V147" s="96" t="n"/>
      <c r="W147" s="96" t="n"/>
      <c r="X147" s="64" t="n"/>
      <c r="Y147" s="136" t="n"/>
      <c r="Z147" s="64" t="n"/>
      <c r="AA147" s="64" t="n"/>
      <c r="AB147" s="64" t="n"/>
      <c r="AC147" s="64" t="n"/>
      <c r="AD147" s="136" t="n"/>
      <c r="AE147" s="64" t="n"/>
      <c r="AF147" s="64" t="n"/>
      <c r="AG147" s="64" t="n"/>
      <c r="AH147" s="64" t="n"/>
      <c r="AI147" s="136" t="n"/>
      <c r="AJ147" s="64" t="n"/>
      <c r="AK147" s="64" t="n"/>
      <c r="AL147" s="64" t="n"/>
      <c r="AM147" s="64" t="n"/>
      <c r="AN147" s="64" t="n"/>
      <c r="AO147" s="136" t="n"/>
      <c r="AP147" s="64" t="n"/>
      <c r="AQ147" s="64" t="n"/>
      <c r="AR147" s="64" t="n"/>
      <c r="AS147" s="64" t="n"/>
      <c r="AT147" s="64" t="n"/>
      <c r="AU147" s="64" t="n"/>
      <c r="AV147" s="64" t="n"/>
      <c r="AW147" s="64" t="n"/>
      <c r="AX147" s="64" t="n"/>
      <c r="AY147" s="136" t="n"/>
      <c r="AZ147" s="64" t="n"/>
      <c r="BA147" s="64" t="n"/>
      <c r="BB147" s="64" t="n"/>
      <c r="BC147" s="64" t="n"/>
      <c r="BD147" s="64" t="n"/>
      <c r="BE147" s="64" t="n"/>
      <c r="BF147" s="308" t="n"/>
      <c r="BG147" s="64" t="n"/>
      <c r="BH147" s="64" t="n"/>
      <c r="BI147" s="136" t="n"/>
      <c r="BJ147" s="64" t="n"/>
      <c r="BK147" s="64" t="n"/>
      <c r="BL147" s="64" t="n"/>
      <c r="BM147" s="64" t="n"/>
      <c r="BN147" s="64" t="n"/>
      <c r="BO147" s="64" t="n"/>
      <c r="BP147" s="64" t="n"/>
      <c r="BQ147" s="64" t="n"/>
      <c r="BR147" s="64" t="n"/>
      <c r="BS147" s="64" t="n"/>
      <c r="BT147" s="64" t="n"/>
      <c r="BU147" s="64" t="n"/>
      <c r="BV147" s="64" t="n"/>
      <c r="BW147" s="64" t="n"/>
      <c r="BX147" s="64" t="n"/>
      <c r="BY147" s="64" t="n"/>
      <c r="BZ147" s="64" t="n"/>
      <c r="CA147" s="64" t="n"/>
    </row>
    <row r="148" ht="19.5" customHeight="1">
      <c r="A148" s="2054" t="inlineStr">
        <is>
          <t>11|</t>
        </is>
      </c>
      <c r="B148" s="666" t="inlineStr">
        <is>
          <t>¯’vbxq KvwiMix KwgwUi mycvwik t</t>
        </is>
      </c>
      <c r="AN148" s="64" t="n"/>
      <c r="AO148" s="136" t="n"/>
      <c r="AP148" s="64" t="n"/>
      <c r="AQ148" s="64" t="n"/>
      <c r="AR148" s="64" t="n"/>
      <c r="AS148" s="64" t="n"/>
      <c r="AT148" s="64" t="n"/>
      <c r="AU148" s="64" t="n"/>
      <c r="AV148" s="64" t="n"/>
      <c r="AW148" s="64" t="n"/>
      <c r="AX148" s="64" t="n"/>
      <c r="AY148" s="136" t="n"/>
      <c r="AZ148" s="64" t="n"/>
      <c r="BA148" s="64" t="n"/>
      <c r="BB148" s="64" t="n"/>
      <c r="BC148" s="64" t="n"/>
      <c r="BD148" s="64" t="n"/>
      <c r="BE148" s="64" t="n"/>
      <c r="BF148" s="308" t="n"/>
      <c r="BG148" s="64" t="n"/>
      <c r="BH148" s="64" t="n"/>
      <c r="BI148" s="136" t="n"/>
      <c r="BJ148" s="64" t="n"/>
      <c r="BK148" s="64" t="n"/>
      <c r="BL148" s="64" t="n"/>
      <c r="BM148" s="64" t="n"/>
      <c r="BN148" s="64" t="n"/>
      <c r="BO148" s="64" t="n"/>
      <c r="BP148" s="64" t="n"/>
      <c r="BQ148" s="64" t="n"/>
      <c r="BR148" s="64" t="n"/>
      <c r="BS148" s="64" t="n"/>
      <c r="BT148" s="64" t="n"/>
      <c r="BU148" s="64" t="n"/>
      <c r="BV148" s="64" t="n"/>
      <c r="BW148" s="64" t="n"/>
      <c r="BX148" s="64" t="n"/>
      <c r="BY148" s="64" t="n"/>
      <c r="BZ148" s="64" t="n"/>
      <c r="CA148" s="64" t="n"/>
    </row>
    <row r="149" ht="9.75" customHeight="1">
      <c r="A149" s="1963" t="n"/>
      <c r="B149" s="98" t="n"/>
      <c r="C149" s="98" t="n"/>
      <c r="D149" s="98" t="n"/>
      <c r="E149" s="248" t="n"/>
      <c r="F149" s="98" t="n"/>
      <c r="G149" s="2219" t="n"/>
      <c r="H149" s="247" t="n"/>
      <c r="I149" s="247" t="n"/>
      <c r="J149" s="98" t="n"/>
      <c r="K149" s="247" t="n"/>
      <c r="L149" s="98" t="n"/>
      <c r="M149" s="247" t="n"/>
      <c r="N149" s="98" t="n"/>
      <c r="O149" s="533" t="n"/>
      <c r="P149" s="2220" t="n"/>
      <c r="Q149" s="247" t="n"/>
      <c r="R149" s="2220" t="n"/>
      <c r="S149" s="247" t="n"/>
      <c r="T149" s="247" t="n"/>
      <c r="U149" s="98" t="n"/>
      <c r="V149" s="98" t="n"/>
      <c r="W149" s="98" t="n"/>
      <c r="X149" s="64" t="n"/>
      <c r="Y149" s="136" t="n"/>
      <c r="Z149" s="64" t="n"/>
      <c r="AA149" s="64" t="n"/>
      <c r="AB149" s="64" t="n"/>
      <c r="AC149" s="64" t="n"/>
      <c r="AD149" s="136" t="n"/>
      <c r="AE149" s="64" t="n"/>
      <c r="AF149" s="64" t="n"/>
      <c r="AG149" s="64" t="n"/>
      <c r="AH149" s="64" t="n"/>
      <c r="AI149" s="136" t="n"/>
      <c r="AJ149" s="64" t="n"/>
      <c r="AK149" s="64" t="n"/>
      <c r="AL149" s="64" t="n"/>
      <c r="AM149" s="64" t="n"/>
      <c r="AN149" s="64" t="n"/>
      <c r="AO149" s="136" t="n"/>
      <c r="AP149" s="64" t="n"/>
      <c r="AQ149" s="64" t="n"/>
      <c r="AR149" s="64" t="n"/>
      <c r="AS149" s="64" t="n"/>
      <c r="AT149" s="64" t="n"/>
      <c r="AU149" s="64" t="n"/>
      <c r="AV149" s="64" t="n"/>
      <c r="AW149" s="64" t="n"/>
      <c r="AX149" s="64" t="n"/>
      <c r="AY149" s="136" t="n"/>
      <c r="AZ149" s="64" t="n"/>
      <c r="BA149" s="64" t="n"/>
      <c r="BB149" s="64" t="n"/>
      <c r="BC149" s="64" t="n"/>
      <c r="BD149" s="64" t="n"/>
      <c r="BE149" s="64" t="n"/>
      <c r="BF149" s="308" t="n"/>
      <c r="BG149" s="64" t="n"/>
      <c r="BH149" s="64" t="n"/>
      <c r="BI149" s="136" t="n"/>
      <c r="BJ149" s="64" t="n"/>
      <c r="BK149" s="64" t="n"/>
      <c r="BL149" s="64" t="n"/>
      <c r="BM149" s="64" t="n"/>
      <c r="BN149" s="64" t="n"/>
      <c r="BO149" s="64" t="n"/>
      <c r="BP149" s="64" t="n"/>
      <c r="BQ149" s="64" t="n"/>
      <c r="BR149" s="64" t="n"/>
      <c r="BS149" s="64" t="n"/>
      <c r="BT149" s="64" t="n"/>
      <c r="BU149" s="64" t="n"/>
      <c r="BV149" s="64" t="n"/>
      <c r="BW149" s="64" t="n"/>
      <c r="BX149" s="64" t="n"/>
      <c r="BY149" s="64" t="n"/>
      <c r="BZ149" s="64" t="n"/>
      <c r="CA149" s="64" t="n"/>
    </row>
    <row r="150" ht="20.25" customHeight="1">
      <c r="A150" s="1963" t="n"/>
      <c r="B150" s="2280" t="n"/>
      <c r="C150" s="2280" t="n"/>
      <c r="D150" s="2280" t="n"/>
      <c r="E150" s="2281" t="n"/>
      <c r="F150" s="2280" t="n"/>
      <c r="G150" s="2282" t="n"/>
      <c r="H150" s="2283" t="n"/>
      <c r="I150" s="2283" t="n"/>
      <c r="J150" s="2280" t="n"/>
      <c r="K150" s="2283" t="n"/>
      <c r="L150" s="2280" t="n"/>
      <c r="M150" s="2283" t="n"/>
      <c r="N150" s="2280" t="n"/>
      <c r="O150" s="2284" t="n"/>
      <c r="P150" s="2285" t="n"/>
      <c r="Q150" s="2283" t="n"/>
      <c r="R150" s="2285" t="n"/>
      <c r="S150" s="2283" t="n"/>
      <c r="T150" s="2283" t="n"/>
      <c r="U150" s="2280" t="n"/>
      <c r="V150" s="2280" t="n"/>
      <c r="W150" s="2280" t="n"/>
      <c r="X150" s="2280" t="n"/>
      <c r="Y150" s="2283" t="n"/>
      <c r="Z150" s="2280" t="n"/>
      <c r="AA150" s="2280" t="n"/>
      <c r="AB150" s="2280" t="n"/>
      <c r="AC150" s="2280" t="n"/>
      <c r="AD150" s="2283" t="n"/>
      <c r="AE150" s="2280" t="n"/>
      <c r="AF150" s="2280" t="n"/>
      <c r="AG150" s="2280" t="n"/>
      <c r="AH150" s="2280" t="n"/>
      <c r="AI150" s="2283" t="n"/>
      <c r="AJ150" s="2280" t="n"/>
      <c r="AK150" s="2280" t="n"/>
      <c r="AL150" s="2280" t="n"/>
      <c r="AM150" s="2280" t="n"/>
      <c r="AN150" s="2280" t="n"/>
      <c r="AO150" s="136" t="n"/>
      <c r="AP150" s="64" t="n"/>
      <c r="AQ150" s="64" t="n"/>
      <c r="AR150" s="64" t="n"/>
      <c r="AS150" s="64" t="n"/>
      <c r="AT150" s="64" t="n"/>
      <c r="AU150" s="64" t="n"/>
      <c r="AV150" s="64" t="n"/>
      <c r="AW150" s="64" t="n"/>
      <c r="AX150" s="64" t="n"/>
      <c r="AY150" s="136" t="n"/>
      <c r="AZ150" s="64" t="n"/>
      <c r="BA150" s="64" t="n"/>
      <c r="BB150" s="64" t="n"/>
      <c r="BC150" s="64" t="n"/>
      <c r="BD150" s="64" t="n"/>
      <c r="BE150" s="64" t="n"/>
      <c r="BF150" s="308" t="n"/>
      <c r="BG150" s="64" t="n"/>
      <c r="BH150" s="64" t="n"/>
      <c r="BI150" s="136" t="n"/>
      <c r="BJ150" s="64" t="n"/>
      <c r="BK150" s="64" t="n"/>
      <c r="BL150" s="64" t="n"/>
      <c r="BM150" s="64" t="n"/>
      <c r="BN150" s="64" t="n"/>
      <c r="BO150" s="64" t="n"/>
      <c r="BP150" s="64" t="n"/>
      <c r="BQ150" s="64" t="n"/>
      <c r="BR150" s="64" t="n"/>
      <c r="BS150" s="64" t="n"/>
      <c r="BT150" s="64" t="n"/>
      <c r="BU150" s="64" t="n"/>
      <c r="BV150" s="64" t="n"/>
      <c r="BW150" s="64" t="n"/>
      <c r="BX150" s="64" t="n"/>
      <c r="BY150" s="64" t="n"/>
      <c r="BZ150" s="64" t="n"/>
      <c r="CA150" s="64" t="n"/>
    </row>
    <row r="151" ht="20.25" customHeight="1">
      <c r="A151" s="1963" t="n"/>
      <c r="B151" s="98" t="n"/>
      <c r="C151" s="98" t="n"/>
      <c r="D151" s="98" t="n"/>
      <c r="E151" s="248" t="n"/>
      <c r="F151" s="98" t="n"/>
      <c r="G151" s="2219" t="n"/>
      <c r="H151" s="247" t="n"/>
      <c r="I151" s="247" t="n"/>
      <c r="J151" s="98" t="n"/>
      <c r="K151" s="247" t="n"/>
      <c r="L151" s="98" t="n"/>
      <c r="M151" s="247" t="n"/>
      <c r="N151" s="98" t="n"/>
      <c r="O151" s="533" t="n"/>
      <c r="P151" s="2220" t="n"/>
      <c r="Q151" s="247" t="n"/>
      <c r="R151" s="2220" t="n"/>
      <c r="S151" s="247" t="n"/>
      <c r="T151" s="247" t="n"/>
      <c r="U151" s="98" t="n"/>
      <c r="V151" s="98" t="n"/>
      <c r="W151" s="98" t="n"/>
      <c r="X151" s="64" t="n"/>
      <c r="Y151" s="136" t="n"/>
      <c r="Z151" s="64" t="n"/>
      <c r="AA151" s="64" t="n"/>
      <c r="AB151" s="64" t="n"/>
      <c r="AC151" s="64" t="n"/>
      <c r="AD151" s="136" t="n"/>
      <c r="AE151" s="64" t="n"/>
      <c r="AF151" s="64" t="n"/>
      <c r="AG151" s="64" t="n"/>
      <c r="AH151" s="64" t="n"/>
      <c r="AI151" s="136" t="n"/>
      <c r="AJ151" s="64" t="n"/>
      <c r="AK151" s="64" t="n"/>
      <c r="AL151" s="64" t="n"/>
      <c r="AM151" s="64" t="n"/>
      <c r="AN151" s="64" t="n"/>
      <c r="AO151" s="136" t="n"/>
      <c r="AP151" s="64" t="n"/>
      <c r="AQ151" s="64" t="n"/>
      <c r="AR151" s="64" t="n"/>
      <c r="AS151" s="64" t="n"/>
      <c r="AT151" s="64" t="n"/>
      <c r="AU151" s="64" t="n"/>
      <c r="AV151" s="64" t="n"/>
      <c r="AW151" s="64" t="n"/>
      <c r="AX151" s="64" t="n"/>
      <c r="AY151" s="136" t="n"/>
      <c r="AZ151" s="64" t="n"/>
      <c r="BA151" s="64" t="n"/>
      <c r="BB151" s="64" t="n"/>
      <c r="BC151" s="64" t="n"/>
      <c r="BD151" s="64" t="n"/>
      <c r="BE151" s="64" t="n"/>
      <c r="BF151" s="308" t="n"/>
      <c r="BG151" s="64" t="n"/>
      <c r="BH151" s="64" t="n"/>
      <c r="BI151" s="136" t="n"/>
      <c r="BJ151" s="64" t="n"/>
      <c r="BK151" s="64" t="n"/>
      <c r="BL151" s="64" t="n"/>
      <c r="BM151" s="64" t="n"/>
      <c r="BN151" s="64" t="n"/>
      <c r="BO151" s="64" t="n"/>
      <c r="BP151" s="64" t="n"/>
      <c r="BQ151" s="64" t="n"/>
      <c r="BR151" s="64" t="n"/>
      <c r="BS151" s="64" t="n"/>
      <c r="BT151" s="64" t="n"/>
      <c r="BU151" s="64" t="n"/>
      <c r="BV151" s="64" t="n"/>
      <c r="BW151" s="64" t="n"/>
      <c r="BX151" s="64" t="n"/>
      <c r="BY151" s="64" t="n"/>
      <c r="BZ151" s="64" t="n"/>
      <c r="CA151" s="64" t="n"/>
    </row>
    <row r="152" ht="20.25" customHeight="1">
      <c r="A152" s="2054" t="inlineStr">
        <is>
          <t>12|</t>
        </is>
      </c>
      <c r="B152" s="666" t="inlineStr">
        <is>
          <t>FY gÄyiKvix KZ©„c‡¶i mycvwik/Av‡`k</t>
        </is>
      </c>
      <c r="AN152" s="64" t="n"/>
      <c r="AO152" s="136" t="n"/>
      <c r="AP152" s="64" t="n"/>
      <c r="AQ152" s="64" t="n"/>
      <c r="AR152" s="64" t="n"/>
      <c r="AS152" s="64" t="n"/>
      <c r="AT152" s="64" t="n"/>
      <c r="AU152" s="64" t="n"/>
      <c r="AV152" s="64" t="n"/>
      <c r="AW152" s="64" t="n"/>
      <c r="AX152" s="64" t="n"/>
      <c r="AY152" s="136" t="n"/>
      <c r="AZ152" s="64" t="n"/>
      <c r="BA152" s="64" t="n"/>
      <c r="BB152" s="64" t="n"/>
      <c r="BC152" s="64" t="n"/>
      <c r="BD152" s="64" t="n"/>
      <c r="BE152" s="64" t="n"/>
      <c r="BF152" s="308" t="n"/>
      <c r="BG152" s="64" t="n"/>
      <c r="BH152" s="64" t="n"/>
      <c r="BI152" s="136" t="n"/>
      <c r="BJ152" s="64" t="n"/>
      <c r="BK152" s="64" t="n"/>
      <c r="BL152" s="64" t="n"/>
      <c r="BM152" s="64" t="n"/>
      <c r="BN152" s="64" t="n"/>
      <c r="BO152" s="64" t="n"/>
      <c r="BP152" s="64" t="n"/>
      <c r="BQ152" s="64" t="n"/>
      <c r="BR152" s="64" t="n"/>
      <c r="BS152" s="64" t="n"/>
      <c r="BT152" s="64" t="n"/>
      <c r="BU152" s="64" t="n"/>
      <c r="BV152" s="64" t="n"/>
      <c r="BW152" s="64" t="n"/>
      <c r="BX152" s="64" t="n"/>
      <c r="BY152" s="64" t="n"/>
      <c r="BZ152" s="64" t="n"/>
      <c r="CA152" s="64" t="n"/>
    </row>
    <row r="153" ht="20.25" customFormat="1" customHeight="1" s="18">
      <c r="A153" s="2221">
        <f>+'Data Input'!B64</f>
        <v/>
      </c>
      <c r="AN153" s="103" t="n"/>
      <c r="AO153" s="225" t="n"/>
      <c r="AP153" s="103" t="n"/>
      <c r="AQ153" s="103" t="n"/>
      <c r="AR153" s="103" t="n"/>
      <c r="AS153" s="103" t="n"/>
      <c r="AT153" s="103" t="n"/>
      <c r="AU153" s="103" t="n"/>
      <c r="AV153" s="103" t="n"/>
      <c r="AW153" s="103" t="n"/>
      <c r="AX153" s="103" t="n"/>
      <c r="AY153" s="225" t="n"/>
      <c r="AZ153" s="103" t="n"/>
      <c r="BA153" s="103" t="n"/>
      <c r="BB153" s="103" t="n"/>
      <c r="BC153" s="103" t="n"/>
      <c r="BD153" s="103" t="n"/>
      <c r="BE153" s="103" t="n"/>
      <c r="BF153" s="555" t="n"/>
      <c r="BG153" s="103" t="n"/>
      <c r="BH153" s="103" t="n"/>
      <c r="BI153" s="225" t="n"/>
      <c r="BJ153" s="103" t="n"/>
      <c r="BK153" s="103" t="n"/>
      <c r="BL153" s="103" t="n"/>
      <c r="BM153" s="103" t="n"/>
      <c r="BN153" s="103" t="n"/>
      <c r="BO153" s="103" t="n"/>
      <c r="BP153" s="103" t="n"/>
      <c r="BQ153" s="103" t="n"/>
      <c r="BR153" s="103" t="n"/>
      <c r="BS153" s="103" t="n"/>
      <c r="BT153" s="103" t="n"/>
      <c r="BU153" s="103" t="n"/>
      <c r="BV153" s="103" t="n"/>
      <c r="BW153" s="103" t="n"/>
      <c r="BX153" s="103" t="n"/>
      <c r="BY153" s="103" t="n"/>
      <c r="BZ153" s="103" t="n"/>
      <c r="CA153" s="103" t="n"/>
    </row>
    <row r="154" ht="61.5" customFormat="1" customHeight="1" s="18">
      <c r="AN154" s="103" t="n"/>
      <c r="AO154" s="225" t="n"/>
      <c r="AP154" s="103" t="n"/>
      <c r="AQ154" s="103" t="n"/>
      <c r="AR154" s="103" t="n"/>
      <c r="AS154" s="103" t="n"/>
      <c r="AT154" s="103" t="n"/>
      <c r="AU154" s="103" t="n"/>
      <c r="AV154" s="103" t="n"/>
      <c r="AW154" s="103" t="n"/>
      <c r="AX154" s="103" t="n"/>
      <c r="AY154" s="225" t="n"/>
      <c r="AZ154" s="103" t="n"/>
      <c r="BA154" s="103" t="n"/>
      <c r="BB154" s="103" t="n"/>
      <c r="BC154" s="103" t="n"/>
      <c r="BD154" s="103" t="n"/>
      <c r="BE154" s="103" t="n"/>
      <c r="BF154" s="555" t="n"/>
      <c r="BG154" s="103" t="n"/>
      <c r="BH154" s="103" t="n"/>
      <c r="BI154" s="225" t="n"/>
      <c r="BJ154" s="103" t="n"/>
      <c r="BK154" s="103" t="n"/>
      <c r="BL154" s="103" t="n"/>
      <c r="BM154" s="103" t="n"/>
      <c r="BN154" s="103" t="n"/>
      <c r="BO154" s="103" t="n"/>
      <c r="BP154" s="103" t="n"/>
      <c r="BQ154" s="103" t="n"/>
      <c r="BR154" s="103" t="n"/>
      <c r="BS154" s="103" t="n"/>
      <c r="BT154" s="103" t="n"/>
      <c r="BU154" s="103" t="n"/>
      <c r="BV154" s="103" t="n"/>
      <c r="BW154" s="103" t="n"/>
      <c r="BX154" s="103" t="n"/>
      <c r="BY154" s="103" t="n"/>
      <c r="BZ154" s="103" t="n"/>
      <c r="CA154" s="103" t="n"/>
    </row>
    <row r="155" ht="20.25" customHeight="1">
      <c r="A155" s="135" t="n"/>
      <c r="B155" s="1964" t="n"/>
      <c r="C155" s="1964" t="n"/>
      <c r="D155" s="1964" t="n"/>
      <c r="E155" s="303" t="n"/>
      <c r="F155" s="1964" t="n"/>
      <c r="G155" s="1965" t="n"/>
      <c r="H155" s="135" t="n"/>
      <c r="I155" s="135" t="n"/>
      <c r="J155" s="1964" t="n"/>
      <c r="K155" s="135" t="n"/>
      <c r="L155" s="1964" t="n"/>
      <c r="M155" s="135" t="n"/>
      <c r="N155" s="1964" t="n"/>
      <c r="O155" s="467" t="n"/>
      <c r="P155" s="88" t="n"/>
      <c r="Q155" s="135" t="n"/>
      <c r="R155" s="88" t="n"/>
      <c r="S155" s="135" t="n"/>
      <c r="T155" s="135" t="n"/>
      <c r="U155" s="1964" t="n"/>
      <c r="V155" s="1964" t="n"/>
      <c r="W155" s="1964" t="n"/>
      <c r="X155" s="1964" t="n"/>
      <c r="Y155" s="135" t="n"/>
      <c r="Z155" s="1964" t="n"/>
      <c r="AA155" s="1964" t="n"/>
      <c r="AB155" s="464" t="inlineStr">
        <is>
          <t>¯^vÿi t</t>
        </is>
      </c>
      <c r="AF155" s="1964" t="n"/>
      <c r="AG155" s="1964" t="n"/>
      <c r="AH155" s="1964" t="n"/>
      <c r="AI155" s="135" t="n"/>
      <c r="AJ155" s="1964" t="n"/>
      <c r="AK155" s="1964" t="n"/>
      <c r="AL155" s="1964" t="n"/>
      <c r="AM155" s="1964" t="n"/>
      <c r="AN155" s="64" t="n"/>
      <c r="AO155" s="136" t="n"/>
      <c r="AP155" s="64" t="n"/>
      <c r="AQ155" s="64" t="n"/>
      <c r="AR155" s="64" t="n"/>
      <c r="AS155" s="64" t="n"/>
      <c r="AT155" s="64" t="n"/>
      <c r="AU155" s="64" t="n"/>
      <c r="AV155" s="64" t="n"/>
      <c r="AW155" s="64" t="n"/>
      <c r="AX155" s="64" t="n"/>
      <c r="AY155" s="136" t="n"/>
      <c r="AZ155" s="64" t="n"/>
      <c r="BA155" s="64" t="n"/>
      <c r="BB155" s="64" t="n"/>
      <c r="BC155" s="64" t="n"/>
      <c r="BD155" s="64" t="n"/>
      <c r="BE155" s="64" t="n"/>
      <c r="BF155" s="308" t="n"/>
      <c r="BG155" s="64" t="n"/>
      <c r="BH155" s="64" t="n"/>
      <c r="BI155" s="136" t="n"/>
      <c r="BJ155" s="64" t="n"/>
      <c r="BK155" s="64" t="n"/>
      <c r="BL155" s="64" t="n"/>
      <c r="BM155" s="64" t="n"/>
      <c r="BN155" s="64" t="n"/>
      <c r="BO155" s="64" t="n"/>
      <c r="BP155" s="64" t="n"/>
      <c r="BQ155" s="64" t="n"/>
      <c r="BR155" s="64" t="n"/>
      <c r="BS155" s="64" t="n"/>
      <c r="BT155" s="64" t="n"/>
      <c r="BU155" s="64" t="n"/>
      <c r="BV155" s="64" t="n"/>
      <c r="BW155" s="64" t="n"/>
      <c r="BX155" s="64" t="n"/>
      <c r="BY155" s="64" t="n"/>
      <c r="BZ155" s="64" t="n"/>
      <c r="CA155" s="64" t="n"/>
    </row>
    <row r="156" ht="19.5" customHeight="1">
      <c r="A156" s="135" t="n"/>
      <c r="B156" s="64" t="n"/>
      <c r="C156" s="64" t="n"/>
      <c r="D156" s="64" t="n"/>
      <c r="E156" s="307" t="n"/>
      <c r="F156" s="64" t="n"/>
      <c r="G156" s="748" t="n"/>
      <c r="H156" s="136" t="n"/>
      <c r="I156" s="136" t="n"/>
      <c r="J156" s="64" t="n"/>
      <c r="K156" s="136" t="n"/>
      <c r="L156" s="64" t="n"/>
      <c r="M156" s="136" t="n"/>
      <c r="N156" s="64" t="n"/>
      <c r="O156" s="545" t="n"/>
      <c r="P156" s="543" t="n"/>
      <c r="Q156" s="136" t="n"/>
      <c r="R156" s="88" t="n"/>
      <c r="S156" s="135" t="n"/>
      <c r="T156" s="135" t="n"/>
      <c r="U156" s="1964" t="n"/>
      <c r="V156" s="1964" t="n"/>
      <c r="W156" s="1964" t="n"/>
      <c r="X156" s="1964" t="n"/>
      <c r="Y156" s="135" t="n"/>
      <c r="Z156" s="1964" t="n"/>
      <c r="AA156" s="1964" t="n"/>
      <c r="AB156" s="243" t="inlineStr">
        <is>
          <t>c~Y© bvg t</t>
        </is>
      </c>
      <c r="AF156" s="1964" t="n"/>
      <c r="AG156" s="1964" t="n"/>
      <c r="AH156" s="1964" t="n"/>
      <c r="AI156" s="135" t="n"/>
      <c r="AJ156" s="1964" t="n"/>
      <c r="AK156" s="1964" t="n"/>
      <c r="AL156" s="1964" t="n"/>
      <c r="AM156" s="1964" t="n"/>
      <c r="AN156" s="64" t="n"/>
      <c r="AO156" s="136" t="n"/>
      <c r="AP156" s="64" t="n"/>
      <c r="AQ156" s="64" t="n"/>
      <c r="AR156" s="64" t="n"/>
      <c r="AS156" s="64" t="n"/>
      <c r="AT156" s="64" t="n"/>
      <c r="AU156" s="64" t="n"/>
      <c r="AV156" s="64" t="n"/>
      <c r="AW156" s="64" t="n"/>
      <c r="AX156" s="64" t="n"/>
      <c r="AY156" s="136" t="n"/>
      <c r="AZ156" s="64" t="n"/>
      <c r="BA156" s="64" t="n"/>
      <c r="BB156" s="64" t="n"/>
      <c r="BC156" s="64" t="n"/>
      <c r="BD156" s="64" t="n"/>
      <c r="BE156" s="64" t="n"/>
      <c r="BF156" s="308" t="n"/>
      <c r="BG156" s="64" t="n"/>
      <c r="BH156" s="64" t="n"/>
      <c r="BI156" s="136" t="n"/>
      <c r="BJ156" s="64" t="n"/>
      <c r="BK156" s="64" t="n"/>
      <c r="BL156" s="64" t="n"/>
      <c r="BM156" s="64" t="n"/>
      <c r="BN156" s="64" t="n"/>
      <c r="BO156" s="64" t="n"/>
      <c r="BP156" s="64" t="n"/>
      <c r="BQ156" s="64" t="n"/>
      <c r="BR156" s="64" t="n"/>
      <c r="BS156" s="64" t="n"/>
      <c r="BT156" s="64" t="n"/>
      <c r="BU156" s="64" t="n"/>
      <c r="BV156" s="64" t="n"/>
      <c r="BW156" s="64" t="n"/>
      <c r="BX156" s="64" t="n"/>
      <c r="BY156" s="64" t="n"/>
      <c r="BZ156" s="64" t="n"/>
      <c r="CA156" s="64" t="n"/>
    </row>
    <row r="157" ht="16.5" customHeight="1">
      <c r="A157" s="135" t="n"/>
      <c r="B157" s="1964" t="inlineStr">
        <is>
          <t>¯’vb    t</t>
        </is>
      </c>
      <c r="C157" s="1964" t="n"/>
      <c r="D157" s="1964" t="n"/>
      <c r="E157" s="303" t="n"/>
      <c r="F157" s="1964" t="n"/>
      <c r="G157" s="1965" t="n"/>
      <c r="H157" s="135" t="n"/>
      <c r="I157" s="135" t="n"/>
      <c r="J157" s="1964" t="n"/>
      <c r="K157" s="135" t="n"/>
      <c r="L157" s="1964" t="n"/>
      <c r="M157" s="135" t="n"/>
      <c r="N157" s="1964" t="n"/>
      <c r="O157" s="467" t="n"/>
      <c r="P157" s="88" t="n"/>
      <c r="Q157" s="135" t="n"/>
      <c r="R157" s="88" t="n"/>
      <c r="S157" s="135" t="n"/>
      <c r="T157" s="135" t="n"/>
      <c r="U157" s="1964" t="n"/>
      <c r="V157" s="1964" t="n"/>
      <c r="W157" s="1964" t="n"/>
      <c r="X157" s="1964" t="n"/>
      <c r="Y157" s="135" t="n"/>
      <c r="Z157" s="1964" t="n"/>
      <c r="AA157" s="1964" t="n"/>
      <c r="AB157" s="464" t="inlineStr">
        <is>
          <t>c`ex t</t>
        </is>
      </c>
      <c r="AF157" s="1964" t="n"/>
      <c r="AG157" s="1964" t="n"/>
      <c r="AH157" s="1964" t="n"/>
      <c r="AI157" s="135" t="n"/>
      <c r="AJ157" s="1964" t="n"/>
      <c r="AK157" s="1964" t="n"/>
      <c r="AL157" s="1964" t="n"/>
      <c r="AM157" s="1964" t="n"/>
      <c r="AN157" s="64" t="n"/>
      <c r="AO157" s="136" t="n"/>
      <c r="AP157" s="64" t="n"/>
      <c r="AQ157" s="64" t="n"/>
      <c r="AR157" s="64" t="n"/>
      <c r="AS157" s="64" t="n"/>
      <c r="AT157" s="64" t="n"/>
      <c r="AU157" s="64" t="n"/>
      <c r="AV157" s="64" t="n"/>
      <c r="AW157" s="64" t="n"/>
      <c r="AX157" s="64" t="n"/>
      <c r="AY157" s="136" t="n"/>
      <c r="AZ157" s="64" t="n"/>
      <c r="BA157" s="64" t="n"/>
      <c r="BB157" s="64" t="n"/>
      <c r="BC157" s="64" t="n"/>
      <c r="BD157" s="64" t="n"/>
      <c r="BE157" s="64" t="n"/>
      <c r="BF157" s="308" t="n"/>
      <c r="BG157" s="64" t="n"/>
      <c r="BH157" s="64" t="n"/>
      <c r="BI157" s="136" t="n"/>
      <c r="BJ157" s="64" t="n"/>
      <c r="BK157" s="64" t="n"/>
      <c r="BL157" s="64" t="n"/>
      <c r="BM157" s="64" t="n"/>
      <c r="BN157" s="64" t="n"/>
      <c r="BO157" s="64" t="n"/>
      <c r="BP157" s="64" t="n"/>
      <c r="BQ157" s="64" t="n"/>
      <c r="BR157" s="64" t="n"/>
      <c r="BS157" s="64" t="n"/>
      <c r="BT157" s="64" t="n"/>
      <c r="BU157" s="64" t="n"/>
      <c r="BV157" s="64" t="n"/>
      <c r="BW157" s="64" t="n"/>
      <c r="BX157" s="64" t="n"/>
      <c r="BY157" s="64" t="n"/>
      <c r="BZ157" s="64" t="n"/>
      <c r="CA157" s="64" t="n"/>
    </row>
    <row r="158" ht="18" customHeight="1">
      <c r="A158" s="1963" t="n"/>
      <c r="B158" s="1964" t="inlineStr">
        <is>
          <t>ZvwiL t</t>
        </is>
      </c>
      <c r="C158" s="1964" t="n"/>
      <c r="D158" s="1964" t="n"/>
      <c r="E158" s="303" t="n"/>
      <c r="Q158" s="2165" t="n"/>
      <c r="R158" s="2230" t="n"/>
      <c r="S158" s="2165" t="n"/>
      <c r="T158" s="2165" t="n"/>
      <c r="U158" s="96" t="n"/>
      <c r="V158" s="96" t="n"/>
      <c r="W158" s="96" t="n"/>
      <c r="X158" s="64" t="n"/>
      <c r="Y158" s="136" t="n"/>
      <c r="Z158" s="64" t="n"/>
      <c r="AA158" s="64" t="n"/>
      <c r="AB158" s="64" t="n"/>
      <c r="AC158" s="64" t="n"/>
      <c r="AD158" s="136" t="n"/>
      <c r="AE158" s="64" t="n"/>
      <c r="AF158" s="64" t="n"/>
      <c r="AG158" s="64" t="n"/>
      <c r="AH158" s="64" t="n"/>
      <c r="AI158" s="136" t="n"/>
      <c r="AJ158" s="64" t="n"/>
      <c r="AK158" s="64" t="n"/>
      <c r="AL158" s="64" t="n"/>
      <c r="AM158" s="64" t="n"/>
      <c r="AN158" s="64" t="n"/>
      <c r="AO158" s="136" t="n"/>
      <c r="AP158" s="64" t="n"/>
      <c r="AQ158" s="64" t="n"/>
      <c r="AR158" s="64" t="n"/>
      <c r="AS158" s="64" t="n"/>
      <c r="AT158" s="64" t="n"/>
      <c r="AU158" s="64" t="n"/>
      <c r="AV158" s="64" t="n"/>
      <c r="AW158" s="64" t="n"/>
      <c r="AX158" s="64" t="n"/>
      <c r="AY158" s="136" t="n"/>
      <c r="AZ158" s="64" t="n"/>
      <c r="BA158" s="64" t="n"/>
      <c r="BB158" s="64" t="n"/>
      <c r="BC158" s="64" t="n"/>
      <c r="BD158" s="64" t="n"/>
      <c r="BE158" s="64" t="n"/>
      <c r="BF158" s="308" t="n"/>
      <c r="BG158" s="64" t="n"/>
      <c r="BH158" s="64" t="n"/>
      <c r="BI158" s="136" t="n"/>
      <c r="BJ158" s="64" t="n"/>
      <c r="BK158" s="64" t="n"/>
      <c r="BL158" s="64" t="n"/>
      <c r="BM158" s="64" t="n"/>
      <c r="BN158" s="64" t="n"/>
      <c r="BO158" s="64" t="n"/>
      <c r="BP158" s="64" t="n"/>
      <c r="BQ158" s="64" t="n"/>
      <c r="BR158" s="64" t="n"/>
      <c r="BS158" s="64" t="n"/>
      <c r="BT158" s="64" t="n"/>
      <c r="BU158" s="64" t="n"/>
      <c r="BV158" s="64" t="n"/>
      <c r="BW158" s="64" t="n"/>
      <c r="BX158" s="64" t="n"/>
      <c r="BY158" s="64" t="n"/>
      <c r="BZ158" s="64" t="n"/>
      <c r="CA158" s="64" t="n"/>
    </row>
    <row r="159" ht="21" customHeight="1">
      <c r="A159" s="1963" t="n"/>
      <c r="B159" s="1964" t="n"/>
      <c r="C159" s="1964" t="n"/>
      <c r="D159" s="1964" t="n"/>
      <c r="E159" s="303" t="n"/>
      <c r="F159" s="1964" t="n"/>
      <c r="G159" s="1965" t="n"/>
      <c r="H159" s="135" t="n"/>
      <c r="I159" s="135" t="n"/>
      <c r="J159" s="1964" t="n"/>
      <c r="K159" s="135" t="n"/>
      <c r="L159" s="1964" t="n"/>
      <c r="M159" s="135" t="n"/>
      <c r="N159" s="1964" t="n"/>
      <c r="O159" s="467" t="n"/>
      <c r="P159" s="88" t="n"/>
      <c r="Q159" s="2165" t="n"/>
      <c r="R159" s="2230" t="n"/>
      <c r="S159" s="2165" t="n"/>
      <c r="T159" s="2165" t="n"/>
      <c r="U159" s="96" t="n"/>
      <c r="V159" s="96" t="n"/>
      <c r="W159" s="96" t="n"/>
      <c r="X159" s="64" t="n"/>
      <c r="Y159" s="136" t="n"/>
      <c r="Z159" s="64" t="n"/>
      <c r="AA159" s="64" t="n"/>
      <c r="AB159" s="64" t="n"/>
      <c r="AC159" s="64" t="n"/>
      <c r="AD159" s="136" t="n"/>
      <c r="AE159" s="64" t="n"/>
      <c r="AF159" s="64" t="n"/>
      <c r="AG159" s="64" t="n"/>
      <c r="AH159" s="64" t="n"/>
      <c r="AI159" s="136" t="n"/>
      <c r="AJ159" s="64" t="n"/>
      <c r="AK159" s="64" t="n"/>
      <c r="AL159" s="64" t="n"/>
      <c r="AM159" s="64" t="n"/>
      <c r="AN159" s="64" t="n"/>
      <c r="AO159" s="136" t="n"/>
      <c r="AP159" s="64" t="n"/>
      <c r="AQ159" s="64" t="n"/>
      <c r="AR159" s="64" t="n"/>
      <c r="AS159" s="64" t="n"/>
      <c r="AT159" s="64" t="n"/>
      <c r="AU159" s="64" t="n"/>
      <c r="AV159" s="64" t="n"/>
      <c r="AW159" s="64" t="n"/>
      <c r="AX159" s="64" t="n"/>
      <c r="AY159" s="136" t="n"/>
      <c r="AZ159" s="64" t="n"/>
      <c r="BA159" s="64" t="n"/>
      <c r="BB159" s="64" t="n"/>
      <c r="BC159" s="64" t="n"/>
      <c r="BD159" s="64" t="n"/>
      <c r="BE159" s="64" t="n"/>
      <c r="BF159" s="308" t="n"/>
      <c r="BG159" s="64" t="n"/>
      <c r="BH159" s="64" t="n"/>
      <c r="BI159" s="136" t="n"/>
      <c r="BJ159" s="64" t="n"/>
      <c r="BK159" s="64" t="n"/>
      <c r="BL159" s="64" t="n"/>
      <c r="BM159" s="64" t="n"/>
      <c r="BN159" s="64" t="n"/>
      <c r="BO159" s="64" t="n"/>
      <c r="BP159" s="64" t="n"/>
      <c r="BQ159" s="64" t="n"/>
      <c r="BR159" s="64" t="n"/>
      <c r="BS159" s="64" t="n"/>
      <c r="BT159" s="64" t="n"/>
      <c r="BU159" s="64" t="n"/>
      <c r="BV159" s="64" t="n"/>
      <c r="BW159" s="64" t="n"/>
      <c r="BX159" s="64" t="n"/>
      <c r="BY159" s="64" t="n"/>
      <c r="BZ159" s="64" t="n"/>
      <c r="CA159" s="64" t="n"/>
    </row>
    <row r="160" ht="27.75" customHeight="1">
      <c r="A160" s="1963" t="n"/>
      <c r="B160" s="1964" t="n"/>
      <c r="C160" s="1964" t="n"/>
      <c r="D160" s="1964" t="n"/>
      <c r="E160" s="303" t="n"/>
      <c r="F160" s="1964" t="n"/>
      <c r="G160" s="1965" t="n"/>
      <c r="H160" s="135" t="n"/>
      <c r="I160" s="135" t="n"/>
      <c r="J160" s="1964" t="n"/>
      <c r="K160" s="135" t="n"/>
      <c r="L160" s="1964" t="n"/>
      <c r="M160" s="135" t="n"/>
      <c r="N160" s="1964" t="n"/>
      <c r="O160" s="467" t="n"/>
      <c r="P160" s="88" t="n"/>
      <c r="Q160" s="2165" t="n"/>
      <c r="R160" s="2230" t="n"/>
      <c r="S160" s="2165" t="n"/>
      <c r="T160" s="2165" t="n"/>
      <c r="U160" s="96" t="n"/>
      <c r="V160" s="96" t="n"/>
      <c r="W160" s="96" t="n"/>
      <c r="X160" s="64" t="n"/>
      <c r="Y160" s="136" t="n"/>
      <c r="Z160" s="64" t="n"/>
      <c r="AA160" s="64" t="n"/>
      <c r="AB160" s="64" t="n"/>
      <c r="AC160" s="64" t="n"/>
      <c r="AD160" s="136" t="n"/>
      <c r="AE160" s="64" t="n"/>
      <c r="AF160" s="64" t="n"/>
      <c r="AG160" s="64" t="n"/>
      <c r="AH160" s="64" t="n"/>
      <c r="AI160" s="136" t="n"/>
      <c r="AJ160" s="64" t="n"/>
      <c r="AK160" s="64" t="n"/>
      <c r="AL160" s="64" t="n"/>
      <c r="AM160" s="64" t="n"/>
      <c r="AN160" s="64" t="n"/>
      <c r="AO160" s="136" t="n"/>
      <c r="AP160" s="64" t="n"/>
      <c r="AQ160" s="64" t="n"/>
      <c r="AR160" s="64" t="n"/>
      <c r="AS160" s="64" t="n"/>
      <c r="AT160" s="64" t="n"/>
      <c r="AU160" s="64" t="n"/>
      <c r="AV160" s="64" t="n"/>
      <c r="AW160" s="64" t="n"/>
      <c r="AX160" s="64" t="n"/>
      <c r="AY160" s="136" t="n"/>
      <c r="AZ160" s="64" t="n"/>
      <c r="BA160" s="64" t="n"/>
      <c r="BB160" s="64" t="n"/>
      <c r="BC160" s="64" t="n"/>
      <c r="BD160" s="64" t="n"/>
      <c r="BE160" s="64" t="n"/>
      <c r="BF160" s="308" t="n"/>
      <c r="BG160" s="64" t="n"/>
      <c r="BH160" s="64" t="n"/>
      <c r="BI160" s="136" t="n"/>
      <c r="BJ160" s="64" t="n"/>
      <c r="BK160" s="64" t="n"/>
      <c r="BL160" s="64" t="n"/>
      <c r="BM160" s="64" t="n"/>
      <c r="BN160" s="64" t="n"/>
      <c r="BO160" s="64" t="n"/>
      <c r="BP160" s="64" t="n"/>
      <c r="BQ160" s="64" t="n"/>
      <c r="BR160" s="64" t="n"/>
      <c r="BS160" s="64" t="n"/>
      <c r="BT160" s="64" t="n"/>
      <c r="BU160" s="64" t="n"/>
      <c r="BV160" s="64" t="n"/>
      <c r="BW160" s="64" t="n"/>
      <c r="BX160" s="64" t="n"/>
      <c r="BY160" s="64" t="n"/>
      <c r="BZ160" s="64" t="n"/>
      <c r="CA160" s="64" t="n"/>
    </row>
    <row r="161" ht="27.75" customHeight="1">
      <c r="A161" s="1963" t="n"/>
      <c r="B161" s="1964" t="n"/>
      <c r="C161" s="1964" t="n"/>
      <c r="D161" s="1964" t="n"/>
      <c r="E161" s="303" t="n"/>
      <c r="F161" s="1964" t="n"/>
      <c r="G161" s="1965" t="n"/>
      <c r="H161" s="135" t="n"/>
      <c r="I161" s="135" t="n"/>
      <c r="J161" s="1964" t="n"/>
      <c r="K161" s="135" t="n"/>
      <c r="L161" s="1964" t="n"/>
      <c r="M161" s="135" t="n"/>
      <c r="N161" s="1964" t="n"/>
      <c r="O161" s="467" t="n"/>
      <c r="P161" s="88" t="n"/>
      <c r="Q161" s="2165" t="n"/>
      <c r="R161" s="2230" t="n"/>
      <c r="S161" s="2165" t="n"/>
      <c r="T161" s="2165" t="n"/>
      <c r="U161" s="96" t="n"/>
      <c r="V161" s="96" t="n"/>
      <c r="W161" s="96" t="n"/>
      <c r="X161" s="64" t="n"/>
      <c r="Y161" s="136" t="n"/>
      <c r="Z161" s="64" t="n"/>
      <c r="AA161" s="64" t="n"/>
      <c r="AB161" s="64" t="n"/>
      <c r="AC161" s="64" t="n"/>
      <c r="AD161" s="136" t="n"/>
      <c r="AE161" s="64" t="n"/>
      <c r="AF161" s="64" t="n"/>
      <c r="AG161" s="64" t="n"/>
      <c r="AH161" s="64" t="n"/>
      <c r="AI161" s="136" t="n"/>
      <c r="AJ161" s="64" t="n"/>
      <c r="AK161" s="64" t="n"/>
      <c r="AL161" s="64" t="n"/>
      <c r="AM161" s="64" t="n"/>
      <c r="AN161" s="64" t="n"/>
      <c r="AO161" s="136" t="n"/>
      <c r="AP161" s="64" t="n"/>
      <c r="AQ161" s="64" t="n"/>
      <c r="AR161" s="64" t="n"/>
      <c r="AS161" s="64" t="n"/>
      <c r="AT161" s="64" t="n"/>
      <c r="AU161" s="64" t="n"/>
      <c r="AV161" s="64" t="n"/>
      <c r="AW161" s="64" t="n"/>
      <c r="AX161" s="64" t="n"/>
      <c r="AY161" s="136" t="n"/>
      <c r="AZ161" s="64" t="n"/>
      <c r="BA161" s="64" t="n"/>
      <c r="BB161" s="64" t="n"/>
      <c r="BC161" s="64" t="n"/>
      <c r="BD161" s="64" t="n"/>
      <c r="BE161" s="64" t="n"/>
      <c r="BF161" s="308" t="n"/>
      <c r="BG161" s="64" t="n"/>
      <c r="BH161" s="64" t="n"/>
      <c r="BI161" s="136" t="n"/>
      <c r="BJ161" s="64" t="n"/>
      <c r="BK161" s="64" t="n"/>
      <c r="BL161" s="64" t="n"/>
      <c r="BM161" s="64" t="n"/>
      <c r="BN161" s="64" t="n"/>
      <c r="BO161" s="64" t="n"/>
      <c r="BP161" s="64" t="n"/>
      <c r="BQ161" s="64" t="n"/>
      <c r="BR161" s="64" t="n"/>
      <c r="BS161" s="64" t="n"/>
      <c r="BT161" s="64" t="n"/>
      <c r="BU161" s="64" t="n"/>
      <c r="BV161" s="64" t="n"/>
      <c r="BW161" s="64" t="n"/>
      <c r="BX161" s="64" t="n"/>
      <c r="BY161" s="64" t="n"/>
      <c r="BZ161" s="64" t="n"/>
      <c r="CA161" s="64" t="n"/>
    </row>
    <row r="162" ht="27.75" customHeight="1">
      <c r="A162" s="1963" t="n"/>
      <c r="B162" s="1964" t="n"/>
      <c r="C162" s="1964" t="n"/>
      <c r="D162" s="1964" t="n"/>
      <c r="E162" s="303" t="n"/>
      <c r="F162" s="1964" t="n"/>
      <c r="G162" s="1965" t="n"/>
      <c r="H162" s="135" t="n"/>
      <c r="I162" s="135" t="n"/>
      <c r="J162" s="1964" t="n"/>
      <c r="K162" s="135" t="n"/>
      <c r="L162" s="1964" t="n"/>
      <c r="M162" s="135" t="n"/>
      <c r="N162" s="1964" t="n"/>
      <c r="O162" s="467" t="n"/>
      <c r="P162" s="88" t="n"/>
      <c r="Q162" s="2165" t="n"/>
      <c r="R162" s="2230" t="n"/>
      <c r="S162" s="2165" t="n"/>
      <c r="T162" s="2165" t="n"/>
      <c r="U162" s="96" t="n"/>
      <c r="V162" s="96" t="n"/>
      <c r="W162" s="96" t="n"/>
      <c r="X162" s="64" t="n"/>
      <c r="Y162" s="136" t="n"/>
      <c r="Z162" s="64" t="n"/>
      <c r="AA162" s="64" t="n"/>
      <c r="AB162" s="64" t="n"/>
      <c r="AC162" s="64" t="n"/>
      <c r="AD162" s="136" t="n"/>
      <c r="AE162" s="64" t="n"/>
      <c r="AF162" s="64" t="n"/>
      <c r="AG162" s="64" t="n"/>
      <c r="AH162" s="64" t="n"/>
      <c r="AI162" s="136" t="n"/>
      <c r="AJ162" s="64" t="n"/>
      <c r="AK162" s="64" t="n"/>
      <c r="AL162" s="64" t="n"/>
      <c r="AM162" s="64" t="n"/>
      <c r="AN162" s="64" t="n"/>
      <c r="AO162" s="136" t="n"/>
      <c r="AP162" s="64" t="n"/>
      <c r="AQ162" s="64" t="n"/>
      <c r="AR162" s="64" t="n"/>
      <c r="AS162" s="64" t="n"/>
      <c r="AT162" s="64" t="n"/>
      <c r="AU162" s="64" t="n"/>
      <c r="AV162" s="64" t="n"/>
      <c r="AW162" s="64" t="n"/>
      <c r="AX162" s="64" t="n"/>
      <c r="AY162" s="136" t="n"/>
      <c r="AZ162" s="64" t="n"/>
      <c r="BA162" s="64" t="n"/>
      <c r="BB162" s="64" t="n"/>
      <c r="BC162" s="64" t="n"/>
      <c r="BD162" s="64" t="n"/>
      <c r="BE162" s="64" t="n"/>
      <c r="BF162" s="308" t="n"/>
      <c r="BG162" s="64" t="n"/>
      <c r="BH162" s="64" t="n"/>
      <c r="BI162" s="136" t="n"/>
      <c r="BJ162" s="64" t="n"/>
      <c r="BK162" s="64" t="n"/>
      <c r="BL162" s="64" t="n"/>
      <c r="BM162" s="64" t="n"/>
      <c r="BN162" s="64" t="n"/>
      <c r="BO162" s="64" t="n"/>
      <c r="BP162" s="64" t="n"/>
      <c r="BQ162" s="64" t="n"/>
      <c r="BR162" s="64" t="n"/>
      <c r="BS162" s="64" t="n"/>
      <c r="BT162" s="64" t="n"/>
      <c r="BU162" s="64" t="n"/>
      <c r="BV162" s="64" t="n"/>
      <c r="BW162" s="64" t="n"/>
      <c r="BX162" s="64" t="n"/>
      <c r="BY162" s="64" t="n"/>
      <c r="BZ162" s="64" t="n"/>
      <c r="CA162" s="64" t="n"/>
    </row>
    <row r="163" ht="20.25" customHeight="1">
      <c r="A163" s="2286" t="inlineStr">
        <is>
          <t>¯‹x‡gi / cÖK‡íi A_©‰bwZK w`K</t>
        </is>
      </c>
      <c r="B163" s="2613" t="n"/>
      <c r="C163" s="2613" t="n"/>
      <c r="D163" s="2613" t="n"/>
      <c r="E163" s="2613" t="n"/>
      <c r="F163" s="2613" t="n"/>
      <c r="G163" s="2613" t="n"/>
      <c r="H163" s="2613" t="n"/>
      <c r="I163" s="2613" t="n"/>
      <c r="J163" s="2613" t="n"/>
      <c r="K163" s="2613" t="n"/>
      <c r="L163" s="2613" t="n"/>
      <c r="M163" s="2613" t="n"/>
      <c r="N163" s="2613" t="n"/>
      <c r="O163" s="2613" t="n"/>
      <c r="P163" s="2613" t="n"/>
      <c r="Q163" s="2613" t="n"/>
      <c r="R163" s="2613" t="n"/>
      <c r="S163" s="2613" t="n"/>
      <c r="T163" s="2613" t="n"/>
      <c r="U163" s="2613" t="n"/>
      <c r="V163" s="2613" t="n"/>
      <c r="W163" s="2613" t="n"/>
      <c r="X163" s="2613" t="n"/>
      <c r="Y163" s="2613" t="n"/>
      <c r="Z163" s="2613" t="n"/>
      <c r="AA163" s="2613" t="n"/>
      <c r="AB163" s="2613" t="n"/>
      <c r="AC163" s="2613" t="n"/>
      <c r="AD163" s="2613" t="n"/>
      <c r="AE163" s="2613" t="n"/>
      <c r="AF163" s="2613" t="n"/>
      <c r="AG163" s="2613" t="n"/>
      <c r="AH163" s="2613" t="n"/>
      <c r="AI163" s="2613" t="n"/>
      <c r="AJ163" s="2613" t="n"/>
      <c r="AK163" s="2613" t="n"/>
      <c r="AL163" s="2613" t="n"/>
      <c r="AM163" s="2649" t="n"/>
      <c r="AN163" s="64" t="n"/>
      <c r="AO163" s="136" t="n"/>
      <c r="AP163" s="64" t="n"/>
      <c r="AQ163" s="64" t="n"/>
      <c r="AR163" s="64" t="n"/>
      <c r="AS163" s="64" t="n"/>
      <c r="AT163" s="64" t="n"/>
      <c r="AU163" s="64" t="n"/>
      <c r="AV163" s="64" t="n"/>
      <c r="AW163" s="64" t="n"/>
      <c r="AX163" s="64" t="n"/>
      <c r="AY163" s="136" t="n"/>
      <c r="AZ163" s="64" t="n"/>
      <c r="BA163" s="64" t="n"/>
      <c r="BB163" s="64" t="n"/>
      <c r="BC163" s="64" t="n"/>
      <c r="BD163" s="64" t="n"/>
      <c r="BE163" s="64" t="n"/>
      <c r="BF163" s="308" t="n"/>
      <c r="BG163" s="64" t="n"/>
      <c r="BH163" s="64" t="n"/>
      <c r="BI163" s="136" t="n"/>
      <c r="BJ163" s="64" t="n"/>
      <c r="BK163" s="64" t="n"/>
      <c r="BL163" s="64" t="n"/>
      <c r="BM163" s="64" t="n"/>
      <c r="BN163" s="64" t="n"/>
      <c r="BO163" s="64" t="n"/>
      <c r="BP163" s="64" t="n"/>
      <c r="BQ163" s="64" t="n"/>
      <c r="BR163" s="64" t="n"/>
      <c r="BS163" s="64" t="n"/>
      <c r="BT163" s="64" t="n"/>
      <c r="BU163" s="64" t="n"/>
      <c r="BV163" s="64" t="n"/>
      <c r="BW163" s="64" t="n"/>
      <c r="BX163" s="64" t="n"/>
      <c r="BY163" s="64" t="n"/>
      <c r="BZ163" s="64" t="n"/>
      <c r="CA163" s="64" t="n"/>
    </row>
    <row r="164" ht="20.25" customHeight="1">
      <c r="A164" s="2293" t="inlineStr">
        <is>
          <t>(Avq m„wó nB‡e)</t>
        </is>
      </c>
      <c r="B164" s="2614" t="n"/>
      <c r="C164" s="2614" t="n"/>
      <c r="D164" s="2614" t="n"/>
      <c r="E164" s="2614" t="n"/>
      <c r="F164" s="2614" t="n"/>
      <c r="G164" s="2614" t="n"/>
      <c r="H164" s="2614" t="n"/>
      <c r="I164" s="2614" t="n"/>
      <c r="J164" s="2614" t="n"/>
      <c r="K164" s="2614" t="n"/>
      <c r="L164" s="2614" t="n"/>
      <c r="M164" s="2614" t="n"/>
      <c r="N164" s="2614" t="n"/>
      <c r="O164" s="2614" t="n"/>
      <c r="P164" s="2614" t="n"/>
      <c r="Q164" s="2614" t="n"/>
      <c r="R164" s="2614" t="n"/>
      <c r="S164" s="2614" t="n"/>
      <c r="T164" s="2614" t="n"/>
      <c r="U164" s="2614" t="n"/>
      <c r="V164" s="2614" t="n"/>
      <c r="W164" s="2614" t="n"/>
      <c r="X164" s="2614" t="n"/>
      <c r="Y164" s="2614" t="n"/>
      <c r="Z164" s="2614" t="n"/>
      <c r="AA164" s="2614" t="n"/>
      <c r="AB164" s="2614" t="n"/>
      <c r="AC164" s="2614" t="n"/>
      <c r="AD164" s="2614" t="n"/>
      <c r="AE164" s="2614" t="n"/>
      <c r="AF164" s="2614" t="n"/>
      <c r="AG164" s="2614" t="n"/>
      <c r="AH164" s="2614" t="n"/>
      <c r="AI164" s="2614" t="n"/>
      <c r="AJ164" s="2614" t="n"/>
      <c r="AK164" s="2614" t="n"/>
      <c r="AL164" s="2614" t="n"/>
      <c r="AM164" s="2617" t="n"/>
      <c r="AN164" s="64" t="n"/>
      <c r="AO164" s="136" t="n"/>
      <c r="AP164" s="64" t="n"/>
      <c r="AQ164" s="64" t="n"/>
      <c r="AR164" s="64" t="n"/>
      <c r="AS164" s="64" t="n"/>
      <c r="AT164" s="64" t="n"/>
      <c r="AU164" s="64" t="n"/>
      <c r="AV164" s="64" t="n"/>
      <c r="AW164" s="64" t="n"/>
      <c r="AX164" s="64" t="n"/>
      <c r="AY164" s="136" t="n"/>
      <c r="AZ164" s="64" t="n"/>
      <c r="BA164" s="64" t="n"/>
      <c r="BB164" s="64" t="n"/>
      <c r="BC164" s="64" t="n"/>
      <c r="BD164" s="64" t="n"/>
      <c r="BE164" s="64" t="n"/>
      <c r="BF164" s="308" t="n"/>
      <c r="BG164" s="64" t="n"/>
      <c r="BH164" s="64" t="n"/>
      <c r="BI164" s="136" t="n"/>
      <c r="BJ164" s="64" t="n"/>
      <c r="BK164" s="64" t="n"/>
      <c r="BL164" s="64" t="n"/>
      <c r="BM164" s="64" t="n"/>
      <c r="BN164" s="64" t="n"/>
      <c r="BO164" s="64" t="n"/>
      <c r="BP164" s="64" t="n"/>
      <c r="BQ164" s="64" t="n"/>
      <c r="BR164" s="64" t="n"/>
      <c r="BS164" s="64" t="n"/>
      <c r="BT164" s="64" t="n"/>
      <c r="BU164" s="64" t="n"/>
      <c r="BV164" s="64" t="n"/>
      <c r="BW164" s="64" t="n"/>
      <c r="BX164" s="64" t="n"/>
      <c r="BY164" s="64" t="n"/>
      <c r="BZ164" s="64" t="n"/>
      <c r="CA164" s="64" t="n"/>
    </row>
    <row r="165" ht="20.25" customHeight="1">
      <c r="A165" s="2299" t="inlineStr">
        <is>
          <t>dmj BZ¨vw`</t>
        </is>
      </c>
      <c r="B165" s="2624" t="n"/>
      <c r="C165" s="2624" t="n"/>
      <c r="D165" s="2624" t="n"/>
      <c r="E165" s="2624" t="n"/>
      <c r="F165" s="2624" t="n"/>
      <c r="G165" s="2642" t="n"/>
      <c r="H165" s="905" t="inlineStr">
        <is>
          <t>Avev`x Rwgi wigvY</t>
        </is>
      </c>
      <c r="I165" s="2614" t="n"/>
      <c r="J165" s="2614" t="n"/>
      <c r="K165" s="2614" t="n"/>
      <c r="L165" s="2614" t="n"/>
      <c r="M165" s="2614" t="n"/>
      <c r="N165" s="2614" t="n"/>
      <c r="O165" s="2614" t="n"/>
      <c r="P165" s="2614" t="n"/>
      <c r="Q165" s="2614" t="n"/>
      <c r="R165" s="2617" t="n"/>
      <c r="S165" s="2299" t="inlineStr">
        <is>
          <t>GKi cÖwZ Drcv`b</t>
        </is>
      </c>
      <c r="T165" s="2624" t="n"/>
      <c r="U165" s="2624" t="n"/>
      <c r="V165" s="2624" t="n"/>
      <c r="W165" s="2624" t="n"/>
      <c r="X165" s="2642" t="n"/>
      <c r="Y165" s="2304" t="inlineStr">
        <is>
          <t>‡gvU Drcv`b</t>
        </is>
      </c>
      <c r="Z165" s="2624" t="n"/>
      <c r="AA165" s="2624" t="n"/>
      <c r="AB165" s="2624" t="n"/>
      <c r="AC165" s="2642" t="n"/>
      <c r="AD165" s="2299" t="inlineStr">
        <is>
          <t>gY cÖwZ g~j¨</t>
        </is>
      </c>
      <c r="AE165" s="2624" t="n"/>
      <c r="AF165" s="2624" t="n"/>
      <c r="AG165" s="2624" t="n"/>
      <c r="AH165" s="2642" t="n"/>
      <c r="AI165" s="2299" t="inlineStr">
        <is>
          <t>‡gvU Avq</t>
        </is>
      </c>
      <c r="AJ165" s="2624" t="n"/>
      <c r="AK165" s="2624" t="n"/>
      <c r="AL165" s="2624" t="n"/>
      <c r="AM165" s="2642" t="n"/>
      <c r="AN165" s="64" t="n"/>
      <c r="AO165" s="136" t="n"/>
      <c r="AP165" s="64" t="n"/>
      <c r="AQ165" s="64" t="n"/>
      <c r="AR165" s="64" t="n"/>
      <c r="AS165" s="64" t="n"/>
      <c r="AT165" s="64" t="n"/>
      <c r="AU165" s="64" t="n"/>
      <c r="AV165" s="64" t="n"/>
      <c r="AW165" s="64" t="n"/>
      <c r="AX165" s="64" t="n"/>
      <c r="AY165" s="136" t="n"/>
      <c r="AZ165" s="64" t="n"/>
      <c r="BA165" s="64" t="n"/>
      <c r="BB165" s="64" t="n"/>
      <c r="BC165" s="64" t="n"/>
      <c r="BD165" s="64" t="n"/>
      <c r="BE165" s="64" t="n"/>
      <c r="BF165" s="308" t="n"/>
      <c r="BG165" s="64" t="n"/>
      <c r="BH165" s="64" t="n"/>
      <c r="BI165" s="136" t="n"/>
      <c r="BJ165" s="64" t="n"/>
      <c r="BK165" s="64" t="n"/>
      <c r="BL165" s="64" t="n"/>
      <c r="BM165" s="64" t="n"/>
      <c r="BN165" s="64" t="n"/>
      <c r="BO165" s="64" t="n"/>
      <c r="BP165" s="64" t="n"/>
      <c r="BQ165" s="64" t="n"/>
      <c r="BR165" s="64" t="n"/>
      <c r="BS165" s="64" t="n"/>
      <c r="BT165" s="64" t="n"/>
      <c r="BU165" s="64" t="n"/>
      <c r="BV165" s="64" t="n"/>
      <c r="BW165" s="64" t="n"/>
      <c r="BX165" s="64" t="n"/>
      <c r="BY165" s="64" t="n"/>
      <c r="BZ165" s="64" t="n"/>
      <c r="CA165" s="64" t="n"/>
    </row>
    <row r="166" ht="20.25" customHeight="1">
      <c r="A166" s="2648" t="n"/>
      <c r="B166" s="2613" t="n"/>
      <c r="C166" s="2613" t="n"/>
      <c r="D166" s="2613" t="n"/>
      <c r="E166" s="2613" t="n"/>
      <c r="F166" s="2613" t="n"/>
      <c r="G166" s="2649" t="n"/>
      <c r="H166" s="905" t="inlineStr">
        <is>
          <t>‡mP hy³</t>
        </is>
      </c>
      <c r="I166" s="2614" t="n"/>
      <c r="J166" s="2614" t="n"/>
      <c r="K166" s="2614" t="n"/>
      <c r="L166" s="2617" t="n"/>
      <c r="M166" s="905" t="inlineStr">
        <is>
          <t>‡mP wenxb</t>
        </is>
      </c>
      <c r="N166" s="2614" t="n"/>
      <c r="O166" s="2614" t="n"/>
      <c r="P166" s="2614" t="n"/>
      <c r="Q166" s="2614" t="n"/>
      <c r="R166" s="2617" t="n"/>
      <c r="S166" s="2648" t="n"/>
      <c r="T166" s="2613" t="n"/>
      <c r="U166" s="2613" t="n"/>
      <c r="V166" s="2613" t="n"/>
      <c r="W166" s="2613" t="n"/>
      <c r="X166" s="2649" t="n"/>
      <c r="Y166" s="1049" t="inlineStr">
        <is>
          <t>(gY wnmve)</t>
        </is>
      </c>
      <c r="Z166" s="2613" t="n"/>
      <c r="AA166" s="2613" t="n"/>
      <c r="AB166" s="2613" t="n"/>
      <c r="AC166" s="2649" t="n"/>
      <c r="AD166" s="2648" t="n"/>
      <c r="AE166" s="2613" t="n"/>
      <c r="AF166" s="2613" t="n"/>
      <c r="AG166" s="2613" t="n"/>
      <c r="AH166" s="2649" t="n"/>
      <c r="AI166" s="2648" t="n"/>
      <c r="AJ166" s="2613" t="n"/>
      <c r="AK166" s="2613" t="n"/>
      <c r="AL166" s="2613" t="n"/>
      <c r="AM166" s="2649" t="n"/>
      <c r="AN166" s="64" t="n"/>
      <c r="AO166" s="136" t="n"/>
      <c r="AP166" s="64" t="n"/>
      <c r="AQ166" s="64" t="n"/>
      <c r="AR166" s="64" t="n"/>
      <c r="AS166" s="64" t="n"/>
      <c r="AT166" s="64" t="n"/>
      <c r="AU166" s="64" t="n"/>
      <c r="AV166" s="64" t="n"/>
      <c r="AW166" s="64" t="n"/>
      <c r="AX166" s="64" t="n"/>
      <c r="AY166" s="136" t="n"/>
      <c r="AZ166" s="64" t="n"/>
      <c r="BA166" s="64" t="n"/>
      <c r="BB166" s="64" t="n"/>
      <c r="BC166" s="64" t="n"/>
      <c r="BD166" s="64" t="n"/>
      <c r="BE166" s="64" t="n"/>
      <c r="BF166" s="308" t="n"/>
      <c r="BG166" s="64" t="n"/>
      <c r="BH166" s="64" t="n"/>
      <c r="BI166" s="136" t="n"/>
      <c r="BJ166" s="64" t="n"/>
      <c r="BK166" s="64" t="n"/>
      <c r="BL166" s="64" t="n"/>
      <c r="BM166" s="64" t="n"/>
      <c r="BN166" s="64" t="n"/>
      <c r="BO166" s="64" t="n"/>
      <c r="BP166" s="64" t="n"/>
      <c r="BQ166" s="64" t="n"/>
      <c r="BR166" s="64" t="n"/>
      <c r="BS166" s="64" t="n"/>
      <c r="BT166" s="64" t="n"/>
      <c r="BU166" s="64" t="n"/>
      <c r="BV166" s="64" t="n"/>
      <c r="BW166" s="64" t="n"/>
      <c r="BX166" s="64" t="n"/>
      <c r="BY166" s="64" t="n"/>
      <c r="BZ166" s="64" t="n"/>
      <c r="CA166" s="64" t="n"/>
    </row>
    <row r="167" ht="20.25" customHeight="1">
      <c r="A167" s="905" t="n">
        <v>1</v>
      </c>
      <c r="B167" s="2614" t="n"/>
      <c r="C167" s="2614" t="n"/>
      <c r="D167" s="2614" t="n"/>
      <c r="E167" s="2614" t="n"/>
      <c r="F167" s="2614" t="n"/>
      <c r="G167" s="2617" t="n"/>
      <c r="H167" s="905" t="n">
        <v>2</v>
      </c>
      <c r="I167" s="2614" t="n"/>
      <c r="J167" s="2614" t="n"/>
      <c r="K167" s="2614" t="n"/>
      <c r="L167" s="2617" t="n"/>
      <c r="M167" s="905" t="n">
        <v>3</v>
      </c>
      <c r="N167" s="2614" t="n"/>
      <c r="O167" s="2614" t="n"/>
      <c r="P167" s="2614" t="n"/>
      <c r="Q167" s="2614" t="n"/>
      <c r="R167" s="2617" t="n"/>
      <c r="S167" s="905" t="n">
        <v>4</v>
      </c>
      <c r="T167" s="2614" t="n"/>
      <c r="U167" s="2614" t="n"/>
      <c r="V167" s="2614" t="n"/>
      <c r="W167" s="2614" t="n"/>
      <c r="X167" s="2617" t="n"/>
      <c r="Y167" s="905" t="n">
        <v>5</v>
      </c>
      <c r="Z167" s="2614" t="n"/>
      <c r="AA167" s="2614" t="n"/>
      <c r="AB167" s="2614" t="n"/>
      <c r="AC167" s="2617" t="n"/>
      <c r="AD167" s="905" t="n">
        <v>6</v>
      </c>
      <c r="AE167" s="2614" t="n"/>
      <c r="AF167" s="2614" t="n"/>
      <c r="AG167" s="2614" t="n"/>
      <c r="AH167" s="2617" t="n"/>
      <c r="AI167" s="905" t="n">
        <v>7</v>
      </c>
      <c r="AJ167" s="2614" t="n"/>
      <c r="AK167" s="2614" t="n"/>
      <c r="AL167" s="2614" t="n"/>
      <c r="AM167" s="2617" t="n"/>
      <c r="AN167" s="64" t="n"/>
      <c r="AO167" s="136" t="n"/>
      <c r="AP167" s="64" t="n"/>
      <c r="AQ167" s="64" t="n"/>
      <c r="AR167" s="64" t="n"/>
      <c r="AS167" s="64" t="n"/>
      <c r="AT167" s="64" t="n"/>
      <c r="AU167" s="64" t="n"/>
      <c r="AV167" s="64" t="n"/>
      <c r="AW167" s="64" t="n"/>
      <c r="AX167" s="64" t="n"/>
      <c r="AY167" s="136" t="n"/>
      <c r="AZ167" s="64" t="n"/>
      <c r="BA167" s="64" t="n"/>
      <c r="BB167" s="64" t="n"/>
      <c r="BC167" s="64" t="n"/>
      <c r="BD167" s="64" t="n"/>
      <c r="BE167" s="64" t="n"/>
      <c r="BF167" s="308" t="n"/>
      <c r="BG167" s="64" t="n"/>
      <c r="BH167" s="64" t="n"/>
      <c r="BI167" s="136" t="n"/>
      <c r="BJ167" s="64" t="n"/>
      <c r="BK167" s="64" t="n"/>
      <c r="BL167" s="64" t="n"/>
      <c r="BM167" s="64" t="n"/>
      <c r="BN167" s="64" t="n"/>
      <c r="BO167" s="64" t="n"/>
      <c r="BP167" s="64" t="n"/>
      <c r="BQ167" s="64" t="n"/>
      <c r="BR167" s="64" t="n"/>
      <c r="BS167" s="64" t="n"/>
      <c r="BT167" s="64" t="n"/>
      <c r="BU167" s="64" t="n"/>
      <c r="BV167" s="64" t="n"/>
      <c r="BW167" s="64" t="n"/>
      <c r="BX167" s="64" t="n"/>
      <c r="BY167" s="64" t="n"/>
      <c r="BZ167" s="64" t="n"/>
      <c r="CA167" s="64" t="n"/>
    </row>
    <row r="168" ht="20.25" customHeight="1">
      <c r="A168" s="2308" t="inlineStr">
        <is>
          <t>K) eZ©gvb Avq</t>
        </is>
      </c>
      <c r="B168" s="2624" t="n"/>
      <c r="C168" s="2624" t="n"/>
      <c r="D168" s="2624" t="n"/>
      <c r="E168" s="2624" t="n"/>
      <c r="F168" s="2624" t="n"/>
      <c r="G168" s="2642" t="n"/>
      <c r="H168" s="2312" t="n"/>
      <c r="I168" s="2624" t="n"/>
      <c r="J168" s="2624" t="n"/>
      <c r="K168" s="2624" t="n"/>
      <c r="L168" s="2642" t="n"/>
      <c r="M168" s="2312" t="n"/>
      <c r="N168" s="2624" t="n"/>
      <c r="O168" s="2624" t="n"/>
      <c r="P168" s="2624" t="n"/>
      <c r="Q168" s="2624" t="n"/>
      <c r="R168" s="2642" t="n"/>
      <c r="S168" s="2312" t="n"/>
      <c r="T168" s="2624" t="n"/>
      <c r="U168" s="2624" t="n"/>
      <c r="V168" s="2624" t="n"/>
      <c r="W168" s="2624" t="n"/>
      <c r="X168" s="2642" t="n"/>
      <c r="Y168" s="2312" t="n"/>
      <c r="Z168" s="2624" t="n"/>
      <c r="AA168" s="2624" t="n"/>
      <c r="AB168" s="2624" t="n"/>
      <c r="AC168" s="2642" t="n"/>
      <c r="AD168" s="2308" t="n"/>
      <c r="AE168" s="2624" t="n"/>
      <c r="AF168" s="2624" t="n"/>
      <c r="AG168" s="2624" t="n"/>
      <c r="AH168" s="2642" t="n"/>
      <c r="AI168" s="2312" t="n"/>
      <c r="AJ168" s="2624" t="n"/>
      <c r="AK168" s="2624" t="n"/>
      <c r="AL168" s="2624" t="n"/>
      <c r="AM168" s="2642" t="n"/>
      <c r="AN168" s="64" t="n"/>
      <c r="AO168" s="136" t="n"/>
      <c r="AP168" s="64" t="n"/>
      <c r="AQ168" s="64" t="n"/>
      <c r="AR168" s="64" t="n"/>
      <c r="AS168" s="64" t="n"/>
      <c r="AT168" s="64" t="n"/>
      <c r="AU168" s="64" t="n"/>
      <c r="AV168" s="64" t="n"/>
      <c r="AW168" s="64" t="n"/>
      <c r="AX168" s="64" t="n"/>
      <c r="AY168" s="136" t="n"/>
      <c r="AZ168" s="64" t="n"/>
      <c r="BA168" s="64" t="n"/>
      <c r="BB168" s="64" t="n"/>
      <c r="BC168" s="64" t="n"/>
      <c r="BD168" s="64" t="n"/>
      <c r="BE168" s="64" t="n"/>
      <c r="BF168" s="308" t="n"/>
      <c r="BG168" s="64" t="n"/>
      <c r="BH168" s="64" t="n"/>
      <c r="BI168" s="136" t="n"/>
      <c r="BJ168" s="64" t="n"/>
      <c r="BK168" s="64" t="n"/>
      <c r="BL168" s="64" t="n"/>
      <c r="BM168" s="64" t="n"/>
      <c r="BN168" s="64" t="n"/>
      <c r="BO168" s="64" t="n"/>
      <c r="BP168" s="64" t="n"/>
      <c r="BQ168" s="64" t="n"/>
      <c r="BR168" s="64" t="n"/>
      <c r="BS168" s="64" t="n"/>
      <c r="BT168" s="64" t="n"/>
      <c r="BU168" s="64" t="n"/>
      <c r="BV168" s="64" t="n"/>
      <c r="BW168" s="64" t="n"/>
      <c r="BX168" s="64" t="n"/>
      <c r="BY168" s="64" t="n"/>
      <c r="BZ168" s="64" t="n"/>
      <c r="CA168" s="64" t="n"/>
    </row>
    <row r="169" ht="32.25" customHeight="1">
      <c r="A169" s="1030" t="inlineStr">
        <is>
          <t>(FY e¨env‡ii c~‡e©)</t>
        </is>
      </c>
      <c r="G169" s="2641" t="n"/>
      <c r="H169" s="2317" t="n"/>
      <c r="L169" s="2641" t="n"/>
      <c r="M169" s="2317" t="n"/>
      <c r="R169" s="2641" t="n"/>
      <c r="S169" s="2317" t="n"/>
      <c r="X169" s="2641" t="n"/>
      <c r="Y169" s="2317" t="n"/>
      <c r="AC169" s="2641" t="n"/>
      <c r="AD169" s="2317" t="n"/>
      <c r="AH169" s="2641" t="n"/>
      <c r="AI169" s="2317" t="n"/>
      <c r="AM169" s="2641" t="n"/>
      <c r="AN169" s="64" t="n"/>
      <c r="AO169" s="136" t="n"/>
      <c r="AP169" s="64" t="n"/>
      <c r="AQ169" s="64" t="n"/>
      <c r="AR169" s="64" t="n"/>
      <c r="AS169" s="64" t="n"/>
      <c r="AT169" s="64" t="n"/>
      <c r="AU169" s="64" t="n"/>
      <c r="AV169" s="64" t="n"/>
      <c r="AW169" s="64" t="n"/>
      <c r="AX169" s="64" t="n"/>
      <c r="AY169" s="136" t="n"/>
      <c r="AZ169" s="64" t="n"/>
      <c r="BA169" s="64" t="n"/>
      <c r="BB169" s="64" t="n"/>
      <c r="BC169" s="64" t="n"/>
      <c r="BD169" s="64" t="n"/>
      <c r="BE169" s="64" t="n"/>
      <c r="BF169" s="308" t="n"/>
      <c r="BG169" s="64" t="n"/>
      <c r="BH169" s="64" t="n"/>
      <c r="BI169" s="136" t="n"/>
      <c r="BJ169" s="64" t="n"/>
      <c r="BK169" s="64" t="n"/>
      <c r="BL169" s="64" t="n"/>
      <c r="BM169" s="64" t="n"/>
      <c r="BN169" s="64" t="n"/>
      <c r="BO169" s="64" t="n"/>
      <c r="BP169" s="64" t="n"/>
      <c r="BQ169" s="64" t="n"/>
      <c r="BR169" s="64" t="n"/>
      <c r="BS169" s="64" t="n"/>
      <c r="BT169" s="64" t="n"/>
      <c r="BU169" s="64" t="n"/>
      <c r="BV169" s="64" t="n"/>
      <c r="BW169" s="64" t="n"/>
      <c r="BX169" s="64" t="n"/>
      <c r="BY169" s="64" t="n"/>
      <c r="BZ169" s="64" t="n"/>
      <c r="CA169" s="64" t="n"/>
    </row>
    <row r="170" ht="56.25" customHeight="1">
      <c r="A170" s="1030" t="n"/>
      <c r="G170" s="2641" t="n"/>
      <c r="H170" s="2317" t="n"/>
      <c r="L170" s="2641" t="n"/>
      <c r="M170" s="2317" t="n"/>
      <c r="R170" s="2641" t="n"/>
      <c r="S170" s="2317" t="n"/>
      <c r="X170" s="2641" t="n"/>
      <c r="Y170" s="2317" t="n"/>
      <c r="AC170" s="2641" t="n"/>
      <c r="AD170" s="2317" t="n"/>
      <c r="AH170" s="2641" t="n"/>
      <c r="AI170" s="2317" t="n"/>
      <c r="AM170" s="2641" t="n"/>
      <c r="AN170" s="64" t="n"/>
      <c r="AO170" s="136" t="n"/>
      <c r="AP170" s="64" t="n"/>
      <c r="AQ170" s="64" t="n"/>
      <c r="AR170" s="64" t="n"/>
      <c r="AS170" s="64" t="n"/>
      <c r="AT170" s="64" t="n"/>
      <c r="AU170" s="64" t="n"/>
      <c r="AV170" s="64" t="n"/>
      <c r="AW170" s="64" t="n"/>
      <c r="AX170" s="64" t="n"/>
      <c r="AY170" s="136" t="n"/>
      <c r="AZ170" s="64" t="n"/>
      <c r="BA170" s="64" t="n"/>
      <c r="BB170" s="64" t="n"/>
      <c r="BC170" s="64" t="n"/>
      <c r="BD170" s="64" t="n"/>
      <c r="BE170" s="64" t="n"/>
      <c r="BF170" s="308" t="n"/>
      <c r="BG170" s="64" t="n"/>
      <c r="BH170" s="64" t="n"/>
      <c r="BI170" s="136" t="n"/>
      <c r="BJ170" s="64" t="n"/>
      <c r="BK170" s="64" t="n"/>
      <c r="BL170" s="64" t="n"/>
      <c r="BM170" s="64" t="n"/>
      <c r="BN170" s="64" t="n"/>
      <c r="BO170" s="64" t="n"/>
      <c r="BP170" s="64" t="n"/>
      <c r="BQ170" s="64" t="n"/>
      <c r="BR170" s="64" t="n"/>
      <c r="BS170" s="64" t="n"/>
      <c r="BT170" s="64" t="n"/>
      <c r="BU170" s="64" t="n"/>
      <c r="BV170" s="64" t="n"/>
      <c r="BW170" s="64" t="n"/>
      <c r="BX170" s="64" t="n"/>
      <c r="BY170" s="64" t="n"/>
      <c r="BZ170" s="64" t="n"/>
      <c r="CA170" s="64" t="n"/>
    </row>
    <row r="171" ht="20.25" customHeight="1">
      <c r="A171" s="2321" t="inlineStr">
        <is>
          <t>‡gvU</t>
        </is>
      </c>
      <c r="B171" s="2613" t="n"/>
      <c r="C171" s="2613" t="n"/>
      <c r="D171" s="2613" t="n"/>
      <c r="E171" s="2613" t="n"/>
      <c r="F171" s="2613" t="n"/>
      <c r="G171" s="2649" t="n"/>
      <c r="H171" s="2325" t="n"/>
      <c r="I171" s="2613" t="n"/>
      <c r="J171" s="2613" t="n"/>
      <c r="K171" s="2613" t="n"/>
      <c r="L171" s="2649" t="n"/>
      <c r="M171" s="2325" t="n"/>
      <c r="N171" s="2613" t="n"/>
      <c r="O171" s="2613" t="n"/>
      <c r="P171" s="2613" t="n"/>
      <c r="Q171" s="2613" t="n"/>
      <c r="R171" s="2649" t="n"/>
      <c r="S171" s="2329" t="n"/>
      <c r="T171" s="2614" t="n"/>
      <c r="U171" s="2614" t="n"/>
      <c r="V171" s="2614" t="n"/>
      <c r="W171" s="2614" t="n"/>
      <c r="X171" s="2617" t="n"/>
      <c r="Y171" s="2325" t="n"/>
      <c r="Z171" s="2613" t="n"/>
      <c r="AA171" s="2613" t="n"/>
      <c r="AB171" s="2613" t="n"/>
      <c r="AC171" s="2649" t="n"/>
      <c r="AD171" s="2329" t="n"/>
      <c r="AE171" s="2614" t="n"/>
      <c r="AF171" s="2614" t="n"/>
      <c r="AG171" s="2614" t="n"/>
      <c r="AH171" s="2617" t="n"/>
      <c r="AI171" s="2325" t="n"/>
      <c r="AJ171" s="2613" t="n"/>
      <c r="AK171" s="2613" t="n"/>
      <c r="AL171" s="2613" t="n"/>
      <c r="AM171" s="2649" t="n"/>
      <c r="AN171" s="64" t="n"/>
      <c r="AO171" s="136" t="n"/>
      <c r="AP171" s="64" t="n"/>
      <c r="AQ171" s="64" t="n"/>
      <c r="AR171" s="64" t="n"/>
      <c r="AS171" s="64" t="n"/>
      <c r="AT171" s="64" t="n"/>
      <c r="AU171" s="64" t="n"/>
      <c r="AV171" s="64" t="n"/>
      <c r="AW171" s="64" t="n"/>
      <c r="AX171" s="64" t="n"/>
      <c r="AY171" s="136" t="n"/>
      <c r="AZ171" s="64" t="n"/>
      <c r="BA171" s="64" t="n"/>
      <c r="BB171" s="64" t="n"/>
      <c r="BC171" s="64" t="n"/>
      <c r="BD171" s="64" t="n"/>
      <c r="BE171" s="64" t="n"/>
      <c r="BF171" s="308" t="n"/>
      <c r="BG171" s="64" t="n"/>
      <c r="BH171" s="64" t="n"/>
      <c r="BI171" s="136" t="n"/>
      <c r="BJ171" s="64" t="n"/>
      <c r="BK171" s="64" t="n"/>
      <c r="BL171" s="64" t="n"/>
      <c r="BM171" s="64" t="n"/>
      <c r="BN171" s="64" t="n"/>
      <c r="BO171" s="64" t="n"/>
      <c r="BP171" s="64" t="n"/>
      <c r="BQ171" s="64" t="n"/>
      <c r="BR171" s="64" t="n"/>
      <c r="BS171" s="64" t="n"/>
      <c r="BT171" s="64" t="n"/>
      <c r="BU171" s="64" t="n"/>
      <c r="BV171" s="64" t="n"/>
      <c r="BW171" s="64" t="n"/>
      <c r="BX171" s="64" t="n"/>
      <c r="BY171" s="64" t="n"/>
      <c r="BZ171" s="64" t="n"/>
      <c r="CA171" s="64" t="n"/>
    </row>
    <row r="172" ht="39" customHeight="1">
      <c r="A172" s="2308" t="inlineStr">
        <is>
          <t>L) e„w×</t>
        </is>
      </c>
      <c r="B172" s="2624" t="n"/>
      <c r="C172" s="2624" t="n"/>
      <c r="D172" s="2624" t="n"/>
      <c r="E172" s="2624" t="n"/>
      <c r="F172" s="2624" t="n"/>
      <c r="G172" s="2642" t="n"/>
      <c r="H172" s="2312" t="n"/>
      <c r="I172" s="2624" t="n"/>
      <c r="J172" s="2624" t="n"/>
      <c r="K172" s="2624" t="n"/>
      <c r="L172" s="2642" t="n"/>
      <c r="M172" s="2312" t="n"/>
      <c r="N172" s="2624" t="n"/>
      <c r="O172" s="2624" t="n"/>
      <c r="P172" s="2624" t="n"/>
      <c r="Q172" s="2624" t="n"/>
      <c r="R172" s="2642" t="n"/>
      <c r="S172" s="2312" t="n"/>
      <c r="T172" s="2624" t="n"/>
      <c r="U172" s="2624" t="n"/>
      <c r="V172" s="2624" t="n"/>
      <c r="W172" s="2624" t="n"/>
      <c r="X172" s="2642" t="n"/>
      <c r="Y172" s="2312" t="n"/>
      <c r="Z172" s="2624" t="n"/>
      <c r="AA172" s="2624" t="n"/>
      <c r="AB172" s="2624" t="n"/>
      <c r="AC172" s="2642" t="n"/>
      <c r="AD172" s="2312" t="n"/>
      <c r="AE172" s="2624" t="n"/>
      <c r="AF172" s="2624" t="n"/>
      <c r="AG172" s="2624" t="n"/>
      <c r="AH172" s="2642" t="n"/>
      <c r="AI172" s="2312" t="n"/>
      <c r="AJ172" s="2624" t="n"/>
      <c r="AK172" s="2624" t="n"/>
      <c r="AL172" s="2624" t="n"/>
      <c r="AM172" s="2642" t="n"/>
      <c r="AN172" s="64" t="n"/>
      <c r="AO172" s="136" t="n"/>
      <c r="AP172" s="64" t="n"/>
      <c r="AQ172" s="64" t="n"/>
      <c r="AR172" s="64" t="n"/>
      <c r="AS172" s="64" t="n"/>
      <c r="AT172" s="64" t="n"/>
      <c r="AU172" s="64" t="n"/>
      <c r="AV172" s="64" t="n"/>
      <c r="AW172" s="64" t="n"/>
      <c r="AX172" s="64" t="n"/>
      <c r="AY172" s="136" t="n"/>
      <c r="AZ172" s="64" t="n"/>
      <c r="BA172" s="64" t="n"/>
      <c r="BB172" s="64" t="n"/>
      <c r="BC172" s="64" t="n"/>
      <c r="BD172" s="64" t="n"/>
      <c r="BE172" s="64" t="n"/>
      <c r="BF172" s="308" t="n"/>
      <c r="BG172" s="64" t="n"/>
      <c r="BH172" s="64" t="n"/>
      <c r="BI172" s="136" t="n"/>
      <c r="BJ172" s="64" t="n"/>
      <c r="BK172" s="64" t="n"/>
      <c r="BL172" s="64" t="n"/>
      <c r="BM172" s="64" t="n"/>
      <c r="BN172" s="64" t="n"/>
      <c r="BO172" s="64" t="n"/>
      <c r="BP172" s="64" t="n"/>
      <c r="BQ172" s="64" t="n"/>
      <c r="BR172" s="64" t="n"/>
      <c r="BS172" s="64" t="n"/>
      <c r="BT172" s="64" t="n"/>
      <c r="BU172" s="64" t="n"/>
      <c r="BV172" s="64" t="n"/>
      <c r="BW172" s="64" t="n"/>
      <c r="BX172" s="64" t="n"/>
      <c r="BY172" s="64" t="n"/>
      <c r="BZ172" s="64" t="n"/>
      <c r="CA172" s="64" t="n"/>
    </row>
    <row r="173" ht="39.75" customHeight="1">
      <c r="A173" s="1030" t="n"/>
      <c r="G173" s="2641" t="n"/>
      <c r="H173" s="1030" t="n"/>
      <c r="L173" s="2641" t="n"/>
      <c r="M173" s="1030" t="n"/>
      <c r="R173" s="2641" t="n"/>
      <c r="S173" s="2665" t="n"/>
      <c r="X173" s="2641" t="n"/>
      <c r="Y173" s="2317" t="n"/>
      <c r="AC173" s="2641" t="n"/>
      <c r="AD173" s="2317" t="n"/>
      <c r="AH173" s="2641" t="n"/>
      <c r="AI173" s="2317" t="n"/>
      <c r="AM173" s="2641" t="n"/>
      <c r="AN173" s="64" t="n"/>
      <c r="AO173" s="136" t="n"/>
      <c r="AP173" s="64" t="n"/>
      <c r="AQ173" s="64" t="n"/>
      <c r="AR173" s="64" t="n"/>
      <c r="AS173" s="64" t="n"/>
      <c r="AT173" s="64" t="n"/>
      <c r="AU173" s="64" t="n"/>
      <c r="AV173" s="64" t="n"/>
      <c r="AW173" s="64" t="n"/>
      <c r="AX173" s="64" t="n"/>
      <c r="AY173" s="136" t="n"/>
      <c r="AZ173" s="64" t="n"/>
      <c r="BA173" s="64" t="n"/>
      <c r="BB173" s="64" t="n"/>
      <c r="BC173" s="64" t="n"/>
      <c r="BD173" s="64" t="n"/>
      <c r="BE173" s="64" t="n"/>
      <c r="BF173" s="308" t="n"/>
      <c r="BG173" s="64" t="n"/>
      <c r="BH173" s="64" t="n"/>
      <c r="BI173" s="136" t="n"/>
      <c r="BJ173" s="64" t="n"/>
      <c r="BK173" s="64" t="n"/>
      <c r="BL173" s="64" t="n"/>
      <c r="BM173" s="64" t="n"/>
      <c r="BN173" s="64" t="n"/>
      <c r="BO173" s="64" t="n"/>
      <c r="BP173" s="64" t="n"/>
      <c r="BQ173" s="64" t="n"/>
      <c r="BR173" s="64" t="n"/>
      <c r="BS173" s="64" t="n"/>
      <c r="BT173" s="64" t="n"/>
      <c r="BU173" s="64" t="n"/>
      <c r="BV173" s="64" t="n"/>
      <c r="BW173" s="64" t="n"/>
      <c r="BX173" s="64" t="n"/>
      <c r="BY173" s="64" t="n"/>
      <c r="BZ173" s="64" t="n"/>
      <c r="CA173" s="64" t="n"/>
    </row>
    <row r="174" ht="34.5" customHeight="1">
      <c r="A174" s="1030" t="n"/>
      <c r="G174" s="2641" t="n"/>
      <c r="H174" s="1030" t="n"/>
      <c r="L174" s="2641" t="n"/>
      <c r="M174" s="1030" t="n"/>
      <c r="R174" s="2641" t="n"/>
      <c r="S174" s="1030" t="n"/>
      <c r="X174" s="2641" t="n"/>
      <c r="Y174" s="2317" t="n"/>
      <c r="AC174" s="2641" t="n"/>
      <c r="AD174" s="2317" t="n"/>
      <c r="AH174" s="2641" t="n"/>
      <c r="AI174" s="2317" t="n"/>
      <c r="AM174" s="2641" t="n"/>
      <c r="AN174" s="64" t="n"/>
      <c r="AO174" s="136" t="n"/>
      <c r="AP174" s="64" t="n"/>
      <c r="AQ174" s="64" t="n"/>
      <c r="AR174" s="64" t="n"/>
      <c r="AS174" s="64" t="n"/>
      <c r="AT174" s="64" t="n"/>
      <c r="AU174" s="64" t="n"/>
      <c r="AV174" s="64" t="n"/>
      <c r="AW174" s="64" t="n"/>
      <c r="AX174" s="64" t="n"/>
      <c r="AY174" s="136" t="n"/>
      <c r="AZ174" s="64" t="n"/>
      <c r="BA174" s="64" t="n"/>
      <c r="BB174" s="64" t="n"/>
      <c r="BC174" s="64" t="n"/>
      <c r="BD174" s="64" t="n"/>
      <c r="BE174" s="64" t="n"/>
      <c r="BF174" s="308" t="n"/>
      <c r="BG174" s="64" t="n"/>
      <c r="BH174" s="64" t="n"/>
      <c r="BI174" s="136" t="n"/>
      <c r="BJ174" s="64" t="n"/>
      <c r="BK174" s="64" t="n"/>
      <c r="BL174" s="64" t="n"/>
      <c r="BM174" s="64" t="n"/>
      <c r="BN174" s="64" t="n"/>
      <c r="BO174" s="64" t="n"/>
      <c r="BP174" s="64" t="n"/>
      <c r="BQ174" s="64" t="n"/>
      <c r="BR174" s="64" t="n"/>
      <c r="BS174" s="64" t="n"/>
      <c r="BT174" s="64" t="n"/>
      <c r="BU174" s="64" t="n"/>
      <c r="BV174" s="64" t="n"/>
      <c r="BW174" s="64" t="n"/>
      <c r="BX174" s="64" t="n"/>
      <c r="BY174" s="64" t="n"/>
      <c r="BZ174" s="64" t="n"/>
      <c r="CA174" s="64" t="n"/>
    </row>
    <row r="175" ht="20.25" customHeight="1">
      <c r="A175" s="2321" t="inlineStr">
        <is>
          <t>‡gvU</t>
        </is>
      </c>
      <c r="B175" s="2613" t="n"/>
      <c r="C175" s="2613" t="n"/>
      <c r="D175" s="2613" t="n"/>
      <c r="E175" s="2613" t="n"/>
      <c r="F175" s="2613" t="n"/>
      <c r="G175" s="2649" t="n"/>
      <c r="H175" s="2325" t="n"/>
      <c r="I175" s="2613" t="n"/>
      <c r="J175" s="2613" t="n"/>
      <c r="K175" s="2613" t="n"/>
      <c r="L175" s="2649" t="n"/>
      <c r="M175" s="2325" t="n"/>
      <c r="N175" s="2613" t="n"/>
      <c r="O175" s="2613" t="n"/>
      <c r="P175" s="2613" t="n"/>
      <c r="Q175" s="2613" t="n"/>
      <c r="R175" s="2649" t="n"/>
      <c r="S175" s="2329" t="n"/>
      <c r="T175" s="2614" t="n"/>
      <c r="U175" s="2614" t="n"/>
      <c r="V175" s="2614" t="n"/>
      <c r="W175" s="2614" t="n"/>
      <c r="X175" s="2617" t="n"/>
      <c r="Y175" s="2325" t="n"/>
      <c r="Z175" s="2613" t="n"/>
      <c r="AA175" s="2613" t="n"/>
      <c r="AB175" s="2613" t="n"/>
      <c r="AC175" s="2649" t="n"/>
      <c r="AD175" s="2329" t="n"/>
      <c r="AE175" s="2614" t="n"/>
      <c r="AF175" s="2614" t="n"/>
      <c r="AG175" s="2614" t="n"/>
      <c r="AH175" s="2617" t="n"/>
      <c r="AI175" s="2325" t="n"/>
      <c r="AJ175" s="2613" t="n"/>
      <c r="AK175" s="2613" t="n"/>
      <c r="AL175" s="2613" t="n"/>
      <c r="AM175" s="2649" t="n"/>
      <c r="AN175" s="64" t="n"/>
      <c r="AO175" s="136" t="n"/>
      <c r="AP175" s="64" t="n"/>
      <c r="AQ175" s="64" t="n"/>
      <c r="AR175" s="64" t="n"/>
      <c r="AS175" s="64" t="n"/>
      <c r="AT175" s="64" t="n"/>
      <c r="AU175" s="64" t="n"/>
      <c r="AV175" s="64" t="n"/>
      <c r="AW175" s="64" t="n"/>
      <c r="AX175" s="64" t="n"/>
      <c r="AY175" s="136" t="n"/>
      <c r="AZ175" s="64" t="n"/>
      <c r="BA175" s="64" t="n"/>
      <c r="BB175" s="64" t="n"/>
      <c r="BC175" s="64" t="n"/>
      <c r="BD175" s="64" t="n"/>
      <c r="BE175" s="64" t="n"/>
      <c r="BF175" s="308" t="n"/>
      <c r="BG175" s="64" t="n"/>
      <c r="BH175" s="64" t="n"/>
      <c r="BI175" s="136" t="n"/>
      <c r="BJ175" s="64" t="n"/>
      <c r="BK175" s="64" t="n"/>
      <c r="BL175" s="64" t="n"/>
      <c r="BM175" s="64" t="n"/>
      <c r="BN175" s="64" t="n"/>
      <c r="BO175" s="64" t="n"/>
      <c r="BP175" s="64" t="n"/>
      <c r="BQ175" s="64" t="n"/>
      <c r="BR175" s="64" t="n"/>
      <c r="BS175" s="64" t="n"/>
      <c r="BT175" s="64" t="n"/>
      <c r="BU175" s="64" t="n"/>
      <c r="BV175" s="64" t="n"/>
      <c r="BW175" s="64" t="n"/>
      <c r="BX175" s="64" t="n"/>
      <c r="BY175" s="64" t="n"/>
      <c r="BZ175" s="64" t="n"/>
      <c r="CA175" s="64" t="n"/>
    </row>
    <row r="176" ht="60.75" customHeight="1">
      <c r="A176" s="2308" t="inlineStr">
        <is>
          <t>M) ¯’zj Av‡qi 50%</t>
        </is>
      </c>
      <c r="B176" s="2624" t="n"/>
      <c r="C176" s="2624" t="n"/>
      <c r="D176" s="2624" t="n"/>
      <c r="E176" s="2624" t="n"/>
      <c r="F176" s="2624" t="n"/>
      <c r="G176" s="2642" t="n"/>
      <c r="H176" s="2312" t="n"/>
      <c r="I176" s="2624" t="n"/>
      <c r="J176" s="2624" t="n"/>
      <c r="K176" s="2624" t="n"/>
      <c r="L176" s="2642" t="n"/>
      <c r="M176" s="2312" t="n"/>
      <c r="N176" s="2624" t="n"/>
      <c r="O176" s="2624" t="n"/>
      <c r="P176" s="2624" t="n"/>
      <c r="Q176" s="2624" t="n"/>
      <c r="R176" s="2642" t="n"/>
      <c r="S176" s="2312" t="n"/>
      <c r="T176" s="2624" t="n"/>
      <c r="U176" s="2624" t="n"/>
      <c r="V176" s="2624" t="n"/>
      <c r="W176" s="2624" t="n"/>
      <c r="X176" s="2642" t="n"/>
      <c r="Y176" s="2312" t="n"/>
      <c r="Z176" s="2624" t="n"/>
      <c r="AA176" s="2624" t="n"/>
      <c r="AB176" s="2624" t="n"/>
      <c r="AC176" s="2642" t="n"/>
      <c r="AD176" s="2312" t="n"/>
      <c r="AE176" s="2624" t="n"/>
      <c r="AF176" s="2624" t="n"/>
      <c r="AG176" s="2624" t="n"/>
      <c r="AH176" s="2642" t="n"/>
      <c r="AI176" s="2312" t="n"/>
      <c r="AJ176" s="2624" t="n"/>
      <c r="AK176" s="2624" t="n"/>
      <c r="AL176" s="2624" t="n"/>
      <c r="AM176" s="2642" t="n"/>
      <c r="AN176" s="64" t="n"/>
      <c r="AO176" s="136" t="n"/>
      <c r="AP176" s="64" t="n"/>
      <c r="AQ176" s="64" t="n"/>
      <c r="AR176" s="64" t="n"/>
      <c r="AS176" s="64" t="n"/>
      <c r="AT176" s="64" t="n"/>
      <c r="AU176" s="64" t="n"/>
      <c r="AV176" s="64" t="n"/>
      <c r="AW176" s="64" t="n"/>
      <c r="AX176" s="64" t="n"/>
      <c r="AY176" s="136" t="n"/>
      <c r="AZ176" s="64" t="n"/>
      <c r="BA176" s="64" t="n"/>
      <c r="BB176" s="64" t="n"/>
      <c r="BC176" s="64" t="n"/>
      <c r="BD176" s="64" t="n"/>
      <c r="BE176" s="64" t="n"/>
      <c r="BF176" s="308" t="n"/>
      <c r="BG176" s="64" t="n"/>
      <c r="BH176" s="64" t="n"/>
      <c r="BI176" s="136" t="n"/>
      <c r="BJ176" s="64" t="n"/>
      <c r="BK176" s="64" t="n"/>
      <c r="BL176" s="64" t="n"/>
      <c r="BM176" s="64" t="n"/>
      <c r="BN176" s="64" t="n"/>
      <c r="BO176" s="64" t="n"/>
      <c r="BP176" s="64" t="n"/>
      <c r="BQ176" s="64" t="n"/>
      <c r="BR176" s="64" t="n"/>
      <c r="BS176" s="64" t="n"/>
      <c r="BT176" s="64" t="n"/>
      <c r="BU176" s="64" t="n"/>
      <c r="BV176" s="64" t="n"/>
      <c r="BW176" s="64" t="n"/>
      <c r="BX176" s="64" t="n"/>
      <c r="BY176" s="64" t="n"/>
      <c r="BZ176" s="64" t="n"/>
      <c r="CA176" s="64" t="n"/>
    </row>
    <row r="177" ht="32.25" customHeight="1">
      <c r="A177" s="1030" t="inlineStr">
        <is>
          <t>Drcv`b e¨q awiqv</t>
        </is>
      </c>
      <c r="G177" s="2641" t="n"/>
      <c r="H177" s="2317" t="n"/>
      <c r="L177" s="2641" t="n"/>
      <c r="M177" s="2317" t="n"/>
      <c r="R177" s="2641" t="n"/>
      <c r="S177" s="2317" t="n"/>
      <c r="X177" s="2641" t="n"/>
      <c r="Y177" s="2317" t="n"/>
      <c r="AC177" s="2641" t="n"/>
      <c r="AD177" s="2317" t="n"/>
      <c r="AH177" s="2641" t="n"/>
      <c r="AI177" s="2317" t="n"/>
      <c r="AM177" s="2641" t="n"/>
      <c r="AN177" s="64" t="n"/>
      <c r="AO177" s="136" t="n"/>
      <c r="AP177" s="64" t="n"/>
      <c r="AQ177" s="64" t="n"/>
      <c r="AR177" s="64" t="n"/>
      <c r="AS177" s="64" t="n"/>
      <c r="AT177" s="64" t="n"/>
      <c r="AU177" s="64" t="n"/>
      <c r="AV177" s="64" t="n"/>
      <c r="AW177" s="64" t="n"/>
      <c r="AX177" s="64" t="n"/>
      <c r="AY177" s="136" t="n"/>
      <c r="AZ177" s="64" t="n"/>
      <c r="BA177" s="64" t="n"/>
      <c r="BB177" s="64" t="n"/>
      <c r="BC177" s="64" t="n"/>
      <c r="BD177" s="64" t="n"/>
      <c r="BE177" s="64" t="n"/>
      <c r="BF177" s="308" t="n"/>
      <c r="BG177" s="64" t="n"/>
      <c r="BH177" s="64" t="n"/>
      <c r="BI177" s="136" t="n"/>
      <c r="BJ177" s="64" t="n"/>
      <c r="BK177" s="64" t="n"/>
      <c r="BL177" s="64" t="n"/>
      <c r="BM177" s="64" t="n"/>
      <c r="BN177" s="64" t="n"/>
      <c r="BO177" s="64" t="n"/>
      <c r="BP177" s="64" t="n"/>
      <c r="BQ177" s="64" t="n"/>
      <c r="BR177" s="64" t="n"/>
      <c r="BS177" s="64" t="n"/>
      <c r="BT177" s="64" t="n"/>
      <c r="BU177" s="64" t="n"/>
      <c r="BV177" s="64" t="n"/>
      <c r="BW177" s="64" t="n"/>
      <c r="BX177" s="64" t="n"/>
      <c r="BY177" s="64" t="n"/>
      <c r="BZ177" s="64" t="n"/>
      <c r="CA177" s="64" t="n"/>
    </row>
    <row r="178" ht="20.25" customHeight="1">
      <c r="A178" s="2334" t="inlineStr">
        <is>
          <t>bxU e„w×</t>
        </is>
      </c>
      <c r="B178" s="2613" t="n"/>
      <c r="C178" s="2613" t="n"/>
      <c r="D178" s="2613" t="n"/>
      <c r="E178" s="2613" t="n"/>
      <c r="F178" s="2613" t="n"/>
      <c r="G178" s="2649" t="n"/>
      <c r="H178" s="2325" t="n"/>
      <c r="I178" s="2613" t="n"/>
      <c r="J178" s="2613" t="n"/>
      <c r="K178" s="2613" t="n"/>
      <c r="L178" s="2649" t="n"/>
      <c r="M178" s="2325" t="n"/>
      <c r="N178" s="2613" t="n"/>
      <c r="O178" s="2613" t="n"/>
      <c r="P178" s="2613" t="n"/>
      <c r="Q178" s="2613" t="n"/>
      <c r="R178" s="2649" t="n"/>
      <c r="S178" s="2329" t="n"/>
      <c r="T178" s="2614" t="n"/>
      <c r="U178" s="2614" t="n"/>
      <c r="V178" s="2614" t="n"/>
      <c r="W178" s="2614" t="n"/>
      <c r="X178" s="2617" t="n"/>
      <c r="Y178" s="2325" t="n"/>
      <c r="Z178" s="2613" t="n"/>
      <c r="AA178" s="2613" t="n"/>
      <c r="AB178" s="2613" t="n"/>
      <c r="AC178" s="2649" t="n"/>
      <c r="AD178" s="2329" t="n"/>
      <c r="AE178" s="2614" t="n"/>
      <c r="AF178" s="2614" t="n"/>
      <c r="AG178" s="2614" t="n"/>
      <c r="AH178" s="2617" t="n"/>
      <c r="AI178" s="2325" t="n"/>
      <c r="AJ178" s="2613" t="n"/>
      <c r="AK178" s="2613" t="n"/>
      <c r="AL178" s="2613" t="n"/>
      <c r="AM178" s="2649" t="n"/>
      <c r="AN178" s="64" t="n"/>
      <c r="AO178" s="136" t="n"/>
      <c r="AP178" s="64" t="n"/>
      <c r="AQ178" s="64" t="n"/>
      <c r="AR178" s="64" t="n"/>
      <c r="AS178" s="64" t="n"/>
      <c r="AT178" s="64" t="n"/>
      <c r="AU178" s="64" t="n"/>
      <c r="AV178" s="64" t="n"/>
      <c r="AW178" s="64" t="n"/>
      <c r="AX178" s="64" t="n"/>
      <c r="AY178" s="136" t="n"/>
      <c r="AZ178" s="64" t="n"/>
      <c r="BA178" s="64" t="n"/>
      <c r="BB178" s="64" t="n"/>
      <c r="BC178" s="64" t="n"/>
      <c r="BD178" s="64" t="n"/>
      <c r="BE178" s="64" t="n"/>
      <c r="BF178" s="308" t="n"/>
      <c r="BG178" s="64" t="n"/>
      <c r="BH178" s="64" t="n"/>
      <c r="BI178" s="136" t="n"/>
      <c r="BJ178" s="64" t="n"/>
      <c r="BK178" s="64" t="n"/>
      <c r="BL178" s="64" t="n"/>
      <c r="BM178" s="64" t="n"/>
      <c r="BN178" s="64" t="n"/>
      <c r="BO178" s="64" t="n"/>
      <c r="BP178" s="64" t="n"/>
      <c r="BQ178" s="64" t="n"/>
      <c r="BR178" s="64" t="n"/>
      <c r="BS178" s="64" t="n"/>
      <c r="BT178" s="64" t="n"/>
      <c r="BU178" s="64" t="n"/>
      <c r="BV178" s="64" t="n"/>
      <c r="BW178" s="64" t="n"/>
      <c r="BX178" s="64" t="n"/>
      <c r="BY178" s="64" t="n"/>
      <c r="BZ178" s="64" t="n"/>
      <c r="CA178" s="64" t="n"/>
    </row>
    <row r="179" ht="20.25" customHeight="1">
      <c r="A179" s="111" t="n"/>
      <c r="B179" s="98" t="n"/>
      <c r="C179" s="98" t="n"/>
      <c r="D179" s="98" t="n"/>
      <c r="E179" s="248" t="n"/>
      <c r="F179" s="98" t="n"/>
      <c r="G179" s="2219" t="n"/>
      <c r="H179" s="247" t="n"/>
      <c r="I179" s="247" t="n"/>
      <c r="J179" s="98" t="n"/>
      <c r="K179" s="247" t="n"/>
      <c r="L179" s="98" t="n"/>
      <c r="M179" s="247" t="n"/>
      <c r="N179" s="98" t="n"/>
      <c r="O179" s="533" t="n"/>
      <c r="P179" s="2220" t="n"/>
      <c r="Q179" s="247" t="n"/>
      <c r="R179" s="2220" t="n"/>
      <c r="S179" s="247" t="n"/>
      <c r="T179" s="247" t="n"/>
      <c r="U179" s="98" t="n"/>
      <c r="V179" s="98" t="n"/>
      <c r="W179" s="98" t="n"/>
      <c r="X179" s="98" t="n"/>
      <c r="Y179" s="136" t="n"/>
      <c r="Z179" s="64" t="n"/>
      <c r="AA179" s="64" t="n"/>
      <c r="AB179" s="64" t="n"/>
      <c r="AC179" s="64" t="n"/>
      <c r="AD179" s="136" t="n"/>
      <c r="AE179" s="64" t="n"/>
      <c r="AF179" s="64" t="n"/>
      <c r="AG179" s="64" t="n"/>
      <c r="AH179" s="64" t="n"/>
      <c r="AI179" s="136" t="n"/>
      <c r="AJ179" s="64" t="n"/>
      <c r="AK179" s="64" t="n"/>
      <c r="AL179" s="64" t="n"/>
      <c r="AM179" s="64" t="n"/>
      <c r="AN179" s="64" t="n"/>
      <c r="AO179" s="136" t="n"/>
      <c r="AP179" s="64" t="n"/>
      <c r="AQ179" s="64" t="n"/>
      <c r="AR179" s="64" t="n"/>
      <c r="AS179" s="64" t="n"/>
      <c r="AT179" s="64" t="n"/>
      <c r="AU179" s="64" t="n"/>
      <c r="AV179" s="64" t="n"/>
      <c r="AW179" s="64" t="n"/>
      <c r="AX179" s="64" t="n"/>
      <c r="AY179" s="136" t="n"/>
      <c r="AZ179" s="64" t="n"/>
      <c r="BA179" s="64" t="n"/>
      <c r="BB179" s="64" t="n"/>
      <c r="BC179" s="64" t="n"/>
      <c r="BD179" s="64" t="n"/>
      <c r="BE179" s="64" t="n"/>
      <c r="BF179" s="308" t="n"/>
      <c r="BG179" s="64" t="n"/>
      <c r="BH179" s="64" t="n"/>
      <c r="BI179" s="136" t="n"/>
      <c r="BJ179" s="64" t="n"/>
      <c r="BK179" s="64" t="n"/>
      <c r="BL179" s="64" t="n"/>
      <c r="BM179" s="64" t="n"/>
      <c r="BN179" s="64" t="n"/>
      <c r="BO179" s="64" t="n"/>
      <c r="BP179" s="64" t="n"/>
      <c r="BQ179" s="64" t="n"/>
      <c r="BR179" s="64" t="n"/>
      <c r="BS179" s="64" t="n"/>
      <c r="BT179" s="64" t="n"/>
      <c r="BU179" s="64" t="n"/>
      <c r="BV179" s="64" t="n"/>
      <c r="BW179" s="64" t="n"/>
      <c r="BX179" s="64" t="n"/>
      <c r="BY179" s="64" t="n"/>
      <c r="BZ179" s="64" t="n"/>
      <c r="CA179" s="64" t="n"/>
    </row>
    <row r="180" ht="20.25" customHeight="1">
      <c r="A180" s="132" t="n"/>
      <c r="B180" s="62" t="inlineStr">
        <is>
          <t>Av‡e`b c‡Îi MwZwewa t</t>
        </is>
      </c>
      <c r="C180" s="130" t="n"/>
      <c r="D180" s="130" t="n"/>
      <c r="E180" s="2337" t="n"/>
      <c r="F180" s="130" t="n"/>
      <c r="G180" s="2338" t="n"/>
      <c r="H180" s="2339" t="n"/>
      <c r="I180" s="2339" t="n"/>
      <c r="J180" s="130" t="n"/>
      <c r="K180" s="2339" t="n"/>
      <c r="L180" s="130" t="n"/>
      <c r="M180" s="2339" t="n"/>
      <c r="N180" s="130" t="n"/>
      <c r="O180" s="2340" t="n"/>
      <c r="P180" s="2341" t="n"/>
      <c r="Q180" s="2339" t="n"/>
      <c r="R180" s="2341" t="n"/>
      <c r="S180" s="2339" t="n"/>
      <c r="T180" s="2339" t="n"/>
      <c r="U180" s="130" t="n"/>
      <c r="V180" s="130" t="n"/>
      <c r="W180" s="130" t="n"/>
      <c r="X180" s="130" t="n"/>
      <c r="Y180" s="136" t="n"/>
      <c r="Z180" s="64" t="n"/>
      <c r="AA180" s="64" t="n"/>
      <c r="AB180" s="64" t="n"/>
      <c r="AC180" s="64" t="n"/>
      <c r="AD180" s="136" t="n"/>
      <c r="AE180" s="64" t="n"/>
      <c r="AF180" s="64" t="n"/>
      <c r="AG180" s="64" t="n"/>
      <c r="AH180" s="64" t="n"/>
      <c r="AI180" s="136" t="n"/>
      <c r="AJ180" s="64" t="n"/>
      <c r="AK180" s="64" t="n"/>
      <c r="AL180" s="64" t="n"/>
      <c r="AM180" s="64" t="n"/>
      <c r="AN180" s="64" t="n"/>
      <c r="AO180" s="136" t="n"/>
      <c r="AP180" s="64" t="n"/>
      <c r="AQ180" s="64" t="n"/>
      <c r="AR180" s="64" t="n"/>
      <c r="AS180" s="64" t="n"/>
      <c r="AT180" s="64" t="n"/>
      <c r="AU180" s="64" t="n"/>
      <c r="AV180" s="64" t="n"/>
      <c r="AW180" s="64" t="n"/>
      <c r="AX180" s="64" t="n"/>
      <c r="AY180" s="136" t="n"/>
      <c r="AZ180" s="64" t="n"/>
      <c r="BA180" s="64" t="n"/>
      <c r="BB180" s="64" t="n"/>
      <c r="BC180" s="64" t="n"/>
      <c r="BD180" s="64" t="n"/>
      <c r="BE180" s="64" t="n"/>
      <c r="BF180" s="308" t="n"/>
      <c r="BG180" s="64" t="n"/>
      <c r="BH180" s="64" t="n"/>
      <c r="BI180" s="136" t="n"/>
      <c r="BJ180" s="64" t="n"/>
      <c r="BK180" s="64" t="n"/>
      <c r="BL180" s="64" t="n"/>
      <c r="BM180" s="64" t="n"/>
      <c r="BN180" s="64" t="n"/>
      <c r="BO180" s="64" t="n"/>
      <c r="BP180" s="64" t="n"/>
      <c r="BQ180" s="64" t="n"/>
      <c r="BR180" s="64" t="n"/>
      <c r="BS180" s="64" t="n"/>
      <c r="BT180" s="64" t="n"/>
      <c r="BU180" s="64" t="n"/>
      <c r="BV180" s="64" t="n"/>
      <c r="BW180" s="64" t="n"/>
      <c r="BX180" s="64" t="n"/>
      <c r="BY180" s="64" t="n"/>
      <c r="BZ180" s="64" t="n"/>
      <c r="CA180" s="64" t="n"/>
    </row>
    <row r="181" ht="20.25" customHeight="1">
      <c r="A181" s="111" t="n"/>
      <c r="B181" s="600" t="n"/>
      <c r="C181" s="98" t="n"/>
      <c r="D181" s="98" t="n"/>
      <c r="E181" s="248" t="n"/>
      <c r="F181" s="98" t="n"/>
      <c r="G181" s="2219" t="n"/>
      <c r="H181" s="247" t="n"/>
      <c r="I181" s="247" t="n"/>
      <c r="J181" s="98" t="n"/>
      <c r="K181" s="247" t="n"/>
      <c r="L181" s="98" t="n"/>
      <c r="M181" s="247" t="n"/>
      <c r="N181" s="98" t="n"/>
      <c r="O181" s="533" t="n"/>
      <c r="P181" s="2342" t="n"/>
      <c r="Q181" s="2666" t="n"/>
      <c r="R181" s="2666" t="n"/>
      <c r="S181" s="2666" t="n"/>
      <c r="T181" s="2666" t="n"/>
      <c r="U181" s="2666" t="n"/>
      <c r="V181" s="2666" t="n"/>
      <c r="W181" s="2666" t="n"/>
      <c r="X181" s="2666" t="n"/>
      <c r="Y181" s="2666" t="n"/>
      <c r="Z181" s="2666" t="n"/>
      <c r="AA181" s="2666" t="n"/>
      <c r="AB181" s="2666" t="n"/>
      <c r="AC181" s="2666" t="n"/>
      <c r="AD181" s="2666" t="n"/>
      <c r="AE181" s="2666" t="n"/>
      <c r="AF181" s="2666" t="n"/>
      <c r="AG181" s="2666" t="n"/>
      <c r="AH181" s="2666" t="n"/>
      <c r="AI181" s="2666" t="n"/>
      <c r="AJ181" s="2666" t="n"/>
      <c r="AK181" s="2666" t="n"/>
      <c r="AL181" s="2666" t="n"/>
      <c r="AM181" s="2666" t="n"/>
      <c r="AN181" s="64" t="n"/>
      <c r="AO181" s="136" t="n"/>
      <c r="AP181" s="64" t="n"/>
      <c r="AQ181" s="64" t="n"/>
      <c r="AR181" s="64" t="n"/>
      <c r="AS181" s="64" t="n"/>
      <c r="AT181" s="64" t="n"/>
      <c r="AU181" s="64" t="n"/>
      <c r="AV181" s="64" t="n"/>
      <c r="AW181" s="64" t="n"/>
      <c r="AX181" s="64" t="n"/>
      <c r="AY181" s="136" t="n"/>
      <c r="AZ181" s="64" t="n"/>
      <c r="BA181" s="64" t="n"/>
      <c r="BB181" s="64" t="n"/>
      <c r="BC181" s="64" t="n"/>
      <c r="BD181" s="64" t="n"/>
      <c r="BE181" s="64" t="n"/>
      <c r="BF181" s="308" t="n"/>
      <c r="BG181" s="64" t="n"/>
      <c r="BH181" s="64" t="n"/>
      <c r="BI181" s="136" t="n"/>
      <c r="BJ181" s="64" t="n"/>
      <c r="BK181" s="64" t="n"/>
      <c r="BL181" s="64" t="n"/>
      <c r="BM181" s="64" t="n"/>
      <c r="BN181" s="64" t="n"/>
      <c r="BO181" s="64" t="n"/>
      <c r="BP181" s="64" t="n"/>
      <c r="BQ181" s="64" t="n"/>
      <c r="BR181" s="64" t="n"/>
      <c r="BS181" s="64" t="n"/>
      <c r="BT181" s="64" t="n"/>
      <c r="BU181" s="64" t="n"/>
      <c r="BV181" s="64" t="n"/>
      <c r="BW181" s="64" t="n"/>
      <c r="BX181" s="64" t="n"/>
      <c r="BY181" s="64" t="n"/>
      <c r="BZ181" s="64" t="n"/>
      <c r="CA181" s="64" t="n"/>
    </row>
    <row r="182" ht="35.25" customHeight="1">
      <c r="A182" s="135" t="n"/>
      <c r="B182" s="1964" t="inlineStr">
        <is>
          <t xml:space="preserve">1| Av‡e`‡bi ZvwiL t </t>
        </is>
      </c>
      <c r="C182" s="96" t="n"/>
      <c r="D182" s="96" t="n"/>
      <c r="E182" s="2199" t="n"/>
      <c r="F182" s="96" t="n"/>
      <c r="G182" s="2200" t="n"/>
      <c r="H182" s="2165" t="n"/>
      <c r="I182" s="2165" t="n"/>
      <c r="J182" s="96" t="n"/>
      <c r="K182" s="2165" t="n"/>
      <c r="L182" s="96" t="n"/>
      <c r="M182" s="2165" t="n"/>
      <c r="N182" s="96" t="n"/>
      <c r="O182" s="2201" t="n"/>
      <c r="P182" s="2343" t="n"/>
      <c r="Q182" s="2667" t="n"/>
      <c r="R182" s="2667" t="n"/>
      <c r="S182" s="2667" t="n"/>
      <c r="T182" s="2667" t="n"/>
      <c r="U182" s="2667" t="n"/>
      <c r="V182" s="2667" t="n"/>
      <c r="W182" s="2667" t="n"/>
      <c r="X182" s="2667" t="n"/>
      <c r="Y182" s="2667" t="n"/>
      <c r="Z182" s="2667" t="n"/>
      <c r="AA182" s="2667" t="n"/>
      <c r="AB182" s="2667" t="n"/>
      <c r="AC182" s="2667" t="n"/>
      <c r="AD182" s="2667" t="n"/>
      <c r="AE182" s="2667" t="n"/>
      <c r="AF182" s="2667" t="n"/>
      <c r="AG182" s="2667" t="n"/>
      <c r="AH182" s="2667" t="n"/>
      <c r="AI182" s="2667" t="n"/>
      <c r="AJ182" s="2667" t="n"/>
      <c r="AK182" s="2667" t="n"/>
      <c r="AL182" s="2667" t="n"/>
      <c r="AM182" s="2668" t="n"/>
      <c r="AN182" s="64" t="n"/>
      <c r="AO182" s="136" t="n"/>
      <c r="AP182" s="64" t="n"/>
      <c r="AQ182" s="64" t="n"/>
      <c r="AR182" s="64" t="n"/>
      <c r="AS182" s="64" t="n"/>
      <c r="AT182" s="64" t="n"/>
      <c r="AU182" s="64" t="n"/>
      <c r="AV182" s="64" t="n"/>
      <c r="AW182" s="64" t="n"/>
      <c r="AX182" s="64" t="n"/>
      <c r="AY182" s="136" t="n"/>
      <c r="AZ182" s="64" t="n"/>
      <c r="BA182" s="64" t="n"/>
      <c r="BB182" s="64" t="n"/>
      <c r="BC182" s="64" t="n"/>
      <c r="BD182" s="64" t="n"/>
      <c r="BE182" s="64" t="n"/>
      <c r="BF182" s="308" t="n"/>
      <c r="BG182" s="64" t="n"/>
      <c r="BH182" s="64" t="n"/>
      <c r="BI182" s="136" t="n"/>
      <c r="BJ182" s="64" t="n"/>
      <c r="BK182" s="64" t="n"/>
      <c r="BL182" s="64" t="n"/>
      <c r="BM182" s="64" t="n"/>
      <c r="BN182" s="64" t="n"/>
      <c r="BO182" s="64" t="n"/>
      <c r="BP182" s="64" t="n"/>
      <c r="BQ182" s="64" t="n"/>
      <c r="BR182" s="64" t="n"/>
      <c r="BS182" s="64" t="n"/>
      <c r="BT182" s="64" t="n"/>
      <c r="BU182" s="64" t="n"/>
      <c r="BV182" s="64" t="n"/>
      <c r="BW182" s="64" t="n"/>
      <c r="BX182" s="64" t="n"/>
      <c r="BY182" s="64" t="n"/>
      <c r="BZ182" s="64" t="n"/>
      <c r="CA182" s="64" t="n"/>
    </row>
    <row r="183" ht="35.25" customHeight="1">
      <c r="A183" s="135" t="n"/>
      <c r="B183" s="1964" t="inlineStr">
        <is>
          <t xml:space="preserve">2| cwi`k©K /Kg©KZ©v KZ©„K cÖvwßi ZvwiL t </t>
        </is>
      </c>
      <c r="C183" s="96" t="n"/>
      <c r="D183" s="96" t="n"/>
      <c r="E183" s="2199" t="n"/>
      <c r="F183" s="96" t="n"/>
      <c r="G183" s="2200" t="n"/>
      <c r="H183" s="2165" t="n"/>
      <c r="I183" s="2165" t="n"/>
      <c r="J183" s="96" t="n"/>
      <c r="K183" s="2165" t="n"/>
      <c r="L183" s="96" t="n"/>
      <c r="M183" s="2165" t="n"/>
      <c r="N183" s="96" t="n"/>
      <c r="O183" s="2201" t="n"/>
      <c r="P183" s="2346">
        <f>IF(P182="","",P182)</f>
        <v/>
      </c>
      <c r="Q183" s="2667" t="n"/>
      <c r="R183" s="2667" t="n"/>
      <c r="S183" s="2667" t="n"/>
      <c r="T183" s="2667" t="n"/>
      <c r="U183" s="2667" t="n"/>
      <c r="V183" s="2667" t="n"/>
      <c r="W183" s="2667" t="n"/>
      <c r="X183" s="2667" t="n"/>
      <c r="Y183" s="2667" t="n"/>
      <c r="Z183" s="2667" t="n"/>
      <c r="AA183" s="2667" t="n"/>
      <c r="AB183" s="2667" t="n"/>
      <c r="AC183" s="2667" t="n"/>
      <c r="AD183" s="2667" t="n"/>
      <c r="AE183" s="2667" t="n"/>
      <c r="AF183" s="2667" t="n"/>
      <c r="AG183" s="2667" t="n"/>
      <c r="AH183" s="2667" t="n"/>
      <c r="AI183" s="2667" t="n"/>
      <c r="AJ183" s="2667" t="n"/>
      <c r="AK183" s="2667" t="n"/>
      <c r="AL183" s="2667" t="n"/>
      <c r="AM183" s="2667" t="n"/>
      <c r="AN183" s="64" t="n"/>
      <c r="AO183" s="136" t="n"/>
      <c r="AP183" s="64" t="n"/>
      <c r="AQ183" s="64" t="n"/>
      <c r="AR183" s="64" t="n"/>
      <c r="AS183" s="64" t="n"/>
      <c r="AT183" s="64" t="n"/>
      <c r="AU183" s="64" t="n"/>
      <c r="AV183" s="64" t="n"/>
      <c r="AW183" s="64" t="n"/>
      <c r="AX183" s="64" t="n"/>
      <c r="AY183" s="136" t="n"/>
      <c r="AZ183" s="64" t="n"/>
      <c r="BA183" s="64" t="n"/>
      <c r="BB183" s="64" t="n"/>
      <c r="BC183" s="64" t="n"/>
      <c r="BD183" s="64" t="n"/>
      <c r="BE183" s="64" t="n"/>
      <c r="BF183" s="308" t="n"/>
      <c r="BG183" s="64" t="n"/>
      <c r="BH183" s="64" t="n"/>
      <c r="BI183" s="136" t="n"/>
      <c r="BJ183" s="64" t="n"/>
      <c r="BK183" s="64" t="n"/>
      <c r="BL183" s="64" t="n"/>
      <c r="BM183" s="64" t="n"/>
      <c r="BN183" s="64" t="n"/>
      <c r="BO183" s="64" t="n"/>
      <c r="BP183" s="64" t="n"/>
      <c r="BQ183" s="64" t="n"/>
      <c r="BR183" s="64" t="n"/>
      <c r="BS183" s="64" t="n"/>
      <c r="BT183" s="64" t="n"/>
      <c r="BU183" s="64" t="n"/>
      <c r="BV183" s="64" t="n"/>
      <c r="BW183" s="64" t="n"/>
      <c r="BX183" s="64" t="n"/>
      <c r="BY183" s="64" t="n"/>
      <c r="BZ183" s="64" t="n"/>
      <c r="CA183" s="64" t="n"/>
    </row>
    <row r="184" ht="35.25" customHeight="1">
      <c r="A184" s="135" t="n"/>
      <c r="B184" s="1964" t="inlineStr">
        <is>
          <t xml:space="preserve">3| g~j¨vq‡bi ZvwiL t </t>
        </is>
      </c>
      <c r="C184" s="96" t="n"/>
      <c r="D184" s="96" t="n"/>
      <c r="E184" s="2199" t="n"/>
      <c r="F184" s="96" t="n"/>
      <c r="G184" s="2200" t="n"/>
      <c r="H184" s="2165" t="n"/>
      <c r="I184" s="2165" t="n"/>
      <c r="J184" s="96" t="n"/>
      <c r="K184" s="2165" t="n"/>
      <c r="L184" s="96" t="n"/>
      <c r="M184" s="2165" t="n"/>
      <c r="N184" s="96" t="n"/>
      <c r="O184" s="2201" t="n"/>
      <c r="P184" s="2346" t="n">
        <v>45684</v>
      </c>
      <c r="Q184" s="2667" t="n"/>
      <c r="R184" s="2667" t="n"/>
      <c r="S184" s="2667" t="n"/>
      <c r="T184" s="2667" t="n"/>
      <c r="U184" s="2667" t="n"/>
      <c r="V184" s="2667" t="n"/>
      <c r="W184" s="2667" t="n"/>
      <c r="X184" s="2667" t="n"/>
      <c r="Y184" s="2667" t="n"/>
      <c r="Z184" s="2667" t="n"/>
      <c r="AA184" s="2667" t="n"/>
      <c r="AB184" s="2667" t="n"/>
      <c r="AC184" s="2667" t="n"/>
      <c r="AD184" s="2667" t="n"/>
      <c r="AE184" s="2667" t="n"/>
      <c r="AF184" s="2667" t="n"/>
      <c r="AG184" s="2667" t="n"/>
      <c r="AH184" s="2667" t="n"/>
      <c r="AI184" s="2667" t="n"/>
      <c r="AJ184" s="2667" t="n"/>
      <c r="AK184" s="2667" t="n"/>
      <c r="AL184" s="2667" t="n"/>
      <c r="AM184" s="2667" t="n"/>
      <c r="AN184" s="64" t="n"/>
      <c r="AO184" s="136" t="n"/>
      <c r="AP184" s="64" t="n"/>
      <c r="AQ184" s="64" t="n"/>
      <c r="AR184" s="64" t="n"/>
      <c r="AS184" s="64" t="n"/>
      <c r="AT184" s="64" t="n"/>
      <c r="AU184" s="64" t="n"/>
      <c r="AV184" s="64" t="n"/>
      <c r="AW184" s="64" t="n"/>
      <c r="AX184" s="64" t="n"/>
      <c r="AY184" s="136" t="n"/>
      <c r="AZ184" s="64" t="n"/>
      <c r="BA184" s="64" t="n"/>
      <c r="BB184" s="64" t="n"/>
      <c r="BC184" s="64" t="n"/>
      <c r="BD184" s="64" t="n"/>
      <c r="BE184" s="64" t="n"/>
      <c r="BF184" s="308" t="n"/>
      <c r="BG184" s="64" t="n"/>
      <c r="BH184" s="64" t="n"/>
      <c r="BI184" s="136" t="n"/>
      <c r="BJ184" s="64" t="n"/>
      <c r="BK184" s="64" t="n"/>
      <c r="BL184" s="64" t="n"/>
      <c r="BM184" s="64" t="n"/>
      <c r="BN184" s="64" t="n"/>
      <c r="BO184" s="64" t="n"/>
      <c r="BP184" s="64" t="n"/>
      <c r="BQ184" s="64" t="n"/>
      <c r="BR184" s="64" t="n"/>
      <c r="BS184" s="64" t="n"/>
      <c r="BT184" s="64" t="n"/>
      <c r="BU184" s="64" t="n"/>
      <c r="BV184" s="64" t="n"/>
      <c r="BW184" s="64" t="n"/>
      <c r="BX184" s="64" t="n"/>
      <c r="BY184" s="64" t="n"/>
      <c r="BZ184" s="64" t="n"/>
      <c r="CA184" s="64" t="n"/>
    </row>
    <row r="185" ht="35.25" customHeight="1">
      <c r="A185" s="135" t="n"/>
      <c r="B185" s="1964" t="inlineStr">
        <is>
          <t xml:space="preserve">4| cÖwZ‡e`b `vwL‡ji ZvwiL t </t>
        </is>
      </c>
      <c r="C185" s="96" t="n"/>
      <c r="D185" s="96" t="n"/>
      <c r="E185" s="2199" t="n"/>
      <c r="F185" s="96" t="n"/>
      <c r="G185" s="2200" t="n"/>
      <c r="H185" s="2165" t="n"/>
      <c r="I185" s="2165" t="n"/>
      <c r="J185" s="96" t="n"/>
      <c r="K185" s="2165" t="n"/>
      <c r="L185" s="96" t="n"/>
      <c r="M185" s="2165" t="n"/>
      <c r="N185" s="96" t="n"/>
      <c r="O185" s="2201" t="n"/>
      <c r="P185" s="2343" t="n"/>
      <c r="Q185" s="2667" t="n"/>
      <c r="R185" s="2667" t="n"/>
      <c r="S185" s="2667" t="n"/>
      <c r="T185" s="2667" t="n"/>
      <c r="U185" s="2667" t="n"/>
      <c r="V185" s="2667" t="n"/>
      <c r="W185" s="2667" t="n"/>
      <c r="X185" s="2667" t="n"/>
      <c r="Y185" s="2667" t="n"/>
      <c r="Z185" s="2667" t="n"/>
      <c r="AA185" s="2667" t="n"/>
      <c r="AB185" s="2667" t="n"/>
      <c r="AC185" s="2667" t="n"/>
      <c r="AD185" s="2667" t="n"/>
      <c r="AE185" s="2667" t="n"/>
      <c r="AF185" s="2667" t="n"/>
      <c r="AG185" s="2667" t="n"/>
      <c r="AH185" s="2667" t="n"/>
      <c r="AI185" s="2667" t="n"/>
      <c r="AJ185" s="2667" t="n"/>
      <c r="AK185" s="2667" t="n"/>
      <c r="AL185" s="2667" t="n"/>
      <c r="AM185" s="2668" t="n"/>
      <c r="AN185" s="64" t="n"/>
      <c r="AO185" s="136" t="n"/>
      <c r="AP185" s="64" t="n"/>
      <c r="AQ185" s="64" t="n"/>
      <c r="AR185" s="64" t="n"/>
      <c r="AS185" s="64" t="n"/>
      <c r="AT185" s="64" t="n"/>
      <c r="AU185" s="64" t="n"/>
      <c r="AV185" s="64" t="n"/>
      <c r="AW185" s="64" t="n"/>
      <c r="AX185" s="64" t="n"/>
      <c r="AY185" s="136" t="n"/>
      <c r="AZ185" s="64" t="n"/>
      <c r="BA185" s="64" t="n"/>
      <c r="BB185" s="64" t="n"/>
      <c r="BC185" s="64" t="n"/>
      <c r="BD185" s="64" t="n"/>
      <c r="BE185" s="64" t="n"/>
      <c r="BF185" s="308" t="n"/>
      <c r="BG185" s="64" t="n"/>
      <c r="BH185" s="64" t="n"/>
      <c r="BI185" s="136" t="n"/>
      <c r="BJ185" s="64" t="n"/>
      <c r="BK185" s="64" t="n"/>
      <c r="BL185" s="64" t="n"/>
      <c r="BM185" s="64" t="n"/>
      <c r="BN185" s="64" t="n"/>
      <c r="BO185" s="64" t="n"/>
      <c r="BP185" s="64" t="n"/>
      <c r="BQ185" s="64" t="n"/>
      <c r="BR185" s="64" t="n"/>
      <c r="BS185" s="64" t="n"/>
      <c r="BT185" s="64" t="n"/>
      <c r="BU185" s="64" t="n"/>
      <c r="BV185" s="64" t="n"/>
      <c r="BW185" s="64" t="n"/>
      <c r="BX185" s="64" t="n"/>
      <c r="BY185" s="64" t="n"/>
      <c r="BZ185" s="64" t="n"/>
      <c r="CA185" s="64" t="n"/>
    </row>
    <row r="186" ht="35.25" customHeight="1">
      <c r="A186" s="135" t="n"/>
      <c r="B186" s="1964" t="inlineStr">
        <is>
          <t>5| cÖwZ‡e`bKvix Kg©KZ©vi ¯^vÿi I ZvwiL t</t>
        </is>
      </c>
      <c r="C186" s="96" t="n"/>
      <c r="D186" s="96" t="n"/>
      <c r="E186" s="2199" t="n"/>
      <c r="F186" s="96" t="n"/>
      <c r="G186" s="2200" t="n"/>
      <c r="H186" s="2165" t="n"/>
      <c r="I186" s="2165" t="n"/>
      <c r="J186" s="96" t="n"/>
      <c r="K186" s="2165" t="n"/>
      <c r="L186" s="96" t="n"/>
      <c r="M186" s="2165" t="n"/>
      <c r="N186" s="96" t="n"/>
      <c r="O186" s="2201" t="n"/>
      <c r="P186" s="2346" t="n"/>
      <c r="Q186" s="2667" t="n"/>
      <c r="R186" s="2667" t="n"/>
      <c r="S186" s="2667" t="n"/>
      <c r="T186" s="2667" t="n"/>
      <c r="U186" s="2667" t="n"/>
      <c r="V186" s="2667" t="n"/>
      <c r="W186" s="2667" t="n"/>
      <c r="X186" s="2667" t="n"/>
      <c r="Y186" s="2667" t="n"/>
      <c r="Z186" s="2667" t="n"/>
      <c r="AA186" s="2667" t="n"/>
      <c r="AB186" s="2667" t="n"/>
      <c r="AC186" s="2667" t="n"/>
      <c r="AD186" s="2667" t="n"/>
      <c r="AE186" s="2667" t="n"/>
      <c r="AF186" s="2667" t="n"/>
      <c r="AG186" s="2667" t="n"/>
      <c r="AH186" s="2667" t="n"/>
      <c r="AI186" s="2667" t="n"/>
      <c r="AJ186" s="2667" t="n"/>
      <c r="AK186" s="2667" t="n"/>
      <c r="AL186" s="2667" t="n"/>
      <c r="AM186" s="2667" t="n"/>
      <c r="AN186" s="64" t="n"/>
      <c r="AO186" s="136" t="n"/>
      <c r="AP186" s="64" t="n"/>
      <c r="AQ186" s="64" t="n"/>
      <c r="AR186" s="64" t="n"/>
      <c r="AS186" s="64" t="n"/>
      <c r="AT186" s="64" t="n"/>
      <c r="AU186" s="64" t="n"/>
      <c r="AV186" s="64" t="n"/>
      <c r="AW186" s="64" t="n"/>
      <c r="AX186" s="64" t="n"/>
      <c r="AY186" s="136" t="n"/>
      <c r="AZ186" s="64" t="n"/>
      <c r="BA186" s="64" t="n"/>
      <c r="BB186" s="64" t="n"/>
      <c r="BC186" s="64" t="n"/>
      <c r="BD186" s="64" t="n"/>
      <c r="BE186" s="64" t="n"/>
      <c r="BF186" s="308" t="n"/>
      <c r="BG186" s="64" t="n"/>
      <c r="BH186" s="64" t="n"/>
      <c r="BI186" s="136" t="n"/>
      <c r="BJ186" s="64" t="n"/>
      <c r="BK186" s="64" t="n"/>
      <c r="BL186" s="64" t="n"/>
      <c r="BM186" s="64" t="n"/>
      <c r="BN186" s="64" t="n"/>
      <c r="BO186" s="64" t="n"/>
      <c r="BP186" s="64" t="n"/>
      <c r="BQ186" s="64" t="n"/>
      <c r="BR186" s="64" t="n"/>
      <c r="BS186" s="64" t="n"/>
      <c r="BT186" s="64" t="n"/>
      <c r="BU186" s="64" t="n"/>
      <c r="BV186" s="64" t="n"/>
      <c r="BW186" s="64" t="n"/>
      <c r="BX186" s="64" t="n"/>
      <c r="BY186" s="64" t="n"/>
      <c r="BZ186" s="64" t="n"/>
      <c r="CA186" s="64" t="n"/>
    </row>
    <row r="187" ht="35.25" customHeight="1">
      <c r="A187" s="135" t="n"/>
      <c r="B187" s="1964" t="n"/>
      <c r="C187" s="96" t="n"/>
      <c r="D187" s="96" t="n"/>
      <c r="E187" s="2199" t="n"/>
      <c r="F187" s="96" t="n"/>
      <c r="G187" s="2200" t="n"/>
      <c r="H187" s="2165" t="n"/>
      <c r="I187" s="2165" t="n"/>
      <c r="J187" s="96" t="n"/>
      <c r="K187" s="2165" t="n"/>
      <c r="L187" s="96" t="n"/>
      <c r="M187" s="2165" t="n"/>
      <c r="N187" s="96" t="n"/>
      <c r="O187" s="2201" t="n"/>
      <c r="P187" s="2230" t="n"/>
      <c r="Q187" s="2165" t="n"/>
      <c r="R187" s="2230" t="n"/>
      <c r="S187" s="2165" t="n"/>
      <c r="T187" s="2165" t="n"/>
      <c r="U187" s="96" t="n"/>
      <c r="V187" s="96" t="n"/>
      <c r="W187" s="96" t="n"/>
      <c r="X187" s="96" t="n"/>
      <c r="Y187" s="136" t="n"/>
      <c r="Z187" s="64" t="n"/>
      <c r="AA187" s="64" t="n"/>
      <c r="AB187" s="64" t="n"/>
      <c r="AC187" s="64" t="n"/>
      <c r="AD187" s="136" t="n"/>
      <c r="AE187" s="64" t="n"/>
      <c r="AF187" s="64" t="n"/>
      <c r="AG187" s="64" t="n"/>
      <c r="AH187" s="64" t="n"/>
      <c r="AI187" s="136" t="n"/>
      <c r="AJ187" s="64" t="n"/>
      <c r="AK187" s="64" t="n"/>
      <c r="AL187" s="64" t="n"/>
      <c r="AM187" s="64" t="n"/>
      <c r="AN187" s="64" t="n"/>
      <c r="AO187" s="136" t="n"/>
      <c r="AP187" s="64" t="n"/>
      <c r="AQ187" s="64" t="n"/>
      <c r="AR187" s="64" t="n"/>
      <c r="AS187" s="64" t="n"/>
      <c r="AT187" s="64" t="n"/>
      <c r="AU187" s="64" t="n"/>
      <c r="AV187" s="64" t="n"/>
      <c r="AW187" s="64" t="n"/>
      <c r="AX187" s="64" t="n"/>
      <c r="AY187" s="136" t="n"/>
      <c r="AZ187" s="64" t="n"/>
      <c r="BA187" s="64" t="n"/>
      <c r="BB187" s="64" t="n"/>
      <c r="BC187" s="64" t="n"/>
      <c r="BD187" s="64" t="n"/>
      <c r="BE187" s="64" t="n"/>
      <c r="BF187" s="308" t="n"/>
      <c r="BG187" s="64" t="n"/>
      <c r="BH187" s="64" t="n"/>
      <c r="BI187" s="136" t="n"/>
      <c r="BJ187" s="64" t="n"/>
      <c r="BK187" s="64" t="n"/>
      <c r="BL187" s="64" t="n"/>
      <c r="BM187" s="64" t="n"/>
      <c r="BN187" s="64" t="n"/>
      <c r="BO187" s="64" t="n"/>
      <c r="BP187" s="64" t="n"/>
      <c r="BQ187" s="64" t="n"/>
      <c r="BR187" s="64" t="n"/>
      <c r="BS187" s="64" t="n"/>
      <c r="BT187" s="64" t="n"/>
      <c r="BU187" s="64" t="n"/>
      <c r="BV187" s="64" t="n"/>
      <c r="BW187" s="64" t="n"/>
      <c r="BX187" s="64" t="n"/>
      <c r="BY187" s="64" t="n"/>
      <c r="BZ187" s="64" t="n"/>
      <c r="CA187" s="64" t="n"/>
    </row>
    <row r="188" ht="20.25" customHeight="1">
      <c r="A188" s="135" t="n"/>
      <c r="B188" s="1964" t="n"/>
      <c r="C188" s="96" t="n"/>
      <c r="D188" s="96" t="n"/>
      <c r="E188" s="2199" t="n"/>
      <c r="F188" s="96" t="n"/>
      <c r="G188" s="2200" t="n"/>
      <c r="H188" s="2165" t="n"/>
      <c r="I188" s="2165" t="n"/>
      <c r="J188" s="96" t="n"/>
      <c r="K188" s="2165" t="n"/>
      <c r="L188" s="96" t="n"/>
      <c r="M188" s="2165" t="n"/>
      <c r="N188" s="96" t="n"/>
      <c r="O188" s="2201" t="n"/>
      <c r="P188" s="2230" t="n"/>
      <c r="Q188" s="2165" t="n"/>
      <c r="R188" s="2230" t="n"/>
      <c r="S188" s="2165" t="n"/>
      <c r="T188" s="2165" t="n"/>
      <c r="U188" s="96" t="n"/>
      <c r="V188" s="96" t="n"/>
      <c r="W188" s="96" t="n"/>
      <c r="X188" s="96" t="n"/>
      <c r="Y188" s="136" t="n"/>
      <c r="Z188" s="64" t="n"/>
      <c r="AA188" s="64" t="n"/>
      <c r="AB188" s="64" t="n"/>
      <c r="AC188" s="64" t="n"/>
      <c r="AD188" s="136" t="n"/>
      <c r="AE188" s="64" t="n"/>
      <c r="AF188" s="64" t="n"/>
      <c r="AG188" s="64" t="n"/>
      <c r="AH188" s="64" t="n"/>
      <c r="AI188" s="136" t="n"/>
      <c r="AJ188" s="64" t="n"/>
      <c r="AK188" s="64" t="n"/>
      <c r="AL188" s="64" t="n"/>
      <c r="AM188" s="64" t="n"/>
      <c r="AN188" s="64" t="n"/>
      <c r="AO188" s="136" t="n"/>
      <c r="AP188" s="64" t="n"/>
      <c r="AQ188" s="64" t="n"/>
      <c r="AR188" s="64" t="n"/>
      <c r="AS188" s="64" t="n"/>
      <c r="AT188" s="64" t="n"/>
      <c r="AU188" s="64" t="n"/>
      <c r="AV188" s="64" t="n"/>
      <c r="AW188" s="64" t="n"/>
      <c r="AX188" s="64" t="n"/>
      <c r="AY188" s="136" t="n"/>
      <c r="AZ188" s="64" t="n"/>
      <c r="BA188" s="64" t="n"/>
      <c r="BB188" s="64" t="n"/>
      <c r="BC188" s="64" t="n"/>
      <c r="BD188" s="64" t="n"/>
      <c r="BE188" s="64" t="n"/>
      <c r="BF188" s="308" t="n"/>
      <c r="BG188" s="64" t="n"/>
      <c r="BH188" s="64" t="n"/>
      <c r="BI188" s="136" t="n"/>
      <c r="BJ188" s="64" t="n"/>
      <c r="BK188" s="64" t="n"/>
      <c r="BL188" s="64" t="n"/>
      <c r="BM188" s="64" t="n"/>
      <c r="BN188" s="64" t="n"/>
      <c r="BO188" s="64" t="n"/>
      <c r="BP188" s="64" t="n"/>
      <c r="BQ188" s="64" t="n"/>
      <c r="BR188" s="64" t="n"/>
      <c r="BS188" s="64" t="n"/>
      <c r="BT188" s="64" t="n"/>
      <c r="BU188" s="64" t="n"/>
      <c r="BV188" s="64" t="n"/>
      <c r="BW188" s="64" t="n"/>
      <c r="BX188" s="64" t="n"/>
      <c r="BY188" s="64" t="n"/>
      <c r="BZ188" s="64" t="n"/>
      <c r="CA188" s="64" t="n"/>
    </row>
    <row r="189" ht="20.25" customHeight="1">
      <c r="A189" s="111" t="n"/>
      <c r="B189" s="600" t="inlineStr">
        <is>
          <t xml:space="preserve">                                  </t>
        </is>
      </c>
      <c r="C189" s="98" t="n"/>
      <c r="D189" s="98" t="n"/>
      <c r="E189" s="248" t="n"/>
      <c r="F189" s="98" t="n"/>
      <c r="G189" s="2219" t="n"/>
      <c r="H189" s="247" t="n"/>
      <c r="I189" s="247" t="n"/>
      <c r="J189" s="98" t="n"/>
      <c r="K189" s="247" t="n"/>
      <c r="L189" s="98" t="n"/>
      <c r="M189" s="247" t="n"/>
      <c r="N189" s="98" t="n"/>
      <c r="O189" s="533" t="n"/>
      <c r="P189" s="2220" t="n"/>
      <c r="Q189" s="247" t="n"/>
      <c r="R189" s="2220" t="n"/>
      <c r="S189" s="247" t="n"/>
      <c r="T189" s="247" t="n"/>
      <c r="U189" s="98" t="n"/>
      <c r="V189" s="98" t="n"/>
      <c r="W189" s="98" t="n"/>
      <c r="X189" s="98" t="n"/>
      <c r="Y189" s="136" t="n"/>
      <c r="Z189" s="64" t="n"/>
      <c r="AA189" s="64" t="n"/>
      <c r="AB189" s="64" t="n"/>
      <c r="AC189" s="64" t="n"/>
      <c r="AD189" s="136" t="n"/>
      <c r="AE189" s="64" t="n"/>
      <c r="AF189" s="64" t="n"/>
      <c r="AG189" s="64" t="n"/>
      <c r="AH189" s="64" t="n"/>
      <c r="AI189" s="136" t="n"/>
      <c r="AJ189" s="64" t="n"/>
      <c r="AK189" s="64" t="n"/>
      <c r="AL189" s="64" t="n"/>
      <c r="AM189" s="64" t="n"/>
      <c r="AN189" s="64" t="n"/>
      <c r="AO189" s="136" t="n"/>
      <c r="AP189" s="64" t="n"/>
      <c r="AQ189" s="64" t="n"/>
      <c r="AR189" s="64" t="n"/>
      <c r="AS189" s="64" t="n"/>
      <c r="AT189" s="64" t="n"/>
      <c r="AU189" s="64" t="n"/>
      <c r="AV189" s="64" t="n"/>
      <c r="AW189" s="64" t="n"/>
      <c r="AX189" s="64" t="n"/>
      <c r="AY189" s="136" t="n"/>
      <c r="AZ189" s="64" t="n"/>
      <c r="BA189" s="64" t="n"/>
      <c r="BB189" s="64" t="n"/>
      <c r="BC189" s="64" t="n"/>
      <c r="BD189" s="64" t="n"/>
      <c r="BE189" s="64" t="n"/>
      <c r="BF189" s="308" t="n"/>
      <c r="BG189" s="64" t="n"/>
      <c r="BH189" s="64" t="n"/>
      <c r="BI189" s="136" t="n"/>
      <c r="BJ189" s="64" t="n"/>
      <c r="BK189" s="64" t="n"/>
      <c r="BL189" s="64" t="n"/>
      <c r="BM189" s="64" t="n"/>
      <c r="BN189" s="64" t="n"/>
      <c r="BO189" s="64" t="n"/>
      <c r="BP189" s="64" t="n"/>
      <c r="BQ189" s="64" t="n"/>
      <c r="BR189" s="64" t="n"/>
      <c r="BS189" s="64" t="n"/>
      <c r="BT189" s="64" t="n"/>
      <c r="BU189" s="64" t="n"/>
      <c r="BV189" s="64" t="n"/>
      <c r="BW189" s="64" t="n"/>
      <c r="BX189" s="64" t="n"/>
      <c r="BY189" s="64" t="n"/>
      <c r="BZ189" s="64" t="n"/>
      <c r="CA189" s="64" t="n"/>
    </row>
    <row r="190" ht="18.75" customHeight="1">
      <c r="A190" s="136" t="n"/>
      <c r="B190" s="64" t="n"/>
      <c r="C190" s="64" t="n"/>
      <c r="D190" s="64" t="n"/>
      <c r="E190" s="307" t="n"/>
      <c r="F190" s="64" t="n"/>
      <c r="G190" s="748" t="n"/>
      <c r="H190" s="136" t="n"/>
      <c r="I190" s="136" t="n"/>
      <c r="J190" s="64" t="n"/>
      <c r="K190" s="136" t="n"/>
      <c r="L190" s="64" t="n"/>
      <c r="M190" s="136" t="n"/>
      <c r="N190" s="64" t="n"/>
      <c r="O190" s="545" t="n"/>
      <c r="P190" s="543" t="n"/>
      <c r="Q190" s="136" t="n"/>
      <c r="R190" s="543" t="n"/>
      <c r="S190" s="136" t="n"/>
      <c r="T190" s="136" t="n"/>
      <c r="U190" s="64" t="n"/>
      <c r="V190" s="64" t="n"/>
      <c r="W190" s="64" t="n"/>
      <c r="X190" s="64" t="n"/>
      <c r="Y190" s="136" t="n"/>
      <c r="Z190" s="64" t="n"/>
      <c r="AA190" s="64" t="n"/>
      <c r="AB190" s="64" t="n"/>
      <c r="AC190" s="64" t="n"/>
      <c r="AD190" s="136" t="n"/>
      <c r="AE190" s="64" t="n"/>
      <c r="AF190" s="64" t="n"/>
      <c r="AG190" s="64" t="n"/>
      <c r="AH190" s="64" t="n"/>
      <c r="AI190" s="136" t="n"/>
      <c r="AJ190" s="64" t="n"/>
      <c r="AK190" s="64" t="n"/>
      <c r="AL190" s="64" t="n"/>
      <c r="AM190" s="64" t="n"/>
      <c r="AN190" s="64" t="n"/>
      <c r="AO190" s="136" t="n"/>
      <c r="AP190" s="64" t="n"/>
      <c r="AQ190" s="64" t="n"/>
      <c r="AR190" s="64" t="n"/>
      <c r="AS190" s="64" t="n"/>
      <c r="AT190" s="64" t="n"/>
      <c r="AU190" s="64" t="n"/>
      <c r="AV190" s="64" t="n"/>
      <c r="AW190" s="64" t="n"/>
      <c r="AX190" s="64" t="n"/>
      <c r="AY190" s="136" t="n"/>
      <c r="AZ190" s="64" t="n"/>
      <c r="BA190" s="64" t="n"/>
      <c r="BB190" s="64" t="n"/>
      <c r="BC190" s="64" t="n"/>
      <c r="BD190" s="64" t="n"/>
      <c r="BE190" s="64" t="n"/>
      <c r="BF190" s="308" t="n"/>
      <c r="BG190" s="64" t="n"/>
      <c r="BH190" s="64" t="n"/>
      <c r="BI190" s="136" t="n"/>
      <c r="BJ190" s="64" t="n"/>
      <c r="BK190" s="64" t="n"/>
      <c r="BL190" s="64" t="n"/>
      <c r="BM190" s="64" t="n"/>
      <c r="BN190" s="64" t="n"/>
      <c r="BO190" s="64" t="n"/>
      <c r="BP190" s="64" t="n"/>
      <c r="BQ190" s="64" t="n"/>
      <c r="BR190" s="64" t="n"/>
      <c r="BS190" s="64" t="n"/>
      <c r="BT190" s="64" t="n"/>
      <c r="BU190" s="64" t="n"/>
      <c r="BV190" s="64" t="n"/>
      <c r="BW190" s="64" t="n"/>
      <c r="BX190" s="64" t="n"/>
      <c r="BY190" s="64" t="n"/>
      <c r="BZ190" s="64" t="n"/>
      <c r="CA190" s="64" t="n"/>
    </row>
    <row r="191" ht="18.75" customHeight="1">
      <c r="A191" s="136" t="n"/>
      <c r="B191" s="64" t="n"/>
      <c r="C191" s="64" t="n"/>
      <c r="D191" s="64" t="n"/>
      <c r="E191" s="307" t="n"/>
      <c r="F191" s="64" t="n"/>
      <c r="G191" s="748" t="n"/>
      <c r="H191" s="136" t="n"/>
      <c r="I191" s="136" t="n"/>
      <c r="J191" s="64" t="n"/>
      <c r="K191" s="136" t="n"/>
      <c r="L191" s="64" t="n"/>
      <c r="M191" s="136" t="n"/>
      <c r="N191" s="64" t="n"/>
      <c r="O191" s="545" t="n"/>
      <c r="P191" s="543" t="n"/>
      <c r="Q191" s="136" t="n"/>
      <c r="R191" s="543" t="n"/>
      <c r="S191" s="136" t="n"/>
      <c r="T191" s="136" t="n"/>
      <c r="U191" s="64" t="n"/>
      <c r="V191" s="64" t="n"/>
      <c r="W191" s="64" t="n"/>
      <c r="X191" s="64" t="n"/>
      <c r="Y191" s="136" t="n"/>
      <c r="Z191" s="64" t="n"/>
      <c r="AA191" s="64" t="n"/>
      <c r="AB191" s="64" t="n"/>
      <c r="AC191" s="64" t="n"/>
      <c r="AD191" s="136" t="n"/>
      <c r="AE191" s="64" t="n"/>
      <c r="AF191" s="64" t="n"/>
      <c r="AG191" s="64" t="n"/>
      <c r="AH191" s="64" t="n"/>
      <c r="AI191" s="136" t="n"/>
      <c r="AJ191" s="64" t="n"/>
      <c r="AK191" s="64" t="n"/>
      <c r="AL191" s="64" t="n"/>
      <c r="AM191" s="64" t="n"/>
      <c r="AN191" s="64" t="n"/>
      <c r="AO191" s="136" t="n"/>
      <c r="AP191" s="64" t="n"/>
      <c r="AQ191" s="64" t="n"/>
      <c r="AR191" s="64" t="n"/>
      <c r="AS191" s="64" t="n"/>
      <c r="AT191" s="64" t="n"/>
      <c r="AU191" s="64" t="n"/>
      <c r="AV191" s="64" t="n"/>
      <c r="AW191" s="64" t="n"/>
      <c r="AX191" s="64" t="n"/>
      <c r="AY191" s="136" t="n"/>
      <c r="AZ191" s="64" t="n"/>
      <c r="BA191" s="64" t="n"/>
      <c r="BB191" s="64" t="n"/>
      <c r="BC191" s="64" t="n"/>
      <c r="BD191" s="64" t="n"/>
      <c r="BE191" s="64" t="n"/>
      <c r="BF191" s="308" t="n"/>
      <c r="BG191" s="64" t="n"/>
      <c r="BH191" s="64" t="n"/>
      <c r="BI191" s="136" t="n"/>
      <c r="BJ191" s="64" t="n"/>
      <c r="BK191" s="64" t="n"/>
      <c r="BL191" s="64" t="n"/>
      <c r="BM191" s="64" t="n"/>
      <c r="BN191" s="64" t="n"/>
      <c r="BO191" s="64" t="n"/>
      <c r="BP191" s="64" t="n"/>
      <c r="BQ191" s="64" t="n"/>
      <c r="BR191" s="64" t="n"/>
      <c r="BS191" s="64" t="n"/>
      <c r="BT191" s="64" t="n"/>
      <c r="BU191" s="64" t="n"/>
      <c r="BV191" s="64" t="n"/>
      <c r="BW191" s="64" t="n"/>
      <c r="BX191" s="64" t="n"/>
      <c r="BY191" s="64" t="n"/>
      <c r="BZ191" s="64" t="n"/>
      <c r="CA191" s="64" t="n"/>
    </row>
    <row r="192" ht="18.75" customHeight="1">
      <c r="A192" s="136" t="n"/>
      <c r="B192" s="64" t="n"/>
      <c r="C192" s="64" t="n"/>
      <c r="D192" s="64" t="n"/>
      <c r="E192" s="307" t="n"/>
      <c r="F192" s="64" t="n"/>
      <c r="G192" s="748" t="n"/>
      <c r="H192" s="136" t="n"/>
      <c r="I192" s="136" t="n"/>
      <c r="J192" s="64" t="n"/>
      <c r="K192" s="136" t="n"/>
      <c r="L192" s="64" t="n"/>
      <c r="M192" s="136" t="n"/>
      <c r="N192" s="64" t="n"/>
      <c r="O192" s="545" t="n"/>
      <c r="P192" s="543" t="n"/>
      <c r="Q192" s="136" t="n"/>
      <c r="R192" s="543" t="n"/>
      <c r="S192" s="136" t="n"/>
      <c r="T192" s="136" t="n"/>
      <c r="U192" s="64" t="n"/>
      <c r="V192" s="64" t="n"/>
      <c r="W192" s="64" t="n"/>
      <c r="X192" s="64" t="n"/>
      <c r="Y192" s="136" t="n"/>
      <c r="Z192" s="64" t="n"/>
      <c r="AA192" s="64" t="n"/>
      <c r="AB192" s="64" t="n"/>
      <c r="AC192" s="64" t="n"/>
      <c r="AD192" s="136" t="n"/>
      <c r="AE192" s="64" t="n"/>
      <c r="AF192" s="64" t="n"/>
      <c r="AG192" s="64" t="n"/>
      <c r="AH192" s="64" t="n"/>
      <c r="AI192" s="136" t="n"/>
      <c r="AJ192" s="64" t="n"/>
      <c r="AK192" s="64" t="n"/>
      <c r="AL192" s="64" t="n"/>
      <c r="AM192" s="64" t="n"/>
      <c r="AN192" s="64" t="n"/>
      <c r="AO192" s="136" t="n"/>
      <c r="AP192" s="64" t="n"/>
      <c r="AQ192" s="64" t="n"/>
      <c r="AR192" s="64" t="n"/>
      <c r="AS192" s="64" t="n"/>
      <c r="AT192" s="64" t="n"/>
      <c r="AU192" s="64" t="n"/>
      <c r="AV192" s="64" t="n"/>
      <c r="AW192" s="64" t="n"/>
      <c r="AX192" s="64" t="n"/>
      <c r="AY192" s="136" t="n"/>
      <c r="AZ192" s="64" t="n"/>
      <c r="BA192" s="64" t="n"/>
      <c r="BB192" s="64" t="n"/>
      <c r="BC192" s="64" t="n"/>
      <c r="BD192" s="64" t="n"/>
      <c r="BE192" s="64" t="n"/>
      <c r="BF192" s="308" t="n"/>
      <c r="BG192" s="64" t="n"/>
      <c r="BH192" s="64" t="n"/>
      <c r="BI192" s="136" t="n"/>
      <c r="BJ192" s="64" t="n"/>
      <c r="BK192" s="64" t="n"/>
      <c r="BL192" s="64" t="n"/>
      <c r="BM192" s="64" t="n"/>
      <c r="BN192" s="64" t="n"/>
      <c r="BO192" s="64" t="n"/>
      <c r="BP192" s="64" t="n"/>
      <c r="BQ192" s="64" t="n"/>
      <c r="BR192" s="64" t="n"/>
      <c r="BS192" s="64" t="n"/>
      <c r="BT192" s="64" t="n"/>
      <c r="BU192" s="64" t="n"/>
      <c r="BV192" s="64" t="n"/>
      <c r="BW192" s="64" t="n"/>
      <c r="BX192" s="64" t="n"/>
      <c r="BY192" s="64" t="n"/>
      <c r="BZ192" s="64" t="n"/>
      <c r="CA192" s="64" t="n"/>
    </row>
    <row r="193" ht="18.75" customHeight="1">
      <c r="A193" s="136" t="n"/>
      <c r="B193" s="64" t="n"/>
      <c r="C193" s="64" t="n"/>
      <c r="D193" s="64" t="n"/>
      <c r="E193" s="307" t="n"/>
      <c r="F193" s="64" t="n"/>
      <c r="G193" s="748" t="n"/>
      <c r="H193" s="136" t="n"/>
      <c r="I193" s="136" t="n"/>
      <c r="J193" s="64" t="n"/>
      <c r="K193" s="136" t="n"/>
      <c r="L193" s="64" t="n"/>
      <c r="M193" s="136" t="n"/>
      <c r="N193" s="64" t="n"/>
      <c r="O193" s="545" t="n"/>
      <c r="P193" s="543" t="n"/>
      <c r="Q193" s="136" t="n"/>
      <c r="R193" s="543" t="n"/>
      <c r="S193" s="136" t="n"/>
      <c r="T193" s="136" t="n"/>
      <c r="U193" s="64" t="n"/>
      <c r="V193" s="64" t="n"/>
      <c r="W193" s="64" t="n"/>
      <c r="X193" s="64" t="n"/>
      <c r="Y193" s="136" t="n"/>
      <c r="Z193" s="64" t="n"/>
      <c r="AA193" s="64" t="n"/>
      <c r="AB193" s="64" t="n"/>
      <c r="AC193" s="64" t="n"/>
      <c r="AD193" s="136" t="n"/>
      <c r="AE193" s="64" t="n"/>
      <c r="AF193" s="64" t="n"/>
      <c r="AG193" s="64" t="n"/>
      <c r="AH193" s="64" t="n"/>
      <c r="AI193" s="136" t="n"/>
      <c r="AJ193" s="64" t="n"/>
      <c r="AK193" s="64" t="n"/>
      <c r="AL193" s="64" t="n"/>
      <c r="AM193" s="64" t="n"/>
      <c r="AN193" s="64" t="n"/>
      <c r="AO193" s="136" t="n"/>
      <c r="AP193" s="64" t="n"/>
      <c r="AQ193" s="64" t="n"/>
      <c r="AR193" s="64" t="n"/>
      <c r="AS193" s="64" t="n"/>
      <c r="AT193" s="64" t="n"/>
      <c r="AU193" s="64" t="n"/>
      <c r="AV193" s="64" t="n"/>
      <c r="AW193" s="64" t="n"/>
      <c r="AX193" s="64" t="n"/>
      <c r="AY193" s="136" t="n"/>
      <c r="AZ193" s="64" t="n"/>
      <c r="BA193" s="64" t="n"/>
      <c r="BB193" s="64" t="n"/>
      <c r="BC193" s="64" t="n"/>
      <c r="BD193" s="64" t="n"/>
      <c r="BE193" s="64" t="n"/>
      <c r="BF193" s="308" t="n"/>
      <c r="BG193" s="64" t="n"/>
      <c r="BH193" s="64" t="n"/>
      <c r="BI193" s="136" t="n"/>
      <c r="BJ193" s="64" t="n"/>
      <c r="BK193" s="64" t="n"/>
      <c r="BL193" s="64" t="n"/>
      <c r="BM193" s="64" t="n"/>
      <c r="BN193" s="64" t="n"/>
      <c r="BO193" s="64" t="n"/>
      <c r="BP193" s="64" t="n"/>
      <c r="BQ193" s="64" t="n"/>
      <c r="BR193" s="64" t="n"/>
      <c r="BS193" s="64" t="n"/>
      <c r="BT193" s="64" t="n"/>
      <c r="BU193" s="64" t="n"/>
      <c r="BV193" s="64" t="n"/>
      <c r="BW193" s="64" t="n"/>
      <c r="BX193" s="64" t="n"/>
      <c r="BY193" s="64" t="n"/>
      <c r="BZ193" s="64" t="n"/>
      <c r="CA193" s="64" t="n"/>
    </row>
    <row r="194" ht="18.75" customHeight="1">
      <c r="A194" s="136" t="n"/>
      <c r="B194" s="64" t="n"/>
      <c r="C194" s="64" t="n"/>
      <c r="D194" s="64" t="n"/>
      <c r="E194" s="307" t="n"/>
      <c r="F194" s="64" t="n"/>
      <c r="G194" s="748" t="n"/>
      <c r="H194" s="136" t="n"/>
      <c r="I194" s="136" t="n"/>
      <c r="J194" s="64" t="n"/>
      <c r="K194" s="136" t="n"/>
      <c r="L194" s="64" t="n"/>
      <c r="M194" s="136" t="n"/>
      <c r="N194" s="64" t="n"/>
      <c r="O194" s="545" t="n"/>
      <c r="P194" s="543" t="n"/>
      <c r="Q194" s="136" t="n"/>
      <c r="R194" s="543" t="n"/>
      <c r="S194" s="136" t="n"/>
      <c r="T194" s="136" t="n"/>
      <c r="U194" s="64" t="n"/>
      <c r="V194" s="64" t="n"/>
      <c r="W194" s="64" t="n"/>
      <c r="X194" s="64" t="n"/>
      <c r="Y194" s="136" t="n"/>
      <c r="Z194" s="64" t="n"/>
      <c r="AA194" s="64" t="n"/>
      <c r="AB194" s="64" t="n"/>
      <c r="AC194" s="64" t="n"/>
      <c r="AD194" s="136" t="n"/>
      <c r="AE194" s="64" t="n"/>
      <c r="AF194" s="64" t="n"/>
      <c r="AG194" s="64" t="n"/>
      <c r="AH194" s="64" t="n"/>
      <c r="AI194" s="136" t="n"/>
      <c r="AJ194" s="64" t="n"/>
      <c r="AK194" s="64" t="n"/>
      <c r="AL194" s="64" t="n"/>
      <c r="AM194" s="64" t="n"/>
      <c r="AN194" s="64" t="n"/>
      <c r="AO194" s="136" t="n"/>
      <c r="AP194" s="64" t="n"/>
      <c r="AQ194" s="64" t="n"/>
      <c r="AR194" s="64" t="n"/>
      <c r="AS194" s="64" t="n"/>
      <c r="AT194" s="64" t="n"/>
      <c r="AU194" s="64" t="n"/>
      <c r="AV194" s="64" t="n"/>
      <c r="AW194" s="64" t="n"/>
      <c r="AX194" s="64" t="n"/>
      <c r="AY194" s="136" t="n"/>
      <c r="AZ194" s="64" t="n"/>
      <c r="BA194" s="64" t="n"/>
      <c r="BB194" s="64" t="n"/>
      <c r="BC194" s="64" t="n"/>
      <c r="BD194" s="64" t="n"/>
      <c r="BE194" s="64" t="n"/>
      <c r="BF194" s="308" t="n"/>
      <c r="BG194" s="64" t="n"/>
      <c r="BH194" s="64" t="n"/>
      <c r="BI194" s="136" t="n"/>
      <c r="BJ194" s="64" t="n"/>
      <c r="BK194" s="64" t="n"/>
      <c r="BL194" s="64" t="n"/>
      <c r="BM194" s="64" t="n"/>
      <c r="BN194" s="64" t="n"/>
      <c r="BO194" s="64" t="n"/>
      <c r="BP194" s="64" t="n"/>
      <c r="BQ194" s="64" t="n"/>
      <c r="BR194" s="64" t="n"/>
      <c r="BS194" s="64" t="n"/>
      <c r="BT194" s="64" t="n"/>
      <c r="BU194" s="64" t="n"/>
      <c r="BV194" s="64" t="n"/>
      <c r="BW194" s="64" t="n"/>
      <c r="BX194" s="64" t="n"/>
      <c r="BY194" s="64" t="n"/>
      <c r="BZ194" s="64" t="n"/>
      <c r="CA194" s="64" t="n"/>
    </row>
    <row r="195" ht="18.75" customHeight="1">
      <c r="A195" s="136" t="n"/>
      <c r="B195" s="64" t="n"/>
      <c r="C195" s="64" t="n"/>
      <c r="D195" s="64" t="n"/>
      <c r="E195" s="307" t="n"/>
      <c r="F195" s="64" t="n"/>
      <c r="G195" s="748" t="n"/>
      <c r="H195" s="136" t="n"/>
      <c r="I195" s="136" t="n"/>
      <c r="J195" s="64" t="n"/>
      <c r="K195" s="136" t="n"/>
      <c r="L195" s="64" t="n"/>
      <c r="M195" s="136" t="n"/>
      <c r="N195" s="64" t="n"/>
      <c r="O195" s="545" t="n"/>
      <c r="P195" s="543" t="n"/>
      <c r="Q195" s="136" t="n"/>
      <c r="R195" s="543" t="n"/>
      <c r="S195" s="136" t="n"/>
      <c r="T195" s="136" t="n"/>
      <c r="U195" s="64" t="n"/>
      <c r="V195" s="64" t="n"/>
      <c r="W195" s="64" t="n"/>
      <c r="X195" s="64" t="n"/>
      <c r="Y195" s="136" t="n"/>
      <c r="Z195" s="64" t="n"/>
      <c r="AA195" s="64" t="n"/>
      <c r="AB195" s="64" t="n"/>
      <c r="AC195" s="64" t="n"/>
      <c r="AD195" s="136" t="n"/>
      <c r="AE195" s="64" t="n"/>
      <c r="AF195" s="64" t="n"/>
      <c r="AG195" s="64" t="n"/>
      <c r="AH195" s="64" t="n"/>
      <c r="AI195" s="136" t="n"/>
      <c r="AJ195" s="64" t="n"/>
      <c r="AK195" s="64" t="n"/>
      <c r="AL195" s="64" t="n"/>
      <c r="AM195" s="64" t="n"/>
      <c r="AN195" s="64" t="n"/>
      <c r="AO195" s="136" t="n"/>
      <c r="AP195" s="64" t="n"/>
      <c r="AQ195" s="64" t="n"/>
      <c r="AR195" s="64" t="n"/>
      <c r="AS195" s="64" t="n"/>
      <c r="AT195" s="64" t="n"/>
      <c r="AU195" s="64" t="n"/>
      <c r="AV195" s="64" t="n"/>
      <c r="AW195" s="64" t="n"/>
      <c r="AX195" s="64" t="n"/>
      <c r="AY195" s="136" t="n"/>
      <c r="AZ195" s="64" t="n"/>
      <c r="BA195" s="64" t="n"/>
      <c r="BB195" s="64" t="n"/>
      <c r="BC195" s="64" t="n"/>
      <c r="BD195" s="64" t="n"/>
      <c r="BE195" s="64" t="n"/>
      <c r="BF195" s="308" t="n"/>
      <c r="BG195" s="64" t="n"/>
      <c r="BH195" s="64" t="n"/>
      <c r="BI195" s="136" t="n"/>
      <c r="BJ195" s="64" t="n"/>
      <c r="BK195" s="64" t="n"/>
      <c r="BL195" s="64" t="n"/>
      <c r="BM195" s="64" t="n"/>
      <c r="BN195" s="64" t="n"/>
      <c r="BO195" s="64" t="n"/>
      <c r="BP195" s="64" t="n"/>
      <c r="BQ195" s="64" t="n"/>
      <c r="BR195" s="64" t="n"/>
      <c r="BS195" s="64" t="n"/>
      <c r="BT195" s="64" t="n"/>
      <c r="BU195" s="64" t="n"/>
      <c r="BV195" s="64" t="n"/>
      <c r="BW195" s="64" t="n"/>
      <c r="BX195" s="64" t="n"/>
      <c r="BY195" s="64" t="n"/>
      <c r="BZ195" s="64" t="n"/>
      <c r="CA195" s="64" t="n"/>
    </row>
    <row r="196" ht="18.75" customHeight="1">
      <c r="A196" s="136" t="n"/>
      <c r="B196" s="64" t="n"/>
      <c r="C196" s="64" t="n"/>
      <c r="D196" s="64" t="n"/>
      <c r="E196" s="307" t="n"/>
      <c r="F196" s="64" t="n"/>
      <c r="G196" s="748" t="n"/>
      <c r="H196" s="136" t="n"/>
      <c r="I196" s="136" t="n"/>
      <c r="J196" s="64" t="n"/>
      <c r="K196" s="136" t="n"/>
      <c r="L196" s="64" t="n"/>
      <c r="M196" s="136" t="n"/>
      <c r="N196" s="64" t="n"/>
      <c r="O196" s="545" t="n"/>
      <c r="P196" s="543" t="n"/>
      <c r="Q196" s="136" t="n"/>
      <c r="R196" s="543" t="n"/>
      <c r="S196" s="136" t="n"/>
      <c r="T196" s="136" t="n"/>
      <c r="U196" s="64" t="n"/>
      <c r="V196" s="64" t="n"/>
      <c r="W196" s="64" t="n"/>
      <c r="X196" s="64" t="n"/>
      <c r="Y196" s="136" t="n"/>
      <c r="Z196" s="64" t="n"/>
      <c r="AA196" s="64" t="n"/>
      <c r="AB196" s="64" t="n"/>
      <c r="AC196" s="64" t="n"/>
      <c r="AD196" s="136" t="n"/>
      <c r="AE196" s="64" t="n"/>
      <c r="AF196" s="64" t="n"/>
      <c r="AG196" s="64" t="n"/>
      <c r="AH196" s="64" t="n"/>
      <c r="AI196" s="136" t="n"/>
      <c r="AJ196" s="64" t="n"/>
      <c r="AK196" s="64" t="n"/>
      <c r="AL196" s="64" t="n"/>
      <c r="AM196" s="64" t="n"/>
      <c r="AN196" s="64" t="n"/>
      <c r="AO196" s="136" t="n"/>
      <c r="AP196" s="64" t="n"/>
      <c r="AQ196" s="64" t="n"/>
      <c r="AR196" s="64" t="n"/>
      <c r="AS196" s="64" t="n"/>
      <c r="AT196" s="64" t="n"/>
      <c r="AU196" s="64" t="n"/>
      <c r="AV196" s="64" t="n"/>
      <c r="AW196" s="64" t="n"/>
      <c r="AX196" s="64" t="n"/>
      <c r="AY196" s="136" t="n"/>
      <c r="AZ196" s="64" t="n"/>
      <c r="BA196" s="64" t="n"/>
      <c r="BB196" s="64" t="n"/>
      <c r="BC196" s="64" t="n"/>
      <c r="BD196" s="64" t="n"/>
      <c r="BE196" s="64" t="n"/>
      <c r="BF196" s="308" t="n"/>
      <c r="BG196" s="64" t="n"/>
      <c r="BH196" s="64" t="n"/>
      <c r="BI196" s="136" t="n"/>
      <c r="BJ196" s="64" t="n"/>
      <c r="BK196" s="64" t="n"/>
      <c r="BL196" s="64" t="n"/>
      <c r="BM196" s="64" t="n"/>
      <c r="BN196" s="64" t="n"/>
      <c r="BO196" s="64" t="n"/>
      <c r="BP196" s="64" t="n"/>
      <c r="BQ196" s="64" t="n"/>
      <c r="BR196" s="64" t="n"/>
      <c r="BS196" s="64" t="n"/>
      <c r="BT196" s="64" t="n"/>
      <c r="BU196" s="64" t="n"/>
      <c r="BV196" s="64" t="n"/>
      <c r="BW196" s="64" t="n"/>
      <c r="BX196" s="64" t="n"/>
      <c r="BY196" s="64" t="n"/>
      <c r="BZ196" s="64" t="n"/>
      <c r="CA196" s="64" t="n"/>
    </row>
    <row r="197" ht="18.75" customHeight="1">
      <c r="A197" s="136" t="n"/>
      <c r="B197" s="64" t="n"/>
      <c r="C197" s="64" t="n"/>
      <c r="D197" s="64" t="n"/>
      <c r="E197" s="307" t="n"/>
      <c r="F197" s="64" t="n"/>
      <c r="G197" s="748" t="n"/>
      <c r="H197" s="136" t="n"/>
      <c r="I197" s="136" t="n"/>
      <c r="J197" s="64" t="n"/>
      <c r="K197" s="136" t="n"/>
      <c r="L197" s="64" t="n"/>
      <c r="M197" s="136" t="n"/>
      <c r="N197" s="64" t="n"/>
      <c r="O197" s="545" t="n"/>
      <c r="P197" s="543" t="n"/>
      <c r="Q197" s="136" t="n"/>
      <c r="R197" s="543" t="n"/>
      <c r="S197" s="136" t="n"/>
      <c r="T197" s="136" t="n"/>
      <c r="U197" s="64" t="n"/>
      <c r="V197" s="64" t="n"/>
      <c r="W197" s="64" t="n"/>
      <c r="X197" s="64" t="n"/>
      <c r="Y197" s="136" t="n"/>
      <c r="Z197" s="64" t="n"/>
      <c r="AA197" s="64" t="n"/>
      <c r="AB197" s="64" t="n"/>
      <c r="AC197" s="64" t="n"/>
      <c r="AD197" s="136" t="n"/>
      <c r="AE197" s="64" t="n"/>
      <c r="AF197" s="64" t="n"/>
      <c r="AG197" s="64" t="n"/>
      <c r="AH197" s="64" t="n"/>
      <c r="AI197" s="136" t="n"/>
      <c r="AJ197" s="64" t="n"/>
      <c r="AK197" s="64" t="n"/>
      <c r="AL197" s="64" t="n"/>
      <c r="AM197" s="64" t="n"/>
      <c r="AN197" s="64" t="n"/>
      <c r="AO197" s="136" t="n"/>
      <c r="AP197" s="64" t="n"/>
      <c r="AQ197" s="64" t="n"/>
      <c r="AR197" s="64" t="n"/>
      <c r="AS197" s="64" t="n"/>
      <c r="AT197" s="64" t="n"/>
      <c r="AU197" s="64" t="n"/>
      <c r="AV197" s="64" t="n"/>
      <c r="AW197" s="64" t="n"/>
      <c r="AX197" s="64" t="n"/>
      <c r="AY197" s="136" t="n"/>
      <c r="AZ197" s="64" t="n"/>
      <c r="BA197" s="64" t="n"/>
      <c r="BB197" s="64" t="n"/>
      <c r="BC197" s="64" t="n"/>
      <c r="BD197" s="64" t="n"/>
      <c r="BE197" s="64" t="n"/>
      <c r="BF197" s="308" t="n"/>
      <c r="BG197" s="64" t="n"/>
      <c r="BH197" s="64" t="n"/>
      <c r="BI197" s="136" t="n"/>
      <c r="BJ197" s="64" t="n"/>
      <c r="BK197" s="64" t="n"/>
      <c r="BL197" s="64" t="n"/>
      <c r="BM197" s="64" t="n"/>
      <c r="BN197" s="64" t="n"/>
      <c r="BO197" s="64" t="n"/>
      <c r="BP197" s="64" t="n"/>
      <c r="BQ197" s="64" t="n"/>
      <c r="BR197" s="64" t="n"/>
      <c r="BS197" s="64" t="n"/>
      <c r="BT197" s="64" t="n"/>
      <c r="BU197" s="64" t="n"/>
      <c r="BV197" s="64" t="n"/>
      <c r="BW197" s="64" t="n"/>
      <c r="BX197" s="64" t="n"/>
      <c r="BY197" s="64" t="n"/>
      <c r="BZ197" s="64" t="n"/>
      <c r="CA197" s="64" t="n"/>
    </row>
    <row r="198" ht="18.75" customHeight="1">
      <c r="A198" s="136" t="n"/>
      <c r="B198" s="64" t="n"/>
      <c r="C198" s="64" t="n"/>
      <c r="D198" s="64" t="n"/>
      <c r="E198" s="307" t="n"/>
      <c r="F198" s="64" t="n"/>
      <c r="G198" s="748" t="n"/>
      <c r="H198" s="136" t="n"/>
      <c r="I198" s="136" t="n"/>
      <c r="J198" s="64" t="n"/>
      <c r="K198" s="136" t="n"/>
      <c r="L198" s="64" t="n"/>
      <c r="M198" s="136" t="n"/>
      <c r="N198" s="64" t="n"/>
      <c r="O198" s="545" t="n"/>
      <c r="P198" s="543" t="n"/>
      <c r="Q198" s="136" t="n"/>
      <c r="R198" s="543" t="n"/>
      <c r="S198" s="136" t="n"/>
      <c r="T198" s="136" t="n"/>
      <c r="U198" s="64" t="n"/>
      <c r="V198" s="64" t="n"/>
      <c r="W198" s="64" t="n"/>
      <c r="X198" s="64" t="n"/>
      <c r="Y198" s="136" t="n"/>
      <c r="Z198" s="64" t="n"/>
      <c r="AA198" s="64" t="n"/>
      <c r="AB198" s="64" t="n"/>
      <c r="AC198" s="64" t="n"/>
      <c r="AD198" s="136" t="n"/>
      <c r="AE198" s="64" t="n"/>
      <c r="AF198" s="64" t="n"/>
      <c r="AG198" s="64" t="n"/>
      <c r="AH198" s="64" t="n"/>
      <c r="AI198" s="136" t="n"/>
      <c r="AJ198" s="64" t="n"/>
      <c r="AK198" s="64" t="n"/>
      <c r="AL198" s="64" t="n"/>
      <c r="AM198" s="64" t="n"/>
      <c r="AN198" s="64" t="n"/>
      <c r="AO198" s="136" t="n"/>
      <c r="AP198" s="64" t="n"/>
      <c r="AQ198" s="64" t="n"/>
      <c r="AR198" s="64" t="n"/>
      <c r="AS198" s="64" t="n"/>
      <c r="AT198" s="64" t="n"/>
      <c r="AU198" s="64" t="n"/>
      <c r="AV198" s="64" t="n"/>
      <c r="AW198" s="64" t="n"/>
      <c r="AX198" s="64" t="n"/>
      <c r="AY198" s="136" t="n"/>
      <c r="AZ198" s="64" t="n"/>
      <c r="BA198" s="64" t="n"/>
      <c r="BB198" s="64" t="n"/>
      <c r="BC198" s="64" t="n"/>
      <c r="BD198" s="64" t="n"/>
      <c r="BE198" s="64" t="n"/>
      <c r="BF198" s="308" t="n"/>
      <c r="BG198" s="64" t="n"/>
      <c r="BH198" s="64" t="n"/>
      <c r="BI198" s="136" t="n"/>
      <c r="BJ198" s="64" t="n"/>
      <c r="BK198" s="64" t="n"/>
      <c r="BL198" s="64" t="n"/>
      <c r="BM198" s="64" t="n"/>
      <c r="BN198" s="64" t="n"/>
      <c r="BO198" s="64" t="n"/>
      <c r="BP198" s="64" t="n"/>
      <c r="BQ198" s="64" t="n"/>
      <c r="BR198" s="64" t="n"/>
      <c r="BS198" s="64" t="n"/>
      <c r="BT198" s="64" t="n"/>
      <c r="BU198" s="64" t="n"/>
      <c r="BV198" s="64" t="n"/>
      <c r="BW198" s="64" t="n"/>
      <c r="BX198" s="64" t="n"/>
      <c r="BY198" s="64" t="n"/>
      <c r="BZ198" s="64" t="n"/>
      <c r="CA198" s="64" t="n"/>
    </row>
    <row r="199" ht="18.75" customHeight="1">
      <c r="A199" s="136" t="n"/>
      <c r="B199" s="64" t="n"/>
      <c r="C199" s="64" t="n"/>
      <c r="D199" s="64" t="n"/>
      <c r="E199" s="307" t="n"/>
      <c r="F199" s="64" t="n"/>
      <c r="G199" s="748" t="n"/>
      <c r="H199" s="136" t="n"/>
      <c r="I199" s="136" t="n"/>
      <c r="J199" s="64" t="n"/>
      <c r="K199" s="136" t="n"/>
      <c r="L199" s="64" t="n"/>
      <c r="M199" s="136" t="n"/>
      <c r="N199" s="64" t="n"/>
      <c r="O199" s="545" t="n"/>
      <c r="P199" s="543" t="n"/>
      <c r="Q199" s="136" t="n"/>
      <c r="R199" s="543" t="n"/>
      <c r="S199" s="136" t="n"/>
      <c r="T199" s="136" t="n"/>
      <c r="U199" s="64" t="n"/>
      <c r="V199" s="64" t="n"/>
      <c r="W199" s="64" t="n"/>
      <c r="X199" s="64" t="n"/>
      <c r="Y199" s="136" t="n"/>
      <c r="Z199" s="64" t="n"/>
      <c r="AA199" s="64" t="n"/>
      <c r="AB199" s="64" t="n"/>
      <c r="AC199" s="64" t="n"/>
      <c r="AD199" s="136" t="n"/>
      <c r="AE199" s="64" t="n"/>
      <c r="AF199" s="64" t="n"/>
      <c r="AG199" s="64" t="n"/>
      <c r="AH199" s="64" t="n"/>
      <c r="AI199" s="136" t="n"/>
      <c r="AJ199" s="64" t="n"/>
      <c r="AK199" s="64" t="n"/>
      <c r="AL199" s="64" t="n"/>
      <c r="AM199" s="64" t="n"/>
      <c r="AN199" s="64" t="n"/>
      <c r="AO199" s="136" t="n"/>
      <c r="AP199" s="64" t="n"/>
      <c r="AQ199" s="64" t="n"/>
      <c r="AR199" s="64" t="n"/>
      <c r="AS199" s="64" t="n"/>
      <c r="AT199" s="64" t="n"/>
      <c r="AU199" s="64" t="n"/>
      <c r="AV199" s="64" t="n"/>
      <c r="AW199" s="64" t="n"/>
      <c r="AX199" s="64" t="n"/>
      <c r="AY199" s="136" t="n"/>
      <c r="AZ199" s="64" t="n"/>
      <c r="BA199" s="64" t="n"/>
      <c r="BB199" s="64" t="n"/>
      <c r="BC199" s="64" t="n"/>
      <c r="BD199" s="64" t="n"/>
      <c r="BE199" s="64" t="n"/>
      <c r="BF199" s="308" t="n"/>
      <c r="BG199" s="64" t="n"/>
      <c r="BH199" s="64" t="n"/>
      <c r="BI199" s="136" t="n"/>
      <c r="BJ199" s="64" t="n"/>
      <c r="BK199" s="64" t="n"/>
      <c r="BL199" s="64" t="n"/>
      <c r="BM199" s="64" t="n"/>
      <c r="BN199" s="64" t="n"/>
      <c r="BO199" s="64" t="n"/>
      <c r="BP199" s="64" t="n"/>
      <c r="BQ199" s="64" t="n"/>
      <c r="BR199" s="64" t="n"/>
      <c r="BS199" s="64" t="n"/>
      <c r="BT199" s="64" t="n"/>
      <c r="BU199" s="64" t="n"/>
      <c r="BV199" s="64" t="n"/>
      <c r="BW199" s="64" t="n"/>
      <c r="BX199" s="64" t="n"/>
      <c r="BY199" s="64" t="n"/>
      <c r="BZ199" s="64" t="n"/>
      <c r="CA199" s="64" t="n"/>
    </row>
    <row r="200" ht="18.75" customHeight="1">
      <c r="A200" s="136" t="n"/>
      <c r="B200" s="64" t="n"/>
      <c r="C200" s="64" t="n"/>
      <c r="D200" s="64" t="n"/>
      <c r="E200" s="307" t="n"/>
      <c r="F200" s="64" t="n"/>
      <c r="G200" s="748" t="n"/>
      <c r="H200" s="136" t="n"/>
      <c r="I200" s="136" t="n"/>
      <c r="J200" s="64" t="n"/>
      <c r="K200" s="136" t="n"/>
      <c r="L200" s="64" t="n"/>
      <c r="M200" s="136" t="n"/>
      <c r="N200" s="64" t="n"/>
      <c r="O200" s="545" t="n"/>
      <c r="P200" s="543" t="n"/>
      <c r="Q200" s="136" t="n"/>
      <c r="R200" s="543" t="n"/>
      <c r="S200" s="136" t="n"/>
      <c r="T200" s="136" t="n"/>
      <c r="U200" s="64" t="n"/>
      <c r="V200" s="64" t="n"/>
      <c r="W200" s="64" t="n"/>
      <c r="X200" s="64" t="n"/>
      <c r="Y200" s="136" t="n"/>
      <c r="Z200" s="64" t="n"/>
      <c r="AA200" s="64" t="n"/>
      <c r="AB200" s="64" t="n"/>
      <c r="AC200" s="64" t="n"/>
      <c r="AD200" s="136" t="n"/>
      <c r="AE200" s="64" t="n"/>
      <c r="AF200" s="64" t="n"/>
      <c r="AG200" s="64" t="n"/>
      <c r="AH200" s="64" t="n"/>
      <c r="AI200" s="136" t="n"/>
      <c r="AJ200" s="64" t="n"/>
      <c r="AK200" s="64" t="n"/>
      <c r="AL200" s="64" t="n"/>
      <c r="AM200" s="64" t="n"/>
      <c r="AN200" s="64" t="n"/>
      <c r="AO200" s="136" t="n"/>
      <c r="AP200" s="64" t="n"/>
      <c r="AQ200" s="64" t="n"/>
      <c r="AR200" s="64" t="n"/>
      <c r="AS200" s="64" t="n"/>
      <c r="AT200" s="64" t="n"/>
      <c r="AU200" s="64" t="n"/>
      <c r="AV200" s="64" t="n"/>
      <c r="AW200" s="64" t="n"/>
      <c r="AX200" s="64" t="n"/>
      <c r="AY200" s="136" t="n"/>
      <c r="AZ200" s="64" t="n"/>
      <c r="BA200" s="64" t="n"/>
      <c r="BB200" s="64" t="n"/>
      <c r="BC200" s="64" t="n"/>
      <c r="BD200" s="64" t="n"/>
      <c r="BE200" s="64" t="n"/>
      <c r="BF200" s="308" t="n"/>
      <c r="BG200" s="64" t="n"/>
      <c r="BH200" s="64" t="n"/>
      <c r="BI200" s="136" t="n"/>
      <c r="BJ200" s="64" t="n"/>
      <c r="BK200" s="64" t="n"/>
      <c r="BL200" s="64" t="n"/>
      <c r="BM200" s="64" t="n"/>
      <c r="BN200" s="64" t="n"/>
      <c r="BO200" s="64" t="n"/>
      <c r="BP200" s="64" t="n"/>
      <c r="BQ200" s="64" t="n"/>
      <c r="BR200" s="64" t="n"/>
      <c r="BS200" s="64" t="n"/>
      <c r="BT200" s="64" t="n"/>
      <c r="BU200" s="64" t="n"/>
      <c r="BV200" s="64" t="n"/>
      <c r="BW200" s="64" t="n"/>
      <c r="BX200" s="64" t="n"/>
      <c r="BY200" s="64" t="n"/>
      <c r="BZ200" s="64" t="n"/>
      <c r="CA200" s="64" t="n"/>
    </row>
    <row r="201" ht="20.25" customHeight="1">
      <c r="A201" s="607" t="n"/>
      <c r="B201" s="614" t="n"/>
      <c r="C201" s="614" t="n"/>
      <c r="D201" s="614" t="n"/>
      <c r="E201" s="292" t="n"/>
      <c r="F201" s="614" t="n"/>
      <c r="G201" s="2349" t="n"/>
      <c r="H201" s="607" t="n"/>
      <c r="I201" s="607" t="n"/>
      <c r="J201" s="614" t="n"/>
      <c r="K201" s="607" t="n"/>
      <c r="L201" s="614" t="n"/>
      <c r="M201" s="607" t="n"/>
      <c r="N201" s="614" t="n"/>
      <c r="O201" s="2350" t="n"/>
      <c r="P201" s="2351" t="n"/>
      <c r="Q201" s="607" t="n"/>
      <c r="R201" s="2351" t="n"/>
      <c r="S201" s="607" t="n"/>
      <c r="T201" s="607" t="n"/>
      <c r="U201" s="614" t="n"/>
      <c r="V201" s="614" t="n"/>
      <c r="W201" s="614" t="n"/>
      <c r="X201" s="614" t="n"/>
      <c r="Y201" s="607" t="n"/>
      <c r="Z201" s="614" t="n"/>
      <c r="AA201" s="614" t="n"/>
      <c r="AB201" s="614" t="n"/>
      <c r="AC201" s="614" t="n"/>
      <c r="AD201" s="607" t="n"/>
      <c r="AE201" s="614" t="n"/>
      <c r="AF201" s="614" t="n"/>
      <c r="AG201" s="614" t="n"/>
      <c r="AH201" s="614" t="n"/>
      <c r="AI201" s="607" t="n"/>
      <c r="AJ201" s="614" t="n"/>
      <c r="AK201" s="614" t="n"/>
      <c r="AL201" s="614" t="n"/>
      <c r="AM201" s="614" t="n"/>
      <c r="AN201" s="64" t="n"/>
      <c r="AO201" s="136" t="n"/>
      <c r="AP201" s="64" t="n"/>
      <c r="AQ201" s="64" t="n"/>
      <c r="AR201" s="64" t="n"/>
      <c r="AS201" s="64" t="n"/>
      <c r="AT201" s="64" t="n"/>
      <c r="AU201" s="64" t="n"/>
      <c r="AV201" s="64" t="n"/>
      <c r="AW201" s="64" t="n"/>
      <c r="AX201" s="64" t="n"/>
      <c r="AY201" s="136" t="n"/>
      <c r="AZ201" s="64" t="n"/>
      <c r="BA201" s="64" t="n"/>
      <c r="BB201" s="64" t="n"/>
      <c r="BC201" s="64" t="n"/>
      <c r="BD201" s="64" t="n"/>
      <c r="BE201" s="64" t="n"/>
      <c r="BF201" s="308" t="n"/>
      <c r="BG201" s="64" t="n"/>
      <c r="BH201" s="64" t="n"/>
      <c r="BI201" s="136" t="n"/>
      <c r="BJ201" s="64" t="n"/>
      <c r="BK201" s="64" t="n"/>
      <c r="BL201" s="64" t="n"/>
      <c r="BM201" s="64" t="n"/>
      <c r="BN201" s="64" t="n"/>
      <c r="BO201" s="64" t="n"/>
      <c r="BP201" s="64" t="n"/>
      <c r="BQ201" s="64" t="n"/>
      <c r="BR201" s="64" t="n"/>
      <c r="BS201" s="64" t="n"/>
      <c r="BT201" s="64" t="n"/>
      <c r="BU201" s="64" t="n"/>
      <c r="BV201" s="64" t="n"/>
      <c r="BW201" s="64" t="n"/>
      <c r="BX201" s="64" t="n"/>
      <c r="BY201" s="64" t="n"/>
      <c r="BZ201" s="64" t="n"/>
      <c r="CA201" s="64" t="n"/>
    </row>
    <row r="202" ht="20.25" customHeight="1">
      <c r="A202" s="607" t="n"/>
      <c r="B202" s="614" t="n"/>
      <c r="C202" s="614" t="n"/>
      <c r="D202" s="614" t="n"/>
      <c r="E202" s="292" t="n"/>
      <c r="F202" s="614" t="n"/>
      <c r="G202" s="2349" t="n"/>
      <c r="H202" s="607" t="n"/>
      <c r="I202" s="607" t="n"/>
      <c r="J202" s="614" t="n"/>
      <c r="K202" s="607" t="n"/>
      <c r="L202" s="614" t="n"/>
      <c r="M202" s="607" t="n"/>
      <c r="N202" s="614" t="n"/>
      <c r="O202" s="2350" t="n"/>
      <c r="P202" s="2351" t="n"/>
      <c r="Q202" s="607" t="n"/>
      <c r="R202" s="2351" t="n"/>
      <c r="S202" s="607" t="n"/>
      <c r="T202" s="607" t="n"/>
      <c r="U202" s="614" t="n"/>
      <c r="V202" s="614" t="n"/>
      <c r="W202" s="614" t="n"/>
      <c r="X202" s="614" t="n"/>
      <c r="Y202" s="607" t="n"/>
      <c r="Z202" s="614" t="n"/>
      <c r="AA202" s="614" t="n"/>
      <c r="AB202" s="614" t="n"/>
      <c r="AC202" s="614" t="n"/>
      <c r="AD202" s="607" t="n"/>
      <c r="AE202" s="614" t="n"/>
      <c r="AF202" s="614" t="n"/>
      <c r="AG202" s="614" t="n"/>
      <c r="AH202" s="614" t="n"/>
      <c r="AI202" s="607" t="n"/>
      <c r="AJ202" s="614" t="n"/>
      <c r="AK202" s="614" t="n"/>
      <c r="AL202" s="614" t="n"/>
      <c r="AM202" s="614" t="n"/>
      <c r="AN202" s="64" t="n"/>
      <c r="AO202" s="136" t="n"/>
      <c r="AP202" s="64" t="n"/>
      <c r="AQ202" s="64" t="n"/>
      <c r="AR202" s="64" t="n"/>
      <c r="AS202" s="64" t="n"/>
      <c r="AT202" s="64" t="n"/>
      <c r="AU202" s="64" t="n"/>
      <c r="AV202" s="64" t="n"/>
      <c r="AW202" s="64" t="n"/>
      <c r="AX202" s="64" t="n"/>
      <c r="AY202" s="136" t="n"/>
      <c r="AZ202" s="64" t="n"/>
      <c r="BA202" s="64" t="n"/>
      <c r="BB202" s="64" t="n"/>
      <c r="BC202" s="64" t="n"/>
      <c r="BD202" s="64" t="n"/>
      <c r="BE202" s="64" t="n"/>
      <c r="BF202" s="308" t="n"/>
      <c r="BG202" s="64" t="n"/>
      <c r="BH202" s="64" t="n"/>
      <c r="BI202" s="136" t="n"/>
      <c r="BJ202" s="64" t="n"/>
      <c r="BK202" s="64" t="n"/>
      <c r="BL202" s="64" t="n"/>
      <c r="BM202" s="64" t="n"/>
      <c r="BN202" s="64" t="n"/>
      <c r="BO202" s="64" t="n"/>
      <c r="BP202" s="64" t="n"/>
      <c r="BQ202" s="64" t="n"/>
      <c r="BR202" s="64" t="n"/>
      <c r="BS202" s="64" t="n"/>
      <c r="BT202" s="64" t="n"/>
      <c r="BU202" s="64" t="n"/>
      <c r="BV202" s="64" t="n"/>
      <c r="BW202" s="64" t="n"/>
      <c r="BX202" s="64" t="n"/>
      <c r="BY202" s="64" t="n"/>
      <c r="BZ202" s="64" t="n"/>
      <c r="CA202" s="64" t="n"/>
    </row>
    <row r="203" ht="20.25" customHeight="1">
      <c r="A203" s="607" t="n"/>
      <c r="B203" s="614" t="n"/>
      <c r="C203" s="614" t="n"/>
      <c r="D203" s="614" t="n"/>
      <c r="E203" s="292" t="n"/>
      <c r="F203" s="614" t="n"/>
      <c r="G203" s="2349" t="n"/>
      <c r="H203" s="607" t="n"/>
      <c r="I203" s="607" t="n"/>
      <c r="J203" s="614" t="n"/>
      <c r="K203" s="607" t="n"/>
      <c r="L203" s="614" t="n"/>
      <c r="M203" s="607" t="n"/>
      <c r="N203" s="614" t="n"/>
      <c r="O203" s="2350" t="n"/>
      <c r="P203" s="2351" t="n"/>
      <c r="Q203" s="607" t="n"/>
      <c r="R203" s="2351" t="n"/>
      <c r="S203" s="607" t="n"/>
      <c r="T203" s="607" t="n"/>
      <c r="U203" s="614" t="n"/>
      <c r="V203" s="614" t="n"/>
      <c r="W203" s="614" t="n"/>
      <c r="X203" s="614" t="n"/>
      <c r="Y203" s="607" t="n"/>
      <c r="Z203" s="614" t="n"/>
      <c r="AA203" s="614" t="n"/>
      <c r="AB203" s="614" t="n"/>
      <c r="AC203" s="614" t="n"/>
      <c r="AD203" s="607" t="n"/>
      <c r="AE203" s="614" t="n"/>
      <c r="AF203" s="614" t="n"/>
      <c r="AG203" s="614" t="n"/>
      <c r="AH203" s="614" t="n"/>
      <c r="AI203" s="607" t="n"/>
      <c r="AJ203" s="614" t="n"/>
      <c r="AK203" s="614" t="n"/>
      <c r="AL203" s="614" t="n"/>
      <c r="AM203" s="614" t="n"/>
      <c r="AN203" s="64" t="n"/>
      <c r="AO203" s="136" t="n"/>
      <c r="AP203" s="64" t="n"/>
      <c r="AQ203" s="64" t="n"/>
      <c r="AR203" s="64" t="n"/>
      <c r="AS203" s="64" t="n"/>
      <c r="AT203" s="64" t="n"/>
      <c r="AU203" s="64" t="n"/>
      <c r="AV203" s="64" t="n"/>
      <c r="AW203" s="64" t="n"/>
      <c r="AX203" s="64" t="n"/>
      <c r="AY203" s="136" t="n"/>
      <c r="AZ203" s="64" t="n"/>
      <c r="BA203" s="64" t="n"/>
      <c r="BB203" s="64" t="n"/>
      <c r="BC203" s="64" t="n"/>
      <c r="BD203" s="64" t="n"/>
      <c r="BE203" s="64" t="n"/>
      <c r="BF203" s="308" t="n"/>
      <c r="BG203" s="64" t="n"/>
      <c r="BH203" s="64" t="n"/>
      <c r="BI203" s="136" t="n"/>
      <c r="BJ203" s="64" t="n"/>
      <c r="BK203" s="64" t="n"/>
      <c r="BL203" s="64" t="n"/>
      <c r="BM203" s="64" t="n"/>
      <c r="BN203" s="64" t="n"/>
      <c r="BO203" s="64" t="n"/>
      <c r="BP203" s="64" t="n"/>
      <c r="BQ203" s="64" t="n"/>
      <c r="BR203" s="64" t="n"/>
      <c r="BS203" s="64" t="n"/>
      <c r="BT203" s="64" t="n"/>
      <c r="BU203" s="64" t="n"/>
      <c r="BV203" s="64" t="n"/>
      <c r="BW203" s="64" t="n"/>
      <c r="BX203" s="64" t="n"/>
      <c r="BY203" s="64" t="n"/>
      <c r="BZ203" s="64" t="n"/>
      <c r="CA203" s="64" t="n"/>
    </row>
    <row r="204" ht="20.25" customHeight="1">
      <c r="A204" s="607" t="n"/>
      <c r="B204" s="614" t="n"/>
      <c r="C204" s="614" t="n"/>
      <c r="D204" s="614" t="n"/>
      <c r="E204" s="292" t="n"/>
      <c r="F204" s="614" t="n"/>
      <c r="G204" s="2349" t="n"/>
      <c r="H204" s="607" t="n"/>
      <c r="I204" s="607" t="n"/>
      <c r="J204" s="614" t="n"/>
      <c r="K204" s="607" t="n"/>
      <c r="L204" s="614" t="n"/>
      <c r="M204" s="607" t="n"/>
      <c r="N204" s="614" t="n"/>
      <c r="O204" s="2350" t="n"/>
      <c r="P204" s="2351" t="n"/>
      <c r="Q204" s="607" t="n"/>
      <c r="R204" s="2351" t="n"/>
      <c r="S204" s="607" t="n"/>
      <c r="T204" s="607" t="n"/>
      <c r="U204" s="614" t="n"/>
      <c r="V204" s="614" t="n"/>
      <c r="W204" s="614" t="n"/>
      <c r="X204" s="614" t="n"/>
      <c r="Y204" s="607" t="n"/>
      <c r="Z204" s="614" t="n"/>
      <c r="AA204" s="614" t="n"/>
      <c r="AB204" s="614" t="n"/>
      <c r="AC204" s="614" t="n"/>
      <c r="AD204" s="607" t="n"/>
      <c r="AE204" s="614" t="n"/>
      <c r="AF204" s="614" t="n"/>
      <c r="AG204" s="614" t="n"/>
      <c r="AH204" s="614" t="n"/>
      <c r="AI204" s="607" t="n"/>
      <c r="AJ204" s="614" t="n"/>
      <c r="AK204" s="614" t="n"/>
      <c r="AL204" s="614" t="n"/>
      <c r="AM204" s="614" t="n"/>
      <c r="AN204" s="64" t="n"/>
      <c r="AO204" s="136" t="n"/>
      <c r="AP204" s="64" t="n"/>
      <c r="AQ204" s="64" t="n"/>
      <c r="AR204" s="64" t="n"/>
      <c r="AS204" s="64" t="n"/>
      <c r="AT204" s="64" t="n"/>
      <c r="AU204" s="64" t="n"/>
      <c r="AV204" s="64" t="n"/>
      <c r="AW204" s="64" t="n"/>
      <c r="AX204" s="64" t="n"/>
      <c r="AY204" s="136" t="n"/>
      <c r="AZ204" s="64" t="n"/>
      <c r="BA204" s="64" t="n"/>
      <c r="BB204" s="64" t="n"/>
      <c r="BC204" s="64" t="n"/>
      <c r="BD204" s="64" t="n"/>
      <c r="BE204" s="64" t="n"/>
      <c r="BF204" s="308" t="n"/>
      <c r="BG204" s="64" t="n"/>
      <c r="BH204" s="64" t="n"/>
      <c r="BI204" s="136" t="n"/>
      <c r="BJ204" s="64" t="n"/>
      <c r="BK204" s="64" t="n"/>
      <c r="BL204" s="64" t="n"/>
      <c r="BM204" s="64" t="n"/>
      <c r="BN204" s="64" t="n"/>
      <c r="BO204" s="64" t="n"/>
      <c r="BP204" s="64" t="n"/>
      <c r="BQ204" s="64" t="n"/>
      <c r="BR204" s="64" t="n"/>
      <c r="BS204" s="64" t="n"/>
      <c r="BT204" s="64" t="n"/>
      <c r="BU204" s="64" t="n"/>
      <c r="BV204" s="64" t="n"/>
      <c r="BW204" s="64" t="n"/>
      <c r="BX204" s="64" t="n"/>
      <c r="BY204" s="64" t="n"/>
      <c r="BZ204" s="64" t="n"/>
      <c r="CA204" s="64" t="n"/>
    </row>
    <row r="205" ht="20.25" customHeight="1">
      <c r="A205" s="607" t="n"/>
      <c r="B205" s="614" t="n"/>
      <c r="C205" s="614" t="n"/>
      <c r="D205" s="614" t="n"/>
      <c r="E205" s="292" t="n"/>
      <c r="F205" s="614" t="n"/>
      <c r="G205" s="2349" t="n"/>
      <c r="H205" s="607" t="n"/>
      <c r="I205" s="607" t="n"/>
      <c r="J205" s="614" t="n"/>
      <c r="K205" s="607" t="n"/>
      <c r="L205" s="614" t="n"/>
      <c r="M205" s="607" t="n"/>
      <c r="N205" s="614" t="n"/>
      <c r="O205" s="2350" t="n"/>
      <c r="P205" s="2351" t="n"/>
      <c r="Q205" s="607" t="n"/>
      <c r="R205" s="2351" t="n"/>
      <c r="S205" s="607" t="n"/>
      <c r="T205" s="607" t="n"/>
      <c r="U205" s="614" t="n"/>
      <c r="V205" s="614" t="n"/>
      <c r="W205" s="614" t="n"/>
      <c r="X205" s="614" t="n"/>
      <c r="Y205" s="607" t="n"/>
      <c r="Z205" s="614" t="n"/>
      <c r="AA205" s="614" t="n"/>
      <c r="AB205" s="614" t="n"/>
      <c r="AC205" s="614" t="n"/>
      <c r="AD205" s="607" t="n"/>
      <c r="AE205" s="614" t="n"/>
      <c r="AF205" s="614" t="n"/>
      <c r="AG205" s="614" t="n"/>
      <c r="AH205" s="614" t="n"/>
      <c r="AI205" s="607" t="n"/>
      <c r="AJ205" s="614" t="n"/>
      <c r="AK205" s="614" t="n"/>
      <c r="AL205" s="614" t="n"/>
      <c r="AM205" s="614" t="n"/>
      <c r="AN205" s="64" t="n"/>
      <c r="AO205" s="136" t="n"/>
      <c r="AP205" s="64" t="n"/>
      <c r="AQ205" s="64" t="n"/>
      <c r="AR205" s="64" t="n"/>
      <c r="AS205" s="64" t="n"/>
      <c r="AT205" s="64" t="n"/>
      <c r="AU205" s="64" t="n"/>
      <c r="AV205" s="64" t="n"/>
      <c r="AW205" s="64" t="n"/>
      <c r="AX205" s="64" t="n"/>
      <c r="AY205" s="136" t="n"/>
      <c r="AZ205" s="64" t="n"/>
      <c r="BA205" s="64" t="n"/>
      <c r="BB205" s="64" t="n"/>
      <c r="BC205" s="64" t="n"/>
      <c r="BD205" s="64" t="n"/>
      <c r="BE205" s="64" t="n"/>
      <c r="BF205" s="308" t="n"/>
      <c r="BG205" s="64" t="n"/>
      <c r="BH205" s="64" t="n"/>
      <c r="BI205" s="136" t="n"/>
      <c r="BJ205" s="64" t="n"/>
      <c r="BK205" s="64" t="n"/>
      <c r="BL205" s="64" t="n"/>
      <c r="BM205" s="64" t="n"/>
      <c r="BN205" s="64" t="n"/>
      <c r="BO205" s="64" t="n"/>
      <c r="BP205" s="64" t="n"/>
      <c r="BQ205" s="64" t="n"/>
      <c r="BR205" s="64" t="n"/>
      <c r="BS205" s="64" t="n"/>
      <c r="BT205" s="64" t="n"/>
      <c r="BU205" s="64" t="n"/>
      <c r="BV205" s="64" t="n"/>
      <c r="BW205" s="64" t="n"/>
      <c r="BX205" s="64" t="n"/>
      <c r="BY205" s="64" t="n"/>
      <c r="BZ205" s="64" t="n"/>
      <c r="CA205" s="64" t="n"/>
    </row>
    <row r="206" ht="20.25" customHeight="1">
      <c r="A206" s="607" t="n"/>
      <c r="B206" s="614" t="n"/>
      <c r="C206" s="614" t="n"/>
      <c r="D206" s="614" t="n"/>
      <c r="E206" s="292" t="n"/>
      <c r="F206" s="614" t="n"/>
      <c r="G206" s="2349" t="n"/>
      <c r="H206" s="607" t="n"/>
      <c r="I206" s="607" t="n"/>
      <c r="J206" s="614" t="n"/>
      <c r="K206" s="607" t="n"/>
      <c r="L206" s="614" t="n"/>
      <c r="M206" s="607" t="n"/>
      <c r="N206" s="614" t="n"/>
      <c r="O206" s="2350" t="n"/>
      <c r="P206" s="2351" t="n"/>
      <c r="Q206" s="607" t="n"/>
      <c r="R206" s="2351" t="n"/>
      <c r="S206" s="607" t="n"/>
      <c r="T206" s="607" t="n"/>
      <c r="U206" s="614" t="n"/>
      <c r="V206" s="614" t="n"/>
      <c r="W206" s="614" t="n"/>
      <c r="X206" s="614" t="n"/>
      <c r="Y206" s="607" t="n"/>
      <c r="Z206" s="614" t="n"/>
      <c r="AA206" s="614" t="n"/>
      <c r="AB206" s="614" t="n"/>
      <c r="AC206" s="614" t="n"/>
      <c r="AD206" s="607" t="n"/>
      <c r="AE206" s="614" t="n"/>
      <c r="AF206" s="614" t="n"/>
      <c r="AG206" s="614" t="n"/>
      <c r="AH206" s="614" t="n"/>
      <c r="AI206" s="607" t="n"/>
      <c r="AJ206" s="614" t="n"/>
      <c r="AK206" s="614" t="n"/>
      <c r="AL206" s="614" t="n"/>
      <c r="AM206" s="614" t="n"/>
      <c r="AN206" s="64" t="n"/>
      <c r="AO206" s="136" t="n"/>
      <c r="AP206" s="64" t="n"/>
      <c r="AQ206" s="64" t="n"/>
      <c r="AR206" s="64" t="n"/>
      <c r="AS206" s="64" t="n"/>
      <c r="AT206" s="64" t="n"/>
      <c r="AU206" s="64" t="n"/>
      <c r="AV206" s="64" t="n"/>
      <c r="AW206" s="64" t="n"/>
      <c r="AX206" s="64" t="n"/>
      <c r="AY206" s="136" t="n"/>
      <c r="AZ206" s="64" t="n"/>
      <c r="BA206" s="64" t="n"/>
      <c r="BB206" s="64" t="n"/>
      <c r="BC206" s="64" t="n"/>
      <c r="BD206" s="64" t="n"/>
      <c r="BE206" s="64" t="n"/>
      <c r="BF206" s="308" t="n"/>
      <c r="BG206" s="64" t="n"/>
      <c r="BH206" s="64" t="n"/>
      <c r="BI206" s="136" t="n"/>
      <c r="BJ206" s="64" t="n"/>
      <c r="BK206" s="64" t="n"/>
      <c r="BL206" s="64" t="n"/>
      <c r="BM206" s="64" t="n"/>
      <c r="BN206" s="64" t="n"/>
      <c r="BO206" s="64" t="n"/>
      <c r="BP206" s="64" t="n"/>
      <c r="BQ206" s="64" t="n"/>
      <c r="BR206" s="64" t="n"/>
      <c r="BS206" s="64" t="n"/>
      <c r="BT206" s="64" t="n"/>
      <c r="BU206" s="64" t="n"/>
      <c r="BV206" s="64" t="n"/>
      <c r="BW206" s="64" t="n"/>
      <c r="BX206" s="64" t="n"/>
      <c r="BY206" s="64" t="n"/>
      <c r="BZ206" s="64" t="n"/>
      <c r="CA206" s="64" t="n"/>
    </row>
    <row r="207" ht="20.25" customHeight="1">
      <c r="A207" s="607" t="n"/>
      <c r="B207" s="614" t="n"/>
      <c r="C207" s="614" t="n"/>
      <c r="D207" s="614" t="n"/>
      <c r="E207" s="292" t="n"/>
      <c r="F207" s="614" t="n"/>
      <c r="G207" s="2349" t="n"/>
      <c r="H207" s="607" t="n"/>
      <c r="I207" s="607" t="n"/>
      <c r="J207" s="614" t="n"/>
      <c r="K207" s="607" t="n"/>
      <c r="L207" s="614" t="n"/>
      <c r="M207" s="607" t="n"/>
      <c r="N207" s="614" t="n"/>
      <c r="O207" s="2350" t="n"/>
      <c r="P207" s="2351" t="n"/>
      <c r="Q207" s="607" t="n"/>
      <c r="R207" s="2351" t="n"/>
      <c r="S207" s="607" t="n"/>
      <c r="T207" s="607" t="n"/>
      <c r="U207" s="614" t="n"/>
      <c r="V207" s="614" t="n"/>
      <c r="W207" s="614" t="n"/>
      <c r="X207" s="614" t="n"/>
      <c r="Y207" s="607" t="n"/>
      <c r="Z207" s="614" t="n"/>
      <c r="AA207" s="614" t="n"/>
      <c r="AB207" s="614" t="n"/>
      <c r="AC207" s="614" t="n"/>
      <c r="AD207" s="607" t="n"/>
      <c r="AE207" s="614" t="n"/>
      <c r="AF207" s="614" t="n"/>
      <c r="AG207" s="614" t="n"/>
      <c r="AH207" s="614" t="n"/>
      <c r="AI207" s="607" t="n"/>
      <c r="AJ207" s="614" t="n"/>
      <c r="AK207" s="614" t="n"/>
      <c r="AL207" s="614" t="n"/>
      <c r="AM207" s="614" t="n"/>
      <c r="AN207" s="64" t="n"/>
      <c r="AO207" s="136" t="n"/>
      <c r="AP207" s="64" t="n"/>
      <c r="AQ207" s="64" t="n"/>
      <c r="AR207" s="64" t="n"/>
      <c r="AS207" s="64" t="n"/>
      <c r="AT207" s="64" t="n"/>
      <c r="AU207" s="64" t="n"/>
      <c r="AV207" s="64" t="n"/>
      <c r="AW207" s="64" t="n"/>
      <c r="AX207" s="64" t="n"/>
      <c r="AY207" s="136" t="n"/>
      <c r="AZ207" s="64" t="n"/>
      <c r="BA207" s="64" t="n"/>
      <c r="BB207" s="64" t="n"/>
      <c r="BC207" s="64" t="n"/>
      <c r="BD207" s="64" t="n"/>
      <c r="BE207" s="64" t="n"/>
      <c r="BF207" s="308" t="n"/>
      <c r="BG207" s="64" t="n"/>
      <c r="BH207" s="64" t="n"/>
      <c r="BI207" s="136" t="n"/>
      <c r="BJ207" s="64" t="n"/>
      <c r="BK207" s="64" t="n"/>
      <c r="BL207" s="64" t="n"/>
      <c r="BM207" s="64" t="n"/>
      <c r="BN207" s="64" t="n"/>
      <c r="BO207" s="64" t="n"/>
      <c r="BP207" s="64" t="n"/>
      <c r="BQ207" s="64" t="n"/>
      <c r="BR207" s="64" t="n"/>
      <c r="BS207" s="64" t="n"/>
      <c r="BT207" s="64" t="n"/>
      <c r="BU207" s="64" t="n"/>
      <c r="BV207" s="64" t="n"/>
      <c r="BW207" s="64" t="n"/>
      <c r="BX207" s="64" t="n"/>
      <c r="BY207" s="64" t="n"/>
      <c r="BZ207" s="64" t="n"/>
      <c r="CA207" s="64" t="n"/>
    </row>
    <row r="208" ht="20.25" customHeight="1">
      <c r="A208" s="607" t="n"/>
      <c r="B208" s="614" t="n"/>
      <c r="C208" s="614" t="n"/>
      <c r="D208" s="614" t="n"/>
      <c r="E208" s="292" t="n"/>
      <c r="F208" s="614" t="n"/>
      <c r="G208" s="2349" t="n"/>
      <c r="H208" s="607" t="n"/>
      <c r="I208" s="607" t="n"/>
      <c r="J208" s="614" t="n"/>
      <c r="K208" s="607" t="n"/>
      <c r="L208" s="614" t="n"/>
      <c r="M208" s="607" t="n"/>
      <c r="N208" s="614" t="n"/>
      <c r="O208" s="2350" t="n"/>
      <c r="P208" s="2351" t="n"/>
      <c r="Q208" s="607" t="n"/>
      <c r="R208" s="2351" t="n"/>
      <c r="S208" s="607" t="n"/>
      <c r="T208" s="607" t="n"/>
      <c r="U208" s="614" t="n"/>
      <c r="V208" s="614" t="n"/>
      <c r="W208" s="614" t="n"/>
      <c r="X208" s="614" t="n"/>
      <c r="Y208" s="607" t="n"/>
      <c r="Z208" s="614" t="n"/>
      <c r="AA208" s="614" t="n"/>
      <c r="AB208" s="614" t="n"/>
      <c r="AC208" s="614" t="n"/>
      <c r="AD208" s="607" t="n"/>
      <c r="AE208" s="614" t="n"/>
      <c r="AF208" s="614" t="n"/>
      <c r="AG208" s="614" t="n"/>
      <c r="AH208" s="614" t="n"/>
      <c r="AI208" s="607" t="n"/>
      <c r="AJ208" s="614" t="n"/>
      <c r="AK208" s="614" t="n"/>
      <c r="AL208" s="614" t="n"/>
      <c r="AM208" s="614" t="n"/>
      <c r="AN208" s="64" t="n"/>
      <c r="AO208" s="136" t="n"/>
      <c r="AP208" s="64" t="n"/>
      <c r="AQ208" s="64" t="n"/>
      <c r="AR208" s="64" t="n"/>
      <c r="AS208" s="64" t="n"/>
      <c r="AT208" s="64" t="n"/>
      <c r="AU208" s="64" t="n"/>
      <c r="AV208" s="64" t="n"/>
      <c r="AW208" s="64" t="n"/>
      <c r="AX208" s="64" t="n"/>
      <c r="AY208" s="136" t="n"/>
      <c r="AZ208" s="64" t="n"/>
      <c r="BA208" s="64" t="n"/>
      <c r="BB208" s="64" t="n"/>
      <c r="BC208" s="64" t="n"/>
      <c r="BD208" s="64" t="n"/>
      <c r="BE208" s="64" t="n"/>
      <c r="BF208" s="308" t="n"/>
      <c r="BG208" s="64" t="n"/>
      <c r="BH208" s="64" t="n"/>
      <c r="BI208" s="136" t="n"/>
      <c r="BJ208" s="64" t="n"/>
      <c r="BK208" s="64" t="n"/>
      <c r="BL208" s="64" t="n"/>
      <c r="BM208" s="64" t="n"/>
      <c r="BN208" s="64" t="n"/>
      <c r="BO208" s="64" t="n"/>
      <c r="BP208" s="64" t="n"/>
      <c r="BQ208" s="64" t="n"/>
      <c r="BR208" s="64" t="n"/>
      <c r="BS208" s="64" t="n"/>
      <c r="BT208" s="64" t="n"/>
      <c r="BU208" s="64" t="n"/>
      <c r="BV208" s="64" t="n"/>
      <c r="BW208" s="64" t="n"/>
      <c r="BX208" s="64" t="n"/>
      <c r="BY208" s="64" t="n"/>
      <c r="BZ208" s="64" t="n"/>
      <c r="CA208" s="64" t="n"/>
    </row>
    <row r="209" ht="20.25" customHeight="1">
      <c r="A209" s="607" t="n"/>
      <c r="B209" s="614" t="n"/>
      <c r="C209" s="614" t="n"/>
      <c r="D209" s="614" t="n"/>
      <c r="E209" s="292" t="n"/>
      <c r="F209" s="614" t="n"/>
      <c r="G209" s="2349" t="n"/>
      <c r="H209" s="607" t="n"/>
      <c r="I209" s="607" t="n"/>
      <c r="J209" s="614" t="n"/>
      <c r="K209" s="607" t="n"/>
      <c r="L209" s="614" t="n"/>
      <c r="M209" s="607" t="n"/>
      <c r="N209" s="614" t="n"/>
      <c r="O209" s="2350" t="n"/>
      <c r="P209" s="2351" t="n"/>
      <c r="Q209" s="607" t="n"/>
      <c r="R209" s="2351" t="n"/>
      <c r="S209" s="607" t="n"/>
      <c r="T209" s="607" t="n"/>
      <c r="U209" s="614" t="n"/>
      <c r="V209" s="614" t="n"/>
      <c r="W209" s="614" t="n"/>
      <c r="X209" s="614" t="n"/>
      <c r="Y209" s="607" t="n"/>
      <c r="Z209" s="614" t="n"/>
      <c r="AA209" s="614" t="n"/>
      <c r="AB209" s="614" t="n"/>
      <c r="AC209" s="614" t="n"/>
      <c r="AD209" s="607" t="n"/>
      <c r="AE209" s="614" t="n"/>
      <c r="AF209" s="614" t="n"/>
      <c r="AG209" s="614" t="n"/>
      <c r="AH209" s="614" t="n"/>
      <c r="AI209" s="607" t="n"/>
      <c r="AJ209" s="614" t="n"/>
      <c r="AK209" s="614" t="n"/>
      <c r="AL209" s="614" t="n"/>
      <c r="AM209" s="614" t="n"/>
      <c r="AN209" s="64" t="n"/>
      <c r="AO209" s="136" t="n"/>
      <c r="AP209" s="64" t="n"/>
      <c r="AQ209" s="64" t="n"/>
      <c r="AR209" s="64" t="n"/>
      <c r="AS209" s="64" t="n"/>
      <c r="AT209" s="64" t="n"/>
      <c r="AU209" s="64" t="n"/>
      <c r="AV209" s="64" t="n"/>
      <c r="AW209" s="64" t="n"/>
      <c r="AX209" s="64" t="n"/>
      <c r="AY209" s="136" t="n"/>
      <c r="AZ209" s="64" t="n"/>
      <c r="BA209" s="64" t="n"/>
      <c r="BB209" s="64" t="n"/>
      <c r="BC209" s="64" t="n"/>
      <c r="BD209" s="64" t="n"/>
      <c r="BE209" s="64" t="n"/>
      <c r="BF209" s="308" t="n"/>
      <c r="BG209" s="64" t="n"/>
      <c r="BH209" s="64" t="n"/>
      <c r="BI209" s="136" t="n"/>
      <c r="BJ209" s="64" t="n"/>
      <c r="BK209" s="64" t="n"/>
      <c r="BL209" s="64" t="n"/>
      <c r="BM209" s="64" t="n"/>
      <c r="BN209" s="64" t="n"/>
      <c r="BO209" s="64" t="n"/>
      <c r="BP209" s="64" t="n"/>
      <c r="BQ209" s="64" t="n"/>
      <c r="BR209" s="64" t="n"/>
      <c r="BS209" s="64" t="n"/>
      <c r="BT209" s="64" t="n"/>
      <c r="BU209" s="64" t="n"/>
      <c r="BV209" s="64" t="n"/>
      <c r="BW209" s="64" t="n"/>
      <c r="BX209" s="64" t="n"/>
      <c r="BY209" s="64" t="n"/>
      <c r="BZ209" s="64" t="n"/>
      <c r="CA209" s="64" t="n"/>
    </row>
    <row r="210" ht="20.25" customHeight="1">
      <c r="A210" s="607" t="n"/>
      <c r="B210" s="614" t="n"/>
      <c r="C210" s="614" t="n"/>
      <c r="D210" s="614" t="n"/>
      <c r="E210" s="292" t="n"/>
      <c r="F210" s="614" t="n"/>
      <c r="G210" s="2349" t="n"/>
      <c r="H210" s="607" t="n"/>
      <c r="I210" s="607" t="n"/>
      <c r="J210" s="614" t="n"/>
      <c r="K210" s="607" t="n"/>
      <c r="L210" s="614" t="n"/>
      <c r="M210" s="607" t="n"/>
      <c r="N210" s="614" t="n"/>
      <c r="O210" s="2350" t="n"/>
      <c r="P210" s="2351" t="n"/>
      <c r="Q210" s="607" t="n"/>
      <c r="R210" s="2351" t="n"/>
      <c r="S210" s="607" t="n"/>
      <c r="T210" s="607" t="n"/>
      <c r="U210" s="614" t="n"/>
      <c r="V210" s="614" t="n"/>
      <c r="W210" s="614" t="n"/>
      <c r="X210" s="614" t="n"/>
      <c r="Y210" s="607" t="n"/>
      <c r="Z210" s="614" t="n"/>
      <c r="AA210" s="614" t="n"/>
      <c r="AB210" s="614" t="n"/>
      <c r="AC210" s="614" t="n"/>
      <c r="AD210" s="607" t="n"/>
      <c r="AE210" s="614" t="n"/>
      <c r="AF210" s="614" t="n"/>
      <c r="AG210" s="614" t="n"/>
      <c r="AH210" s="614" t="n"/>
      <c r="AI210" s="607" t="n"/>
      <c r="AJ210" s="614" t="n"/>
      <c r="AK210" s="614" t="n"/>
      <c r="AL210" s="614" t="n"/>
      <c r="AM210" s="614" t="n"/>
      <c r="AN210" s="64" t="n"/>
      <c r="AO210" s="136" t="n"/>
      <c r="AP210" s="64" t="n"/>
      <c r="AQ210" s="64" t="n"/>
      <c r="AR210" s="64" t="n"/>
      <c r="AS210" s="64" t="n"/>
      <c r="AT210" s="64" t="n"/>
      <c r="AU210" s="64" t="n"/>
      <c r="AV210" s="64" t="n"/>
      <c r="AW210" s="64" t="n"/>
      <c r="AX210" s="64" t="n"/>
      <c r="AY210" s="136" t="n"/>
      <c r="AZ210" s="64" t="n"/>
      <c r="BA210" s="64" t="n"/>
      <c r="BB210" s="64" t="n"/>
      <c r="BC210" s="64" t="n"/>
      <c r="BD210" s="64" t="n"/>
      <c r="BE210" s="64" t="n"/>
      <c r="BF210" s="308" t="n"/>
      <c r="BG210" s="64" t="n"/>
      <c r="BH210" s="64" t="n"/>
      <c r="BI210" s="136" t="n"/>
      <c r="BJ210" s="64" t="n"/>
      <c r="BK210" s="64" t="n"/>
      <c r="BL210" s="64" t="n"/>
      <c r="BM210" s="64" t="n"/>
      <c r="BN210" s="64" t="n"/>
      <c r="BO210" s="64" t="n"/>
      <c r="BP210" s="64" t="n"/>
      <c r="BQ210" s="64" t="n"/>
      <c r="BR210" s="64" t="n"/>
      <c r="BS210" s="64" t="n"/>
      <c r="BT210" s="64" t="n"/>
      <c r="BU210" s="64" t="n"/>
      <c r="BV210" s="64" t="n"/>
      <c r="BW210" s="64" t="n"/>
      <c r="BX210" s="64" t="n"/>
      <c r="BY210" s="64" t="n"/>
      <c r="BZ210" s="64" t="n"/>
      <c r="CA210" s="64" t="n"/>
    </row>
    <row r="211" ht="20.25" customHeight="1">
      <c r="A211" s="607" t="n"/>
      <c r="B211" s="614" t="n"/>
      <c r="C211" s="614" t="n"/>
      <c r="D211" s="614" t="n"/>
      <c r="E211" s="292" t="n"/>
      <c r="F211" s="614" t="n"/>
      <c r="G211" s="2349" t="n"/>
      <c r="H211" s="607" t="n"/>
      <c r="I211" s="607" t="n"/>
      <c r="J211" s="614" t="n"/>
      <c r="K211" s="607" t="n"/>
      <c r="L211" s="614" t="n"/>
      <c r="M211" s="607" t="n"/>
      <c r="N211" s="614" t="n"/>
      <c r="O211" s="2350" t="n"/>
      <c r="P211" s="2351" t="n"/>
      <c r="Q211" s="607" t="n"/>
      <c r="R211" s="2351" t="n"/>
      <c r="S211" s="607" t="n"/>
      <c r="T211" s="607" t="n"/>
      <c r="U211" s="614" t="n"/>
      <c r="V211" s="614" t="n"/>
      <c r="W211" s="614" t="n"/>
      <c r="X211" s="614" t="n"/>
      <c r="Y211" s="607" t="n"/>
      <c r="Z211" s="614" t="n"/>
      <c r="AA211" s="614" t="n"/>
      <c r="AB211" s="614" t="n"/>
      <c r="AC211" s="614" t="n"/>
      <c r="AD211" s="607" t="n"/>
      <c r="AE211" s="614" t="n"/>
      <c r="AF211" s="614" t="n"/>
      <c r="AG211" s="614" t="n"/>
      <c r="AH211" s="614" t="n"/>
      <c r="AI211" s="607" t="n"/>
      <c r="AJ211" s="614" t="n"/>
      <c r="AK211" s="614" t="n"/>
      <c r="AL211" s="614" t="n"/>
      <c r="AM211" s="614" t="n"/>
      <c r="AN211" s="64" t="n"/>
      <c r="AO211" s="136" t="n"/>
      <c r="AP211" s="64" t="n"/>
      <c r="AQ211" s="64" t="n"/>
      <c r="AR211" s="64" t="n"/>
      <c r="AS211" s="64" t="n"/>
      <c r="AT211" s="64" t="n"/>
      <c r="AU211" s="64" t="n"/>
      <c r="AV211" s="64" t="n"/>
      <c r="AW211" s="64" t="n"/>
      <c r="AX211" s="64" t="n"/>
      <c r="AY211" s="136" t="n"/>
      <c r="AZ211" s="64" t="n"/>
      <c r="BA211" s="64" t="n"/>
      <c r="BB211" s="64" t="n"/>
      <c r="BC211" s="64" t="n"/>
      <c r="BD211" s="64" t="n"/>
      <c r="BE211" s="64" t="n"/>
      <c r="BF211" s="308" t="n"/>
      <c r="BG211" s="64" t="n"/>
      <c r="BH211" s="64" t="n"/>
      <c r="BI211" s="136" t="n"/>
      <c r="BJ211" s="64" t="n"/>
      <c r="BK211" s="64" t="n"/>
      <c r="BL211" s="64" t="n"/>
      <c r="BM211" s="64" t="n"/>
      <c r="BN211" s="64" t="n"/>
      <c r="BO211" s="64" t="n"/>
      <c r="BP211" s="64" t="n"/>
      <c r="BQ211" s="64" t="n"/>
      <c r="BR211" s="64" t="n"/>
      <c r="BS211" s="64" t="n"/>
      <c r="BT211" s="64" t="n"/>
      <c r="BU211" s="64" t="n"/>
      <c r="BV211" s="64" t="n"/>
      <c r="BW211" s="64" t="n"/>
      <c r="BX211" s="64" t="n"/>
      <c r="BY211" s="64" t="n"/>
      <c r="BZ211" s="64" t="n"/>
      <c r="CA211" s="64" t="n"/>
    </row>
    <row r="212" ht="20.25" customHeight="1">
      <c r="A212" s="607" t="n"/>
      <c r="B212" s="614" t="n"/>
      <c r="C212" s="614" t="n"/>
      <c r="D212" s="614" t="n"/>
      <c r="E212" s="292" t="n"/>
      <c r="F212" s="614" t="n"/>
      <c r="G212" s="2349" t="n"/>
      <c r="H212" s="607" t="n"/>
      <c r="I212" s="607" t="n"/>
      <c r="J212" s="614" t="n"/>
      <c r="K212" s="607" t="n"/>
      <c r="L212" s="614" t="n"/>
      <c r="M212" s="607" t="n"/>
      <c r="N212" s="614" t="n"/>
      <c r="O212" s="2350" t="n"/>
      <c r="P212" s="2351" t="n"/>
      <c r="Q212" s="607" t="n"/>
      <c r="R212" s="2351" t="n"/>
      <c r="S212" s="607" t="n"/>
      <c r="T212" s="607" t="n"/>
      <c r="U212" s="614" t="n"/>
      <c r="V212" s="614" t="n"/>
      <c r="W212" s="614" t="n"/>
      <c r="X212" s="614" t="n"/>
      <c r="Y212" s="607" t="n"/>
      <c r="Z212" s="614" t="n"/>
      <c r="AA212" s="614" t="n"/>
      <c r="AB212" s="614" t="n"/>
      <c r="AC212" s="614" t="n"/>
      <c r="AD212" s="607" t="n"/>
      <c r="AE212" s="614" t="n"/>
      <c r="AF212" s="614" t="n"/>
      <c r="AG212" s="614" t="n"/>
      <c r="AH212" s="614" t="n"/>
      <c r="AI212" s="607" t="n"/>
      <c r="AJ212" s="614" t="n"/>
      <c r="AK212" s="614" t="n"/>
      <c r="AL212" s="614" t="n"/>
      <c r="AM212" s="614" t="n"/>
      <c r="AN212" s="64" t="n"/>
      <c r="AO212" s="136" t="n"/>
      <c r="AP212" s="64" t="n"/>
      <c r="AQ212" s="64" t="n"/>
      <c r="AR212" s="64" t="n"/>
      <c r="AS212" s="64" t="n"/>
      <c r="AT212" s="64" t="n"/>
      <c r="AU212" s="64" t="n"/>
      <c r="AV212" s="64" t="n"/>
      <c r="AW212" s="64" t="n"/>
      <c r="AX212" s="64" t="n"/>
      <c r="AY212" s="136" t="n"/>
      <c r="AZ212" s="64" t="n"/>
      <c r="BA212" s="64" t="n"/>
      <c r="BB212" s="64" t="n"/>
      <c r="BC212" s="64" t="n"/>
      <c r="BD212" s="64" t="n"/>
      <c r="BE212" s="64" t="n"/>
      <c r="BF212" s="308" t="n"/>
      <c r="BG212" s="64" t="n"/>
      <c r="BH212" s="64" t="n"/>
      <c r="BI212" s="136" t="n"/>
      <c r="BJ212" s="64" t="n"/>
      <c r="BK212" s="64" t="n"/>
      <c r="BL212" s="64" t="n"/>
      <c r="BM212" s="64" t="n"/>
      <c r="BN212" s="64" t="n"/>
      <c r="BO212" s="64" t="n"/>
      <c r="BP212" s="64" t="n"/>
      <c r="BQ212" s="64" t="n"/>
      <c r="BR212" s="64" t="n"/>
      <c r="BS212" s="64" t="n"/>
      <c r="BT212" s="64" t="n"/>
      <c r="BU212" s="64" t="n"/>
      <c r="BV212" s="64" t="n"/>
      <c r="BW212" s="64" t="n"/>
      <c r="BX212" s="64" t="n"/>
      <c r="BY212" s="64" t="n"/>
      <c r="BZ212" s="64" t="n"/>
      <c r="CA212" s="64" t="n"/>
    </row>
    <row r="213" ht="20.25" customHeight="1">
      <c r="A213" s="607" t="n"/>
      <c r="B213" s="614" t="n"/>
      <c r="C213" s="614" t="n"/>
      <c r="D213" s="614" t="n"/>
      <c r="E213" s="292" t="n"/>
      <c r="F213" s="614" t="n"/>
      <c r="G213" s="2349" t="n"/>
      <c r="H213" s="607" t="n"/>
      <c r="I213" s="607" t="n"/>
      <c r="J213" s="614" t="n"/>
      <c r="K213" s="607" t="n"/>
      <c r="L213" s="614" t="n"/>
      <c r="M213" s="607" t="n"/>
      <c r="N213" s="614" t="n"/>
      <c r="O213" s="2350" t="n"/>
      <c r="P213" s="2351" t="n"/>
      <c r="Q213" s="607" t="n"/>
      <c r="R213" s="2351" t="n"/>
      <c r="S213" s="607" t="n"/>
      <c r="T213" s="607" t="n"/>
      <c r="U213" s="614" t="n"/>
      <c r="V213" s="614" t="n"/>
      <c r="W213" s="614" t="n"/>
      <c r="X213" s="614" t="n"/>
      <c r="Y213" s="607" t="n"/>
      <c r="Z213" s="614" t="n"/>
      <c r="AA213" s="614" t="n"/>
      <c r="AB213" s="614" t="n"/>
      <c r="AC213" s="614" t="n"/>
      <c r="AD213" s="607" t="n"/>
      <c r="AE213" s="614" t="n"/>
      <c r="AF213" s="614" t="n"/>
      <c r="AG213" s="614" t="n"/>
      <c r="AH213" s="614" t="n"/>
      <c r="AI213" s="607" t="n"/>
      <c r="AJ213" s="614" t="n"/>
      <c r="AK213" s="614" t="n"/>
      <c r="AL213" s="614" t="n"/>
      <c r="AM213" s="614" t="n"/>
      <c r="AN213" s="64" t="n"/>
      <c r="AO213" s="136" t="n"/>
      <c r="AP213" s="64" t="n"/>
      <c r="AQ213" s="64" t="n"/>
      <c r="AR213" s="64" t="n"/>
      <c r="AS213" s="64" t="n"/>
      <c r="AT213" s="64" t="n"/>
      <c r="AU213" s="64" t="n"/>
      <c r="AV213" s="64" t="n"/>
      <c r="AW213" s="64" t="n"/>
      <c r="AX213" s="64" t="n"/>
      <c r="AY213" s="136" t="n"/>
      <c r="AZ213" s="64" t="n"/>
      <c r="BA213" s="64" t="n"/>
      <c r="BB213" s="64" t="n"/>
      <c r="BC213" s="64" t="n"/>
      <c r="BD213" s="64" t="n"/>
      <c r="BE213" s="64" t="n"/>
      <c r="BF213" s="308" t="n"/>
      <c r="BG213" s="64" t="n"/>
      <c r="BH213" s="64" t="n"/>
      <c r="BI213" s="136" t="n"/>
      <c r="BJ213" s="64" t="n"/>
      <c r="BK213" s="64" t="n"/>
      <c r="BL213" s="64" t="n"/>
      <c r="BM213" s="64" t="n"/>
      <c r="BN213" s="64" t="n"/>
      <c r="BO213" s="64" t="n"/>
      <c r="BP213" s="64" t="n"/>
      <c r="BQ213" s="64" t="n"/>
      <c r="BR213" s="64" t="n"/>
      <c r="BS213" s="64" t="n"/>
      <c r="BT213" s="64" t="n"/>
      <c r="BU213" s="64" t="n"/>
      <c r="BV213" s="64" t="n"/>
      <c r="BW213" s="64" t="n"/>
      <c r="BX213" s="64" t="n"/>
      <c r="BY213" s="64" t="n"/>
      <c r="BZ213" s="64" t="n"/>
      <c r="CA213" s="64" t="n"/>
    </row>
    <row r="214" ht="20.25" customHeight="1">
      <c r="A214" s="607" t="n"/>
      <c r="B214" s="614" t="n"/>
      <c r="C214" s="614" t="n"/>
      <c r="D214" s="614" t="n"/>
      <c r="E214" s="292" t="n"/>
      <c r="F214" s="614" t="n"/>
      <c r="G214" s="2349" t="n"/>
      <c r="H214" s="607" t="n"/>
      <c r="I214" s="607" t="n"/>
      <c r="J214" s="614" t="n"/>
      <c r="K214" s="607" t="n"/>
      <c r="L214" s="614" t="n"/>
      <c r="M214" s="607" t="n"/>
      <c r="N214" s="614" t="n"/>
      <c r="O214" s="2350" t="n"/>
      <c r="P214" s="2351" t="n"/>
      <c r="Q214" s="607" t="n"/>
      <c r="R214" s="2351" t="n"/>
      <c r="S214" s="607" t="n"/>
      <c r="T214" s="607" t="n"/>
      <c r="U214" s="614" t="n"/>
      <c r="V214" s="614" t="n"/>
      <c r="W214" s="614" t="n"/>
      <c r="X214" s="614" t="n"/>
      <c r="Y214" s="607" t="n"/>
      <c r="Z214" s="614" t="n"/>
      <c r="AA214" s="614" t="n"/>
      <c r="AB214" s="614" t="n"/>
      <c r="AC214" s="614" t="n"/>
      <c r="AD214" s="607" t="n"/>
      <c r="AE214" s="614" t="n"/>
      <c r="AF214" s="614" t="n"/>
      <c r="AG214" s="614" t="n"/>
      <c r="AH214" s="614" t="n"/>
      <c r="AI214" s="607" t="n"/>
      <c r="AJ214" s="614" t="n"/>
      <c r="AK214" s="614" t="n"/>
      <c r="AL214" s="614" t="n"/>
      <c r="AM214" s="614" t="n"/>
      <c r="AN214" s="64" t="n"/>
      <c r="AO214" s="136" t="n"/>
      <c r="AP214" s="64" t="n"/>
      <c r="AQ214" s="64" t="n"/>
      <c r="AR214" s="64" t="n"/>
      <c r="AS214" s="64" t="n"/>
      <c r="AT214" s="64" t="n"/>
      <c r="AU214" s="64" t="n"/>
      <c r="AV214" s="64" t="n"/>
      <c r="AW214" s="64" t="n"/>
      <c r="AX214" s="64" t="n"/>
      <c r="AY214" s="136" t="n"/>
      <c r="AZ214" s="64" t="n"/>
      <c r="BA214" s="64" t="n"/>
      <c r="BB214" s="64" t="n"/>
      <c r="BC214" s="64" t="n"/>
      <c r="BD214" s="64" t="n"/>
      <c r="BE214" s="64" t="n"/>
      <c r="BF214" s="308" t="n"/>
      <c r="BG214" s="64" t="n"/>
      <c r="BH214" s="64" t="n"/>
      <c r="BI214" s="136" t="n"/>
      <c r="BJ214" s="64" t="n"/>
      <c r="BK214" s="64" t="n"/>
      <c r="BL214" s="64" t="n"/>
      <c r="BM214" s="64" t="n"/>
      <c r="BN214" s="64" t="n"/>
      <c r="BO214" s="64" t="n"/>
      <c r="BP214" s="64" t="n"/>
      <c r="BQ214" s="64" t="n"/>
      <c r="BR214" s="64" t="n"/>
      <c r="BS214" s="64" t="n"/>
      <c r="BT214" s="64" t="n"/>
      <c r="BU214" s="64" t="n"/>
      <c r="BV214" s="64" t="n"/>
      <c r="BW214" s="64" t="n"/>
      <c r="BX214" s="64" t="n"/>
      <c r="BY214" s="64" t="n"/>
      <c r="BZ214" s="64" t="n"/>
      <c r="CA214" s="64" t="n"/>
    </row>
    <row r="215" ht="20.25" customHeight="1">
      <c r="A215" s="607" t="n"/>
      <c r="B215" s="614" t="n"/>
      <c r="C215" s="614" t="n"/>
      <c r="D215" s="614" t="n"/>
      <c r="E215" s="292" t="n"/>
      <c r="F215" s="614" t="n"/>
      <c r="G215" s="2349" t="n"/>
      <c r="H215" s="607" t="n"/>
      <c r="I215" s="607" t="n"/>
      <c r="J215" s="614" t="n"/>
      <c r="K215" s="607" t="n"/>
      <c r="L215" s="614" t="n"/>
      <c r="M215" s="607" t="n"/>
      <c r="N215" s="614" t="n"/>
      <c r="O215" s="2350" t="n"/>
      <c r="P215" s="2351" t="n"/>
      <c r="Q215" s="607" t="n"/>
      <c r="R215" s="2351" t="n"/>
      <c r="S215" s="607" t="n"/>
      <c r="T215" s="607" t="n"/>
      <c r="U215" s="614" t="n"/>
      <c r="V215" s="614" t="n"/>
      <c r="W215" s="614" t="n"/>
      <c r="X215" s="614" t="n"/>
      <c r="Y215" s="607" t="n"/>
      <c r="Z215" s="614" t="n"/>
      <c r="AA215" s="614" t="n"/>
      <c r="AB215" s="614" t="n"/>
      <c r="AC215" s="614" t="n"/>
      <c r="AD215" s="607" t="n"/>
      <c r="AE215" s="614" t="n"/>
      <c r="AF215" s="614" t="n"/>
      <c r="AG215" s="614" t="n"/>
      <c r="AH215" s="614" t="n"/>
      <c r="AI215" s="607" t="n"/>
      <c r="AJ215" s="614" t="n"/>
      <c r="AK215" s="614" t="n"/>
      <c r="AL215" s="614" t="n"/>
      <c r="AM215" s="614" t="n"/>
      <c r="AN215" s="64" t="n"/>
      <c r="AO215" s="136" t="n"/>
      <c r="AP215" s="64" t="n"/>
      <c r="AQ215" s="64" t="n"/>
      <c r="AR215" s="64" t="n"/>
      <c r="AS215" s="64" t="n"/>
      <c r="AT215" s="64" t="n"/>
      <c r="AU215" s="64" t="n"/>
      <c r="AV215" s="64" t="n"/>
      <c r="AW215" s="64" t="n"/>
      <c r="AX215" s="64" t="n"/>
      <c r="AY215" s="136" t="n"/>
      <c r="AZ215" s="64" t="n"/>
      <c r="BA215" s="64" t="n"/>
      <c r="BB215" s="64" t="n"/>
      <c r="BC215" s="64" t="n"/>
      <c r="BD215" s="64" t="n"/>
      <c r="BE215" s="64" t="n"/>
      <c r="BF215" s="308" t="n"/>
      <c r="BG215" s="64" t="n"/>
      <c r="BH215" s="64" t="n"/>
      <c r="BI215" s="136" t="n"/>
      <c r="BJ215" s="64" t="n"/>
      <c r="BK215" s="64" t="n"/>
      <c r="BL215" s="64" t="n"/>
      <c r="BM215" s="64" t="n"/>
      <c r="BN215" s="64" t="n"/>
      <c r="BO215" s="64" t="n"/>
      <c r="BP215" s="64" t="n"/>
      <c r="BQ215" s="64" t="n"/>
      <c r="BR215" s="64" t="n"/>
      <c r="BS215" s="64" t="n"/>
      <c r="BT215" s="64" t="n"/>
      <c r="BU215" s="64" t="n"/>
      <c r="BV215" s="64" t="n"/>
      <c r="BW215" s="64" t="n"/>
      <c r="BX215" s="64" t="n"/>
      <c r="BY215" s="64" t="n"/>
      <c r="BZ215" s="64" t="n"/>
      <c r="CA215" s="64" t="n"/>
    </row>
    <row r="216" ht="20.25" customHeight="1">
      <c r="A216" s="607" t="n"/>
      <c r="B216" s="614" t="n"/>
      <c r="C216" s="614" t="n"/>
      <c r="D216" s="614" t="n"/>
      <c r="E216" s="292" t="n"/>
      <c r="F216" s="614" t="n"/>
      <c r="G216" s="2349" t="n"/>
      <c r="H216" s="607" t="n"/>
      <c r="I216" s="607" t="n"/>
      <c r="J216" s="614" t="n"/>
      <c r="K216" s="607" t="n"/>
      <c r="L216" s="614" t="n"/>
      <c r="M216" s="607" t="n"/>
      <c r="N216" s="614" t="n"/>
      <c r="O216" s="2350" t="n"/>
      <c r="P216" s="2351" t="n"/>
      <c r="Q216" s="607" t="n"/>
      <c r="R216" s="2351" t="n"/>
      <c r="S216" s="607" t="n"/>
      <c r="T216" s="607" t="n"/>
      <c r="U216" s="614" t="n"/>
      <c r="V216" s="614" t="n"/>
      <c r="W216" s="614" t="n"/>
      <c r="X216" s="614" t="n"/>
      <c r="Y216" s="607" t="n"/>
      <c r="Z216" s="614" t="n"/>
      <c r="AA216" s="614" t="n"/>
      <c r="AB216" s="614" t="n"/>
      <c r="AC216" s="614" t="n"/>
      <c r="AD216" s="607" t="n"/>
      <c r="AE216" s="614" t="n"/>
      <c r="AF216" s="614" t="n"/>
      <c r="AG216" s="614" t="n"/>
      <c r="AH216" s="614" t="n"/>
      <c r="AI216" s="607" t="n"/>
      <c r="AJ216" s="614" t="n"/>
      <c r="AK216" s="614" t="n"/>
      <c r="AL216" s="614" t="n"/>
      <c r="AM216" s="614" t="n"/>
      <c r="AN216" s="64" t="n"/>
      <c r="AO216" s="136" t="n"/>
      <c r="AP216" s="64" t="n"/>
      <c r="AQ216" s="64" t="n"/>
      <c r="AR216" s="64" t="n"/>
      <c r="AS216" s="64" t="n"/>
      <c r="AT216" s="64" t="n"/>
      <c r="AU216" s="64" t="n"/>
      <c r="AV216" s="64" t="n"/>
      <c r="AW216" s="64" t="n"/>
      <c r="AX216" s="64" t="n"/>
      <c r="AY216" s="136" t="n"/>
      <c r="AZ216" s="64" t="n"/>
      <c r="BA216" s="64" t="n"/>
      <c r="BB216" s="64" t="n"/>
      <c r="BC216" s="64" t="n"/>
      <c r="BD216" s="64" t="n"/>
      <c r="BE216" s="64" t="n"/>
      <c r="BF216" s="308" t="n"/>
      <c r="BG216" s="64" t="n"/>
      <c r="BH216" s="64" t="n"/>
      <c r="BI216" s="136" t="n"/>
      <c r="BJ216" s="64" t="n"/>
      <c r="BK216" s="64" t="n"/>
      <c r="BL216" s="64" t="n"/>
      <c r="BM216" s="64" t="n"/>
      <c r="BN216" s="64" t="n"/>
      <c r="BO216" s="64" t="n"/>
      <c r="BP216" s="64" t="n"/>
      <c r="BQ216" s="64" t="n"/>
      <c r="BR216" s="64" t="n"/>
      <c r="BS216" s="64" t="n"/>
      <c r="BT216" s="64" t="n"/>
      <c r="BU216" s="64" t="n"/>
      <c r="BV216" s="64" t="n"/>
      <c r="BW216" s="64" t="n"/>
      <c r="BX216" s="64" t="n"/>
      <c r="BY216" s="64" t="n"/>
      <c r="BZ216" s="64" t="n"/>
      <c r="CA216" s="64" t="n"/>
    </row>
    <row r="217" ht="20.25" customHeight="1">
      <c r="A217" s="607" t="n"/>
      <c r="B217" s="614" t="n"/>
      <c r="C217" s="614" t="n"/>
      <c r="D217" s="614" t="n"/>
      <c r="E217" s="292" t="n"/>
      <c r="F217" s="614" t="n"/>
      <c r="G217" s="2349" t="n"/>
      <c r="H217" s="607" t="n"/>
      <c r="I217" s="607" t="n"/>
      <c r="J217" s="614" t="n"/>
      <c r="K217" s="607" t="n"/>
      <c r="L217" s="614" t="n"/>
      <c r="M217" s="607" t="n"/>
      <c r="N217" s="614" t="n"/>
      <c r="O217" s="2350" t="n"/>
      <c r="P217" s="2351" t="n"/>
      <c r="Q217" s="607" t="n"/>
      <c r="R217" s="2351" t="n"/>
      <c r="S217" s="607" t="n"/>
      <c r="T217" s="607" t="n"/>
      <c r="U217" s="614" t="n"/>
      <c r="V217" s="614" t="n"/>
      <c r="W217" s="614" t="n"/>
      <c r="X217" s="614" t="n"/>
      <c r="Y217" s="607" t="n"/>
      <c r="Z217" s="614" t="n"/>
      <c r="AA217" s="614" t="n"/>
      <c r="AB217" s="614" t="n"/>
      <c r="AC217" s="614" t="n"/>
      <c r="AD217" s="607" t="n"/>
      <c r="AE217" s="614" t="n"/>
      <c r="AF217" s="614" t="n"/>
      <c r="AG217" s="614" t="n"/>
      <c r="AH217" s="614" t="n"/>
      <c r="AI217" s="607" t="n"/>
      <c r="AJ217" s="614" t="n"/>
      <c r="AK217" s="614" t="n"/>
      <c r="AL217" s="614" t="n"/>
      <c r="AM217" s="614" t="n"/>
      <c r="AN217" s="64" t="n"/>
      <c r="AO217" s="136" t="n"/>
      <c r="AP217" s="64" t="n"/>
      <c r="AQ217" s="64" t="n"/>
      <c r="AR217" s="64" t="n"/>
      <c r="AS217" s="64" t="n"/>
      <c r="AT217" s="64" t="n"/>
      <c r="AU217" s="64" t="n"/>
      <c r="AV217" s="64" t="n"/>
      <c r="AW217" s="64" t="n"/>
      <c r="AX217" s="64" t="n"/>
      <c r="AY217" s="136" t="n"/>
      <c r="AZ217" s="64" t="n"/>
      <c r="BA217" s="64" t="n"/>
      <c r="BB217" s="64" t="n"/>
      <c r="BC217" s="64" t="n"/>
      <c r="BD217" s="64" t="n"/>
      <c r="BE217" s="64" t="n"/>
      <c r="BF217" s="308" t="n"/>
      <c r="BG217" s="64" t="n"/>
      <c r="BH217" s="64" t="n"/>
      <c r="BI217" s="136" t="n"/>
      <c r="BJ217" s="64" t="n"/>
      <c r="BK217" s="64" t="n"/>
      <c r="BL217" s="64" t="n"/>
      <c r="BM217" s="64" t="n"/>
      <c r="BN217" s="64" t="n"/>
      <c r="BO217" s="64" t="n"/>
      <c r="BP217" s="64" t="n"/>
      <c r="BQ217" s="64" t="n"/>
      <c r="BR217" s="64" t="n"/>
      <c r="BS217" s="64" t="n"/>
      <c r="BT217" s="64" t="n"/>
      <c r="BU217" s="64" t="n"/>
      <c r="BV217" s="64" t="n"/>
      <c r="BW217" s="64" t="n"/>
      <c r="BX217" s="64" t="n"/>
      <c r="BY217" s="64" t="n"/>
      <c r="BZ217" s="64" t="n"/>
      <c r="CA217" s="64" t="n"/>
    </row>
    <row r="218" ht="20.25" customHeight="1">
      <c r="A218" s="607" t="n"/>
      <c r="B218" s="614" t="n"/>
      <c r="C218" s="614" t="n"/>
      <c r="D218" s="614" t="n"/>
      <c r="E218" s="292" t="n"/>
      <c r="F218" s="614" t="n"/>
      <c r="G218" s="2349" t="n"/>
      <c r="H218" s="607" t="n"/>
      <c r="I218" s="607" t="n"/>
      <c r="J218" s="614" t="n"/>
      <c r="K218" s="607" t="n"/>
      <c r="L218" s="614" t="n"/>
      <c r="M218" s="607" t="n"/>
      <c r="N218" s="614" t="n"/>
      <c r="O218" s="2350" t="n"/>
      <c r="P218" s="2351" t="n"/>
      <c r="Q218" s="607" t="n"/>
      <c r="R218" s="2351" t="n"/>
      <c r="S218" s="607" t="n"/>
      <c r="T218" s="607" t="n"/>
      <c r="U218" s="614" t="n"/>
      <c r="V218" s="614" t="n"/>
      <c r="W218" s="614" t="n"/>
      <c r="X218" s="614" t="n"/>
      <c r="Y218" s="607" t="n"/>
      <c r="Z218" s="614" t="n"/>
      <c r="AA218" s="614" t="n"/>
      <c r="AB218" s="614" t="n"/>
      <c r="AC218" s="614" t="n"/>
      <c r="AD218" s="607" t="n"/>
      <c r="AE218" s="614" t="n"/>
      <c r="AF218" s="614" t="n"/>
      <c r="AG218" s="614" t="n"/>
      <c r="AH218" s="614" t="n"/>
      <c r="AI218" s="607" t="n"/>
      <c r="AJ218" s="614" t="n"/>
      <c r="AK218" s="614" t="n"/>
      <c r="AL218" s="614" t="n"/>
      <c r="AM218" s="614" t="n"/>
      <c r="AN218" s="64" t="n"/>
      <c r="AO218" s="136" t="n"/>
      <c r="AP218" s="64" t="n"/>
      <c r="AQ218" s="64" t="n"/>
      <c r="AR218" s="64" t="n"/>
      <c r="AS218" s="64" t="n"/>
      <c r="AT218" s="64" t="n"/>
      <c r="AU218" s="64" t="n"/>
      <c r="AV218" s="64" t="n"/>
      <c r="AW218" s="64" t="n"/>
      <c r="AX218" s="64" t="n"/>
      <c r="AY218" s="136" t="n"/>
      <c r="AZ218" s="64" t="n"/>
      <c r="BA218" s="64" t="n"/>
      <c r="BB218" s="64" t="n"/>
      <c r="BC218" s="64" t="n"/>
      <c r="BD218" s="64" t="n"/>
      <c r="BE218" s="64" t="n"/>
      <c r="BF218" s="308" t="n"/>
      <c r="BG218" s="64" t="n"/>
      <c r="BH218" s="64" t="n"/>
      <c r="BI218" s="136" t="n"/>
      <c r="BJ218" s="64" t="n"/>
      <c r="BK218" s="64" t="n"/>
      <c r="BL218" s="64" t="n"/>
      <c r="BM218" s="64" t="n"/>
      <c r="BN218" s="64" t="n"/>
      <c r="BO218" s="64" t="n"/>
      <c r="BP218" s="64" t="n"/>
      <c r="BQ218" s="64" t="n"/>
      <c r="BR218" s="64" t="n"/>
      <c r="BS218" s="64" t="n"/>
      <c r="BT218" s="64" t="n"/>
      <c r="BU218" s="64" t="n"/>
      <c r="BV218" s="64" t="n"/>
      <c r="BW218" s="64" t="n"/>
      <c r="BX218" s="64" t="n"/>
      <c r="BY218" s="64" t="n"/>
      <c r="BZ218" s="64" t="n"/>
      <c r="CA218" s="64" t="n"/>
    </row>
    <row r="219" ht="20.25" customHeight="1">
      <c r="A219" s="607" t="n"/>
      <c r="B219" s="614" t="n"/>
      <c r="C219" s="614" t="n"/>
      <c r="D219" s="614" t="n"/>
      <c r="E219" s="292" t="n"/>
      <c r="F219" s="614" t="n"/>
      <c r="G219" s="2349" t="n"/>
      <c r="H219" s="607" t="n"/>
      <c r="I219" s="607" t="n"/>
      <c r="J219" s="614" t="n"/>
      <c r="K219" s="607" t="n"/>
      <c r="L219" s="614" t="n"/>
      <c r="M219" s="607" t="n"/>
      <c r="N219" s="614" t="n"/>
      <c r="O219" s="2350" t="n"/>
      <c r="P219" s="2351" t="n"/>
      <c r="Q219" s="607" t="n"/>
      <c r="R219" s="2351" t="n"/>
      <c r="S219" s="607" t="n"/>
      <c r="T219" s="607" t="n"/>
      <c r="U219" s="614" t="n"/>
      <c r="V219" s="614" t="n"/>
      <c r="W219" s="614" t="n"/>
      <c r="X219" s="614" t="n"/>
      <c r="Y219" s="607" t="n"/>
      <c r="Z219" s="614" t="n"/>
      <c r="AA219" s="614" t="n"/>
      <c r="AB219" s="614" t="n"/>
      <c r="AC219" s="614" t="n"/>
      <c r="AD219" s="607" t="n"/>
      <c r="AE219" s="614" t="n"/>
      <c r="AF219" s="614" t="n"/>
      <c r="AG219" s="614" t="n"/>
      <c r="AH219" s="614" t="n"/>
      <c r="AI219" s="607" t="n"/>
      <c r="AJ219" s="614" t="n"/>
      <c r="AK219" s="614" t="n"/>
      <c r="AL219" s="614" t="n"/>
      <c r="AM219" s="614" t="n"/>
      <c r="AN219" s="64" t="n"/>
      <c r="AO219" s="136" t="n"/>
      <c r="AP219" s="64" t="n"/>
      <c r="AQ219" s="64" t="n"/>
      <c r="AR219" s="64" t="n"/>
      <c r="AS219" s="64" t="n"/>
      <c r="AT219" s="64" t="n"/>
      <c r="AU219" s="64" t="n"/>
      <c r="AV219" s="64" t="n"/>
      <c r="AW219" s="64" t="n"/>
      <c r="AX219" s="64" t="n"/>
      <c r="AY219" s="136" t="n"/>
      <c r="AZ219" s="64" t="n"/>
      <c r="BA219" s="64" t="n"/>
      <c r="BB219" s="64" t="n"/>
      <c r="BC219" s="64" t="n"/>
      <c r="BD219" s="64" t="n"/>
      <c r="BE219" s="64" t="n"/>
      <c r="BF219" s="308" t="n"/>
      <c r="BG219" s="64" t="n"/>
      <c r="BH219" s="64" t="n"/>
      <c r="BI219" s="136" t="n"/>
      <c r="BJ219" s="64" t="n"/>
      <c r="BK219" s="64" t="n"/>
      <c r="BL219" s="64" t="n"/>
      <c r="BM219" s="64" t="n"/>
      <c r="BN219" s="64" t="n"/>
      <c r="BO219" s="64" t="n"/>
      <c r="BP219" s="64" t="n"/>
      <c r="BQ219" s="64" t="n"/>
      <c r="BR219" s="64" t="n"/>
      <c r="BS219" s="64" t="n"/>
      <c r="BT219" s="64" t="n"/>
      <c r="BU219" s="64" t="n"/>
      <c r="BV219" s="64" t="n"/>
      <c r="BW219" s="64" t="n"/>
      <c r="BX219" s="64" t="n"/>
      <c r="BY219" s="64" t="n"/>
      <c r="BZ219" s="64" t="n"/>
      <c r="CA219" s="64" t="n"/>
    </row>
    <row r="220" ht="20.25" customHeight="1">
      <c r="A220" s="607" t="n"/>
      <c r="B220" s="614" t="n"/>
      <c r="C220" s="614" t="n"/>
      <c r="D220" s="614" t="n"/>
      <c r="E220" s="292" t="n"/>
      <c r="F220" s="614" t="n"/>
      <c r="G220" s="2349" t="n"/>
      <c r="H220" s="607" t="n"/>
      <c r="I220" s="607" t="n"/>
      <c r="J220" s="614" t="n"/>
      <c r="K220" s="607" t="n"/>
      <c r="L220" s="614" t="n"/>
      <c r="M220" s="607" t="n"/>
      <c r="N220" s="614" t="n"/>
      <c r="O220" s="2350" t="n"/>
      <c r="P220" s="2351" t="n"/>
      <c r="Q220" s="607" t="n"/>
      <c r="R220" s="2351" t="n"/>
      <c r="S220" s="607" t="n"/>
      <c r="T220" s="607" t="n"/>
      <c r="U220" s="614" t="n"/>
      <c r="V220" s="614" t="n"/>
      <c r="W220" s="614" t="n"/>
      <c r="X220" s="614" t="n"/>
      <c r="Y220" s="607" t="n"/>
      <c r="Z220" s="614" t="n"/>
      <c r="AA220" s="614" t="n"/>
      <c r="AB220" s="614" t="n"/>
      <c r="AC220" s="614" t="n"/>
      <c r="AD220" s="607" t="n"/>
      <c r="AE220" s="614" t="n"/>
      <c r="AF220" s="614" t="n"/>
      <c r="AG220" s="614" t="n"/>
      <c r="AH220" s="614" t="n"/>
      <c r="AI220" s="607" t="n"/>
      <c r="AJ220" s="614" t="n"/>
      <c r="AK220" s="614" t="n"/>
      <c r="AL220" s="614" t="n"/>
      <c r="AM220" s="614" t="n"/>
      <c r="AN220" s="64" t="n"/>
      <c r="AO220" s="136" t="n"/>
      <c r="AP220" s="64" t="n"/>
      <c r="AQ220" s="64" t="n"/>
      <c r="AR220" s="64" t="n"/>
      <c r="AS220" s="64" t="n"/>
      <c r="AT220" s="64" t="n"/>
      <c r="AU220" s="64" t="n"/>
      <c r="AV220" s="64" t="n"/>
      <c r="AW220" s="64" t="n"/>
      <c r="AX220" s="64" t="n"/>
      <c r="AY220" s="136" t="n"/>
      <c r="AZ220" s="64" t="n"/>
      <c r="BA220" s="64" t="n"/>
      <c r="BB220" s="64" t="n"/>
      <c r="BC220" s="64" t="n"/>
      <c r="BD220" s="64" t="n"/>
      <c r="BE220" s="64" t="n"/>
      <c r="BF220" s="308" t="n"/>
      <c r="BG220" s="64" t="n"/>
      <c r="BH220" s="64" t="n"/>
      <c r="BI220" s="136" t="n"/>
      <c r="BJ220" s="64" t="n"/>
      <c r="BK220" s="64" t="n"/>
      <c r="BL220" s="64" t="n"/>
      <c r="BM220" s="64" t="n"/>
      <c r="BN220" s="64" t="n"/>
      <c r="BO220" s="64" t="n"/>
      <c r="BP220" s="64" t="n"/>
      <c r="BQ220" s="64" t="n"/>
      <c r="BR220" s="64" t="n"/>
      <c r="BS220" s="64" t="n"/>
      <c r="BT220" s="64" t="n"/>
      <c r="BU220" s="64" t="n"/>
      <c r="BV220" s="64" t="n"/>
      <c r="BW220" s="64" t="n"/>
      <c r="BX220" s="64" t="n"/>
      <c r="BY220" s="64" t="n"/>
      <c r="BZ220" s="64" t="n"/>
      <c r="CA220" s="64" t="n"/>
    </row>
    <row r="221" ht="20.25" customHeight="1">
      <c r="A221" s="607" t="n"/>
      <c r="B221" s="614" t="n"/>
      <c r="C221" s="614" t="n"/>
      <c r="D221" s="614" t="n"/>
      <c r="E221" s="292" t="n"/>
      <c r="F221" s="614" t="n"/>
      <c r="G221" s="2349" t="n"/>
      <c r="H221" s="607" t="n"/>
      <c r="I221" s="607" t="n"/>
      <c r="J221" s="614" t="n"/>
      <c r="K221" s="607" t="n"/>
      <c r="L221" s="614" t="n"/>
      <c r="M221" s="607" t="n"/>
      <c r="N221" s="614" t="n"/>
      <c r="O221" s="2350" t="n"/>
      <c r="P221" s="2351" t="n"/>
      <c r="Q221" s="607" t="n"/>
      <c r="R221" s="2351" t="n"/>
      <c r="S221" s="607" t="n"/>
      <c r="T221" s="607" t="n"/>
      <c r="U221" s="614" t="n"/>
      <c r="V221" s="614" t="n"/>
      <c r="W221" s="614" t="n"/>
      <c r="X221" s="614" t="n"/>
      <c r="Y221" s="607" t="n"/>
      <c r="Z221" s="614" t="n"/>
      <c r="AA221" s="614" t="n"/>
      <c r="AB221" s="614" t="n"/>
      <c r="AC221" s="614" t="n"/>
      <c r="AD221" s="607" t="n"/>
      <c r="AE221" s="614" t="n"/>
      <c r="AF221" s="614" t="n"/>
      <c r="AG221" s="614" t="n"/>
      <c r="AH221" s="614" t="n"/>
      <c r="AI221" s="607" t="n"/>
      <c r="AJ221" s="614" t="n"/>
      <c r="AK221" s="614" t="n"/>
      <c r="AL221" s="614" t="n"/>
      <c r="AM221" s="614" t="n"/>
      <c r="AN221" s="64" t="n"/>
      <c r="AO221" s="136" t="n"/>
      <c r="AP221" s="64" t="n"/>
      <c r="AQ221" s="64" t="n"/>
      <c r="AR221" s="64" t="n"/>
      <c r="AS221" s="64" t="n"/>
      <c r="AT221" s="64" t="n"/>
      <c r="AU221" s="64" t="n"/>
      <c r="AV221" s="64" t="n"/>
      <c r="AW221" s="64" t="n"/>
      <c r="AX221" s="64" t="n"/>
      <c r="AY221" s="136" t="n"/>
      <c r="AZ221" s="64" t="n"/>
      <c r="BA221" s="64" t="n"/>
      <c r="BB221" s="64" t="n"/>
      <c r="BC221" s="64" t="n"/>
      <c r="BD221" s="64" t="n"/>
      <c r="BE221" s="64" t="n"/>
      <c r="BF221" s="308" t="n"/>
      <c r="BG221" s="64" t="n"/>
      <c r="BH221" s="64" t="n"/>
      <c r="BI221" s="136" t="n"/>
      <c r="BJ221" s="64" t="n"/>
      <c r="BK221" s="64" t="n"/>
      <c r="BL221" s="64" t="n"/>
      <c r="BM221" s="64" t="n"/>
      <c r="BN221" s="64" t="n"/>
      <c r="BO221" s="64" t="n"/>
      <c r="BP221" s="64" t="n"/>
      <c r="BQ221" s="64" t="n"/>
      <c r="BR221" s="64" t="n"/>
      <c r="BS221" s="64" t="n"/>
      <c r="BT221" s="64" t="n"/>
      <c r="BU221" s="64" t="n"/>
      <c r="BV221" s="64" t="n"/>
      <c r="BW221" s="64" t="n"/>
      <c r="BX221" s="64" t="n"/>
      <c r="BY221" s="64" t="n"/>
      <c r="BZ221" s="64" t="n"/>
      <c r="CA221" s="64" t="n"/>
    </row>
    <row r="222" ht="20.25" customHeight="1">
      <c r="A222" s="607" t="n"/>
      <c r="B222" s="614" t="n"/>
      <c r="C222" s="614" t="n"/>
      <c r="D222" s="614" t="n"/>
      <c r="E222" s="292" t="n"/>
      <c r="F222" s="614" t="n"/>
      <c r="G222" s="2349" t="n"/>
      <c r="H222" s="607" t="n"/>
      <c r="I222" s="607" t="n"/>
      <c r="J222" s="614" t="n"/>
      <c r="K222" s="607" t="n"/>
      <c r="L222" s="614" t="n"/>
      <c r="M222" s="607" t="n"/>
      <c r="N222" s="614" t="n"/>
      <c r="O222" s="2350" t="n"/>
      <c r="P222" s="2351" t="n"/>
      <c r="Q222" s="607" t="n"/>
      <c r="R222" s="2351" t="n"/>
      <c r="S222" s="607" t="n"/>
      <c r="T222" s="607" t="n"/>
      <c r="U222" s="614" t="n"/>
      <c r="V222" s="614" t="n"/>
      <c r="W222" s="614" t="n"/>
      <c r="X222" s="614" t="n"/>
      <c r="Y222" s="607" t="n"/>
      <c r="Z222" s="614" t="n"/>
      <c r="AA222" s="614" t="n"/>
      <c r="AB222" s="614" t="n"/>
      <c r="AC222" s="614" t="n"/>
      <c r="AD222" s="607" t="n"/>
      <c r="AE222" s="614" t="n"/>
      <c r="AF222" s="614" t="n"/>
      <c r="AG222" s="614" t="n"/>
      <c r="AH222" s="614" t="n"/>
      <c r="AI222" s="607" t="n"/>
      <c r="AJ222" s="614" t="n"/>
      <c r="AK222" s="614" t="n"/>
      <c r="AL222" s="614" t="n"/>
      <c r="AM222" s="614" t="n"/>
      <c r="AN222" s="64" t="n"/>
      <c r="AO222" s="136" t="n"/>
      <c r="AP222" s="64" t="n"/>
      <c r="AQ222" s="64" t="n"/>
      <c r="AR222" s="64" t="n"/>
      <c r="AS222" s="64" t="n"/>
      <c r="AT222" s="64" t="n"/>
      <c r="AU222" s="64" t="n"/>
      <c r="AV222" s="64" t="n"/>
      <c r="AW222" s="64" t="n"/>
      <c r="AX222" s="64" t="n"/>
      <c r="AY222" s="136" t="n"/>
      <c r="AZ222" s="64" t="n"/>
      <c r="BA222" s="64" t="n"/>
      <c r="BB222" s="64" t="n"/>
      <c r="BC222" s="64" t="n"/>
      <c r="BD222" s="64" t="n"/>
      <c r="BE222" s="64" t="n"/>
      <c r="BF222" s="308" t="n"/>
      <c r="BG222" s="64" t="n"/>
      <c r="BH222" s="64" t="n"/>
      <c r="BI222" s="136" t="n"/>
      <c r="BJ222" s="64" t="n"/>
      <c r="BK222" s="64" t="n"/>
      <c r="BL222" s="64" t="n"/>
      <c r="BM222" s="64" t="n"/>
      <c r="BN222" s="64" t="n"/>
      <c r="BO222" s="64" t="n"/>
      <c r="BP222" s="64" t="n"/>
      <c r="BQ222" s="64" t="n"/>
      <c r="BR222" s="64" t="n"/>
      <c r="BS222" s="64" t="n"/>
      <c r="BT222" s="64" t="n"/>
      <c r="BU222" s="64" t="n"/>
      <c r="BV222" s="64" t="n"/>
      <c r="BW222" s="64" t="n"/>
      <c r="BX222" s="64" t="n"/>
      <c r="BY222" s="64" t="n"/>
      <c r="BZ222" s="64" t="n"/>
      <c r="CA222" s="64" t="n"/>
    </row>
    <row r="223" ht="20.25" customHeight="1">
      <c r="A223" s="607" t="n"/>
      <c r="B223" s="614" t="n"/>
      <c r="C223" s="614" t="n"/>
      <c r="D223" s="614" t="n"/>
      <c r="E223" s="292" t="n"/>
      <c r="F223" s="614" t="n"/>
      <c r="G223" s="2349" t="n"/>
      <c r="H223" s="607" t="n"/>
      <c r="I223" s="607" t="n"/>
      <c r="J223" s="614" t="n"/>
      <c r="K223" s="607" t="n"/>
      <c r="L223" s="614" t="n"/>
      <c r="M223" s="607" t="n"/>
      <c r="N223" s="614" t="n"/>
      <c r="O223" s="2350" t="n"/>
      <c r="P223" s="2351" t="n"/>
      <c r="Q223" s="607" t="n"/>
      <c r="R223" s="2351" t="n"/>
      <c r="S223" s="607" t="n"/>
      <c r="T223" s="607" t="n"/>
      <c r="U223" s="614" t="n"/>
      <c r="V223" s="614" t="n"/>
      <c r="W223" s="614" t="n"/>
      <c r="X223" s="614" t="n"/>
      <c r="Y223" s="607" t="n"/>
      <c r="Z223" s="614" t="n"/>
      <c r="AA223" s="614" t="n"/>
      <c r="AB223" s="614" t="n"/>
      <c r="AC223" s="614" t="n"/>
      <c r="AD223" s="607" t="n"/>
      <c r="AE223" s="614" t="n"/>
      <c r="AF223" s="614" t="n"/>
      <c r="AG223" s="614" t="n"/>
      <c r="AH223" s="614" t="n"/>
      <c r="AI223" s="607" t="n"/>
      <c r="AJ223" s="614" t="n"/>
      <c r="AK223" s="614" t="n"/>
      <c r="AL223" s="614" t="n"/>
      <c r="AM223" s="614" t="n"/>
      <c r="AN223" s="64" t="n"/>
      <c r="AO223" s="136" t="n"/>
      <c r="AP223" s="64" t="n"/>
      <c r="AQ223" s="64" t="n"/>
      <c r="AR223" s="64" t="n"/>
      <c r="AS223" s="64" t="n"/>
      <c r="AT223" s="64" t="n"/>
      <c r="AU223" s="64" t="n"/>
      <c r="AV223" s="64" t="n"/>
      <c r="AW223" s="64" t="n"/>
      <c r="AX223" s="64" t="n"/>
      <c r="AY223" s="136" t="n"/>
      <c r="AZ223" s="64" t="n"/>
      <c r="BA223" s="64" t="n"/>
      <c r="BB223" s="64" t="n"/>
      <c r="BC223" s="64" t="n"/>
      <c r="BD223" s="64" t="n"/>
      <c r="BE223" s="64" t="n"/>
      <c r="BF223" s="308" t="n"/>
      <c r="BG223" s="64" t="n"/>
      <c r="BH223" s="64" t="n"/>
      <c r="BI223" s="136" t="n"/>
      <c r="BJ223" s="64" t="n"/>
      <c r="BK223" s="64" t="n"/>
      <c r="BL223" s="64" t="n"/>
      <c r="BM223" s="64" t="n"/>
      <c r="BN223" s="64" t="n"/>
      <c r="BO223" s="64" t="n"/>
      <c r="BP223" s="64" t="n"/>
      <c r="BQ223" s="64" t="n"/>
      <c r="BR223" s="64" t="n"/>
      <c r="BS223" s="64" t="n"/>
      <c r="BT223" s="64" t="n"/>
      <c r="BU223" s="64" t="n"/>
      <c r="BV223" s="64" t="n"/>
      <c r="BW223" s="64" t="n"/>
      <c r="BX223" s="64" t="n"/>
      <c r="BY223" s="64" t="n"/>
      <c r="BZ223" s="64" t="n"/>
      <c r="CA223" s="64" t="n"/>
    </row>
    <row r="224" ht="20.25" customHeight="1">
      <c r="A224" s="607" t="n"/>
      <c r="B224" s="614" t="n"/>
      <c r="C224" s="614" t="n"/>
      <c r="D224" s="614" t="n"/>
      <c r="E224" s="292" t="n"/>
      <c r="F224" s="614" t="n"/>
      <c r="G224" s="2349" t="n"/>
      <c r="H224" s="607" t="n"/>
      <c r="I224" s="607" t="n"/>
      <c r="J224" s="614" t="n"/>
      <c r="K224" s="607" t="n"/>
      <c r="L224" s="614" t="n"/>
      <c r="M224" s="607" t="n"/>
      <c r="N224" s="614" t="n"/>
      <c r="O224" s="2350" t="n"/>
      <c r="P224" s="2351" t="n"/>
      <c r="Q224" s="607" t="n"/>
      <c r="R224" s="2351" t="n"/>
      <c r="S224" s="607" t="n"/>
      <c r="T224" s="607" t="n"/>
      <c r="U224" s="614" t="n"/>
      <c r="V224" s="614" t="n"/>
      <c r="W224" s="614" t="n"/>
      <c r="X224" s="614" t="n"/>
      <c r="Y224" s="607" t="n"/>
      <c r="Z224" s="614" t="n"/>
      <c r="AA224" s="614" t="n"/>
      <c r="AB224" s="614" t="n"/>
      <c r="AC224" s="614" t="n"/>
      <c r="AD224" s="607" t="n"/>
      <c r="AE224" s="614" t="n"/>
      <c r="AF224" s="614" t="n"/>
      <c r="AG224" s="614" t="n"/>
      <c r="AH224" s="614" t="n"/>
      <c r="AI224" s="607" t="n"/>
      <c r="AJ224" s="614" t="n"/>
      <c r="AK224" s="614" t="n"/>
      <c r="AL224" s="614" t="n"/>
      <c r="AM224" s="614" t="n"/>
      <c r="AN224" s="64" t="n"/>
      <c r="AO224" s="136" t="n"/>
      <c r="AP224" s="64" t="n"/>
      <c r="AQ224" s="64" t="n"/>
      <c r="AR224" s="64" t="n"/>
      <c r="AS224" s="64" t="n"/>
      <c r="AT224" s="64" t="n"/>
      <c r="AU224" s="64" t="n"/>
      <c r="AV224" s="64" t="n"/>
      <c r="AW224" s="64" t="n"/>
      <c r="AX224" s="64" t="n"/>
      <c r="AY224" s="136" t="n"/>
      <c r="AZ224" s="64" t="n"/>
      <c r="BA224" s="64" t="n"/>
      <c r="BB224" s="64" t="n"/>
      <c r="BC224" s="64" t="n"/>
      <c r="BD224" s="64" t="n"/>
      <c r="BE224" s="64" t="n"/>
      <c r="BF224" s="308" t="n"/>
      <c r="BG224" s="64" t="n"/>
      <c r="BH224" s="64" t="n"/>
      <c r="BI224" s="136" t="n"/>
      <c r="BJ224" s="64" t="n"/>
      <c r="BK224" s="64" t="n"/>
      <c r="BL224" s="64" t="n"/>
      <c r="BM224" s="64" t="n"/>
      <c r="BN224" s="64" t="n"/>
      <c r="BO224" s="64" t="n"/>
      <c r="BP224" s="64" t="n"/>
      <c r="BQ224" s="64" t="n"/>
      <c r="BR224" s="64" t="n"/>
      <c r="BS224" s="64" t="n"/>
      <c r="BT224" s="64" t="n"/>
      <c r="BU224" s="64" t="n"/>
      <c r="BV224" s="64" t="n"/>
      <c r="BW224" s="64" t="n"/>
      <c r="BX224" s="64" t="n"/>
      <c r="BY224" s="64" t="n"/>
      <c r="BZ224" s="64" t="n"/>
      <c r="CA224" s="64" t="n"/>
    </row>
    <row r="225" ht="20.25" customHeight="1">
      <c r="A225" s="607" t="n"/>
      <c r="B225" s="614" t="n"/>
      <c r="C225" s="614" t="n"/>
      <c r="D225" s="614" t="n"/>
      <c r="E225" s="292" t="n"/>
      <c r="F225" s="614" t="n"/>
      <c r="G225" s="2349" t="n"/>
      <c r="H225" s="607" t="n"/>
      <c r="I225" s="607" t="n"/>
      <c r="J225" s="614" t="n"/>
      <c r="K225" s="607" t="n"/>
      <c r="L225" s="614" t="n"/>
      <c r="M225" s="607" t="n"/>
      <c r="N225" s="614" t="n"/>
      <c r="O225" s="2350" t="n"/>
      <c r="P225" s="2351" t="n"/>
      <c r="Q225" s="607" t="n"/>
      <c r="R225" s="2351" t="n"/>
      <c r="S225" s="607" t="n"/>
      <c r="T225" s="607" t="n"/>
      <c r="U225" s="614" t="n"/>
      <c r="V225" s="614" t="n"/>
      <c r="W225" s="614" t="n"/>
      <c r="X225" s="614" t="n"/>
      <c r="Y225" s="607" t="n"/>
      <c r="Z225" s="614" t="n"/>
      <c r="AA225" s="614" t="n"/>
      <c r="AB225" s="614" t="n"/>
      <c r="AC225" s="614" t="n"/>
      <c r="AD225" s="607" t="n"/>
      <c r="AE225" s="614" t="n"/>
      <c r="AF225" s="614" t="n"/>
      <c r="AG225" s="614" t="n"/>
      <c r="AH225" s="614" t="n"/>
      <c r="AI225" s="607" t="n"/>
      <c r="AJ225" s="614" t="n"/>
      <c r="AK225" s="614" t="n"/>
      <c r="AL225" s="614" t="n"/>
      <c r="AM225" s="614" t="n"/>
      <c r="AN225" s="64" t="n"/>
      <c r="AO225" s="136" t="n"/>
      <c r="AP225" s="64" t="n"/>
      <c r="AQ225" s="64" t="n"/>
      <c r="AR225" s="64" t="n"/>
      <c r="AS225" s="64" t="n"/>
      <c r="AT225" s="64" t="n"/>
      <c r="AU225" s="64" t="n"/>
      <c r="AV225" s="64" t="n"/>
      <c r="AW225" s="64" t="n"/>
      <c r="AX225" s="64" t="n"/>
      <c r="AY225" s="136" t="n"/>
      <c r="AZ225" s="64" t="n"/>
      <c r="BA225" s="64" t="n"/>
      <c r="BB225" s="64" t="n"/>
      <c r="BC225" s="64" t="n"/>
      <c r="BD225" s="64" t="n"/>
      <c r="BE225" s="64" t="n"/>
      <c r="BF225" s="308" t="n"/>
      <c r="BG225" s="64" t="n"/>
      <c r="BH225" s="64" t="n"/>
      <c r="BI225" s="136" t="n"/>
      <c r="BJ225" s="64" t="n"/>
      <c r="BK225" s="64" t="n"/>
      <c r="BL225" s="64" t="n"/>
      <c r="BM225" s="64" t="n"/>
      <c r="BN225" s="64" t="n"/>
      <c r="BO225" s="64" t="n"/>
      <c r="BP225" s="64" t="n"/>
      <c r="BQ225" s="64" t="n"/>
      <c r="BR225" s="64" t="n"/>
      <c r="BS225" s="64" t="n"/>
      <c r="BT225" s="64" t="n"/>
      <c r="BU225" s="64" t="n"/>
      <c r="BV225" s="64" t="n"/>
      <c r="BW225" s="64" t="n"/>
      <c r="BX225" s="64" t="n"/>
      <c r="BY225" s="64" t="n"/>
      <c r="BZ225" s="64" t="n"/>
      <c r="CA225" s="64" t="n"/>
    </row>
    <row r="226" ht="20.25" customHeight="1">
      <c r="A226" s="607" t="n"/>
      <c r="B226" s="614" t="n"/>
      <c r="C226" s="614" t="n"/>
      <c r="D226" s="614" t="n"/>
      <c r="E226" s="292" t="n"/>
      <c r="F226" s="614" t="n"/>
      <c r="G226" s="2349" t="n"/>
      <c r="H226" s="607" t="n"/>
      <c r="I226" s="607" t="n"/>
      <c r="J226" s="614" t="n"/>
      <c r="K226" s="607" t="n"/>
      <c r="L226" s="614" t="n"/>
      <c r="M226" s="607" t="n"/>
      <c r="N226" s="614" t="n"/>
      <c r="O226" s="2350" t="n"/>
      <c r="P226" s="2351" t="n"/>
      <c r="Q226" s="607" t="n"/>
      <c r="R226" s="2351" t="n"/>
      <c r="S226" s="607" t="n"/>
      <c r="T226" s="607" t="n"/>
      <c r="U226" s="614" t="n"/>
      <c r="V226" s="614" t="n"/>
      <c r="W226" s="614" t="n"/>
      <c r="X226" s="614" t="n"/>
      <c r="Y226" s="607" t="n"/>
      <c r="Z226" s="614" t="n"/>
      <c r="AA226" s="614" t="n"/>
      <c r="AB226" s="614" t="n"/>
      <c r="AC226" s="614" t="n"/>
      <c r="AD226" s="607" t="n"/>
      <c r="AE226" s="614" t="n"/>
      <c r="AF226" s="614" t="n"/>
      <c r="AG226" s="614" t="n"/>
      <c r="AH226" s="614" t="n"/>
      <c r="AI226" s="607" t="n"/>
      <c r="AJ226" s="614" t="n"/>
      <c r="AK226" s="614" t="n"/>
      <c r="AL226" s="614" t="n"/>
      <c r="AM226" s="614" t="n"/>
      <c r="AN226" s="64" t="n"/>
      <c r="AO226" s="136" t="n"/>
      <c r="AP226" s="64" t="n"/>
      <c r="AQ226" s="64" t="n"/>
      <c r="AR226" s="64" t="n"/>
      <c r="AS226" s="64" t="n"/>
      <c r="AT226" s="64" t="n"/>
      <c r="AU226" s="64" t="n"/>
      <c r="AV226" s="64" t="n"/>
      <c r="AW226" s="64" t="n"/>
      <c r="AX226" s="64" t="n"/>
      <c r="AY226" s="136" t="n"/>
      <c r="AZ226" s="64" t="n"/>
      <c r="BA226" s="64" t="n"/>
      <c r="BB226" s="64" t="n"/>
      <c r="BC226" s="64" t="n"/>
      <c r="BD226" s="64" t="n"/>
      <c r="BE226" s="64" t="n"/>
      <c r="BF226" s="308" t="n"/>
      <c r="BG226" s="64" t="n"/>
      <c r="BH226" s="64" t="n"/>
      <c r="BI226" s="136" t="n"/>
      <c r="BJ226" s="64" t="n"/>
      <c r="BK226" s="64" t="n"/>
      <c r="BL226" s="64" t="n"/>
      <c r="BM226" s="64" t="n"/>
      <c r="BN226" s="64" t="n"/>
      <c r="BO226" s="64" t="n"/>
      <c r="BP226" s="64" t="n"/>
      <c r="BQ226" s="64" t="n"/>
      <c r="BR226" s="64" t="n"/>
      <c r="BS226" s="64" t="n"/>
      <c r="BT226" s="64" t="n"/>
      <c r="BU226" s="64" t="n"/>
      <c r="BV226" s="64" t="n"/>
      <c r="BW226" s="64" t="n"/>
      <c r="BX226" s="64" t="n"/>
      <c r="BY226" s="64" t="n"/>
      <c r="BZ226" s="64" t="n"/>
      <c r="CA226" s="64" t="n"/>
    </row>
    <row r="227" ht="20.25" customHeight="1">
      <c r="A227" s="607" t="n"/>
      <c r="B227" s="614" t="n"/>
      <c r="C227" s="614" t="n"/>
      <c r="D227" s="614" t="n"/>
      <c r="E227" s="292" t="n"/>
      <c r="F227" s="614" t="n"/>
      <c r="G227" s="2349" t="n"/>
      <c r="H227" s="607" t="n"/>
      <c r="I227" s="607" t="n"/>
      <c r="J227" s="614" t="n"/>
      <c r="K227" s="607" t="n"/>
      <c r="L227" s="614" t="n"/>
      <c r="M227" s="607" t="n"/>
      <c r="N227" s="614" t="n"/>
      <c r="O227" s="2350" t="n"/>
      <c r="P227" s="2351" t="n"/>
      <c r="Q227" s="607" t="n"/>
      <c r="R227" s="2351" t="n"/>
      <c r="S227" s="607" t="n"/>
      <c r="T227" s="607" t="n"/>
      <c r="U227" s="614" t="n"/>
      <c r="V227" s="614" t="n"/>
      <c r="W227" s="614" t="n"/>
      <c r="X227" s="614" t="n"/>
      <c r="Y227" s="607" t="n"/>
      <c r="Z227" s="614" t="n"/>
      <c r="AA227" s="614" t="n"/>
      <c r="AB227" s="614" t="n"/>
      <c r="AC227" s="614" t="n"/>
      <c r="AD227" s="607" t="n"/>
      <c r="AE227" s="614" t="n"/>
      <c r="AF227" s="614" t="n"/>
      <c r="AG227" s="614" t="n"/>
      <c r="AH227" s="614" t="n"/>
      <c r="AI227" s="607" t="n"/>
      <c r="AJ227" s="614" t="n"/>
      <c r="AK227" s="614" t="n"/>
      <c r="AL227" s="614" t="n"/>
      <c r="AM227" s="614" t="n"/>
      <c r="AN227" s="64" t="n"/>
      <c r="AO227" s="136" t="n"/>
      <c r="AP227" s="64" t="n"/>
      <c r="AQ227" s="64" t="n"/>
      <c r="AR227" s="64" t="n"/>
      <c r="AS227" s="64" t="n"/>
      <c r="AT227" s="64" t="n"/>
      <c r="AU227" s="64" t="n"/>
      <c r="AV227" s="64" t="n"/>
      <c r="AW227" s="64" t="n"/>
      <c r="AX227" s="64" t="n"/>
      <c r="AY227" s="136" t="n"/>
      <c r="AZ227" s="64" t="n"/>
      <c r="BA227" s="64" t="n"/>
      <c r="BB227" s="64" t="n"/>
      <c r="BC227" s="64" t="n"/>
      <c r="BD227" s="64" t="n"/>
      <c r="BE227" s="64" t="n"/>
      <c r="BF227" s="308" t="n"/>
      <c r="BG227" s="64" t="n"/>
      <c r="BH227" s="64" t="n"/>
      <c r="BI227" s="136" t="n"/>
      <c r="BJ227" s="64" t="n"/>
      <c r="BK227" s="64" t="n"/>
      <c r="BL227" s="64" t="n"/>
      <c r="BM227" s="64" t="n"/>
      <c r="BN227" s="64" t="n"/>
      <c r="BO227" s="64" t="n"/>
      <c r="BP227" s="64" t="n"/>
      <c r="BQ227" s="64" t="n"/>
      <c r="BR227" s="64" t="n"/>
      <c r="BS227" s="64" t="n"/>
      <c r="BT227" s="64" t="n"/>
      <c r="BU227" s="64" t="n"/>
      <c r="BV227" s="64" t="n"/>
      <c r="BW227" s="64" t="n"/>
      <c r="BX227" s="64" t="n"/>
      <c r="BY227" s="64" t="n"/>
      <c r="BZ227" s="64" t="n"/>
      <c r="CA227" s="64" t="n"/>
    </row>
  </sheetData>
  <mergeCells count="399">
    <mergeCell ref="H171:L171"/>
    <mergeCell ref="Y61:AB61"/>
    <mergeCell ref="AD173:AH173"/>
    <mergeCell ref="Y176:AC176"/>
    <mergeCell ref="O109:Z109"/>
    <mergeCell ref="D139:AL139"/>
    <mergeCell ref="Y168:AC168"/>
    <mergeCell ref="AM138:AN138"/>
    <mergeCell ref="B13:AM13"/>
    <mergeCell ref="B20:D22"/>
    <mergeCell ref="AI81:AM81"/>
    <mergeCell ref="A64:F64"/>
    <mergeCell ref="T80:W80"/>
    <mergeCell ref="M177:R177"/>
    <mergeCell ref="B92:W93"/>
    <mergeCell ref="M170:R170"/>
    <mergeCell ref="B94:W95"/>
    <mergeCell ref="AI170:AM170"/>
    <mergeCell ref="AD167:AH167"/>
    <mergeCell ref="Y171:AC171"/>
    <mergeCell ref="M172:R172"/>
    <mergeCell ref="A78:AM78"/>
    <mergeCell ref="AI172:AM172"/>
    <mergeCell ref="AD169:AH169"/>
    <mergeCell ref="Y173:AC173"/>
    <mergeCell ref="E158:P158"/>
    <mergeCell ref="R33:U33"/>
    <mergeCell ref="H173:L173"/>
    <mergeCell ref="A62:F62"/>
    <mergeCell ref="M175:R175"/>
    <mergeCell ref="Y62:AB62"/>
    <mergeCell ref="P184:AM184"/>
    <mergeCell ref="Z8:AD8"/>
    <mergeCell ref="Z73:AM73"/>
    <mergeCell ref="Y64:AB64"/>
    <mergeCell ref="AA107:AM107"/>
    <mergeCell ref="AG63:AI63"/>
    <mergeCell ref="F75:I75"/>
    <mergeCell ref="A92:A93"/>
    <mergeCell ref="G65:J65"/>
    <mergeCell ref="A94:A95"/>
    <mergeCell ref="AD54:AM54"/>
    <mergeCell ref="B23:D23"/>
    <mergeCell ref="S175:X175"/>
    <mergeCell ref="T81:W81"/>
    <mergeCell ref="AA110:AM110"/>
    <mergeCell ref="M125:V125"/>
    <mergeCell ref="H167:L167"/>
    <mergeCell ref="C48:AM48"/>
    <mergeCell ref="AI178:AM178"/>
    <mergeCell ref="C72:AM72"/>
    <mergeCell ref="M127:V127"/>
    <mergeCell ref="H169:L169"/>
    <mergeCell ref="AM136:AN136"/>
    <mergeCell ref="AC66:AF66"/>
    <mergeCell ref="AI173:AM173"/>
    <mergeCell ref="A69:D69"/>
    <mergeCell ref="Y174:AC174"/>
    <mergeCell ref="I69:N69"/>
    <mergeCell ref="A54:J54"/>
    <mergeCell ref="O75:R75"/>
    <mergeCell ref="A65:F65"/>
    <mergeCell ref="Y65:AB65"/>
    <mergeCell ref="O70:R70"/>
    <mergeCell ref="B125:L125"/>
    <mergeCell ref="V17:AM23"/>
    <mergeCell ref="D33:M33"/>
    <mergeCell ref="M168:R168"/>
    <mergeCell ref="U63:X63"/>
    <mergeCell ref="AD55:AG55"/>
    <mergeCell ref="AI168:AM168"/>
    <mergeCell ref="C67:AM67"/>
    <mergeCell ref="I16:M16"/>
    <mergeCell ref="AG66:AI66"/>
    <mergeCell ref="A163:AM163"/>
    <mergeCell ref="A2:AM2"/>
    <mergeCell ref="F10:O10"/>
    <mergeCell ref="AD51:AM51"/>
    <mergeCell ref="B120:AM120"/>
    <mergeCell ref="K54:T54"/>
    <mergeCell ref="A6:D6"/>
    <mergeCell ref="AI169:AM169"/>
    <mergeCell ref="K71:R71"/>
    <mergeCell ref="B96:W96"/>
    <mergeCell ref="M171:R171"/>
    <mergeCell ref="R24:U24"/>
    <mergeCell ref="BU66:BW66"/>
    <mergeCell ref="O111:Z111"/>
    <mergeCell ref="AI171:AM171"/>
    <mergeCell ref="M173:R173"/>
    <mergeCell ref="P182:AM182"/>
    <mergeCell ref="B56:G56"/>
    <mergeCell ref="L15:Q15"/>
    <mergeCell ref="S9:Y9"/>
    <mergeCell ref="AJ65:AM65"/>
    <mergeCell ref="AA142:AD142"/>
    <mergeCell ref="M174:R174"/>
    <mergeCell ref="AG61:AI61"/>
    <mergeCell ref="B17:D19"/>
    <mergeCell ref="B24:Q24"/>
    <mergeCell ref="AJ63:AM63"/>
    <mergeCell ref="S171:X171"/>
    <mergeCell ref="Y6:AM6"/>
    <mergeCell ref="W122:AM127"/>
    <mergeCell ref="AG62:AI62"/>
    <mergeCell ref="X96:AM96"/>
    <mergeCell ref="AG69:AM69"/>
    <mergeCell ref="Q60:X60"/>
    <mergeCell ref="M123:V123"/>
    <mergeCell ref="K65:P65"/>
    <mergeCell ref="Q9:R9"/>
    <mergeCell ref="Y170:AC170"/>
    <mergeCell ref="S176:X176"/>
    <mergeCell ref="S17:U19"/>
    <mergeCell ref="E42:I42"/>
    <mergeCell ref="A171:G171"/>
    <mergeCell ref="M121:V121"/>
    <mergeCell ref="A9:D9"/>
    <mergeCell ref="A173:G173"/>
    <mergeCell ref="AI174:AM174"/>
    <mergeCell ref="AA144:AD144"/>
    <mergeCell ref="P185:AM185"/>
    <mergeCell ref="A75:E75"/>
    <mergeCell ref="A57:AM57"/>
    <mergeCell ref="A168:G168"/>
    <mergeCell ref="U61:X61"/>
    <mergeCell ref="R16:U16"/>
    <mergeCell ref="AG64:AI64"/>
    <mergeCell ref="Z81:AF81"/>
    <mergeCell ref="F9:P9"/>
    <mergeCell ref="S177:X177"/>
    <mergeCell ref="D137:AL137"/>
    <mergeCell ref="AG65:AI65"/>
    <mergeCell ref="S70:X70"/>
    <mergeCell ref="M124:V124"/>
    <mergeCell ref="AC63:AF63"/>
    <mergeCell ref="BX66:CA66"/>
    <mergeCell ref="X75:AA75"/>
    <mergeCell ref="M126:V126"/>
    <mergeCell ref="AH55:AM55"/>
    <mergeCell ref="A71:F71"/>
    <mergeCell ref="AI74:AM74"/>
    <mergeCell ref="AP56:AS56"/>
    <mergeCell ref="AG1:AM1"/>
    <mergeCell ref="A51:J51"/>
    <mergeCell ref="U51:AC51"/>
    <mergeCell ref="E17:H19"/>
    <mergeCell ref="A121:L121"/>
    <mergeCell ref="X92:AM93"/>
    <mergeCell ref="A153:AM154"/>
    <mergeCell ref="S20:U22"/>
    <mergeCell ref="A174:G174"/>
    <mergeCell ref="X94:AM95"/>
    <mergeCell ref="Y166:AC166"/>
    <mergeCell ref="B124:L124"/>
    <mergeCell ref="I20:M22"/>
    <mergeCell ref="U62:X62"/>
    <mergeCell ref="B126:L126"/>
    <mergeCell ref="E70:H70"/>
    <mergeCell ref="H166:L166"/>
    <mergeCell ref="AD170:AH170"/>
    <mergeCell ref="B38:AM39"/>
    <mergeCell ref="U64:X64"/>
    <mergeCell ref="G63:J63"/>
    <mergeCell ref="H168:L168"/>
    <mergeCell ref="D138:AL138"/>
    <mergeCell ref="Q10:R10"/>
    <mergeCell ref="U52:AC52"/>
    <mergeCell ref="D140:AL140"/>
    <mergeCell ref="S172:X172"/>
    <mergeCell ref="O110:Z110"/>
    <mergeCell ref="AV59:AY59"/>
    <mergeCell ref="B137:C137"/>
    <mergeCell ref="T23:U23"/>
    <mergeCell ref="A55:AC55"/>
    <mergeCell ref="G60:J61"/>
    <mergeCell ref="AB75:AH75"/>
    <mergeCell ref="A177:G177"/>
    <mergeCell ref="B16:D16"/>
    <mergeCell ref="N23:Q23"/>
    <mergeCell ref="B139:C139"/>
    <mergeCell ref="BM66:BP66"/>
    <mergeCell ref="B99:AM99"/>
    <mergeCell ref="BQ66:BT66"/>
    <mergeCell ref="AO58:AR58"/>
    <mergeCell ref="AA143:AD143"/>
    <mergeCell ref="B68:AM68"/>
    <mergeCell ref="S170:X170"/>
    <mergeCell ref="A79:AM79"/>
    <mergeCell ref="AD177:AH177"/>
    <mergeCell ref="AB156:AE156"/>
    <mergeCell ref="F8:Q8"/>
    <mergeCell ref="A52:J52"/>
    <mergeCell ref="B90:W91"/>
    <mergeCell ref="Y167:AC167"/>
    <mergeCell ref="X58:Z58"/>
    <mergeCell ref="AC61:AF61"/>
    <mergeCell ref="AI165:AM166"/>
    <mergeCell ref="X80:AF80"/>
    <mergeCell ref="AD178:AH178"/>
    <mergeCell ref="AD172:AH172"/>
    <mergeCell ref="Y169:AC169"/>
    <mergeCell ref="R80:S80"/>
    <mergeCell ref="AE9:AM9"/>
    <mergeCell ref="G71:J71"/>
    <mergeCell ref="B152:AM152"/>
    <mergeCell ref="S178:X178"/>
    <mergeCell ref="AC62:AF62"/>
    <mergeCell ref="U65:X65"/>
    <mergeCell ref="P83:U83"/>
    <mergeCell ref="J75:N75"/>
    <mergeCell ref="AG80:AM80"/>
    <mergeCell ref="B87:AM87"/>
    <mergeCell ref="Q63:T63"/>
    <mergeCell ref="X88:AM89"/>
    <mergeCell ref="AD175:AH175"/>
    <mergeCell ref="Y70:AF70"/>
    <mergeCell ref="S173:X173"/>
    <mergeCell ref="V33:AM33"/>
    <mergeCell ref="O74:R74"/>
    <mergeCell ref="AF83:AL83"/>
    <mergeCell ref="X90:AM91"/>
    <mergeCell ref="B138:C138"/>
    <mergeCell ref="A88:A89"/>
    <mergeCell ref="AD176:AH176"/>
    <mergeCell ref="H165:R165"/>
    <mergeCell ref="B140:C140"/>
    <mergeCell ref="A90:A91"/>
    <mergeCell ref="AD50:AM50"/>
    <mergeCell ref="AA109:AM109"/>
    <mergeCell ref="H177:L177"/>
    <mergeCell ref="AD52:AM52"/>
    <mergeCell ref="B77:AM77"/>
    <mergeCell ref="M166:R166"/>
    <mergeCell ref="BF66:BG66"/>
    <mergeCell ref="B15:J15"/>
    <mergeCell ref="C49:AM49"/>
    <mergeCell ref="E23:H23"/>
    <mergeCell ref="Y60:AF60"/>
    <mergeCell ref="D136:AL136"/>
    <mergeCell ref="AM137:AN137"/>
    <mergeCell ref="A165:G166"/>
    <mergeCell ref="S167:X167"/>
    <mergeCell ref="M167:R167"/>
    <mergeCell ref="G62:J62"/>
    <mergeCell ref="AO49:AO50"/>
    <mergeCell ref="AV57:AY57"/>
    <mergeCell ref="X74:AA74"/>
    <mergeCell ref="R81:S81"/>
    <mergeCell ref="AM139:AN139"/>
    <mergeCell ref="AC64:AF64"/>
    <mergeCell ref="AI167:AM167"/>
    <mergeCell ref="S169:X169"/>
    <mergeCell ref="AD171:AH171"/>
    <mergeCell ref="A50:J50"/>
    <mergeCell ref="I70:N70"/>
    <mergeCell ref="Z9:AD9"/>
    <mergeCell ref="H175:L175"/>
    <mergeCell ref="K63:P63"/>
    <mergeCell ref="AC65:AF65"/>
    <mergeCell ref="E16:H16"/>
    <mergeCell ref="V24:AM24"/>
    <mergeCell ref="Y71:AF71"/>
    <mergeCell ref="H176:L176"/>
    <mergeCell ref="Y66:AB66"/>
    <mergeCell ref="A3:AM3"/>
    <mergeCell ref="H178:L178"/>
    <mergeCell ref="K60:P61"/>
    <mergeCell ref="B34:AM37"/>
    <mergeCell ref="A63:F63"/>
    <mergeCell ref="AD168:AH168"/>
    <mergeCell ref="A32:AM32"/>
    <mergeCell ref="AA111:AM111"/>
    <mergeCell ref="F74:I74"/>
    <mergeCell ref="K50:T50"/>
    <mergeCell ref="B108:AM108"/>
    <mergeCell ref="K52:T52"/>
    <mergeCell ref="N17:Q19"/>
    <mergeCell ref="R17:R19"/>
    <mergeCell ref="M169:R169"/>
    <mergeCell ref="G64:J64"/>
    <mergeCell ref="Q61:T61"/>
    <mergeCell ref="K53:T53"/>
    <mergeCell ref="AI175:AM175"/>
    <mergeCell ref="B136:C136"/>
    <mergeCell ref="AI177:AM177"/>
    <mergeCell ref="AB74:AH74"/>
    <mergeCell ref="AD174:AH174"/>
    <mergeCell ref="B83:G83"/>
    <mergeCell ref="N20:Q22"/>
    <mergeCell ref="A80:H80"/>
    <mergeCell ref="A74:E74"/>
    <mergeCell ref="Y63:AB63"/>
    <mergeCell ref="U54:AC54"/>
    <mergeCell ref="AP49:AP50"/>
    <mergeCell ref="B98:AM98"/>
    <mergeCell ref="AJ61:AM61"/>
    <mergeCell ref="F6:X6"/>
    <mergeCell ref="AA58:AG58"/>
    <mergeCell ref="K66:P66"/>
    <mergeCell ref="P183:AM183"/>
    <mergeCell ref="X81:Y81"/>
    <mergeCell ref="A100:AM104"/>
    <mergeCell ref="AY66:BD66"/>
    <mergeCell ref="S75:W75"/>
    <mergeCell ref="I81:J81"/>
    <mergeCell ref="AD53:AM53"/>
    <mergeCell ref="AE8:AM8"/>
    <mergeCell ref="A164:AM164"/>
    <mergeCell ref="P186:AM186"/>
    <mergeCell ref="AE10:AM10"/>
    <mergeCell ref="A167:G167"/>
    <mergeCell ref="H56:AM56"/>
    <mergeCell ref="AG60:AM60"/>
    <mergeCell ref="J74:N74"/>
    <mergeCell ref="Q62:T62"/>
    <mergeCell ref="A169:G169"/>
    <mergeCell ref="A116:AM116"/>
    <mergeCell ref="Y69:AF69"/>
    <mergeCell ref="A70:D70"/>
    <mergeCell ref="H174:L174"/>
    <mergeCell ref="P181:AM181"/>
    <mergeCell ref="K62:P62"/>
    <mergeCell ref="AO66:AX66"/>
    <mergeCell ref="Q64:T64"/>
    <mergeCell ref="A7:D7"/>
    <mergeCell ref="M176:R176"/>
    <mergeCell ref="A66:J66"/>
    <mergeCell ref="AI176:AM176"/>
    <mergeCell ref="AG70:AM70"/>
    <mergeCell ref="I80:Q80"/>
    <mergeCell ref="A81:H81"/>
    <mergeCell ref="S71:X71"/>
    <mergeCell ref="AJ62:AM62"/>
    <mergeCell ref="Y10:AD10"/>
    <mergeCell ref="AJ64:AM64"/>
    <mergeCell ref="M122:V122"/>
    <mergeCell ref="N16:Q16"/>
    <mergeCell ref="U50:AC50"/>
    <mergeCell ref="E20:H22"/>
    <mergeCell ref="I23:M23"/>
    <mergeCell ref="F7:AM7"/>
    <mergeCell ref="B127:L127"/>
    <mergeCell ref="AB155:AE155"/>
    <mergeCell ref="K64:P64"/>
    <mergeCell ref="A175:G175"/>
    <mergeCell ref="M178:R178"/>
    <mergeCell ref="Q65:T65"/>
    <mergeCell ref="A8:D8"/>
    <mergeCell ref="Y177:AC177"/>
    <mergeCell ref="A10:D10"/>
    <mergeCell ref="A170:G170"/>
    <mergeCell ref="B122:L122"/>
    <mergeCell ref="A110:N110"/>
    <mergeCell ref="S10:X10"/>
    <mergeCell ref="E73:U73"/>
    <mergeCell ref="AD165:AH166"/>
    <mergeCell ref="AG71:AL71"/>
    <mergeCell ref="B88:W89"/>
    <mergeCell ref="Y172:AC172"/>
    <mergeCell ref="A60:F61"/>
    <mergeCell ref="E41:V41"/>
    <mergeCell ref="AV56:AY56"/>
    <mergeCell ref="K51:T51"/>
    <mergeCell ref="S168:X168"/>
    <mergeCell ref="A172:G172"/>
    <mergeCell ref="R66:S66"/>
    <mergeCell ref="AI75:AM75"/>
    <mergeCell ref="Y175:AC175"/>
    <mergeCell ref="R20:R22"/>
    <mergeCell ref="B133:AM133"/>
    <mergeCell ref="Y165:AC165"/>
    <mergeCell ref="A58:W58"/>
    <mergeCell ref="AB157:AE157"/>
    <mergeCell ref="A53:J53"/>
    <mergeCell ref="AG81:AH81"/>
    <mergeCell ref="B135:AM135"/>
    <mergeCell ref="S69:X69"/>
    <mergeCell ref="U53:AC53"/>
    <mergeCell ref="S165:X166"/>
    <mergeCell ref="A176:G176"/>
    <mergeCell ref="A178:G178"/>
    <mergeCell ref="V16:AM16"/>
    <mergeCell ref="Y178:AC178"/>
    <mergeCell ref="BI66:BL66"/>
    <mergeCell ref="B148:AM148"/>
    <mergeCell ref="W121:AM121"/>
    <mergeCell ref="K81:Q81"/>
    <mergeCell ref="S74:W74"/>
    <mergeCell ref="S174:X174"/>
    <mergeCell ref="I17:M19"/>
    <mergeCell ref="U66:X66"/>
    <mergeCell ref="E69:H69"/>
    <mergeCell ref="O69:R69"/>
    <mergeCell ref="A109:N109"/>
    <mergeCell ref="H170:L170"/>
    <mergeCell ref="B123:L123"/>
    <mergeCell ref="A111:N111"/>
    <mergeCell ref="H172:L172"/>
  </mergeCells>
  <pageMargins left="0.7" right="0.7" top="0.75" bottom="0.75" header="0.3" footer="0.3"/>
</worksheet>
</file>

<file path=xl/worksheets/sheet6.xml><?xml version="1.0" encoding="utf-8"?>
<worksheet xmlns="http://schemas.openxmlformats.org/spreadsheetml/2006/main">
  <sheetPr>
    <outlinePr summaryBelow="0"/>
    <pageSetUpPr/>
  </sheetPr>
  <dimension ref="A1:AU185"/>
  <sheetViews>
    <sheetView workbookViewId="0">
      <selection activeCell="A1" sqref="A1"/>
    </sheetView>
  </sheetViews>
  <sheetFormatPr baseColWidth="8" defaultRowHeight="15"/>
  <cols>
    <col width="4.719285714285714" bestFit="1" customWidth="1" style="1563" min="1" max="1"/>
    <col width="4.576428571428571" bestFit="1" customWidth="1" style="63" min="2" max="2"/>
    <col width="12.29071428571429" bestFit="1" customWidth="1" style="63" min="3" max="3"/>
    <col width="13.43357142857143" bestFit="1" customWidth="1" style="63" min="4" max="4"/>
    <col width="4.719285714285714" bestFit="1" customWidth="1" style="308" min="5" max="5"/>
    <col width="4.147857142857143" bestFit="1" customWidth="1" style="308" min="6" max="6"/>
    <col width="2.433571428571428" bestFit="1" customWidth="1" style="354" min="7" max="7"/>
    <col width="9.862142857142858" bestFit="1" customWidth="1" style="65" min="8" max="8"/>
    <col width="4.290714285714285" bestFit="1" customWidth="1" style="66" min="9" max="9"/>
    <col width="9.290714285714287" bestFit="1" customWidth="1" style="66" min="10" max="10"/>
    <col width="3.290714285714285" bestFit="1" customWidth="1" style="66" min="11" max="11"/>
    <col width="13.005" bestFit="1" customWidth="1" style="66" min="12" max="12"/>
    <col width="12.43357142857143" bestFit="1" customWidth="1" style="63" min="13" max="13"/>
    <col width="4.719285714285714" bestFit="1" customWidth="1" style="64" min="14" max="14"/>
    <col width="9.290714285714287" bestFit="1" customWidth="1" style="1945" min="15" max="15"/>
    <col width="6.005" bestFit="1" customWidth="1" style="136" min="16" max="16"/>
    <col width="3.433571428571428" bestFit="1" customWidth="1" style="308" min="17" max="17"/>
    <col width="3.433571428571428" bestFit="1" customWidth="1" style="64" min="18" max="18"/>
    <col width="8.147857142857141" bestFit="1" customWidth="1" style="64" min="19" max="19"/>
    <col width="13.57642857142857" bestFit="1" customWidth="1" style="663" min="20" max="20"/>
    <col width="13.57642857142857" bestFit="1" customWidth="1" style="308" min="21" max="21"/>
    <col width="13.57642857142857" bestFit="1" customWidth="1" style="64" min="22" max="22"/>
    <col width="13.57642857142857" bestFit="1" customWidth="1" style="64" min="23" max="23"/>
    <col width="13.57642857142857" bestFit="1" customWidth="1" style="64" min="24" max="24"/>
    <col width="13.57642857142857" bestFit="1" customWidth="1" style="64" min="25" max="25"/>
    <col width="13.57642857142857" bestFit="1" customWidth="1" style="64" min="26" max="26"/>
    <col width="13.57642857142857" bestFit="1" customWidth="1" style="64" min="27" max="27"/>
    <col width="13.57642857142857" bestFit="1" customWidth="1" style="136" min="28" max="28"/>
    <col width="13.57642857142857" bestFit="1" customWidth="1" style="64" min="29" max="29"/>
    <col width="13.57642857142857" bestFit="1" customWidth="1" style="64" min="30" max="30"/>
    <col width="13.57642857142857" bestFit="1" customWidth="1" style="64" min="31" max="31"/>
    <col width="13.57642857142857" bestFit="1" customWidth="1" style="64" min="32" max="32"/>
    <col width="13.57642857142857" bestFit="1" customWidth="1" style="308" min="33" max="33"/>
    <col width="13.57642857142857" bestFit="1" customWidth="1" style="64" min="34" max="34"/>
    <col width="13.57642857142857" bestFit="1" customWidth="1" style="64" min="35" max="35"/>
    <col width="13.57642857142857" bestFit="1" customWidth="1" style="663" min="36" max="36"/>
    <col width="13.57642857142857" bestFit="1" customWidth="1" style="308" min="37" max="37"/>
    <col width="13.57642857142857" bestFit="1" customWidth="1" style="663" min="38" max="38"/>
    <col width="13.57642857142857" bestFit="1" customWidth="1" style="308" min="39" max="39"/>
    <col width="13.57642857142857" bestFit="1" customWidth="1" style="64" min="40" max="40"/>
    <col width="13.57642857142857" bestFit="1" customWidth="1" style="64" min="41" max="41"/>
    <col width="13.57642857142857" bestFit="1" customWidth="1" style="64" min="42" max="42"/>
    <col width="13.57642857142857" bestFit="1" customWidth="1" style="64" min="43" max="43"/>
    <col width="13.57642857142857" bestFit="1" customWidth="1" style="64" min="44" max="44"/>
    <col width="13.57642857142857" bestFit="1" customWidth="1" style="64" min="45" max="45"/>
    <col width="13.57642857142857" bestFit="1" customWidth="1" style="663" min="46" max="46"/>
    <col width="13.57642857142857" bestFit="1" customWidth="1" style="64" min="47" max="47"/>
  </cols>
  <sheetData>
    <row r="1" ht="18.75" customHeight="1">
      <c r="A1" s="247" t="n"/>
      <c r="N1" s="64" t="n"/>
      <c r="O1" s="1945" t="n"/>
      <c r="P1" s="136" t="n"/>
      <c r="Q1" s="308" t="n"/>
      <c r="R1" s="64" t="n"/>
      <c r="S1" s="64" t="n"/>
      <c r="T1" s="663" t="n"/>
      <c r="U1" s="308" t="n"/>
      <c r="V1" s="64" t="n"/>
      <c r="W1" s="64" t="n"/>
      <c r="X1" s="64" t="n"/>
      <c r="Y1" s="64" t="n"/>
      <c r="Z1" s="64" t="n"/>
      <c r="AA1" s="64" t="n"/>
      <c r="AB1" s="136" t="n"/>
      <c r="AC1" s="64" t="n"/>
      <c r="AD1" s="64" t="n"/>
      <c r="AE1" s="64" t="n"/>
      <c r="AF1" s="64" t="n"/>
      <c r="AG1" s="308" t="n"/>
      <c r="AH1" s="64" t="n"/>
      <c r="AI1" s="64" t="n"/>
      <c r="AJ1" s="663" t="n"/>
      <c r="AK1" s="308" t="n"/>
      <c r="AL1" s="663" t="n"/>
      <c r="AM1" s="308" t="n"/>
      <c r="AN1" s="64" t="n"/>
      <c r="AO1" s="64" t="n"/>
      <c r="AP1" s="64" t="n"/>
      <c r="AQ1" s="64" t="n"/>
      <c r="AR1" s="64" t="n"/>
      <c r="AS1" s="64" t="n"/>
      <c r="AT1" s="663" t="n"/>
      <c r="AU1" s="64" t="n"/>
    </row>
    <row r="2" ht="18.75" customHeight="1">
      <c r="A2" s="247" t="n"/>
      <c r="N2" s="64" t="n"/>
      <c r="O2" s="1945" t="n"/>
      <c r="P2" s="136" t="n"/>
      <c r="Q2" s="308" t="n"/>
      <c r="R2" s="64" t="n"/>
      <c r="S2" s="64" t="n"/>
      <c r="T2" s="663" t="n"/>
      <c r="U2" s="308" t="n"/>
      <c r="V2" s="64" t="n"/>
      <c r="W2" s="64" t="n"/>
      <c r="X2" s="64" t="n"/>
      <c r="Y2" s="64" t="n"/>
      <c r="Z2" s="64" t="n"/>
      <c r="AA2" s="64" t="n"/>
      <c r="AB2" s="136" t="n"/>
      <c r="AC2" s="64" t="n"/>
      <c r="AD2" s="64" t="n"/>
      <c r="AE2" s="64" t="n"/>
      <c r="AF2" s="64" t="n"/>
      <c r="AG2" s="308" t="n"/>
      <c r="AH2" s="64" t="n"/>
      <c r="AI2" s="64" t="n"/>
      <c r="AJ2" s="663" t="n"/>
      <c r="AK2" s="308" t="n"/>
      <c r="AL2" s="663" t="n"/>
      <c r="AM2" s="308" t="n"/>
      <c r="AN2" s="64" t="n"/>
      <c r="AO2" s="64" t="n"/>
      <c r="AP2" s="64" t="n"/>
      <c r="AQ2" s="64" t="n"/>
      <c r="AR2" s="64" t="n"/>
      <c r="AS2" s="64" t="n"/>
      <c r="AT2" s="663" t="n"/>
      <c r="AU2" s="64" t="n"/>
    </row>
    <row r="3" ht="18.75" customHeight="1">
      <c r="A3" s="247" t="n"/>
      <c r="N3" s="64" t="n"/>
      <c r="O3" s="1945" t="n"/>
      <c r="P3" s="136" t="n"/>
      <c r="Q3" s="308" t="n"/>
      <c r="R3" s="64" t="n"/>
      <c r="S3" s="64" t="n"/>
      <c r="T3" s="663" t="n"/>
      <c r="U3" s="308" t="n"/>
      <c r="V3" s="64" t="n"/>
      <c r="W3" s="64" t="n"/>
      <c r="X3" s="64" t="n"/>
      <c r="Y3" s="64" t="n"/>
      <c r="Z3" s="64" t="n"/>
      <c r="AA3" s="64" t="n"/>
      <c r="AB3" s="136" t="n"/>
      <c r="AC3" s="64" t="n"/>
      <c r="AD3" s="64" t="n"/>
      <c r="AE3" s="64" t="n"/>
      <c r="AF3" s="64" t="n"/>
      <c r="AG3" s="308" t="n"/>
      <c r="AH3" s="64" t="n"/>
      <c r="AI3" s="64" t="n"/>
      <c r="AJ3" s="663" t="n"/>
      <c r="AK3" s="308" t="n"/>
      <c r="AL3" s="663" t="n"/>
      <c r="AM3" s="308" t="n"/>
      <c r="AN3" s="64" t="n"/>
      <c r="AO3" s="64" t="n"/>
      <c r="AP3" s="64" t="n"/>
      <c r="AQ3" s="64" t="n"/>
      <c r="AR3" s="64" t="n"/>
      <c r="AS3" s="64" t="n"/>
      <c r="AT3" s="663" t="n"/>
      <c r="AU3" s="64" t="n"/>
    </row>
    <row r="4" ht="32.25" customHeight="1">
      <c r="A4" s="1609" t="n"/>
      <c r="N4" s="64" t="n"/>
      <c r="O4" s="1612" t="n"/>
      <c r="P4" s="136" t="n"/>
      <c r="Q4" s="308" t="n"/>
      <c r="R4" s="64" t="n"/>
      <c r="S4" s="64" t="n"/>
      <c r="T4" s="663" t="n"/>
      <c r="U4" s="308" t="n"/>
      <c r="V4" s="64" t="n"/>
      <c r="W4" s="64" t="n"/>
      <c r="X4" s="64" t="n"/>
      <c r="Y4" s="64" t="n"/>
      <c r="Z4" s="64" t="n"/>
      <c r="AA4" s="64" t="n"/>
      <c r="AB4" s="136" t="n"/>
      <c r="AC4" s="64" t="n"/>
      <c r="AD4" s="64" t="n"/>
      <c r="AE4" s="64" t="n"/>
      <c r="AF4" s="64" t="n"/>
      <c r="AG4" s="308" t="n"/>
      <c r="AH4" s="64" t="n"/>
      <c r="AI4" s="64" t="n"/>
      <c r="AJ4" s="663" t="n"/>
      <c r="AK4" s="308" t="n"/>
      <c r="AL4" s="663" t="n"/>
      <c r="AM4" s="308" t="n"/>
      <c r="AN4" s="64" t="n"/>
      <c r="AO4" s="64" t="n"/>
      <c r="AP4" s="64" t="n"/>
      <c r="AQ4" s="64" t="n"/>
      <c r="AR4" s="64" t="n"/>
      <c r="AS4" s="64" t="n"/>
      <c r="AT4" s="663" t="n"/>
      <c r="AU4" s="64" t="n"/>
    </row>
    <row r="5" ht="18.75" customHeight="1">
      <c r="A5" s="446" t="n"/>
      <c r="N5" s="64" t="n"/>
      <c r="O5" s="1614" t="n"/>
      <c r="P5" s="136" t="n"/>
      <c r="Q5" s="308" t="n"/>
      <c r="R5" s="64" t="n"/>
      <c r="S5" s="64" t="n"/>
      <c r="T5" s="663" t="n"/>
      <c r="U5" s="308" t="n"/>
      <c r="V5" s="64" t="n"/>
      <c r="W5" s="64" t="n"/>
      <c r="X5" s="64" t="n"/>
      <c r="Y5" s="64" t="n"/>
      <c r="Z5" s="64" t="n"/>
      <c r="AA5" s="64" t="n"/>
      <c r="AB5" s="136" t="n"/>
      <c r="AC5" s="64" t="n"/>
      <c r="AD5" s="64" t="n"/>
      <c r="AE5" s="64" t="n"/>
      <c r="AF5" s="64" t="n"/>
      <c r="AG5" s="308" t="n"/>
      <c r="AH5" s="64" t="n"/>
      <c r="AI5" s="64" t="n"/>
      <c r="AJ5" s="663" t="n"/>
      <c r="AK5" s="308" t="n"/>
      <c r="AL5" s="663" t="n"/>
      <c r="AM5" s="308" t="n"/>
      <c r="AN5" s="64" t="n"/>
      <c r="AO5" s="64" t="n"/>
      <c r="AP5" s="64" t="n"/>
      <c r="AQ5" s="64" t="n"/>
      <c r="AR5" s="64" t="n"/>
      <c r="AS5" s="64" t="n"/>
      <c r="AT5" s="663" t="n"/>
      <c r="AU5" s="64" t="n"/>
    </row>
    <row r="6" ht="38.25" customHeight="1">
      <c r="A6" s="1615">
        <f>'Data Input'!D8</f>
        <v/>
      </c>
      <c r="N6" s="64" t="n"/>
      <c r="O6" s="1617" t="n"/>
      <c r="P6" s="136" t="n"/>
      <c r="Q6" s="308" t="n"/>
      <c r="R6" s="64" t="n"/>
      <c r="S6" s="64" t="n"/>
      <c r="T6" s="663" t="n"/>
      <c r="U6" s="308" t="n"/>
      <c r="V6" s="64" t="n"/>
      <c r="W6" s="64" t="n"/>
      <c r="X6" s="64" t="n"/>
      <c r="Y6" s="64" t="n"/>
      <c r="Z6" s="64" t="n"/>
      <c r="AA6" s="64" t="n"/>
      <c r="AB6" s="136" t="n"/>
      <c r="AC6" s="64" t="n"/>
      <c r="AD6" s="64" t="n"/>
      <c r="AE6" s="64" t="n"/>
      <c r="AF6" s="64" t="n"/>
      <c r="AG6" s="308" t="n"/>
      <c r="AH6" s="64" t="n"/>
      <c r="AI6" s="64" t="n"/>
      <c r="AJ6" s="663" t="n"/>
      <c r="AK6" s="308" t="n"/>
      <c r="AL6" s="663" t="n"/>
      <c r="AM6" s="308" t="n"/>
      <c r="AN6" s="64" t="n"/>
      <c r="AO6" s="64" t="n"/>
      <c r="AP6" s="64" t="n"/>
      <c r="AQ6" s="64" t="n"/>
      <c r="AR6" s="64" t="n"/>
      <c r="AS6" s="64" t="n"/>
      <c r="AT6" s="663" t="n"/>
      <c r="AU6" s="64" t="n"/>
    </row>
    <row r="7" ht="38.25" customHeight="1">
      <c r="A7" s="1618">
        <f>'Data Input'!D10</f>
        <v/>
      </c>
      <c r="N7" s="64" t="n"/>
      <c r="O7" s="1617" t="n"/>
      <c r="P7" s="136" t="n"/>
      <c r="Q7" s="308" t="n"/>
      <c r="R7" s="64" t="n"/>
      <c r="S7" s="64" t="n"/>
      <c r="T7" s="663" t="n"/>
      <c r="U7" s="308" t="n"/>
      <c r="V7" s="64" t="n"/>
      <c r="W7" s="64" t="n"/>
      <c r="X7" s="64" t="n"/>
      <c r="Y7" s="64" t="n"/>
      <c r="Z7" s="64" t="n"/>
      <c r="AA7" s="64" t="n"/>
      <c r="AB7" s="136" t="n"/>
      <c r="AC7" s="64" t="n"/>
      <c r="AD7" s="64" t="n"/>
      <c r="AE7" s="64" t="n"/>
      <c r="AF7" s="64" t="n"/>
      <c r="AG7" s="308" t="n"/>
      <c r="AH7" s="64" t="n"/>
      <c r="AI7" s="64" t="n"/>
      <c r="AJ7" s="663" t="n"/>
      <c r="AK7" s="308" t="n"/>
      <c r="AL7" s="663" t="n"/>
      <c r="AM7" s="308" t="n"/>
      <c r="AN7" s="64" t="n"/>
      <c r="AO7" s="64" t="n"/>
      <c r="AP7" s="64" t="n"/>
      <c r="AQ7" s="64" t="n"/>
      <c r="AR7" s="64" t="n"/>
      <c r="AS7" s="64" t="n"/>
      <c r="AT7" s="663" t="n"/>
      <c r="AU7" s="64" t="n"/>
    </row>
    <row r="8" ht="38.25" customHeight="1">
      <c r="A8" s="1621">
        <f>+'Data Input'!D9</f>
        <v/>
      </c>
      <c r="N8" s="64" t="n"/>
      <c r="O8" s="1617" t="n"/>
      <c r="P8" s="136" t="n"/>
      <c r="Q8" s="308" t="n"/>
      <c r="R8" s="64" t="n"/>
      <c r="S8" s="64" t="n"/>
      <c r="T8" s="663" t="n"/>
      <c r="U8" s="308" t="n"/>
      <c r="V8" s="64" t="n"/>
      <c r="W8" s="64" t="n"/>
      <c r="X8" s="64" t="n"/>
      <c r="Y8" s="64" t="n"/>
      <c r="Z8" s="64" t="n"/>
      <c r="AA8" s="64" t="n"/>
      <c r="AB8" s="136" t="n"/>
      <c r="AC8" s="64" t="n"/>
      <c r="AD8" s="64" t="n"/>
      <c r="AE8" s="64" t="n"/>
      <c r="AF8" s="64" t="n"/>
      <c r="AG8" s="308" t="n"/>
      <c r="AH8" s="64" t="n"/>
      <c r="AI8" s="64" t="n"/>
      <c r="AJ8" s="663" t="n"/>
      <c r="AK8" s="308" t="n"/>
      <c r="AL8" s="663" t="n"/>
      <c r="AM8" s="308" t="n"/>
      <c r="AN8" s="64" t="n"/>
      <c r="AO8" s="64" t="n"/>
      <c r="AP8" s="64" t="n"/>
      <c r="AQ8" s="64" t="n"/>
      <c r="AR8" s="64" t="n"/>
      <c r="AS8" s="64" t="n"/>
      <c r="AT8" s="663" t="n"/>
      <c r="AU8" s="64" t="n"/>
    </row>
    <row r="9" ht="38.25" customHeight="1">
      <c r="A9" s="1615" t="n"/>
      <c r="B9" s="409" t="n"/>
      <c r="C9" s="409" t="n"/>
      <c r="D9" s="409" t="n"/>
      <c r="E9" s="1616" t="n"/>
      <c r="F9" s="1616" t="n"/>
      <c r="G9" s="409" t="n"/>
      <c r="H9" s="1615" t="n"/>
      <c r="I9" s="1616" t="n"/>
      <c r="J9" s="1616" t="n"/>
      <c r="K9" s="1616" t="n"/>
      <c r="L9" s="1616" t="n"/>
      <c r="M9" s="409" t="n"/>
      <c r="N9" s="64" t="n"/>
      <c r="O9" s="1617" t="n"/>
      <c r="P9" s="136" t="n"/>
      <c r="Q9" s="308" t="n"/>
      <c r="R9" s="64" t="n"/>
      <c r="S9" s="64" t="n"/>
      <c r="T9" s="663" t="n"/>
      <c r="U9" s="308" t="n"/>
      <c r="V9" s="64" t="n"/>
      <c r="W9" s="64" t="n"/>
      <c r="X9" s="64" t="n"/>
      <c r="Y9" s="64" t="n"/>
      <c r="Z9" s="64" t="n"/>
      <c r="AA9" s="64" t="n"/>
      <c r="AB9" s="136" t="n"/>
      <c r="AC9" s="64" t="n"/>
      <c r="AD9" s="64" t="n"/>
      <c r="AE9" s="64" t="n"/>
      <c r="AF9" s="64" t="n"/>
      <c r="AG9" s="308" t="n"/>
      <c r="AH9" s="64" t="n"/>
      <c r="AI9" s="64" t="n"/>
      <c r="AJ9" s="663" t="n"/>
      <c r="AK9" s="308" t="n"/>
      <c r="AL9" s="663" t="n"/>
      <c r="AM9" s="308" t="n"/>
      <c r="AN9" s="64" t="n"/>
      <c r="AO9" s="64" t="n"/>
      <c r="AP9" s="64" t="n"/>
      <c r="AQ9" s="64" t="n"/>
      <c r="AR9" s="64" t="n"/>
      <c r="AS9" s="64" t="n"/>
      <c r="AT9" s="663" t="n"/>
      <c r="AU9" s="64" t="n"/>
    </row>
    <row r="10" ht="38.25" customHeight="1">
      <c r="A10" s="1615" t="n"/>
      <c r="B10" s="409" t="n"/>
      <c r="C10" s="409" t="n"/>
      <c r="D10" s="409" t="n"/>
      <c r="E10" s="1616" t="n"/>
      <c r="F10" s="1616" t="n"/>
      <c r="G10" s="409" t="n"/>
      <c r="H10" s="1615" t="n"/>
      <c r="I10" s="1616" t="n"/>
      <c r="J10" s="1616" t="n"/>
      <c r="K10" s="1616" t="n"/>
      <c r="L10" s="1616" t="n"/>
      <c r="M10" s="409" t="n"/>
      <c r="N10" s="64" t="n"/>
      <c r="O10" s="1617" t="n"/>
      <c r="P10" s="136" t="n"/>
      <c r="Q10" s="308" t="n"/>
      <c r="R10" s="64" t="n"/>
      <c r="S10" s="64" t="n"/>
      <c r="T10" s="663" t="n"/>
      <c r="U10" s="308" t="n"/>
      <c r="V10" s="64" t="n"/>
      <c r="W10" s="64" t="n"/>
      <c r="X10" s="64" t="n"/>
      <c r="Y10" s="64" t="n"/>
      <c r="Z10" s="64" t="n"/>
      <c r="AA10" s="64" t="n"/>
      <c r="AB10" s="136" t="n"/>
      <c r="AC10" s="64" t="n"/>
      <c r="AD10" s="64" t="n"/>
      <c r="AE10" s="64" t="n"/>
      <c r="AF10" s="64" t="n"/>
      <c r="AG10" s="308" t="n"/>
      <c r="AH10" s="64" t="n"/>
      <c r="AI10" s="64" t="n"/>
      <c r="AJ10" s="663" t="n"/>
      <c r="AK10" s="308" t="n"/>
      <c r="AL10" s="663" t="n"/>
      <c r="AM10" s="308" t="n"/>
      <c r="AN10" s="64" t="n"/>
      <c r="AO10" s="64" t="n"/>
      <c r="AP10" s="64" t="n"/>
      <c r="AQ10" s="64" t="n"/>
      <c r="AR10" s="64" t="n"/>
      <c r="AS10" s="64" t="n"/>
      <c r="AT10" s="663" t="n"/>
      <c r="AU10" s="64" t="n"/>
    </row>
    <row r="11" ht="38.25" customHeight="1">
      <c r="A11" s="1624" t="inlineStr">
        <is>
          <t>bM` cyuwR FY Pvwn`vi cÖv°jb</t>
        </is>
      </c>
      <c r="N11" s="64" t="n"/>
      <c r="O11" s="1617" t="n"/>
      <c r="P11" s="136" t="n"/>
      <c r="Q11" s="308" t="n"/>
      <c r="R11" s="64" t="n"/>
      <c r="S11" s="64" t="n"/>
      <c r="T11" s="663" t="n"/>
      <c r="U11" s="308" t="n"/>
      <c r="V11" s="64" t="n"/>
      <c r="W11" s="64" t="n"/>
      <c r="X11" s="64" t="n"/>
      <c r="Y11" s="64" t="n"/>
      <c r="Z11" s="64" t="n"/>
      <c r="AA11" s="64" t="n"/>
      <c r="AB11" s="136" t="n"/>
      <c r="AC11" s="64" t="n"/>
      <c r="AD11" s="64" t="n"/>
      <c r="AE11" s="64" t="n"/>
      <c r="AF11" s="64" t="n"/>
      <c r="AG11" s="308" t="n"/>
      <c r="AH11" s="64" t="n"/>
      <c r="AI11" s="64" t="n"/>
      <c r="AJ11" s="663" t="n"/>
      <c r="AK11" s="308" t="n"/>
      <c r="AL11" s="663" t="n"/>
      <c r="AM11" s="308" t="n"/>
      <c r="AN11" s="64" t="n"/>
      <c r="AO11" s="64" t="n"/>
      <c r="AP11" s="64" t="n"/>
      <c r="AQ11" s="64" t="n"/>
      <c r="AR11" s="64" t="n"/>
      <c r="AS11" s="64" t="n"/>
      <c r="AT11" s="663" t="n"/>
      <c r="AU11" s="64" t="n"/>
    </row>
    <row r="12" ht="38.25" customHeight="1">
      <c r="A12" s="1615" t="n"/>
      <c r="B12" s="409" t="n"/>
      <c r="C12" s="409" t="n"/>
      <c r="D12" s="409" t="n"/>
      <c r="E12" s="1616" t="n"/>
      <c r="F12" s="1616" t="n"/>
      <c r="G12" s="409" t="n"/>
      <c r="H12" s="1615" t="n"/>
      <c r="I12" s="1616" t="n"/>
      <c r="J12" s="1616" t="n"/>
      <c r="K12" s="1616" t="n"/>
      <c r="L12" s="1616" t="n"/>
      <c r="M12" s="409" t="n"/>
      <c r="N12" s="64" t="n"/>
      <c r="O12" s="1617" t="n"/>
      <c r="P12" s="136" t="n"/>
      <c r="Q12" s="308" t="n"/>
      <c r="R12" s="64" t="n"/>
      <c r="S12" s="64" t="n"/>
      <c r="T12" s="663" t="n"/>
      <c r="U12" s="308" t="n"/>
      <c r="V12" s="64" t="n"/>
      <c r="W12" s="64" t="n"/>
      <c r="X12" s="64" t="n"/>
      <c r="Y12" s="64" t="n"/>
      <c r="Z12" s="64" t="n"/>
      <c r="AA12" s="64" t="n"/>
      <c r="AB12" s="136" t="n"/>
      <c r="AC12" s="64" t="n"/>
      <c r="AD12" s="64" t="n"/>
      <c r="AE12" s="64" t="n"/>
      <c r="AF12" s="64" t="n"/>
      <c r="AG12" s="308" t="n"/>
      <c r="AH12" s="64" t="n"/>
      <c r="AI12" s="64" t="n"/>
      <c r="AJ12" s="663" t="n"/>
      <c r="AK12" s="308" t="n"/>
      <c r="AL12" s="663" t="n"/>
      <c r="AM12" s="308" t="n"/>
      <c r="AN12" s="64" t="n"/>
      <c r="AO12" s="64" t="n"/>
      <c r="AP12" s="64" t="n"/>
      <c r="AQ12" s="64" t="n"/>
      <c r="AR12" s="64" t="n"/>
      <c r="AS12" s="64" t="n"/>
      <c r="AT12" s="663" t="n"/>
      <c r="AU12" s="64" t="n"/>
    </row>
    <row r="13" ht="21" customHeight="1">
      <c r="A13" s="1615" t="n"/>
      <c r="B13" s="409" t="n"/>
      <c r="C13" s="409" t="n"/>
      <c r="D13" s="409" t="n"/>
      <c r="E13" s="1616" t="n"/>
      <c r="F13" s="1616" t="n"/>
      <c r="G13" s="409" t="n"/>
      <c r="H13" s="1615" t="n"/>
      <c r="I13" s="1616" t="n"/>
      <c r="J13" s="1616" t="n"/>
      <c r="K13" s="1616" t="n"/>
      <c r="L13" s="1616" t="n"/>
      <c r="M13" s="409" t="n"/>
      <c r="N13" s="64" t="n"/>
      <c r="O13" s="1617" t="n"/>
      <c r="P13" s="136" t="n"/>
      <c r="Q13" s="308" t="n"/>
      <c r="R13" s="64" t="n"/>
      <c r="S13" s="64" t="n"/>
      <c r="T13" s="663" t="n"/>
      <c r="U13" s="308" t="n"/>
      <c r="V13" s="64" t="n"/>
      <c r="W13" s="64" t="n"/>
      <c r="X13" s="64" t="n"/>
      <c r="Y13" s="64" t="n"/>
      <c r="Z13" s="64" t="n"/>
      <c r="AA13" s="64" t="n"/>
      <c r="AB13" s="136" t="n"/>
      <c r="AC13" s="64" t="n"/>
      <c r="AD13" s="64" t="n"/>
      <c r="AE13" s="64" t="n"/>
      <c r="AF13" s="64" t="n"/>
      <c r="AG13" s="308" t="n"/>
      <c r="AH13" s="64" t="n"/>
      <c r="AI13" s="64" t="n"/>
      <c r="AJ13" s="663" t="n"/>
      <c r="AK13" s="308" t="n"/>
      <c r="AL13" s="663" t="n"/>
      <c r="AM13" s="308" t="n"/>
      <c r="AN13" s="64" t="n"/>
      <c r="AO13" s="64" t="n"/>
      <c r="AP13" s="64" t="n"/>
      <c r="AQ13" s="64" t="n"/>
      <c r="AR13" s="64" t="n"/>
      <c r="AS13" s="64" t="n"/>
      <c r="AT13" s="663" t="n"/>
      <c r="AU13" s="64" t="n"/>
    </row>
    <row r="14" ht="38.25" customHeight="1">
      <c r="A14" s="1627">
        <f>'Data Input'!B12</f>
        <v/>
      </c>
      <c r="N14" s="64" t="n"/>
      <c r="O14" s="1617" t="n"/>
      <c r="P14" s="136" t="n"/>
      <c r="Q14" s="308" t="n"/>
      <c r="R14" s="64" t="n"/>
      <c r="S14" s="64" t="n"/>
      <c r="T14" s="663" t="n"/>
      <c r="U14" s="308" t="n"/>
      <c r="V14" s="64" t="n"/>
      <c r="W14" s="64" t="n"/>
      <c r="X14" s="64" t="n"/>
      <c r="Y14" s="64" t="n"/>
      <c r="Z14" s="64" t="n"/>
      <c r="AA14" s="64" t="n"/>
      <c r="AB14" s="136" t="n"/>
      <c r="AC14" s="64" t="n"/>
      <c r="AD14" s="64" t="n"/>
      <c r="AE14" s="64" t="n"/>
      <c r="AF14" s="64" t="n"/>
      <c r="AG14" s="308" t="n"/>
      <c r="AH14" s="64" t="n"/>
      <c r="AI14" s="64" t="n"/>
      <c r="AJ14" s="663" t="n"/>
      <c r="AK14" s="308" t="n"/>
      <c r="AL14" s="663" t="n"/>
      <c r="AM14" s="308" t="n"/>
      <c r="AN14" s="64" t="n"/>
      <c r="AO14" s="64" t="n"/>
      <c r="AP14" s="64" t="n"/>
      <c r="AQ14" s="64" t="n"/>
      <c r="AR14" s="64" t="n"/>
      <c r="AS14" s="64" t="n"/>
      <c r="AT14" s="663" t="n"/>
      <c r="AU14" s="64" t="n"/>
    </row>
    <row r="15" ht="18.75" customHeight="1">
      <c r="A15" s="1630">
        <f>'Data Input'!D12</f>
        <v/>
      </c>
      <c r="N15" s="64" t="n"/>
      <c r="O15" s="1632" t="n"/>
      <c r="P15" s="136" t="n"/>
      <c r="Q15" s="308" t="n"/>
      <c r="R15" s="64" t="n"/>
      <c r="S15" s="64" t="n"/>
      <c r="T15" s="663" t="n"/>
      <c r="U15" s="308" t="n"/>
      <c r="V15" s="64" t="n"/>
      <c r="W15" s="64" t="n"/>
      <c r="X15" s="64" t="n"/>
      <c r="Y15" s="64" t="n"/>
      <c r="Z15" s="64" t="n"/>
      <c r="AA15" s="64" t="n"/>
      <c r="AB15" s="136" t="n"/>
      <c r="AC15" s="64" t="n"/>
      <c r="AD15" s="64" t="n"/>
      <c r="AE15" s="64" t="n"/>
      <c r="AF15" s="64" t="n"/>
      <c r="AG15" s="308" t="n"/>
      <c r="AH15" s="64" t="n"/>
      <c r="AI15" s="64" t="n"/>
      <c r="AJ15" s="663" t="n"/>
      <c r="AK15" s="308" t="n"/>
      <c r="AL15" s="663" t="n"/>
      <c r="AM15" s="308" t="n"/>
      <c r="AN15" s="64" t="n"/>
      <c r="AO15" s="64" t="n"/>
      <c r="AP15" s="64" t="n"/>
      <c r="AQ15" s="64" t="n"/>
      <c r="AR15" s="64" t="n"/>
      <c r="AS15" s="64" t="n"/>
      <c r="AT15" s="663" t="n"/>
      <c r="AU15" s="64" t="n"/>
    </row>
    <row r="16" ht="21" customHeight="1">
      <c r="A16" s="1627" t="n"/>
      <c r="N16" s="64" t="n"/>
      <c r="O16" s="1633" t="n"/>
      <c r="P16" s="136" t="n"/>
      <c r="Q16" s="308" t="n"/>
      <c r="R16" s="64" t="n"/>
      <c r="S16" s="64" t="n"/>
      <c r="T16" s="663" t="n"/>
      <c r="U16" s="308" t="n"/>
      <c r="V16" s="64" t="n"/>
      <c r="W16" s="64" t="n"/>
      <c r="X16" s="64" t="n"/>
      <c r="Y16" s="64" t="n"/>
      <c r="Z16" s="64" t="n"/>
      <c r="AA16" s="64" t="n"/>
      <c r="AB16" s="136" t="n"/>
      <c r="AC16" s="64" t="n"/>
      <c r="AD16" s="64" t="n"/>
      <c r="AE16" s="64" t="n"/>
      <c r="AF16" s="64" t="n"/>
      <c r="AG16" s="308" t="n"/>
      <c r="AH16" s="64" t="n"/>
      <c r="AI16" s="64" t="n"/>
      <c r="AJ16" s="663" t="n"/>
      <c r="AK16" s="308" t="n"/>
      <c r="AL16" s="663" t="n"/>
      <c r="AM16" s="308" t="n"/>
      <c r="AN16" s="64" t="n"/>
      <c r="AO16" s="64" t="n"/>
      <c r="AP16" s="64" t="n"/>
      <c r="AQ16" s="64" t="n"/>
      <c r="AR16" s="64" t="n"/>
      <c r="AS16" s="64" t="n"/>
      <c r="AT16" s="663" t="n"/>
      <c r="AU16" s="64" t="n"/>
    </row>
    <row r="17" ht="15" customHeight="1">
      <c r="A17" s="1627" t="n"/>
      <c r="N17" s="64" t="n"/>
      <c r="O17" s="1633" t="n"/>
      <c r="P17" s="136" t="n"/>
      <c r="Q17" s="308" t="n"/>
      <c r="R17" s="64" t="n"/>
      <c r="S17" s="64" t="n"/>
      <c r="T17" s="663" t="n"/>
      <c r="U17" s="308" t="n"/>
      <c r="V17" s="64" t="n"/>
      <c r="W17" s="64" t="n"/>
      <c r="X17" s="64" t="n"/>
      <c r="Y17" s="64" t="n"/>
      <c r="Z17" s="64" t="n"/>
      <c r="AA17" s="64" t="n"/>
      <c r="AB17" s="136" t="n"/>
      <c r="AC17" s="64" t="n"/>
      <c r="AD17" s="64" t="n"/>
      <c r="AE17" s="64" t="n"/>
      <c r="AF17" s="64" t="n"/>
      <c r="AG17" s="308" t="n"/>
      <c r="AH17" s="64" t="n"/>
      <c r="AI17" s="64" t="n"/>
      <c r="AJ17" s="663" t="n"/>
      <c r="AK17" s="308" t="n"/>
      <c r="AL17" s="663" t="n"/>
      <c r="AM17" s="308" t="n"/>
      <c r="AN17" s="64" t="n"/>
      <c r="AO17" s="64" t="n"/>
      <c r="AP17" s="64" t="n"/>
      <c r="AQ17" s="64" t="n"/>
      <c r="AR17" s="64" t="n"/>
      <c r="AS17" s="64" t="n"/>
      <c r="AT17" s="663" t="n"/>
      <c r="AU17" s="64" t="n"/>
    </row>
    <row r="18" ht="24.75" customHeight="1">
      <c r="A18" s="1563" t="n"/>
      <c r="B18" s="63" t="n"/>
      <c r="C18" s="63" t="n"/>
      <c r="D18" s="63" t="n"/>
      <c r="E18" s="308" t="n"/>
      <c r="F18" s="308" t="n"/>
      <c r="G18" s="354" t="n"/>
      <c r="H18" s="65" t="n"/>
      <c r="I18" s="66" t="n"/>
      <c r="J18" s="66" t="n"/>
      <c r="K18" s="66" t="n"/>
      <c r="L18" s="66" t="n"/>
      <c r="M18" s="63" t="n"/>
      <c r="N18" s="64" t="n"/>
      <c r="O18" s="1633" t="n"/>
      <c r="P18" s="136" t="n"/>
      <c r="Q18" s="308" t="n"/>
      <c r="R18" s="64" t="n"/>
      <c r="S18" s="64" t="n"/>
      <c r="T18" s="663" t="n"/>
      <c r="U18" s="308" t="n"/>
      <c r="V18" s="64" t="n"/>
      <c r="W18" s="64" t="n"/>
      <c r="X18" s="64" t="n"/>
      <c r="Y18" s="64" t="n"/>
      <c r="Z18" s="64" t="n"/>
      <c r="AA18" s="64" t="n"/>
      <c r="AB18" s="136" t="n"/>
      <c r="AC18" s="64" t="n"/>
      <c r="AD18" s="64" t="n"/>
      <c r="AE18" s="64" t="n"/>
      <c r="AF18" s="64" t="n"/>
      <c r="AG18" s="308" t="n"/>
      <c r="AH18" s="64" t="n"/>
      <c r="AI18" s="64" t="n"/>
      <c r="AJ18" s="663" t="n"/>
      <c r="AK18" s="308" t="n"/>
      <c r="AL18" s="663" t="n"/>
      <c r="AM18" s="308" t="n"/>
      <c r="AN18" s="64" t="n"/>
      <c r="AO18" s="64" t="n"/>
      <c r="AP18" s="64" t="n"/>
      <c r="AQ18" s="64" t="n"/>
      <c r="AR18" s="64" t="n"/>
      <c r="AS18" s="64" t="n"/>
      <c r="AT18" s="663" t="n"/>
      <c r="AU18" s="64" t="n"/>
    </row>
    <row r="19" ht="18" customHeight="1">
      <c r="A19" s="1563" t="n"/>
      <c r="B19" s="63" t="n"/>
      <c r="C19" s="63" t="n"/>
      <c r="D19" s="63" t="n"/>
      <c r="E19" s="308" t="n"/>
      <c r="F19" s="308" t="n"/>
      <c r="G19" s="354" t="n"/>
      <c r="H19" s="65" t="n"/>
      <c r="I19" s="66" t="n"/>
      <c r="J19" s="66" t="n"/>
      <c r="K19" s="66" t="n"/>
      <c r="L19" s="66" t="n"/>
      <c r="M19" s="63" t="n"/>
      <c r="N19" s="64" t="n"/>
      <c r="O19" s="1633" t="n"/>
      <c r="P19" s="136" t="n"/>
      <c r="Q19" s="308" t="n"/>
      <c r="R19" s="64" t="n"/>
      <c r="S19" s="64" t="n"/>
      <c r="T19" s="663" t="n"/>
      <c r="U19" s="308" t="n"/>
      <c r="V19" s="64" t="n"/>
      <c r="W19" s="64" t="n"/>
      <c r="X19" s="64" t="n"/>
      <c r="Y19" s="64" t="n"/>
      <c r="Z19" s="64" t="n"/>
      <c r="AA19" s="64" t="n"/>
      <c r="AB19" s="136" t="n"/>
      <c r="AC19" s="64" t="n"/>
      <c r="AD19" s="64" t="n"/>
      <c r="AE19" s="64" t="n"/>
      <c r="AF19" s="64" t="n"/>
      <c r="AG19" s="308" t="n"/>
      <c r="AH19" s="64" t="n"/>
      <c r="AI19" s="64" t="n"/>
      <c r="AJ19" s="663" t="n"/>
      <c r="AK19" s="308" t="n"/>
      <c r="AL19" s="663" t="n"/>
      <c r="AM19" s="308" t="n"/>
      <c r="AN19" s="64" t="n"/>
      <c r="AO19" s="64" t="n"/>
      <c r="AP19" s="64" t="n"/>
      <c r="AQ19" s="64" t="n"/>
      <c r="AR19" s="64" t="n"/>
      <c r="AS19" s="64" t="n"/>
      <c r="AT19" s="663" t="n"/>
      <c r="AU19" s="64" t="n"/>
    </row>
    <row r="20" ht="22.5" customHeight="1">
      <c r="A20" s="1563" t="n"/>
      <c r="B20" s="63" t="n"/>
      <c r="C20" s="63" t="n"/>
      <c r="D20" s="63" t="n"/>
      <c r="E20" s="308" t="n"/>
      <c r="F20" s="308" t="n"/>
      <c r="G20" s="354" t="n"/>
      <c r="H20" s="65" t="n"/>
      <c r="I20" s="66" t="n"/>
      <c r="J20" s="66" t="n"/>
      <c r="K20" s="66" t="n"/>
      <c r="L20" s="66" t="n"/>
      <c r="M20" s="63" t="n"/>
      <c r="N20" s="64" t="n"/>
      <c r="O20" s="1633" t="n"/>
      <c r="P20" s="136" t="n"/>
      <c r="Q20" s="308" t="n"/>
      <c r="R20" s="64" t="n"/>
      <c r="S20" s="64" t="n"/>
      <c r="T20" s="663" t="n"/>
      <c r="U20" s="308" t="n"/>
      <c r="V20" s="64" t="n"/>
      <c r="W20" s="64" t="n"/>
      <c r="X20" s="64" t="n"/>
      <c r="Y20" s="64" t="n"/>
      <c r="Z20" s="64" t="n"/>
      <c r="AA20" s="64" t="n"/>
      <c r="AB20" s="136" t="n"/>
      <c r="AC20" s="64" t="n"/>
      <c r="AD20" s="64" t="n"/>
      <c r="AE20" s="64" t="n"/>
      <c r="AF20" s="64" t="n"/>
      <c r="AG20" s="308" t="n"/>
      <c r="AH20" s="64" t="n"/>
      <c r="AI20" s="64" t="n"/>
      <c r="AJ20" s="663" t="n"/>
      <c r="AK20" s="308" t="n"/>
      <c r="AL20" s="663" t="n"/>
      <c r="AM20" s="308" t="n"/>
      <c r="AN20" s="64" t="n"/>
      <c r="AO20" s="64" t="n"/>
      <c r="AP20" s="64" t="n"/>
      <c r="AQ20" s="64" t="n"/>
      <c r="AR20" s="64" t="n"/>
      <c r="AS20" s="64" t="n"/>
      <c r="AT20" s="663" t="n"/>
      <c r="AU20" s="64" t="n"/>
    </row>
    <row r="21" ht="18.75" customHeight="1">
      <c r="A21" s="247" t="n"/>
      <c r="N21" s="64" t="n"/>
      <c r="O21" s="1614" t="n"/>
      <c r="P21" s="136" t="n"/>
      <c r="Q21" s="308" t="n"/>
      <c r="R21" s="64" t="n"/>
      <c r="S21" s="64" t="n"/>
      <c r="T21" s="663" t="n"/>
      <c r="U21" s="308" t="n"/>
      <c r="V21" s="64" t="n"/>
      <c r="W21" s="64" t="n"/>
      <c r="X21" s="64" t="n"/>
      <c r="Y21" s="64" t="n"/>
      <c r="Z21" s="64" t="n"/>
      <c r="AA21" s="64" t="n"/>
      <c r="AB21" s="136" t="n"/>
      <c r="AC21" s="64" t="n"/>
      <c r="AD21" s="64" t="n"/>
      <c r="AE21" s="64" t="n"/>
      <c r="AF21" s="64" t="n"/>
      <c r="AG21" s="308" t="n"/>
      <c r="AH21" s="64" t="n"/>
      <c r="AI21" s="64" t="n"/>
      <c r="AJ21" s="663" t="n"/>
      <c r="AK21" s="308" t="n"/>
      <c r="AL21" s="663" t="n"/>
      <c r="AM21" s="308" t="n"/>
      <c r="AN21" s="64" t="n"/>
      <c r="AO21" s="64" t="n"/>
      <c r="AP21" s="64" t="n"/>
      <c r="AQ21" s="64" t="n"/>
      <c r="AR21" s="64" t="n"/>
      <c r="AS21" s="64" t="n"/>
      <c r="AT21" s="663" t="n"/>
      <c r="AU21" s="64" t="n"/>
    </row>
    <row r="22" ht="19.5" customHeight="1">
      <c r="A22" s="247" t="n"/>
      <c r="N22" s="64" t="n"/>
      <c r="O22" s="1614" t="n"/>
      <c r="P22" s="136" t="n"/>
      <c r="Q22" s="308" t="n"/>
      <c r="R22" s="64" t="n"/>
      <c r="S22" s="64" t="n"/>
      <c r="T22" s="663" t="n"/>
      <c r="U22" s="308" t="n"/>
      <c r="V22" s="64" t="n"/>
      <c r="W22" s="64" t="n"/>
      <c r="X22" s="64" t="n"/>
      <c r="Y22" s="64" t="n"/>
      <c r="Z22" s="64" t="n"/>
      <c r="AA22" s="64" t="n"/>
      <c r="AB22" s="136" t="n"/>
      <c r="AC22" s="64" t="n"/>
      <c r="AD22" s="64" t="n"/>
      <c r="AE22" s="64" t="n"/>
      <c r="AF22" s="64" t="n"/>
      <c r="AG22" s="308" t="n"/>
      <c r="AH22" s="64" t="n"/>
      <c r="AI22" s="64" t="n"/>
      <c r="AJ22" s="663" t="n"/>
      <c r="AK22" s="308" t="n"/>
      <c r="AL22" s="663" t="n"/>
      <c r="AM22" s="308" t="n"/>
      <c r="AN22" s="64" t="n"/>
      <c r="AO22" s="64" t="n"/>
      <c r="AP22" s="64" t="n"/>
      <c r="AQ22" s="64" t="n"/>
      <c r="AR22" s="64" t="n"/>
      <c r="AS22" s="64" t="n"/>
      <c r="AT22" s="663" t="n"/>
      <c r="AU22" s="64" t="n"/>
    </row>
    <row r="23" ht="34.5" customHeight="1">
      <c r="A23" s="1563" t="n"/>
      <c r="B23" s="63" t="n"/>
      <c r="C23" s="63" t="n"/>
      <c r="D23" s="63" t="n"/>
      <c r="E23" s="308" t="n"/>
      <c r="F23" s="308" t="n"/>
      <c r="G23" s="354" t="n"/>
      <c r="H23" s="65" t="n"/>
      <c r="I23" s="66" t="n"/>
      <c r="J23" s="66" t="n"/>
      <c r="K23" s="66" t="n"/>
      <c r="L23" s="66" t="n"/>
      <c r="M23" s="63" t="n"/>
      <c r="N23" s="64" t="n"/>
      <c r="O23" s="1633" t="n"/>
      <c r="P23" s="136" t="n"/>
      <c r="Q23" s="308" t="n"/>
      <c r="R23" s="64" t="n"/>
      <c r="S23" s="64" t="n"/>
      <c r="T23" s="663" t="n"/>
      <c r="U23" s="1634" t="inlineStr">
        <is>
          <t>evsjv‡`k K…wl e¨vsK</t>
        </is>
      </c>
      <c r="AI23" s="64" t="n"/>
      <c r="AJ23" s="663" t="n"/>
      <c r="AK23" s="308" t="n"/>
      <c r="AL23" s="663" t="n"/>
      <c r="AM23" s="308" t="n"/>
      <c r="AN23" s="64" t="n"/>
      <c r="AO23" s="64" t="n"/>
      <c r="AP23" s="64" t="n"/>
      <c r="AQ23" s="64" t="n"/>
      <c r="AR23" s="64" t="n"/>
      <c r="AS23" s="64" t="n"/>
      <c r="AT23" s="663" t="n"/>
      <c r="AU23" s="64" t="n"/>
    </row>
    <row r="24" ht="27.75" customHeight="1">
      <c r="A24" s="1563" t="n"/>
      <c r="B24" s="63" t="n"/>
      <c r="C24" s="63" t="n"/>
      <c r="D24" s="63" t="n"/>
      <c r="E24" s="308" t="n"/>
      <c r="F24" s="308" t="n"/>
      <c r="G24" s="354" t="n"/>
      <c r="H24" s="65" t="n"/>
      <c r="I24" s="66" t="n"/>
      <c r="J24" s="66" t="n"/>
      <c r="K24" s="66" t="n"/>
      <c r="L24" s="66" t="n"/>
      <c r="M24" s="63" t="n"/>
      <c r="N24" s="64" t="n"/>
      <c r="O24" s="1637" t="n"/>
      <c r="P24" s="136" t="n"/>
      <c r="Q24" s="308" t="n"/>
      <c r="R24" s="64" t="n"/>
      <c r="S24" s="64" t="n"/>
      <c r="T24" s="663" t="n"/>
      <c r="U24" s="1638">
        <f>+'Data Input'!D2</f>
        <v/>
      </c>
      <c r="AI24" s="64" t="n"/>
      <c r="AJ24" s="663" t="n"/>
      <c r="AK24" s="308" t="n"/>
      <c r="AL24" s="663" t="n"/>
      <c r="AM24" s="308" t="n"/>
      <c r="AN24" s="64" t="n"/>
      <c r="AO24" s="64" t="n"/>
      <c r="AP24" s="64" t="n"/>
      <c r="AQ24" s="64" t="n"/>
      <c r="AR24" s="64" t="n"/>
      <c r="AS24" s="64" t="n"/>
      <c r="AT24" s="663" t="n"/>
      <c r="AU24" s="64" t="n"/>
    </row>
    <row r="25" ht="54.75" customHeight="1">
      <c r="A25" s="1563" t="n"/>
      <c r="B25" s="1642">
        <f>L46</f>
        <v/>
      </c>
      <c r="N25" s="64" t="n"/>
      <c r="O25" s="1645" t="n"/>
      <c r="P25" s="136" t="n"/>
      <c r="Q25" s="308" t="n"/>
      <c r="R25" s="64" t="n"/>
      <c r="S25" s="64" t="n"/>
      <c r="T25" s="663" t="n"/>
      <c r="U25" s="1646">
        <f>+"A_© eQi t "&amp;"2022-23"</f>
        <v/>
      </c>
      <c r="AI25" s="64" t="n"/>
      <c r="AJ25" s="663" t="n"/>
      <c r="AK25" s="308" t="n"/>
      <c r="AL25" s="663" t="n"/>
      <c r="AM25" s="308" t="n"/>
      <c r="AN25" s="64" t="n"/>
      <c r="AO25" s="64" t="n"/>
      <c r="AP25" s="64" t="n"/>
      <c r="AQ25" s="64" t="n"/>
      <c r="AR25" s="64" t="n"/>
      <c r="AS25" s="64" t="n"/>
      <c r="AT25" s="663" t="n"/>
      <c r="AU25" s="64" t="n"/>
    </row>
    <row r="26" ht="15.75" customHeight="1">
      <c r="A26" s="1563" t="n"/>
      <c r="B26" s="1648">
        <f>"‡gvevBj bst +88 "&amp;'Data Input'!D16</f>
        <v/>
      </c>
      <c r="O26" s="1945" t="n"/>
      <c r="P26" s="136" t="n"/>
      <c r="Q26" s="308" t="n"/>
      <c r="R26" s="64" t="n"/>
      <c r="S26" s="64" t="n"/>
      <c r="T26" s="663" t="n"/>
      <c r="U26" s="249" t="n"/>
      <c r="AI26" s="64" t="n"/>
      <c r="AJ26" s="663" t="n"/>
      <c r="AK26" s="308" t="n"/>
      <c r="AL26" s="663" t="n"/>
      <c r="AM26" s="308" t="n"/>
      <c r="AN26" s="64" t="n"/>
      <c r="AO26" s="64" t="n"/>
      <c r="AP26" s="64" t="n"/>
      <c r="AQ26" s="64" t="n"/>
      <c r="AR26" s="64" t="n"/>
      <c r="AS26" s="64" t="n"/>
      <c r="AT26" s="663" t="n"/>
      <c r="AU26" s="64" t="n"/>
    </row>
    <row r="27" ht="24.75" customHeight="1">
      <c r="A27" s="1563" t="n"/>
      <c r="B27" s="63" t="n"/>
      <c r="C27" s="63" t="n"/>
      <c r="D27" s="63" t="n"/>
      <c r="E27" s="308" t="n"/>
      <c r="F27" s="308" t="n"/>
      <c r="G27" s="354" t="n"/>
      <c r="H27" s="65" t="n"/>
      <c r="I27" s="66" t="n"/>
      <c r="J27" s="66" t="n"/>
      <c r="K27" s="66" t="n"/>
      <c r="L27" s="66" t="n"/>
      <c r="M27" s="63" t="n"/>
      <c r="N27" s="64" t="n"/>
      <c r="O27" s="1945" t="n"/>
      <c r="P27" s="136" t="n"/>
      <c r="Q27" s="308" t="n"/>
      <c r="R27" s="64" t="n"/>
      <c r="S27" s="64" t="n"/>
      <c r="T27" s="663" t="n"/>
      <c r="U27" s="308" t="n"/>
      <c r="V27" s="64" t="n"/>
      <c r="W27" s="64" t="n"/>
      <c r="X27" s="64" t="n"/>
      <c r="Y27" s="64" t="n"/>
      <c r="Z27" s="64" t="n"/>
      <c r="AA27" s="64" t="n"/>
      <c r="AB27" s="136" t="n"/>
      <c r="AC27" s="64" t="n"/>
      <c r="AD27" s="64" t="n"/>
      <c r="AE27" s="64" t="n"/>
      <c r="AF27" s="64" t="n"/>
      <c r="AG27" s="308" t="n"/>
      <c r="AH27" s="64" t="n"/>
      <c r="AI27" s="64" t="n"/>
      <c r="AJ27" s="663" t="n"/>
      <c r="AK27" s="308" t="n"/>
      <c r="AL27" s="663" t="n"/>
      <c r="AM27" s="308" t="n"/>
      <c r="AN27" s="64" t="n"/>
      <c r="AO27" s="64" t="n"/>
      <c r="AP27" s="64" t="n"/>
      <c r="AQ27" s="64" t="n"/>
      <c r="AR27" s="64" t="n"/>
      <c r="AS27" s="64" t="n"/>
      <c r="AT27" s="663" t="n"/>
      <c r="AU27" s="64" t="n"/>
    </row>
    <row r="28" ht="18.75" customHeight="1">
      <c r="A28" s="1563" t="n"/>
      <c r="B28" s="63" t="n"/>
      <c r="C28" s="63" t="n"/>
      <c r="D28" s="63" t="n"/>
      <c r="E28" s="308" t="n"/>
      <c r="F28" s="308" t="n"/>
      <c r="G28" s="354" t="n"/>
      <c r="H28" s="65" t="n"/>
      <c r="I28" s="66" t="n"/>
      <c r="J28" s="66" t="n"/>
      <c r="K28" s="66" t="n"/>
      <c r="L28" s="66" t="n"/>
      <c r="M28" s="63" t="n"/>
      <c r="N28" s="1964" t="n"/>
      <c r="O28" s="1650" t="n"/>
      <c r="P28" s="135" t="n"/>
      <c r="Q28" s="1651" t="n"/>
      <c r="R28" s="1964" t="n"/>
      <c r="S28" s="1964" t="n"/>
      <c r="T28" s="1561" t="n"/>
      <c r="U28" s="304" t="inlineStr">
        <is>
          <t>¯^Z¡vwaKvix</t>
        </is>
      </c>
      <c r="AB28" s="135" t="n"/>
      <c r="AC28" s="219" t="inlineStr">
        <is>
          <t>Kg©KZ©v</t>
        </is>
      </c>
      <c r="AE28" s="64" t="n"/>
      <c r="AF28" s="219" t="inlineStr">
        <is>
          <t>e¨e¯’vcK</t>
        </is>
      </c>
      <c r="AI28" s="64" t="n"/>
      <c r="AJ28" s="663" t="n"/>
      <c r="AK28" s="308" t="n"/>
      <c r="AL28" s="663" t="n"/>
      <c r="AM28" s="308" t="n"/>
      <c r="AN28" s="64" t="n"/>
      <c r="AO28" s="64" t="n"/>
      <c r="AP28" s="64" t="n"/>
      <c r="AQ28" s="64" t="n"/>
      <c r="AR28" s="64" t="n"/>
      <c r="AS28" s="64" t="n"/>
      <c r="AT28" s="663" t="n"/>
      <c r="AU28" s="64" t="n"/>
    </row>
    <row r="29" ht="19.5" customHeight="1">
      <c r="A29" s="1563" t="n"/>
      <c r="B29" s="63" t="n"/>
      <c r="C29" s="63" t="n"/>
      <c r="D29" s="63" t="n"/>
      <c r="E29" s="308" t="n"/>
      <c r="F29" s="308" t="n"/>
      <c r="G29" s="354" t="n"/>
      <c r="H29" s="65" t="n"/>
      <c r="I29" s="66" t="n"/>
      <c r="J29" s="66" t="n"/>
      <c r="K29" s="66" t="n"/>
      <c r="L29" s="66" t="n"/>
      <c r="M29" s="63" t="n"/>
      <c r="N29" s="1964" t="n"/>
      <c r="O29" s="1650" t="n"/>
      <c r="P29" s="135" t="n"/>
      <c r="Q29" s="1651" t="n"/>
      <c r="R29" s="1964" t="n"/>
      <c r="S29" s="1964" t="n"/>
      <c r="T29" s="1561" t="n"/>
      <c r="U29" s="304">
        <f>+'Data Input'!D8</f>
        <v/>
      </c>
      <c r="AB29" s="302" t="n"/>
      <c r="AC29" s="219" t="inlineStr">
        <is>
          <t>evsjv‡`k K…wl e¨vsK</t>
        </is>
      </c>
      <c r="AE29" s="1964" t="n"/>
      <c r="AF29" s="219" t="inlineStr">
        <is>
          <t>evsjv‡`k K…wl e¨vsK</t>
        </is>
      </c>
      <c r="AI29" s="64" t="n"/>
      <c r="AJ29" s="663" t="n"/>
      <c r="AK29" s="308" t="n"/>
      <c r="AL29" s="663" t="n"/>
      <c r="AM29" s="308" t="n"/>
      <c r="AN29" s="64" t="n"/>
      <c r="AO29" s="64" t="n"/>
      <c r="AP29" s="64" t="n"/>
      <c r="AQ29" s="64" t="n"/>
      <c r="AR29" s="64" t="n"/>
      <c r="AS29" s="64" t="n"/>
      <c r="AT29" s="663" t="n"/>
      <c r="AU29" s="64" t="n"/>
    </row>
    <row r="30" ht="18.75" customHeight="1">
      <c r="A30" s="1563" t="n"/>
      <c r="B30" s="63" t="n"/>
      <c r="C30" s="63" t="n"/>
      <c r="D30" s="63" t="n"/>
      <c r="E30" s="308" t="n"/>
      <c r="F30" s="308" t="n"/>
      <c r="G30" s="354" t="n"/>
      <c r="H30" s="65" t="n"/>
      <c r="I30" s="66" t="n"/>
      <c r="J30" s="66" t="n"/>
      <c r="K30" s="66" t="n"/>
      <c r="L30" s="66" t="n"/>
      <c r="M30" s="63" t="n"/>
      <c r="N30" s="1964" t="n"/>
      <c r="O30" s="1650" t="n"/>
      <c r="P30" s="135" t="n"/>
      <c r="Q30" s="1651" t="n"/>
      <c r="R30" s="1964" t="n"/>
      <c r="S30" s="1964" t="n"/>
      <c r="T30" s="1561" t="n"/>
      <c r="U30" s="304">
        <f>A15</f>
        <v/>
      </c>
      <c r="AB30" s="302" t="n"/>
      <c r="AC30" s="219">
        <f>+'Data Input'!$D$2</f>
        <v/>
      </c>
      <c r="AE30" s="1964" t="n"/>
      <c r="AF30" s="603">
        <f>AC30</f>
        <v/>
      </c>
      <c r="AI30" s="64" t="n"/>
      <c r="AJ30" s="663" t="n"/>
      <c r="AK30" s="308" t="n"/>
      <c r="AL30" s="663" t="n"/>
      <c r="AM30" s="308" t="n"/>
      <c r="AN30" s="64" t="n"/>
      <c r="AO30" s="64" t="n"/>
      <c r="AP30" s="64" t="n"/>
      <c r="AQ30" s="64" t="n"/>
      <c r="AR30" s="64" t="n"/>
      <c r="AS30" s="64" t="n"/>
      <c r="AT30" s="663" t="n"/>
      <c r="AU30" s="64" t="n"/>
    </row>
    <row r="31" ht="18.75" customHeight="1">
      <c r="A31" s="1563" t="n"/>
      <c r="B31" s="63" t="n"/>
      <c r="C31" s="63" t="n"/>
      <c r="D31" s="63" t="n"/>
      <c r="E31" s="308" t="n"/>
      <c r="F31" s="308" t="n"/>
      <c r="G31" s="354" t="n"/>
      <c r="H31" s="65" t="n"/>
      <c r="I31" s="66" t="n"/>
      <c r="J31" s="66" t="n"/>
      <c r="K31" s="66" t="n"/>
      <c r="L31" s="66" t="n"/>
      <c r="M31" s="63" t="n"/>
      <c r="N31" s="64" t="n"/>
      <c r="O31" s="1945" t="n"/>
      <c r="P31" s="136" t="n"/>
      <c r="Q31" s="308" t="n"/>
      <c r="R31" s="64" t="n"/>
      <c r="S31" s="64" t="n"/>
      <c r="T31" s="663" t="n"/>
      <c r="U31" s="308" t="n"/>
      <c r="V31" s="64" t="n"/>
      <c r="W31" s="64" t="n"/>
      <c r="X31" s="64" t="n"/>
      <c r="Y31" s="64" t="n"/>
      <c r="Z31" s="64" t="n"/>
      <c r="AA31" s="64" t="n"/>
      <c r="AB31" s="136" t="n"/>
      <c r="AC31" s="64" t="n"/>
      <c r="AD31" s="64" t="n"/>
      <c r="AE31" s="64" t="n"/>
      <c r="AF31" s="64" t="n"/>
      <c r="AG31" s="308" t="n"/>
      <c r="AH31" s="64" t="n"/>
      <c r="AI31" s="64" t="n"/>
      <c r="AJ31" s="663" t="n"/>
      <c r="AK31" s="308" t="n"/>
      <c r="AL31" s="663" t="n"/>
      <c r="AM31" s="308" t="n"/>
      <c r="AN31" s="64" t="n"/>
      <c r="AO31" s="64" t="n"/>
      <c r="AP31" s="64" t="n"/>
      <c r="AQ31" s="64" t="n"/>
      <c r="AR31" s="64" t="n"/>
      <c r="AS31" s="64" t="n"/>
      <c r="AT31" s="663" t="n"/>
      <c r="AU31" s="64" t="n"/>
    </row>
    <row r="32" ht="8.25" customHeight="1">
      <c r="A32" s="306" t="n"/>
      <c r="N32" s="64" t="n"/>
      <c r="O32" s="1945" t="n"/>
      <c r="P32" s="136" t="n"/>
      <c r="Q32" s="308" t="n"/>
      <c r="R32" s="64" t="n"/>
      <c r="S32" s="64" t="n"/>
      <c r="T32" s="663" t="n"/>
      <c r="U32" s="308" t="n"/>
      <c r="V32" s="64" t="n"/>
      <c r="W32" s="64" t="n"/>
      <c r="X32" s="64" t="n"/>
      <c r="Y32" s="64" t="n"/>
      <c r="Z32" s="64" t="n"/>
      <c r="AA32" s="64" t="n"/>
      <c r="AB32" s="136" t="n"/>
      <c r="AC32" s="64" t="n"/>
      <c r="AD32" s="64" t="n"/>
      <c r="AE32" s="64" t="n"/>
      <c r="AF32" s="64" t="n"/>
      <c r="AG32" s="308" t="n"/>
      <c r="AH32" s="64" t="n"/>
      <c r="AI32" s="64" t="n"/>
      <c r="AJ32" s="663" t="n"/>
      <c r="AK32" s="308" t="n"/>
      <c r="AL32" s="663" t="n"/>
      <c r="AM32" s="308" t="n"/>
      <c r="AN32" s="64" t="n"/>
      <c r="AO32" s="64" t="n"/>
      <c r="AP32" s="64" t="n"/>
      <c r="AQ32" s="64" t="n"/>
      <c r="AR32" s="64" t="n"/>
      <c r="AS32" s="64" t="n"/>
      <c r="AT32" s="663" t="n"/>
      <c r="AU32" s="64" t="n"/>
    </row>
    <row r="33" ht="20.25" customHeight="1">
      <c r="A33" s="306" t="n"/>
      <c r="B33" s="603" t="n"/>
      <c r="C33" s="603" t="n"/>
      <c r="D33" s="603" t="n"/>
      <c r="E33" s="661" t="n"/>
      <c r="F33" s="661" t="n"/>
      <c r="G33" s="603" t="n"/>
      <c r="H33" s="306" t="n"/>
      <c r="I33" s="661" t="n"/>
      <c r="J33" s="661" t="n"/>
      <c r="K33" s="661" t="n"/>
      <c r="L33" s="661" t="n"/>
      <c r="M33" s="603" t="n"/>
      <c r="N33" s="64" t="n"/>
      <c r="O33" s="1945" t="n"/>
      <c r="P33" s="136" t="n"/>
      <c r="Q33" s="308" t="n"/>
      <c r="R33" s="64" t="n"/>
      <c r="S33" s="64" t="n"/>
      <c r="T33" s="663" t="n"/>
      <c r="U33" s="308" t="n"/>
      <c r="V33" s="64" t="n"/>
      <c r="W33" s="64" t="n"/>
      <c r="X33" s="64" t="n"/>
      <c r="Y33" s="64" t="n"/>
      <c r="Z33" s="64" t="n"/>
      <c r="AA33" s="64" t="n"/>
      <c r="AB33" s="136" t="n"/>
      <c r="AC33" s="64" t="n"/>
      <c r="AD33" s="64" t="n"/>
      <c r="AE33" s="64" t="n"/>
      <c r="AF33" s="64" t="n"/>
      <c r="AG33" s="308" t="n"/>
      <c r="AH33" s="64" t="n"/>
      <c r="AI33" s="64" t="n"/>
      <c r="AJ33" s="663" t="n"/>
      <c r="AK33" s="308" t="n"/>
      <c r="AL33" s="663" t="n"/>
      <c r="AM33" s="308" t="n"/>
      <c r="AN33" s="64" t="n"/>
      <c r="AO33" s="64" t="n"/>
      <c r="AP33" s="64" t="n"/>
      <c r="AQ33" s="64" t="n"/>
      <c r="AR33" s="64" t="n"/>
      <c r="AS33" s="64" t="n"/>
      <c r="AT33" s="663" t="n"/>
      <c r="AU33" s="64" t="n"/>
    </row>
    <row r="34" ht="20.25" customHeight="1">
      <c r="A34" s="1652">
        <f>A6</f>
        <v/>
      </c>
      <c r="O34" s="1945" t="n"/>
      <c r="P34" s="136" t="n"/>
      <c r="Q34" s="308" t="n"/>
      <c r="R34" s="64" t="n"/>
      <c r="S34" s="64" t="n"/>
      <c r="T34" s="663" t="n"/>
      <c r="U34" s="308" t="n"/>
      <c r="V34" s="64" t="n"/>
      <c r="W34" s="64" t="n"/>
      <c r="X34" s="64" t="n"/>
      <c r="Y34" s="64" t="n"/>
      <c r="Z34" s="64" t="n"/>
      <c r="AA34" s="64" t="n"/>
      <c r="AB34" s="136" t="n"/>
      <c r="AC34" s="64" t="n"/>
      <c r="AD34" s="64" t="n"/>
      <c r="AE34" s="64" t="n"/>
      <c r="AF34" s="64" t="n"/>
      <c r="AG34" s="308" t="n"/>
      <c r="AH34" s="64" t="n"/>
      <c r="AI34" s="64" t="n"/>
      <c r="AJ34" s="663" t="n"/>
      <c r="AK34" s="308" t="n"/>
      <c r="AL34" s="663" t="n"/>
      <c r="AM34" s="308" t="n"/>
      <c r="AN34" s="64" t="n"/>
      <c r="AO34" s="64" t="n"/>
      <c r="AP34" s="64" t="n"/>
      <c r="AQ34" s="64" t="n"/>
      <c r="AR34" s="64" t="n"/>
      <c r="AS34" s="64" t="n"/>
      <c r="AT34" s="663" t="n"/>
      <c r="AU34" s="64" t="n"/>
    </row>
    <row r="35" ht="20.25" customHeight="1">
      <c r="A35" s="302">
        <f>"‡cÖvcvBUi "&amp;A15</f>
        <v/>
      </c>
      <c r="O35" s="1945" t="n"/>
      <c r="P35" s="136" t="n"/>
      <c r="Q35" s="308" t="n"/>
      <c r="R35" s="64" t="n"/>
      <c r="S35" s="64" t="n"/>
      <c r="T35" s="663" t="n"/>
      <c r="U35" s="308" t="n"/>
      <c r="V35" s="64" t="n"/>
      <c r="W35" s="64" t="n"/>
      <c r="X35" s="64" t="n"/>
      <c r="Y35" s="64" t="n"/>
      <c r="Z35" s="64" t="n"/>
      <c r="AA35" s="64" t="n"/>
      <c r="AB35" s="136" t="n"/>
      <c r="AC35" s="64" t="n"/>
      <c r="AD35" s="64" t="n"/>
      <c r="AE35" s="64" t="n"/>
      <c r="AF35" s="64" t="n"/>
      <c r="AG35" s="308" t="n"/>
      <c r="AH35" s="64" t="n"/>
      <c r="AI35" s="64" t="n"/>
      <c r="AJ35" s="663" t="n"/>
      <c r="AK35" s="308" t="n"/>
      <c r="AL35" s="663" t="n"/>
      <c r="AM35" s="308" t="n"/>
      <c r="AN35" s="64" t="n"/>
      <c r="AO35" s="64" t="n"/>
      <c r="AP35" s="64" t="n"/>
      <c r="AQ35" s="64" t="n"/>
      <c r="AR35" s="64" t="n"/>
      <c r="AS35" s="64" t="n"/>
      <c r="AT35" s="663" t="n"/>
      <c r="AU35" s="64" t="n"/>
    </row>
    <row r="36" ht="20.25" customHeight="1">
      <c r="A36" s="302">
        <f>A8</f>
        <v/>
      </c>
      <c r="O36" s="1945" t="n"/>
      <c r="P36" s="136" t="n"/>
      <c r="Q36" s="308" t="n"/>
      <c r="R36" s="64" t="n"/>
      <c r="S36" s="64" t="n"/>
      <c r="T36" s="663" t="n"/>
      <c r="U36" s="308" t="n"/>
      <c r="V36" s="64" t="n"/>
      <c r="W36" s="64" t="n"/>
      <c r="X36" s="64" t="n"/>
      <c r="Y36" s="64" t="n"/>
      <c r="Z36" s="64" t="n"/>
      <c r="AA36" s="64" t="n"/>
      <c r="AB36" s="136" t="n"/>
      <c r="AC36" s="64" t="n"/>
      <c r="AD36" s="64" t="n"/>
      <c r="AE36" s="64" t="n"/>
      <c r="AF36" s="64" t="n"/>
      <c r="AG36" s="308" t="n"/>
      <c r="AH36" s="64" t="n"/>
      <c r="AI36" s="64" t="n"/>
      <c r="AJ36" s="663" t="n"/>
      <c r="AK36" s="308" t="n"/>
      <c r="AL36" s="663" t="n"/>
      <c r="AM36" s="308" t="n"/>
      <c r="AN36" s="64" t="n"/>
      <c r="AO36" s="64" t="n"/>
      <c r="AP36" s="64" t="n"/>
      <c r="AQ36" s="64" t="n"/>
      <c r="AR36" s="64" t="n"/>
      <c r="AS36" s="64" t="n"/>
      <c r="AT36" s="663" t="n"/>
      <c r="AU36" s="64" t="n"/>
    </row>
    <row r="37" ht="20.25" customHeight="1">
      <c r="A37" s="306" t="n"/>
      <c r="B37" s="603" t="n"/>
      <c r="C37" s="603" t="n"/>
      <c r="D37" s="603" t="n"/>
      <c r="E37" s="661" t="n"/>
      <c r="F37" s="661" t="n"/>
      <c r="G37" s="603" t="n"/>
      <c r="H37" s="306" t="n"/>
      <c r="I37" s="661" t="n"/>
      <c r="J37" s="661" t="n"/>
      <c r="K37" s="661" t="n"/>
      <c r="L37" s="661" t="n"/>
      <c r="M37" s="603" t="n"/>
      <c r="N37" s="64" t="n"/>
      <c r="O37" s="1945" t="n"/>
      <c r="P37" s="136" t="n"/>
      <c r="Q37" s="308" t="n"/>
      <c r="R37" s="64" t="n"/>
      <c r="S37" s="64" t="n"/>
      <c r="T37" s="663" t="n"/>
      <c r="U37" s="308" t="n"/>
      <c r="V37" s="64" t="n"/>
      <c r="W37" s="64" t="n"/>
      <c r="X37" s="64" t="n"/>
      <c r="Y37" s="64" t="n"/>
      <c r="Z37" s="64" t="n"/>
      <c r="AA37" s="64" t="n"/>
      <c r="AB37" s="136" t="n"/>
      <c r="AC37" s="64" t="n"/>
      <c r="AD37" s="64" t="n"/>
      <c r="AE37" s="64" t="n"/>
      <c r="AF37" s="64" t="n"/>
      <c r="AG37" s="308" t="n"/>
      <c r="AH37" s="64" t="n"/>
      <c r="AI37" s="64" t="n"/>
      <c r="AJ37" s="663" t="n"/>
      <c r="AK37" s="308" t="n"/>
      <c r="AL37" s="663" t="n"/>
      <c r="AM37" s="308" t="n"/>
      <c r="AN37" s="64" t="n"/>
      <c r="AO37" s="64" t="n"/>
      <c r="AP37" s="64" t="n"/>
      <c r="AQ37" s="64" t="n"/>
      <c r="AR37" s="64" t="n"/>
      <c r="AS37" s="64" t="n"/>
      <c r="AT37" s="663" t="n"/>
      <c r="AU37" s="64" t="n"/>
    </row>
    <row r="38" ht="20.25" customHeight="1">
      <c r="A38" s="1655" t="inlineStr">
        <is>
          <t>cÖwZôv‡bi mvivsk</t>
        </is>
      </c>
      <c r="O38" s="1945" t="n"/>
      <c r="P38" s="136" t="n"/>
      <c r="Q38" s="308" t="n"/>
      <c r="R38" s="64" t="n"/>
      <c r="S38" s="64" t="n"/>
      <c r="T38" s="663" t="n"/>
      <c r="U38" s="308" t="n"/>
      <c r="V38" s="64" t="n"/>
      <c r="W38" s="64" t="n"/>
      <c r="X38" s="64" t="n"/>
      <c r="Y38" s="64" t="n"/>
      <c r="Z38" s="64" t="n"/>
      <c r="AA38" s="64" t="n"/>
      <c r="AB38" s="136" t="n"/>
      <c r="AC38" s="64" t="n"/>
      <c r="AD38" s="64" t="n"/>
      <c r="AE38" s="64" t="n"/>
      <c r="AF38" s="64" t="n"/>
      <c r="AG38" s="308" t="n"/>
      <c r="AH38" s="64" t="n"/>
      <c r="AI38" s="64" t="n"/>
      <c r="AJ38" s="663" t="n"/>
      <c r="AK38" s="308" t="n"/>
      <c r="AL38" s="663" t="n"/>
      <c r="AM38" s="308" t="n"/>
      <c r="AN38" s="64" t="n"/>
      <c r="AO38" s="64" t="n"/>
      <c r="AP38" s="64" t="n"/>
      <c r="AQ38" s="64" t="n"/>
      <c r="AR38" s="64" t="n"/>
      <c r="AS38" s="64" t="n"/>
      <c r="AT38" s="663" t="n"/>
      <c r="AU38" s="64" t="n"/>
    </row>
    <row r="39" ht="19.5" customFormat="1" customHeight="1" s="18">
      <c r="A39" s="1657" t="inlineStr">
        <is>
          <t xml:space="preserve">01| </t>
        </is>
      </c>
      <c r="B39" s="399" t="inlineStr">
        <is>
          <t>e¨emv cÖwZôv‡bi bvg</t>
        </is>
      </c>
      <c r="G39" s="535" t="inlineStr">
        <is>
          <t>t</t>
        </is>
      </c>
      <c r="H39" s="475">
        <f>+'Data Input'!D8</f>
        <v/>
      </c>
      <c r="N39" s="103" t="n"/>
      <c r="O39" s="1658" t="n"/>
      <c r="P39" s="225" t="n"/>
      <c r="Q39" s="555" t="n"/>
      <c r="R39" s="103" t="n"/>
      <c r="S39" s="103" t="n"/>
      <c r="T39" s="1659" t="n"/>
      <c r="U39" s="555" t="n"/>
      <c r="V39" s="103" t="n"/>
      <c r="W39" s="103" t="n"/>
      <c r="X39" s="103" t="n"/>
      <c r="Y39" s="103" t="n"/>
      <c r="Z39" s="103" t="n"/>
      <c r="AA39" s="103" t="n"/>
      <c r="AB39" s="225" t="n"/>
      <c r="AC39" s="103" t="n"/>
      <c r="AD39" s="103" t="n"/>
      <c r="AE39" s="103" t="n"/>
      <c r="AF39" s="103" t="n"/>
      <c r="AG39" s="555" t="n"/>
      <c r="AH39" s="103" t="n"/>
      <c r="AI39" s="103" t="n"/>
      <c r="AJ39" s="1659" t="n"/>
      <c r="AK39" s="555" t="n"/>
      <c r="AL39" s="1659" t="n"/>
      <c r="AM39" s="555" t="n"/>
      <c r="AN39" s="103" t="n"/>
      <c r="AO39" s="103" t="n"/>
      <c r="AP39" s="103" t="n"/>
      <c r="AQ39" s="103" t="n"/>
      <c r="AR39" s="103" t="n"/>
      <c r="AS39" s="103" t="n"/>
      <c r="AT39" s="1659" t="n"/>
      <c r="AU39" s="103" t="n"/>
    </row>
    <row r="40" ht="19.5" customHeight="1">
      <c r="A40" s="1657" t="inlineStr">
        <is>
          <t xml:space="preserve">02| </t>
        </is>
      </c>
      <c r="B40" s="399" t="inlineStr">
        <is>
          <t>cÖwZôv‡bi Ae¯’vb</t>
        </is>
      </c>
      <c r="G40" s="1254" t="inlineStr">
        <is>
          <t>t</t>
        </is>
      </c>
      <c r="H40" s="1660">
        <f>'Data Input'!D23&amp;" †Rjvi "&amp;'Data Input'!D21&amp;" _vbvi evsjv‡`k K…wl e¨vsK, "&amp;'Data Input'!D2&amp;" n‡Z "&amp;T40&amp;" wKtwgt `~‡i "&amp;'Data Input'!D9&amp;" Gi †K›`ª¯’‡j Aew¯’Z|"</f>
        <v/>
      </c>
      <c r="N40" s="64" t="n"/>
      <c r="O40" s="1650" t="inlineStr">
        <is>
          <t>kvLv n‡Z `~iZ¡ (wKtwgt)</t>
        </is>
      </c>
      <c r="P40" s="136" t="n"/>
      <c r="Q40" s="308" t="n"/>
      <c r="R40" s="64" t="n"/>
      <c r="S40" s="64" t="n"/>
      <c r="T40" s="1661" t="n">
        <v>2</v>
      </c>
      <c r="U40" s="308" t="n"/>
      <c r="V40" s="64" t="n"/>
      <c r="W40" s="64" t="n"/>
      <c r="X40" s="64" t="n"/>
      <c r="Y40" s="64" t="n"/>
      <c r="Z40" s="64" t="n"/>
      <c r="AA40" s="64" t="n"/>
      <c r="AB40" s="136" t="n"/>
      <c r="AC40" s="64" t="n"/>
      <c r="AD40" s="64" t="n"/>
      <c r="AE40" s="64" t="n"/>
      <c r="AF40" s="64" t="n"/>
      <c r="AG40" s="308" t="n"/>
      <c r="AH40" s="64" t="n"/>
      <c r="AI40" s="64" t="n"/>
      <c r="AJ40" s="663" t="n"/>
      <c r="AK40" s="308" t="n"/>
      <c r="AL40" s="663" t="n"/>
      <c r="AM40" s="308" t="n"/>
      <c r="AN40" s="64" t="n"/>
      <c r="AO40" s="64" t="n"/>
      <c r="AP40" s="64" t="n"/>
      <c r="AQ40" s="64" t="n"/>
      <c r="AR40" s="64" t="n"/>
      <c r="AS40" s="64" t="n"/>
      <c r="AT40" s="663" t="n"/>
      <c r="AU40" s="64" t="n"/>
    </row>
    <row r="41" ht="19.5" customFormat="1" customHeight="1" s="18">
      <c r="A41" s="1657" t="n"/>
      <c r="B41" s="399" t="n"/>
      <c r="C41" s="399" t="n"/>
      <c r="D41" s="399" t="n"/>
      <c r="E41" s="801" t="n"/>
      <c r="F41" s="801" t="n"/>
      <c r="N41" s="103" t="n"/>
      <c r="O41" s="1658" t="n"/>
      <c r="P41" s="225" t="n"/>
      <c r="Q41" s="555" t="n"/>
      <c r="R41" s="103" t="n"/>
      <c r="S41" s="103" t="n"/>
      <c r="T41" s="1659" t="n"/>
      <c r="U41" s="555" t="n"/>
      <c r="V41" s="103" t="n"/>
      <c r="W41" s="103" t="n"/>
      <c r="X41" s="103" t="n"/>
      <c r="Y41" s="103" t="n"/>
      <c r="Z41" s="103" t="n"/>
      <c r="AA41" s="103" t="n"/>
      <c r="AB41" s="225" t="n"/>
      <c r="AC41" s="103" t="n"/>
      <c r="AD41" s="103" t="n"/>
      <c r="AE41" s="103" t="n"/>
      <c r="AF41" s="103" t="n"/>
      <c r="AG41" s="555" t="n"/>
      <c r="AH41" s="103" t="n"/>
      <c r="AI41" s="103" t="n"/>
      <c r="AJ41" s="1659" t="n"/>
      <c r="AK41" s="555" t="n"/>
      <c r="AL41" s="1659" t="n"/>
      <c r="AM41" s="555" t="n"/>
      <c r="AN41" s="103" t="n"/>
      <c r="AO41" s="103" t="n"/>
      <c r="AP41" s="103" t="n"/>
      <c r="AQ41" s="103" t="n"/>
      <c r="AR41" s="103" t="n"/>
      <c r="AS41" s="103" t="n"/>
      <c r="AT41" s="1659" t="n"/>
      <c r="AU41" s="103" t="n"/>
    </row>
    <row r="42" ht="36" customFormat="1" customHeight="1" s="18">
      <c r="A42" s="1657" t="n"/>
      <c r="B42" s="399" t="n"/>
      <c r="C42" s="399" t="n"/>
      <c r="D42" s="399" t="n"/>
      <c r="E42" s="801" t="n"/>
      <c r="F42" s="801" t="n"/>
      <c r="N42" s="103" t="n"/>
      <c r="O42" s="1658" t="n"/>
      <c r="P42" s="225" t="n"/>
      <c r="Q42" s="555" t="n"/>
      <c r="R42" s="103" t="n"/>
      <c r="S42" s="103" t="n"/>
      <c r="T42" s="1659" t="n"/>
      <c r="U42" s="555" t="n"/>
      <c r="V42" s="103" t="n"/>
      <c r="W42" s="103" t="n"/>
      <c r="X42" s="103" t="n"/>
      <c r="Y42" s="103" t="n"/>
      <c r="Z42" s="103" t="n"/>
      <c r="AA42" s="103" t="n"/>
      <c r="AB42" s="225" t="n"/>
      <c r="AC42" s="103" t="n"/>
      <c r="AD42" s="103" t="n"/>
      <c r="AE42" s="103" t="n"/>
      <c r="AF42" s="103" t="n"/>
      <c r="AG42" s="555" t="n"/>
      <c r="AH42" s="103" t="n"/>
      <c r="AI42" s="103" t="n"/>
      <c r="AJ42" s="1659" t="n"/>
      <c r="AK42" s="555" t="n"/>
      <c r="AL42" s="1659" t="n"/>
      <c r="AM42" s="555" t="n"/>
      <c r="AN42" s="103" t="n"/>
      <c r="AO42" s="103" t="n"/>
      <c r="AP42" s="103" t="n"/>
      <c r="AQ42" s="103" t="n"/>
      <c r="AR42" s="103" t="n"/>
      <c r="AS42" s="103" t="n"/>
      <c r="AT42" s="1659" t="n"/>
      <c r="AU42" s="103" t="n"/>
    </row>
    <row r="43" ht="6.75" customFormat="1" customHeight="1" s="18">
      <c r="A43" s="1657" t="n"/>
      <c r="B43" s="399" t="n"/>
      <c r="C43" s="399" t="n"/>
      <c r="D43" s="399" t="n"/>
      <c r="E43" s="801" t="n"/>
      <c r="F43" s="801" t="n"/>
      <c r="G43" s="535" t="n"/>
      <c r="H43" s="475" t="n"/>
      <c r="I43" s="801" t="n"/>
      <c r="J43" s="801" t="n"/>
      <c r="K43" s="801" t="n"/>
      <c r="L43" s="801" t="n"/>
      <c r="M43" s="399" t="n"/>
      <c r="N43" s="103" t="n"/>
      <c r="O43" s="1658" t="n"/>
      <c r="P43" s="225" t="n"/>
      <c r="Q43" s="555" t="n"/>
      <c r="R43" s="103" t="n"/>
      <c r="S43" s="103" t="n"/>
      <c r="T43" s="1659" t="n"/>
      <c r="U43" s="555" t="n"/>
      <c r="V43" s="103" t="n"/>
      <c r="W43" s="103" t="n"/>
      <c r="X43" s="103" t="n"/>
      <c r="Y43" s="103" t="n"/>
      <c r="Z43" s="103" t="n"/>
      <c r="AA43" s="103" t="n"/>
      <c r="AB43" s="225" t="n"/>
      <c r="AC43" s="103" t="n"/>
      <c r="AD43" s="103" t="n"/>
      <c r="AE43" s="103" t="n"/>
      <c r="AF43" s="103" t="n"/>
      <c r="AG43" s="555" t="n"/>
      <c r="AH43" s="103" t="n"/>
      <c r="AI43" s="103" t="n"/>
      <c r="AJ43" s="1659" t="n"/>
      <c r="AK43" s="555" t="n"/>
      <c r="AL43" s="1659" t="n"/>
      <c r="AM43" s="555" t="n"/>
      <c r="AN43" s="103" t="n"/>
      <c r="AO43" s="103" t="n"/>
      <c r="AP43" s="103" t="n"/>
      <c r="AQ43" s="103" t="n"/>
      <c r="AR43" s="103" t="n"/>
      <c r="AS43" s="103" t="n"/>
      <c r="AT43" s="1659" t="n"/>
      <c r="AU43" s="103" t="n"/>
    </row>
    <row r="44" ht="18" customHeight="1">
      <c r="A44" s="1662" t="inlineStr">
        <is>
          <t xml:space="preserve">03| </t>
        </is>
      </c>
      <c r="B44" s="295" t="inlineStr">
        <is>
          <t>D‡`¨v³vM‡Yi bvg I wVKvbv</t>
        </is>
      </c>
      <c r="G44" s="535" t="inlineStr">
        <is>
          <t>t</t>
        </is>
      </c>
      <c r="H44" s="475" t="n"/>
      <c r="N44" s="64" t="n"/>
      <c r="O44" s="1945" t="n"/>
      <c r="P44" s="136" t="n"/>
      <c r="Q44" s="308" t="n"/>
      <c r="R44" s="64" t="n"/>
      <c r="S44" s="64" t="n"/>
      <c r="T44" s="663" t="n"/>
      <c r="U44" s="308" t="n"/>
      <c r="V44" s="64" t="n"/>
      <c r="W44" s="64" t="n"/>
      <c r="X44" s="64" t="n"/>
      <c r="Y44" s="64" t="n"/>
      <c r="Z44" s="64" t="n"/>
      <c r="AA44" s="64" t="n"/>
      <c r="AB44" s="136" t="n"/>
      <c r="AC44" s="64" t="n"/>
      <c r="AD44" s="64" t="n"/>
      <c r="AE44" s="64" t="n"/>
      <c r="AF44" s="64" t="n"/>
      <c r="AG44" s="308" t="n"/>
      <c r="AH44" s="64" t="n"/>
      <c r="AI44" s="64" t="n"/>
      <c r="AJ44" s="663" t="n"/>
      <c r="AK44" s="308" t="n"/>
      <c r="AL44" s="663" t="n"/>
      <c r="AM44" s="308" t="n"/>
      <c r="AN44" s="64" t="n"/>
      <c r="AO44" s="64" t="n"/>
      <c r="AP44" s="64" t="n"/>
      <c r="AQ44" s="64" t="n"/>
      <c r="AR44" s="64" t="n"/>
      <c r="AS44" s="64" t="n"/>
      <c r="AT44" s="663" t="n"/>
      <c r="AU44" s="64" t="n"/>
    </row>
    <row r="45" ht="18" customHeight="1">
      <c r="B45" s="1663" t="inlineStr">
        <is>
          <t>µt bs</t>
        </is>
      </c>
      <c r="C45" s="286" t="inlineStr">
        <is>
          <t>bvg</t>
        </is>
      </c>
      <c r="D45" s="2617" t="n"/>
      <c r="E45" s="265" t="inlineStr">
        <is>
          <t>eqm</t>
        </is>
      </c>
      <c r="F45" s="2617" t="n"/>
      <c r="G45" s="263" t="inlineStr">
        <is>
          <t>wcZv I gvZvi bvg</t>
        </is>
      </c>
      <c r="H45" s="2614" t="n"/>
      <c r="I45" s="2614" t="n"/>
      <c r="J45" s="2614" t="n"/>
      <c r="K45" s="2617" t="n"/>
      <c r="L45" s="265" t="inlineStr">
        <is>
          <t>wVKvbv</t>
        </is>
      </c>
      <c r="M45" s="2614" t="n"/>
      <c r="N45" s="2617" t="n"/>
      <c r="O45" s="1945" t="n"/>
      <c r="P45" s="136" t="n"/>
      <c r="Q45" s="308" t="n"/>
      <c r="R45" s="64" t="n"/>
      <c r="S45" s="64" t="n"/>
      <c r="T45" s="663" t="n"/>
      <c r="U45" s="308" t="n"/>
      <c r="V45" s="64" t="n"/>
      <c r="W45" s="64" t="n"/>
      <c r="X45" s="64" t="n"/>
      <c r="Y45" s="64" t="n"/>
      <c r="Z45" s="64" t="n"/>
      <c r="AA45" s="64" t="n"/>
      <c r="AB45" s="136" t="n"/>
      <c r="AC45" s="64" t="n"/>
      <c r="AD45" s="64" t="n"/>
      <c r="AE45" s="64" t="n"/>
      <c r="AF45" s="64" t="n"/>
      <c r="AG45" s="308" t="n"/>
      <c r="AH45" s="64" t="n"/>
      <c r="AI45" s="64" t="n"/>
      <c r="AJ45" s="663" t="n"/>
      <c r="AK45" s="308" t="n"/>
      <c r="AL45" s="663" t="n"/>
      <c r="AM45" s="308" t="n"/>
      <c r="AN45" s="64" t="n"/>
      <c r="AO45" s="64" t="n"/>
      <c r="AP45" s="64" t="n"/>
      <c r="AQ45" s="64" t="n"/>
      <c r="AR45" s="64" t="n"/>
      <c r="AS45" s="64" t="n"/>
      <c r="AT45" s="663" t="n"/>
      <c r="AU45" s="64" t="n"/>
    </row>
    <row r="46" ht="68.25" customFormat="1" customHeight="1" s="18">
      <c r="B46" s="1405" t="n"/>
      <c r="C46" s="1664">
        <f>'Data Input'!D12</f>
        <v/>
      </c>
      <c r="D46" s="2624" t="n"/>
      <c r="E46" s="1665" t="n">
        <v>26</v>
      </c>
      <c r="F46" s="2669" t="n"/>
      <c r="G46" s="1405">
        <f>'Data Input'!B13&amp;'Data Input'!C13&amp;" "&amp;'Data Input'!D13&amp;",  "&amp;'Data Input'!B14&amp;'Data Input'!C14&amp;" "&amp;'Data Input'!D14</f>
        <v/>
      </c>
      <c r="H46" s="2624" t="n"/>
      <c r="I46" s="2624" t="n"/>
      <c r="J46" s="2624" t="n"/>
      <c r="K46" s="2642" t="n"/>
      <c r="L46" s="1669">
        <f>'Data Input'!D18&amp;", "&amp;+'Data Input'!D19&amp;", "&amp;+ 'Data Input'!D20&amp;", "&amp;'Data Input'!D21&amp;",  "&amp;'Data Input'!D23</f>
        <v/>
      </c>
      <c r="M46" s="2624" t="n"/>
      <c r="N46" s="2642" t="n"/>
      <c r="O46" s="1658" t="n"/>
      <c r="P46" s="225" t="n"/>
      <c r="Q46" s="555" t="n"/>
      <c r="R46" s="103" t="n"/>
      <c r="S46" s="103" t="n"/>
      <c r="T46" s="1659" t="n"/>
      <c r="U46" s="555" t="n"/>
      <c r="V46" s="103" t="n"/>
      <c r="W46" s="103" t="n"/>
      <c r="X46" s="103" t="n"/>
      <c r="Y46" s="103" t="n"/>
      <c r="Z46" s="103" t="n"/>
      <c r="AA46" s="103" t="n"/>
      <c r="AB46" s="225" t="n"/>
      <c r="AC46" s="103" t="n"/>
      <c r="AD46" s="103" t="n"/>
      <c r="AE46" s="103" t="n"/>
      <c r="AF46" s="103" t="n"/>
      <c r="AG46" s="555" t="n"/>
      <c r="AH46" s="103" t="n"/>
      <c r="AI46" s="103" t="n"/>
      <c r="AJ46" s="1659" t="n"/>
      <c r="AK46" s="555" t="n"/>
      <c r="AL46" s="1659" t="n"/>
      <c r="AM46" s="555" t="n"/>
      <c r="AN46" s="103" t="n"/>
      <c r="AO46" s="103" t="n"/>
      <c r="AP46" s="103" t="n"/>
      <c r="AQ46" s="103" t="n"/>
      <c r="AR46" s="103" t="n"/>
      <c r="AS46" s="103" t="n"/>
      <c r="AT46" s="1659" t="n"/>
      <c r="AU46" s="103" t="n"/>
    </row>
    <row r="47" ht="63" customHeight="1">
      <c r="B47" s="1671" t="n"/>
      <c r="C47" s="1672" t="n"/>
      <c r="D47" s="2613" t="n"/>
      <c r="E47" s="1673" t="n"/>
      <c r="F47" s="2670" t="n"/>
      <c r="G47" s="1683" t="n"/>
      <c r="H47" s="2613" t="n"/>
      <c r="I47" s="2613" t="n"/>
      <c r="J47" s="2613" t="n"/>
      <c r="K47" s="2649" t="n"/>
      <c r="L47" s="1676" t="n"/>
      <c r="M47" s="2613" t="n"/>
      <c r="N47" s="1677" t="n"/>
      <c r="O47" s="1945" t="n"/>
      <c r="P47" s="136" t="n"/>
      <c r="Q47" s="308" t="n"/>
      <c r="R47" s="64" t="n"/>
      <c r="S47" s="64" t="n"/>
      <c r="T47" s="663" t="n"/>
      <c r="U47" s="308" t="n"/>
      <c r="V47" s="64" t="n"/>
      <c r="W47" s="64" t="n"/>
      <c r="X47" s="64" t="n"/>
      <c r="Y47" s="64" t="n"/>
      <c r="Z47" s="64" t="n"/>
      <c r="AA47" s="64" t="n"/>
      <c r="AB47" s="136" t="n"/>
      <c r="AC47" s="64" t="n"/>
      <c r="AD47" s="64" t="n"/>
      <c r="AE47" s="64" t="n"/>
      <c r="AF47" s="64" t="n"/>
      <c r="AG47" s="308" t="n"/>
      <c r="AH47" s="64" t="n"/>
      <c r="AI47" s="64" t="n"/>
      <c r="AJ47" s="663" t="n"/>
      <c r="AK47" s="308" t="n"/>
      <c r="AL47" s="663" t="n"/>
      <c r="AM47" s="308" t="n"/>
      <c r="AN47" s="64" t="n"/>
      <c r="AO47" s="64" t="n"/>
      <c r="AP47" s="64" t="n"/>
      <c r="AQ47" s="64" t="n"/>
      <c r="AR47" s="64" t="n"/>
      <c r="AS47" s="64" t="n"/>
      <c r="AT47" s="663" t="n"/>
      <c r="AU47" s="64" t="n"/>
    </row>
    <row r="48" ht="18" customFormat="1" customHeight="1" s="18">
      <c r="A48" s="1657" t="inlineStr">
        <is>
          <t>04|</t>
        </is>
      </c>
      <c r="B48" s="399" t="inlineStr">
        <is>
          <t>e¨emvi gvwjKvbv cÖK…wZ</t>
        </is>
      </c>
      <c r="E48" s="801" t="n"/>
      <c r="F48" s="801" t="n"/>
      <c r="G48" s="535" t="inlineStr">
        <is>
          <t>t</t>
        </is>
      </c>
      <c r="H48" s="475" t="inlineStr">
        <is>
          <t>wbR¯^</t>
        </is>
      </c>
      <c r="N48" s="103" t="n"/>
      <c r="O48" s="1658" t="n"/>
      <c r="P48" s="225" t="n"/>
      <c r="Q48" s="555" t="n"/>
      <c r="R48" s="103" t="n"/>
      <c r="S48" s="103" t="n"/>
      <c r="T48" s="1659" t="n"/>
      <c r="U48" s="555" t="n"/>
      <c r="V48" s="103" t="n"/>
      <c r="W48" s="103" t="n"/>
      <c r="X48" s="103" t="n"/>
      <c r="Y48" s="103" t="n"/>
      <c r="Z48" s="103" t="n"/>
      <c r="AA48" s="103" t="n"/>
      <c r="AB48" s="225" t="n"/>
      <c r="AC48" s="103" t="n"/>
      <c r="AD48" s="103" t="n"/>
      <c r="AE48" s="103" t="n"/>
      <c r="AF48" s="103" t="n"/>
      <c r="AG48" s="555" t="n"/>
      <c r="AH48" s="103" t="n"/>
      <c r="AI48" s="103" t="n"/>
      <c r="AJ48" s="1659" t="n"/>
      <c r="AK48" s="555" t="n"/>
      <c r="AL48" s="1659" t="n"/>
      <c r="AM48" s="555" t="n"/>
      <c r="AN48" s="103" t="n"/>
      <c r="AO48" s="103" t="n"/>
      <c r="AP48" s="103" t="n"/>
      <c r="AQ48" s="103" t="n"/>
      <c r="AR48" s="103" t="n"/>
      <c r="AS48" s="103" t="n"/>
      <c r="AT48" s="1659" t="n"/>
      <c r="AU48" s="103" t="n"/>
    </row>
    <row r="49" ht="18" customFormat="1" customHeight="1" s="18">
      <c r="A49" s="1657" t="inlineStr">
        <is>
          <t xml:space="preserve">05| </t>
        </is>
      </c>
      <c r="B49" s="399" t="inlineStr">
        <is>
          <t>e¨emvwqK aib</t>
        </is>
      </c>
      <c r="E49" s="801" t="n"/>
      <c r="F49" s="801" t="n"/>
      <c r="G49" s="535" t="inlineStr">
        <is>
          <t>t</t>
        </is>
      </c>
      <c r="H49" s="475" t="n"/>
      <c r="N49" s="103" t="n"/>
      <c r="O49" s="1658" t="n"/>
      <c r="P49" s="225" t="n"/>
      <c r="Q49" s="555" t="n"/>
      <c r="R49" s="103" t="n"/>
      <c r="S49" s="103" t="n"/>
      <c r="T49" s="1659" t="n"/>
      <c r="U49" s="555" t="n"/>
      <c r="V49" s="103" t="n"/>
      <c r="W49" s="103" t="n"/>
      <c r="X49" s="103" t="n"/>
      <c r="Y49" s="103" t="n"/>
      <c r="Z49" s="103" t="n"/>
      <c r="AA49" s="103" t="n"/>
      <c r="AB49" s="225" t="n"/>
      <c r="AC49" s="103" t="n"/>
      <c r="AD49" s="103" t="n"/>
      <c r="AE49" s="103" t="n"/>
      <c r="AF49" s="103" t="n"/>
      <c r="AG49" s="555" t="n"/>
      <c r="AH49" s="103" t="n"/>
      <c r="AI49" s="103" t="n"/>
      <c r="AJ49" s="1659" t="n"/>
      <c r="AK49" s="555" t="n"/>
      <c r="AL49" s="1659" t="n"/>
      <c r="AM49" s="555" t="n"/>
      <c r="AN49" s="103" t="n"/>
      <c r="AO49" s="103" t="n"/>
      <c r="AP49" s="103" t="n"/>
      <c r="AQ49" s="103" t="n"/>
      <c r="AR49" s="103" t="n"/>
      <c r="AS49" s="103" t="n"/>
      <c r="AT49" s="1659" t="n"/>
      <c r="AU49" s="103" t="n"/>
    </row>
    <row r="50" ht="18" customFormat="1" customHeight="1" s="18">
      <c r="A50" s="1657" t="inlineStr">
        <is>
          <t xml:space="preserve">06| </t>
        </is>
      </c>
      <c r="B50" s="399" t="inlineStr">
        <is>
          <t>e¨emv cÖwZôv‡bi weeiY</t>
        </is>
      </c>
      <c r="E50" s="801" t="n"/>
      <c r="F50" s="801" t="n"/>
      <c r="G50" s="535" t="inlineStr">
        <is>
          <t>t</t>
        </is>
      </c>
      <c r="H50" s="978" t="inlineStr">
        <is>
          <t xml:space="preserve">K) fvovK…Z †`vKvb hvi AvqZb (26© x 10©)= 260 eM©dzU| </t>
        </is>
      </c>
      <c r="O50" s="1678" t="n"/>
      <c r="P50" s="225" t="n"/>
      <c r="Q50" s="555" t="n"/>
      <c r="R50" s="103" t="n"/>
      <c r="S50" s="103" t="n"/>
      <c r="T50" s="1659" t="n"/>
      <c r="U50" s="555" t="n"/>
      <c r="V50" s="103" t="n"/>
      <c r="W50" s="103" t="n"/>
      <c r="X50" s="103" t="n"/>
      <c r="Y50" s="103" t="n"/>
      <c r="Z50" s="103" t="n"/>
      <c r="AA50" s="103" t="n"/>
      <c r="AB50" s="225" t="n"/>
      <c r="AC50" s="103" t="n"/>
      <c r="AD50" s="103" t="n"/>
      <c r="AE50" s="103" t="n"/>
      <c r="AF50" s="103" t="n"/>
      <c r="AG50" s="555" t="n"/>
      <c r="AH50" s="103" t="n"/>
      <c r="AI50" s="103" t="n"/>
      <c r="AJ50" s="1659" t="n"/>
      <c r="AK50" s="555" t="n"/>
      <c r="AL50" s="1659" t="n"/>
      <c r="AM50" s="555" t="n"/>
      <c r="AN50" s="103" t="n"/>
      <c r="AO50" s="103" t="n"/>
      <c r="AP50" s="103" t="n"/>
      <c r="AQ50" s="103" t="n"/>
      <c r="AR50" s="103" t="n"/>
      <c r="AS50" s="103" t="n"/>
      <c r="AT50" s="1659" t="n"/>
      <c r="AU50" s="103" t="n"/>
    </row>
    <row r="51" ht="18" customFormat="1" customHeight="1" s="18">
      <c r="A51" s="1657" t="n"/>
      <c r="B51" s="399" t="n"/>
      <c r="C51" s="399" t="n"/>
      <c r="D51" s="399" t="n"/>
      <c r="E51" s="801" t="n"/>
      <c r="F51" s="801" t="n"/>
      <c r="G51" s="535" t="n"/>
      <c r="O51" s="1658" t="n"/>
      <c r="P51" s="225" t="n"/>
      <c r="Q51" s="555" t="n"/>
      <c r="R51" s="103" t="n"/>
      <c r="S51" s="103" t="n"/>
      <c r="T51" s="1659" t="n"/>
      <c r="U51" s="555" t="n"/>
      <c r="V51" s="103" t="n"/>
      <c r="W51" s="103" t="n"/>
      <c r="X51" s="103" t="n"/>
      <c r="Y51" s="103" t="n"/>
      <c r="Z51" s="103" t="n"/>
      <c r="AA51" s="103" t="n"/>
      <c r="AB51" s="225" t="n"/>
      <c r="AC51" s="103" t="n"/>
      <c r="AD51" s="103" t="n"/>
      <c r="AE51" s="103" t="n"/>
      <c r="AF51" s="103" t="n"/>
      <c r="AG51" s="555" t="n"/>
      <c r="AH51" s="103" t="n"/>
      <c r="AI51" s="103" t="n"/>
      <c r="AJ51" s="1659" t="n"/>
      <c r="AK51" s="555" t="n"/>
      <c r="AL51" s="1659" t="n"/>
      <c r="AM51" s="555" t="n"/>
      <c r="AN51" s="103" t="n"/>
      <c r="AO51" s="103" t="n"/>
      <c r="AP51" s="103" t="n"/>
      <c r="AQ51" s="103" t="n"/>
      <c r="AR51" s="103" t="n"/>
      <c r="AS51" s="103" t="n"/>
      <c r="AT51" s="1659" t="n"/>
      <c r="AU51" s="103" t="n"/>
    </row>
    <row r="52" ht="18" customFormat="1" customHeight="1" s="18">
      <c r="A52" s="1657" t="inlineStr">
        <is>
          <t xml:space="preserve">07| </t>
        </is>
      </c>
      <c r="B52" s="399" t="inlineStr">
        <is>
          <t>`vq‡`bv</t>
        </is>
      </c>
      <c r="G52" s="535" t="inlineStr">
        <is>
          <t>t</t>
        </is>
      </c>
      <c r="H52" s="1679" t="inlineStr">
        <is>
          <t>‡Kvb e¨vsK ev Avw_©K cÖwZôv‡b `vq‡`bv bvB|</t>
        </is>
      </c>
      <c r="O52" s="1658" t="n"/>
      <c r="P52" s="225" t="n"/>
      <c r="Q52" s="555" t="n"/>
      <c r="R52" s="103" t="n"/>
      <c r="S52" s="103" t="n"/>
      <c r="T52" s="1659" t="n"/>
      <c r="U52" s="555" t="n"/>
      <c r="V52" s="103" t="n"/>
      <c r="W52" s="103" t="n"/>
      <c r="X52" s="103" t="n"/>
      <c r="Y52" s="103" t="n"/>
      <c r="Z52" s="103" t="n"/>
      <c r="AA52" s="103" t="n"/>
      <c r="AB52" s="225" t="n"/>
      <c r="AC52" s="103" t="n"/>
      <c r="AD52" s="103" t="n"/>
      <c r="AE52" s="103" t="n"/>
      <c r="AF52" s="103" t="n"/>
      <c r="AG52" s="555" t="n"/>
      <c r="AH52" s="103" t="n"/>
      <c r="AI52" s="103" t="n"/>
      <c r="AJ52" s="1659" t="n"/>
      <c r="AK52" s="555" t="n"/>
      <c r="AL52" s="1659" t="n"/>
      <c r="AM52" s="555" t="n"/>
      <c r="AN52" s="103" t="n"/>
      <c r="AO52" s="103" t="n"/>
      <c r="AP52" s="103" t="n"/>
      <c r="AQ52" s="103" t="n"/>
      <c r="AR52" s="103" t="n"/>
      <c r="AS52" s="103" t="n"/>
      <c r="AT52" s="1659" t="n"/>
      <c r="AU52" s="103" t="n"/>
    </row>
    <row r="53" ht="18" customFormat="1" customHeight="1" s="18">
      <c r="A53" s="1657" t="inlineStr">
        <is>
          <t xml:space="preserve">08| </t>
        </is>
      </c>
      <c r="B53" s="399" t="inlineStr">
        <is>
          <t>bM` cyuwR FY Pvwn`vi cwigvY</t>
        </is>
      </c>
      <c r="E53" s="801" t="n"/>
      <c r="F53" s="801" t="n"/>
      <c r="G53" s="535" t="inlineStr">
        <is>
          <t>t</t>
        </is>
      </c>
      <c r="H53" s="1682">
        <f>L55+L56</f>
        <v/>
      </c>
      <c r="I53" s="801" t="inlineStr">
        <is>
          <t>jÿ</t>
        </is>
      </c>
      <c r="J53" s="801" t="n"/>
      <c r="K53" s="801" t="n"/>
      <c r="L53" s="801" t="n"/>
      <c r="M53" s="399" t="n"/>
      <c r="N53" s="399" t="n"/>
      <c r="O53" s="1678" t="n"/>
      <c r="P53" s="225" t="n"/>
      <c r="Q53" s="555" t="n"/>
      <c r="R53" s="103" t="n"/>
      <c r="S53" s="103" t="n"/>
      <c r="T53" s="1659" t="n"/>
      <c r="U53" s="555" t="n"/>
      <c r="V53" s="103" t="n"/>
      <c r="W53" s="103" t="n"/>
      <c r="X53" s="103" t="n"/>
      <c r="Y53" s="103" t="n"/>
      <c r="Z53" s="103" t="n"/>
      <c r="AA53" s="103" t="n"/>
      <c r="AB53" s="225" t="n"/>
      <c r="AC53" s="103" t="n"/>
      <c r="AD53" s="103" t="n"/>
      <c r="AE53" s="103" t="n"/>
      <c r="AF53" s="103" t="n"/>
      <c r="AG53" s="555" t="n"/>
      <c r="AH53" s="103" t="n"/>
      <c r="AI53" s="103" t="n"/>
      <c r="AJ53" s="1659" t="n"/>
      <c r="AK53" s="555" t="n"/>
      <c r="AL53" s="1659" t="n"/>
      <c r="AM53" s="555" t="n"/>
      <c r="AN53" s="103" t="n"/>
      <c r="AO53" s="103" t="n"/>
      <c r="AP53" s="103" t="n"/>
      <c r="AQ53" s="103" t="n"/>
      <c r="AR53" s="103" t="n"/>
      <c r="AS53" s="103" t="n"/>
      <c r="AT53" s="1659" t="n"/>
      <c r="AU53" s="103" t="n"/>
    </row>
    <row r="54" ht="18" customFormat="1" customHeight="1" s="18">
      <c r="A54" s="1657" t="inlineStr">
        <is>
          <t xml:space="preserve">09| </t>
        </is>
      </c>
      <c r="B54" s="399" t="inlineStr">
        <is>
          <t>wewb‡qv‡Mi Drm</t>
        </is>
      </c>
      <c r="E54" s="801" t="n"/>
      <c r="F54" s="801" t="n"/>
      <c r="G54" s="535" t="inlineStr">
        <is>
          <t>t</t>
        </is>
      </c>
      <c r="H54" s="475" t="n"/>
      <c r="I54" s="801" t="n"/>
      <c r="J54" s="801" t="n"/>
      <c r="K54" s="801" t="n"/>
      <c r="L54" s="801" t="n"/>
      <c r="M54" s="399" t="n"/>
      <c r="N54" s="103" t="n"/>
      <c r="O54" s="1658" t="n"/>
      <c r="P54" s="225" t="n"/>
      <c r="Q54" s="555" t="n"/>
      <c r="R54" s="103" t="n"/>
      <c r="S54" s="103" t="n"/>
      <c r="T54" s="1659" t="n"/>
      <c r="U54" s="555" t="n"/>
      <c r="V54" s="103" t="n"/>
      <c r="W54" s="103" t="n"/>
      <c r="X54" s="103" t="n"/>
      <c r="Y54" s="103" t="n"/>
      <c r="Z54" s="103" t="n"/>
      <c r="AA54" s="103" t="n"/>
      <c r="AB54" s="225" t="n"/>
      <c r="AC54" s="103" t="n"/>
      <c r="AD54" s="103" t="n"/>
      <c r="AE54" s="103" t="n"/>
      <c r="AF54" s="103" t="n"/>
      <c r="AG54" s="555" t="n"/>
      <c r="AH54" s="103" t="n"/>
      <c r="AI54" s="103" t="n"/>
      <c r="AJ54" s="1659" t="n"/>
      <c r="AK54" s="555" t="n"/>
      <c r="AL54" s="1659" t="n"/>
      <c r="AM54" s="555" t="n"/>
      <c r="AN54" s="103" t="n"/>
      <c r="AO54" s="103" t="n"/>
      <c r="AP54" s="103" t="n"/>
      <c r="AQ54" s="103" t="n"/>
      <c r="AR54" s="103" t="n"/>
      <c r="AS54" s="103" t="n"/>
      <c r="AT54" s="1659" t="n"/>
      <c r="AU54" s="103" t="n"/>
    </row>
    <row r="55" ht="18" customFormat="1" customHeight="1" s="18">
      <c r="A55" s="1657" t="n"/>
      <c r="B55" s="399" t="n"/>
      <c r="C55" s="399" t="n"/>
      <c r="D55" s="399" t="n"/>
      <c r="E55" s="801" t="n"/>
      <c r="F55" s="801" t="n"/>
      <c r="G55" s="535" t="n"/>
      <c r="H55" s="534" t="inlineStr">
        <is>
          <t>K)</t>
        </is>
      </c>
      <c r="I55" s="941" t="inlineStr">
        <is>
          <t>e¨vsK FY =</t>
        </is>
      </c>
      <c r="K55" s="801" t="inlineStr">
        <is>
          <t>Uvt</t>
        </is>
      </c>
      <c r="L55" s="1682" t="n">
        <v>70</v>
      </c>
      <c r="M55" s="399" t="inlineStr">
        <is>
          <t>jÿ</t>
        </is>
      </c>
      <c r="N55" s="103" t="n"/>
      <c r="O55" s="1658" t="n"/>
      <c r="P55" s="225" t="n"/>
      <c r="Q55" s="555" t="n"/>
      <c r="R55" s="103" t="n"/>
      <c r="S55" s="103" t="n"/>
      <c r="T55" s="1659" t="n"/>
      <c r="U55" s="555" t="n"/>
      <c r="V55" s="103" t="n"/>
      <c r="W55" s="103" t="n"/>
      <c r="X55" s="103" t="n"/>
      <c r="Y55" s="103" t="n"/>
      <c r="Z55" s="103" t="n"/>
      <c r="AA55" s="103" t="n"/>
      <c r="AB55" s="1657" t="n"/>
      <c r="AC55" s="399" t="n"/>
      <c r="AD55" s="399" t="n"/>
      <c r="AE55" s="399" t="n"/>
      <c r="AF55" s="1265" t="n"/>
      <c r="AG55" s="1676" t="n"/>
      <c r="AH55" s="1683" t="n"/>
      <c r="AI55" s="1259" t="n"/>
      <c r="AJ55" s="1268" t="n"/>
      <c r="AK55" s="1676" t="n"/>
      <c r="AL55" s="1268" t="n"/>
      <c r="AM55" s="1676" t="n"/>
      <c r="AN55" s="1265" t="n"/>
      <c r="AO55" s="103" t="n"/>
      <c r="AP55" s="103" t="n"/>
      <c r="AQ55" s="103" t="n"/>
      <c r="AR55" s="103" t="n"/>
      <c r="AS55" s="103" t="n"/>
      <c r="AT55" s="1659" t="n"/>
      <c r="AU55" s="103" t="n"/>
    </row>
    <row r="56" ht="18" customFormat="1" customHeight="1" s="18">
      <c r="A56" s="1657" t="n"/>
      <c r="B56" s="399" t="n"/>
      <c r="C56" s="399" t="n"/>
      <c r="D56" s="399" t="n"/>
      <c r="E56" s="801" t="n"/>
      <c r="F56" s="801" t="n"/>
      <c r="G56" s="535" t="n"/>
      <c r="H56" s="534" t="inlineStr">
        <is>
          <t>L)</t>
        </is>
      </c>
      <c r="I56" s="941" t="inlineStr">
        <is>
          <t>D‡`¨v³vi gvwR©b =</t>
        </is>
      </c>
      <c r="K56" s="801" t="inlineStr">
        <is>
          <t>Uvt</t>
        </is>
      </c>
      <c r="L56" s="1682" t="n">
        <v>50</v>
      </c>
      <c r="M56" s="399" t="inlineStr">
        <is>
          <t>jÿ</t>
        </is>
      </c>
      <c r="N56" s="103" t="n"/>
      <c r="O56" s="1658" t="n"/>
      <c r="P56" s="225" t="n"/>
      <c r="Q56" s="555" t="n"/>
      <c r="R56" s="103" t="n"/>
      <c r="S56" s="103" t="n"/>
      <c r="T56" s="1659" t="n"/>
      <c r="U56" s="555" t="n"/>
      <c r="V56" s="103" t="n"/>
      <c r="W56" s="103" t="n"/>
      <c r="X56" s="103" t="n"/>
      <c r="Y56" s="103" t="n"/>
      <c r="Z56" s="103" t="n"/>
      <c r="AA56" s="103" t="n"/>
      <c r="AB56" s="1657" t="n"/>
      <c r="AC56" s="399" t="n"/>
      <c r="AD56" s="399" t="n"/>
      <c r="AE56" s="399" t="n"/>
      <c r="AF56" s="1271" t="n"/>
      <c r="AG56" s="1684" t="n"/>
      <c r="AH56" s="263" t="n"/>
      <c r="AI56" s="1259" t="n"/>
      <c r="AJ56" s="1268" t="n"/>
      <c r="AK56" s="1676" t="n"/>
      <c r="AL56" s="1268" t="n"/>
      <c r="AM56" s="1676" t="n"/>
      <c r="AN56" s="1265" t="n"/>
      <c r="AO56" s="103" t="n"/>
      <c r="AP56" s="103" t="n"/>
      <c r="AQ56" s="103" t="n"/>
      <c r="AR56" s="103" t="n"/>
      <c r="AS56" s="103" t="n"/>
      <c r="AT56" s="1659" t="n"/>
      <c r="AU56" s="103" t="n"/>
    </row>
    <row r="57" ht="18" customFormat="1" customHeight="1" s="18">
      <c r="A57" s="1657" t="inlineStr">
        <is>
          <t xml:space="preserve">10| </t>
        </is>
      </c>
      <c r="B57" s="399" t="inlineStr">
        <is>
          <t>e¨vsK FY I D‡`¨v³vi BKzBwUi AbycvZ</t>
        </is>
      </c>
      <c r="E57" s="801" t="n"/>
      <c r="F57" s="801" t="n"/>
      <c r="G57" s="535" t="n"/>
      <c r="H57" s="1685">
        <f>L55/(L55+L56)*100</f>
        <v/>
      </c>
      <c r="K57" s="967" t="inlineStr">
        <is>
          <t>t</t>
        </is>
      </c>
      <c r="L57" s="476">
        <f>L56/(L55+L56)*100</f>
        <v/>
      </c>
      <c r="N57" s="103" t="n"/>
      <c r="O57" s="1658" t="n"/>
      <c r="P57" s="225" t="n"/>
      <c r="Q57" s="555" t="n"/>
      <c r="R57" s="103" t="n"/>
      <c r="S57" s="103" t="n"/>
      <c r="T57" s="1659" t="n"/>
      <c r="U57" s="555" t="n"/>
      <c r="V57" s="103" t="n"/>
      <c r="W57" s="103" t="n"/>
      <c r="X57" s="103" t="n"/>
      <c r="Y57" s="103" t="n"/>
      <c r="Z57" s="103" t="n"/>
      <c r="AA57" s="103" t="n"/>
      <c r="AB57" s="1686" t="inlineStr">
        <is>
          <t xml:space="preserve">07| </t>
        </is>
      </c>
      <c r="AC57" s="1687" t="inlineStr">
        <is>
          <t>Av‡e`bK…Z UvKvi cwigvb</t>
        </is>
      </c>
      <c r="AD57" s="2614" t="n"/>
      <c r="AE57" s="2614" t="n"/>
      <c r="AF57" s="2614" t="n"/>
      <c r="AG57" s="2614" t="n"/>
      <c r="AH57" s="263" t="inlineStr">
        <is>
          <t>t</t>
        </is>
      </c>
      <c r="AI57" s="267">
        <f>'Data Input'!D11&amp;"/- ("&amp;ConvertCurrencyToBangla('Data Input'!D11)&amp;" )"</f>
        <v/>
      </c>
      <c r="AJ57" s="2614" t="n"/>
      <c r="AK57" s="2614" t="n"/>
      <c r="AL57" s="2614" t="n"/>
      <c r="AM57" s="2614" t="n"/>
      <c r="AN57" s="2617" t="n"/>
      <c r="AO57" s="103" t="n"/>
      <c r="AP57" s="103" t="n"/>
      <c r="AQ57" s="103" t="n"/>
      <c r="AR57" s="103" t="n"/>
      <c r="AS57" s="103" t="n"/>
      <c r="AT57" s="1659" t="n"/>
      <c r="AU57" s="103" t="n"/>
    </row>
    <row r="58" ht="27.75" customHeight="1">
      <c r="A58" s="1657" t="inlineStr">
        <is>
          <t xml:space="preserve">11| </t>
        </is>
      </c>
      <c r="B58" s="295" t="inlineStr">
        <is>
          <t xml:space="preserve">D‡`¨v³vi †hvM¨Zv/AwfÁZv I e¨emv m¤úªmvib </t>
        </is>
      </c>
      <c r="G58" s="1254" t="inlineStr">
        <is>
          <t>t</t>
        </is>
      </c>
      <c r="H58" s="978" t="inlineStr">
        <is>
          <t xml:space="preserve">D‡`¨v³v Kg©V I D‡`¨vgx e¨w³ I AwfÄZv m¤úbœ| D‡`¨v³v `xN© w`b hver Kvc‡oi e¨emv K‡i Avm‡Qb| Zv‡K FY mnvqZv cÖ`vb Ki‡j Zv †_‡K jvfevb n‡Z cvi‡eb| </t>
        </is>
      </c>
      <c r="N58" s="399" t="n"/>
      <c r="O58" s="1678" t="n"/>
      <c r="P58" s="136" t="n"/>
      <c r="Q58" s="308" t="n"/>
      <c r="R58" s="64" t="n"/>
      <c r="S58" s="64" t="n"/>
      <c r="T58" s="663" t="n"/>
      <c r="U58" s="308" t="n"/>
      <c r="V58" s="64" t="n"/>
      <c r="W58" s="64" t="n"/>
      <c r="X58" s="64" t="n"/>
      <c r="Y58" s="64" t="n"/>
      <c r="Z58" s="64" t="n"/>
      <c r="AA58" s="64" t="n"/>
      <c r="AB58" s="2671" t="inlineStr">
        <is>
          <t xml:space="preserve">08| </t>
        </is>
      </c>
      <c r="AC58" s="2672" t="inlineStr">
        <is>
          <t>cÖK‡íi Ae¯’vb I aviY ÿgZv</t>
        </is>
      </c>
      <c r="AD58" s="2624" t="n"/>
      <c r="AE58" s="2624" t="n"/>
      <c r="AF58" s="2624" t="n"/>
      <c r="AG58" s="2624" t="n"/>
      <c r="AH58" s="1396" t="inlineStr">
        <is>
          <t>t</t>
        </is>
      </c>
      <c r="AI58" s="64" t="n"/>
      <c r="AJ58" s="663" t="n"/>
      <c r="AK58" s="308" t="n"/>
      <c r="AL58" s="663" t="n"/>
      <c r="AM58" s="308" t="n"/>
      <c r="AN58" s="64" t="n"/>
      <c r="AO58" s="64" t="n"/>
      <c r="AP58" s="64" t="n"/>
      <c r="AQ58" s="64" t="n"/>
      <c r="AR58" s="64" t="n"/>
      <c r="AS58" s="64" t="n"/>
      <c r="AT58" s="663" t="n"/>
      <c r="AU58" s="64" t="n"/>
    </row>
    <row r="59" ht="43.5" customFormat="1" customHeight="1" s="18">
      <c r="A59" s="1657" t="n"/>
      <c r="B59" s="399" t="n"/>
      <c r="C59" s="399" t="n"/>
      <c r="D59" s="399" t="n"/>
      <c r="E59" s="801" t="n"/>
      <c r="F59" s="801" t="n"/>
      <c r="N59" s="399" t="n"/>
      <c r="O59" s="1678" t="n"/>
      <c r="P59" s="225" t="n"/>
      <c r="Q59" s="555" t="n"/>
      <c r="R59" s="103" t="n"/>
      <c r="S59" s="103" t="n"/>
      <c r="T59" s="1659" t="n"/>
      <c r="U59" s="555" t="n"/>
      <c r="V59" s="103" t="n"/>
      <c r="W59" s="103" t="n"/>
      <c r="X59" s="103" t="n"/>
      <c r="Y59" s="103" t="n"/>
      <c r="Z59" s="103" t="n"/>
      <c r="AA59" s="103" t="n"/>
      <c r="AB59" s="2673" t="n"/>
      <c r="AC59" s="2647" t="n"/>
      <c r="AH59" s="2673" t="n"/>
      <c r="AI59" s="103" t="n"/>
      <c r="AJ59" s="1659" t="n"/>
      <c r="AK59" s="555" t="n"/>
      <c r="AL59" s="1659" t="n"/>
      <c r="AM59" s="555" t="n"/>
      <c r="AN59" s="103" t="n"/>
      <c r="AO59" s="103" t="n"/>
      <c r="AP59" s="103" t="n"/>
      <c r="AQ59" s="103" t="n"/>
      <c r="AR59" s="103" t="n"/>
      <c r="AS59" s="103" t="n"/>
      <c r="AT59" s="1659" t="n"/>
      <c r="AU59" s="103" t="n"/>
    </row>
    <row r="60" ht="18" customHeight="1">
      <c r="A60" s="1657" t="inlineStr">
        <is>
          <t xml:space="preserve">12| </t>
        </is>
      </c>
      <c r="B60" s="295" t="inlineStr">
        <is>
          <t>Ab¨vb¨ e¨emv</t>
        </is>
      </c>
      <c r="E60" s="801" t="n"/>
      <c r="F60" s="801" t="n"/>
      <c r="G60" s="535" t="inlineStr">
        <is>
          <t>t</t>
        </is>
      </c>
      <c r="H60" s="1692" t="inlineStr">
        <is>
          <t>evwo fvov</t>
        </is>
      </c>
      <c r="N60" s="64" t="n"/>
      <c r="O60" s="1945" t="n"/>
      <c r="P60" s="136" t="n"/>
      <c r="Q60" s="308" t="n"/>
      <c r="R60" s="64" t="n"/>
      <c r="S60" s="64" t="n"/>
      <c r="T60" s="663" t="n"/>
      <c r="U60" s="308" t="n"/>
      <c r="V60" s="64" t="n"/>
      <c r="W60" s="64" t="n"/>
      <c r="X60" s="64" t="n"/>
      <c r="Y60" s="64" t="n"/>
      <c r="Z60" s="64" t="n"/>
      <c r="AA60" s="64" t="n"/>
      <c r="AB60" s="2618" t="n"/>
      <c r="AC60" s="2648" t="n"/>
      <c r="AD60" s="2613" t="n"/>
      <c r="AE60" s="2613" t="n"/>
      <c r="AF60" s="2613" t="n"/>
      <c r="AG60" s="2613" t="n"/>
      <c r="AH60" s="2618" t="n"/>
      <c r="AI60" s="64" t="n"/>
      <c r="AJ60" s="663" t="n"/>
      <c r="AK60" s="308" t="n"/>
      <c r="AL60" s="663" t="n"/>
      <c r="AM60" s="308" t="n"/>
      <c r="AN60" s="64" t="n"/>
      <c r="AO60" s="64" t="n"/>
      <c r="AP60" s="64" t="n"/>
      <c r="AQ60" s="64" t="n"/>
      <c r="AR60" s="64" t="n"/>
      <c r="AS60" s="64" t="n"/>
      <c r="AT60" s="663" t="n"/>
      <c r="AU60" s="64" t="n"/>
    </row>
    <row r="61" ht="18" customFormat="1" customHeight="1" s="18">
      <c r="A61" s="1696" t="inlineStr">
        <is>
          <t xml:space="preserve">13| </t>
        </is>
      </c>
      <c r="B61" s="1681" t="inlineStr">
        <is>
          <t>F‡Yi D‡Ïk¨</t>
        </is>
      </c>
      <c r="G61" s="535" t="inlineStr">
        <is>
          <t>t</t>
        </is>
      </c>
      <c r="H61" s="1692" t="inlineStr">
        <is>
          <t xml:space="preserve">Kvc‡oi e¨emv </t>
        </is>
      </c>
      <c r="O61" s="1658" t="n"/>
      <c r="P61" s="225" t="n"/>
      <c r="Q61" s="555" t="n"/>
      <c r="R61" s="103" t="n"/>
      <c r="S61" s="103" t="n"/>
      <c r="T61" s="1659" t="n"/>
      <c r="U61" s="555" t="n"/>
      <c r="V61" s="103" t="n"/>
      <c r="W61" s="103" t="n"/>
      <c r="X61" s="103" t="n"/>
      <c r="Y61" s="103" t="n"/>
      <c r="Z61" s="103" t="n"/>
      <c r="AA61" s="103" t="n"/>
      <c r="AB61" s="2671" t="inlineStr">
        <is>
          <t xml:space="preserve">09| </t>
        </is>
      </c>
      <c r="AC61" s="2672" t="inlineStr">
        <is>
          <t>e¨vsK my‡`i nvi</t>
        </is>
      </c>
      <c r="AD61" s="2624" t="n"/>
      <c r="AE61" s="2624" t="n"/>
      <c r="AF61" s="2624" t="n"/>
      <c r="AG61" s="2624" t="n"/>
      <c r="AH61" s="1405" t="inlineStr">
        <is>
          <t>t</t>
        </is>
      </c>
      <c r="AI61" s="2674" t="inlineStr">
        <is>
          <t>7%| Z‡e mg‡q mg‡q e¨vsK KZ©„K cwiewZ©Z my‡`i nvi   GB F‡Yi †ÿ‡Î cÖ‡hvR¨ n‡e|</t>
        </is>
      </c>
      <c r="AJ61" s="2624" t="n"/>
      <c r="AK61" s="2624" t="n"/>
      <c r="AL61" s="2624" t="n"/>
      <c r="AM61" s="2624" t="n"/>
      <c r="AN61" s="2642" t="n"/>
      <c r="AO61" s="103" t="n"/>
      <c r="AP61" s="103" t="n"/>
      <c r="AQ61" s="103" t="n"/>
      <c r="AR61" s="103" t="n"/>
      <c r="AS61" s="103" t="n"/>
      <c r="AT61" s="1659" t="n"/>
      <c r="AU61" s="103" t="n"/>
    </row>
    <row r="62" ht="18" customHeight="1">
      <c r="A62" s="1657" t="inlineStr">
        <is>
          <t xml:space="preserve">14| </t>
        </is>
      </c>
      <c r="B62" s="295" t="inlineStr">
        <is>
          <t>wecbb</t>
        </is>
      </c>
      <c r="E62" s="801" t="n"/>
      <c r="F62" s="801" t="n"/>
      <c r="G62" s="535" t="inlineStr">
        <is>
          <t>t</t>
        </is>
      </c>
      <c r="H62" s="475" t="inlineStr">
        <is>
          <t>¯’vbxq GjvKvi †jvKRb</t>
        </is>
      </c>
      <c r="N62" s="399" t="n"/>
      <c r="O62" s="1678" t="n"/>
      <c r="P62" s="136" t="n"/>
      <c r="Q62" s="308" t="n"/>
      <c r="R62" s="64" t="n"/>
      <c r="S62" s="64" t="n"/>
      <c r="T62" s="663" t="n"/>
      <c r="U62" s="308" t="n"/>
      <c r="V62" s="64" t="n"/>
      <c r="W62" s="64" t="n"/>
      <c r="X62" s="64" t="n"/>
      <c r="Y62" s="64" t="n"/>
      <c r="Z62" s="64" t="n"/>
      <c r="AA62" s="64" t="n"/>
      <c r="AB62" s="2618" t="n"/>
      <c r="AC62" s="2648" t="n"/>
      <c r="AD62" s="2613" t="n"/>
      <c r="AE62" s="2613" t="n"/>
      <c r="AF62" s="2613" t="n"/>
      <c r="AG62" s="2613" t="n"/>
      <c r="AH62" s="1671" t="n"/>
      <c r="AI62" s="2648" t="n"/>
      <c r="AJ62" s="2613" t="n"/>
      <c r="AK62" s="2613" t="n"/>
      <c r="AL62" s="2613" t="n"/>
      <c r="AM62" s="2613" t="n"/>
      <c r="AN62" s="2649" t="n"/>
      <c r="AO62" s="64" t="n"/>
      <c r="AP62" s="64" t="n"/>
      <c r="AQ62" s="64" t="n"/>
      <c r="AR62" s="64" t="n"/>
      <c r="AS62" s="64" t="n"/>
      <c r="AT62" s="663" t="n"/>
      <c r="AU62" s="64" t="n"/>
    </row>
    <row r="63" ht="18" customHeight="1">
      <c r="A63" s="1657" t="inlineStr">
        <is>
          <t xml:space="preserve">15| </t>
        </is>
      </c>
      <c r="B63" s="295" t="inlineStr">
        <is>
          <t>bM` F‡Yi †gqv` I mgš^q Pµ</t>
        </is>
      </c>
      <c r="E63" s="801" t="n"/>
      <c r="F63" s="801" t="n"/>
      <c r="G63" s="535" t="inlineStr">
        <is>
          <t>t</t>
        </is>
      </c>
      <c r="H63" s="475" t="inlineStr">
        <is>
          <t>1(GK) eQi, mgš^q Pµ 60 w`b</t>
        </is>
      </c>
      <c r="N63" s="399" t="n"/>
      <c r="O63" s="1678" t="n"/>
      <c r="P63" s="136" t="n"/>
      <c r="Q63" s="308" t="n"/>
      <c r="R63" s="64" t="n"/>
      <c r="S63" s="64" t="n"/>
      <c r="T63" s="663" t="n"/>
      <c r="U63" s="308" t="n"/>
      <c r="V63" s="64" t="n"/>
      <c r="W63" s="64" t="n"/>
      <c r="X63" s="64" t="n"/>
      <c r="Y63" s="64" t="n"/>
      <c r="Z63" s="64" t="n"/>
      <c r="AA63" s="64" t="n"/>
      <c r="AB63" s="1699" t="inlineStr">
        <is>
          <t xml:space="preserve">10| </t>
        </is>
      </c>
      <c r="AC63" s="64" t="n"/>
      <c r="AD63" s="64" t="n"/>
      <c r="AE63" s="64" t="n"/>
      <c r="AF63" s="64" t="n"/>
      <c r="AG63" s="308" t="n"/>
      <c r="AH63" s="64" t="n"/>
      <c r="AI63" s="64" t="n"/>
      <c r="AJ63" s="663" t="n"/>
      <c r="AK63" s="308" t="n"/>
      <c r="AL63" s="663" t="n"/>
      <c r="AM63" s="308" t="n"/>
      <c r="AN63" s="64" t="n"/>
      <c r="AO63" s="64" t="n"/>
      <c r="AP63" s="64" t="n"/>
      <c r="AQ63" s="64" t="n"/>
      <c r="AR63" s="64" t="n"/>
      <c r="AS63" s="64" t="n"/>
      <c r="AT63" s="663" t="n"/>
      <c r="AU63" s="64" t="n"/>
    </row>
    <row r="64" ht="18" customHeight="1">
      <c r="A64" s="1657" t="inlineStr">
        <is>
          <t xml:space="preserve">16| </t>
        </is>
      </c>
      <c r="B64" s="295" t="inlineStr">
        <is>
          <t>my‡`i nvi</t>
        </is>
      </c>
      <c r="E64" s="801" t="n"/>
      <c r="F64" s="801" t="n"/>
      <c r="G64" s="535" t="inlineStr">
        <is>
          <t>t</t>
        </is>
      </c>
      <c r="H64" s="1700" t="n">
        <v>0.13</v>
      </c>
      <c r="N64" s="399" t="n"/>
      <c r="O64" s="1678" t="n"/>
      <c r="P64" s="136" t="n"/>
      <c r="Q64" s="308" t="n"/>
      <c r="R64" s="64" t="n"/>
      <c r="S64" s="64" t="n"/>
      <c r="T64" s="663" t="n"/>
      <c r="U64" s="308" t="n"/>
      <c r="V64" s="64" t="n"/>
      <c r="W64" s="64" t="n"/>
      <c r="X64" s="64" t="n"/>
      <c r="Y64" s="64" t="n"/>
      <c r="Z64" s="64" t="n"/>
      <c r="AA64" s="64" t="n"/>
      <c r="AB64" s="2671" t="inlineStr">
        <is>
          <t xml:space="preserve">11| </t>
        </is>
      </c>
      <c r="AC64" s="2672" t="inlineStr">
        <is>
          <t>D‡`¨v³vM‡Yi `ÿZv I AwfÁZv</t>
        </is>
      </c>
      <c r="AD64" s="2624" t="n"/>
      <c r="AE64" s="2624" t="n"/>
      <c r="AF64" s="2624" t="n"/>
      <c r="AG64" s="2624" t="n"/>
      <c r="AH64" s="1405" t="inlineStr">
        <is>
          <t>t</t>
        </is>
      </c>
      <c r="AI64" s="2674">
        <f>"D‡`¨v³vMY `xN© w`b hver `ÿZv I mybv‡gi mwnZ cvwievwiKfv‡e "&amp;'Data Input'!C10&amp;" cwiPvjbv K‡i Avm‡Qb| "</f>
        <v/>
      </c>
      <c r="AJ64" s="2624" t="n"/>
      <c r="AK64" s="2624" t="n"/>
      <c r="AL64" s="2624" t="n"/>
      <c r="AM64" s="2624" t="n"/>
      <c r="AN64" s="2642" t="n"/>
      <c r="AO64" s="64" t="n"/>
      <c r="AP64" s="64" t="n"/>
      <c r="AQ64" s="64" t="n"/>
      <c r="AR64" s="64" t="n"/>
      <c r="AS64" s="64" t="n"/>
      <c r="AT64" s="663" t="n"/>
      <c r="AU64" s="64" t="n"/>
    </row>
    <row r="65" ht="18" customHeight="1">
      <c r="A65" s="1657" t="inlineStr">
        <is>
          <t xml:space="preserve">17| </t>
        </is>
      </c>
      <c r="B65" s="295" t="inlineStr">
        <is>
          <t xml:space="preserve">cÖwZôvbwUi KvwiMix I A_©‰bwZK m¤¢ve¨Zv </t>
        </is>
      </c>
      <c r="G65" s="535" t="inlineStr">
        <is>
          <t>t</t>
        </is>
      </c>
      <c r="H65" s="475" t="inlineStr">
        <is>
          <t xml:space="preserve">e¨emv cÖwZôvbwU KvwiMix I A_©‰bwZK w`K †_‡K m¤¢ve¨Zv BwZevPK|
</t>
        </is>
      </c>
      <c r="O65" s="1678" t="n"/>
      <c r="P65" s="136" t="n"/>
      <c r="Q65" s="308" t="n"/>
      <c r="R65" s="64" t="n"/>
      <c r="S65" s="64" t="n"/>
      <c r="T65" s="663" t="n"/>
      <c r="U65" s="308" t="n"/>
      <c r="V65" s="64" t="n"/>
      <c r="W65" s="64" t="n"/>
      <c r="X65" s="64" t="n"/>
      <c r="Y65" s="64" t="n"/>
      <c r="Z65" s="64" t="n"/>
      <c r="AA65" s="64" t="n"/>
      <c r="AB65" s="2618" t="n"/>
      <c r="AC65" s="2648" t="n"/>
      <c r="AD65" s="2613" t="n"/>
      <c r="AE65" s="2613" t="n"/>
      <c r="AF65" s="2613" t="n"/>
      <c r="AG65" s="2613" t="n"/>
      <c r="AH65" s="1671" t="n"/>
      <c r="AI65" s="2648" t="n"/>
      <c r="AJ65" s="2613" t="n"/>
      <c r="AK65" s="2613" t="n"/>
      <c r="AL65" s="2613" t="n"/>
      <c r="AM65" s="2613" t="n"/>
      <c r="AN65" s="2649" t="n"/>
      <c r="AO65" s="64" t="n"/>
      <c r="AP65" s="64" t="n"/>
      <c r="AQ65" s="64" t="n"/>
      <c r="AR65" s="64" t="n"/>
      <c r="AS65" s="64" t="n"/>
      <c r="AT65" s="663" t="n"/>
      <c r="AU65" s="64" t="n"/>
    </row>
    <row r="66" ht="18" customHeight="1">
      <c r="A66" s="1657" t="inlineStr">
        <is>
          <t xml:space="preserve">18| </t>
        </is>
      </c>
      <c r="B66" s="295" t="inlineStr">
        <is>
          <t>AbywgwZ mg~n</t>
        </is>
      </c>
      <c r="E66" s="801" t="n"/>
      <c r="F66" s="801" t="n"/>
      <c r="G66" s="535" t="inlineStr">
        <is>
          <t>t</t>
        </is>
      </c>
      <c r="H66" s="475" t="inlineStr">
        <is>
          <t>µq g~j¨ e„w× †c‡j AvbycvwZK nv‡i weµq g~j¨ e„w× cv‡e|</t>
        </is>
      </c>
      <c r="N66" s="399" t="n"/>
      <c r="O66" s="1678" t="n"/>
      <c r="P66" s="136" t="n"/>
      <c r="Q66" s="308" t="n"/>
      <c r="R66" s="64" t="n"/>
      <c r="S66" s="64" t="n"/>
      <c r="T66" s="663" t="n"/>
      <c r="U66" s="308" t="n"/>
      <c r="V66" s="64" t="n"/>
      <c r="W66" s="64" t="n"/>
      <c r="X66" s="64" t="n"/>
      <c r="Y66" s="64" t="n"/>
      <c r="Z66" s="64" t="n"/>
      <c r="AA66" s="64" t="n"/>
      <c r="AB66" s="2671" t="inlineStr">
        <is>
          <t xml:space="preserve">12| </t>
        </is>
      </c>
      <c r="AC66" s="1396" t="inlineStr">
        <is>
          <t>FY cwi‡kv‡aimgqm~Px</t>
        </is>
      </c>
      <c r="AD66" s="2624" t="n"/>
      <c r="AE66" s="2624" t="n"/>
      <c r="AF66" s="2624" t="n"/>
      <c r="AG66" s="2642" t="n"/>
      <c r="AH66" s="1405" t="inlineStr">
        <is>
          <t>t</t>
        </is>
      </c>
      <c r="AI66" s="1396" t="inlineStr">
        <is>
          <t xml:space="preserve">FY cÖ`v‡bi ZvwiL n‡Z cÖwZ 03 (wZb) gvm ci ci my` mgš^q mn 1 (GK) eQ‡ii g‡a¨ my`mn cwi‡kva †hvM¨| </t>
        </is>
      </c>
      <c r="AJ66" s="2624" t="n"/>
      <c r="AK66" s="2624" t="n"/>
      <c r="AL66" s="2624" t="n"/>
      <c r="AM66" s="2624" t="n"/>
      <c r="AN66" s="2642" t="n"/>
      <c r="AO66" s="64" t="n"/>
      <c r="AP66" s="64" t="n"/>
      <c r="AQ66" s="64" t="n"/>
      <c r="AR66" s="64" t="n"/>
      <c r="AS66" s="64" t="n"/>
      <c r="AT66" s="663" t="n"/>
      <c r="AU66" s="64" t="n"/>
    </row>
    <row r="67" ht="18" customHeight="1">
      <c r="A67" s="1657" t="n"/>
      <c r="B67" s="295" t="n"/>
      <c r="C67" s="295" t="n"/>
      <c r="D67" s="295" t="n"/>
      <c r="E67" s="801" t="n"/>
      <c r="F67" s="801" t="n"/>
      <c r="G67" s="535" t="n"/>
      <c r="H67" s="475" t="n"/>
      <c r="I67" s="801" t="n"/>
      <c r="J67" s="801" t="n"/>
      <c r="K67" s="801" t="n"/>
      <c r="L67" s="801" t="n"/>
      <c r="M67" s="399" t="n"/>
      <c r="N67" s="399" t="n"/>
      <c r="O67" s="1678" t="n"/>
      <c r="P67" s="136" t="n"/>
      <c r="Q67" s="308" t="n"/>
      <c r="R67" s="64" t="n"/>
      <c r="S67" s="64" t="n"/>
      <c r="T67" s="663" t="n"/>
      <c r="U67" s="308" t="n"/>
      <c r="V67" s="64" t="n"/>
      <c r="W67" s="64" t="n"/>
      <c r="X67" s="64" t="n"/>
      <c r="Y67" s="64" t="n"/>
      <c r="Z67" s="64" t="n"/>
      <c r="AA67" s="64" t="n"/>
      <c r="AB67" s="2618" t="n"/>
      <c r="AC67" s="2648" t="n"/>
      <c r="AD67" s="2613" t="n"/>
      <c r="AE67" s="2613" t="n"/>
      <c r="AF67" s="2613" t="n"/>
      <c r="AG67" s="2649" t="n"/>
      <c r="AH67" s="1671" t="n"/>
      <c r="AI67" s="2648" t="n"/>
      <c r="AJ67" s="2613" t="n"/>
      <c r="AK67" s="2613" t="n"/>
      <c r="AL67" s="2613" t="n"/>
      <c r="AM67" s="2613" t="n"/>
      <c r="AN67" s="2649" t="n"/>
      <c r="AO67" s="64" t="n"/>
      <c r="AP67" s="64" t="n"/>
      <c r="AQ67" s="64" t="n"/>
      <c r="AR67" s="64" t="n"/>
      <c r="AS67" s="64" t="n"/>
      <c r="AT67" s="663" t="n"/>
      <c r="AU67" s="64" t="n"/>
    </row>
    <row r="68" ht="18" customHeight="1">
      <c r="A68" s="1657" t="n"/>
      <c r="B68" s="295" t="n"/>
      <c r="C68" s="295" t="n"/>
      <c r="D68" s="295" t="n"/>
      <c r="E68" s="801" t="n"/>
      <c r="F68" s="801" t="n"/>
      <c r="G68" s="535" t="n"/>
      <c r="H68" s="475" t="n"/>
      <c r="I68" s="801" t="n"/>
      <c r="J68" s="801" t="n"/>
      <c r="K68" s="801" t="n"/>
      <c r="L68" s="801" t="n"/>
      <c r="M68" s="399" t="n"/>
      <c r="N68" s="399" t="n"/>
      <c r="O68" s="1678" t="n"/>
      <c r="P68" s="136" t="n"/>
      <c r="Q68" s="308" t="n"/>
      <c r="R68" s="64" t="n"/>
      <c r="S68" s="64" t="n"/>
      <c r="T68" s="663" t="n"/>
      <c r="U68" s="308" t="n"/>
      <c r="V68" s="64" t="n"/>
      <c r="W68" s="64" t="n"/>
      <c r="X68" s="64" t="n"/>
      <c r="Y68" s="64" t="n"/>
      <c r="Z68" s="64" t="n"/>
      <c r="AA68" s="64" t="n"/>
      <c r="AB68" s="2671" t="inlineStr">
        <is>
          <t xml:space="preserve">13| </t>
        </is>
      </c>
      <c r="AC68" s="1396" t="inlineStr">
        <is>
          <t>c‡Y¨i wecbb e¨e¯’v</t>
        </is>
      </c>
      <c r="AD68" s="2624" t="n"/>
      <c r="AE68" s="2624" t="n"/>
      <c r="AF68" s="2624" t="n"/>
      <c r="AG68" s="2642" t="n"/>
      <c r="AH68" s="1405" t="inlineStr">
        <is>
          <t>t</t>
        </is>
      </c>
      <c r="AI68" s="2675">
        <f>'Data Input'!D23&amp;" †Rjvmn mgMÖ evsjv‡`k| e¨emvqwU DËg †hvMv‡hvM e¨e¯’vq ¯’vwcZ| GLvb n‡Z Ab¨ ‡h‡Kvb ¯’v‡b moKc‡_ `ªæZZvi mv‡_ "&amp;'Data Input'!D10&amp;" mieivn Kiv hvq| "</f>
        <v/>
      </c>
      <c r="AJ68" s="2624" t="n"/>
      <c r="AK68" s="2624" t="n"/>
      <c r="AL68" s="2624" t="n"/>
      <c r="AM68" s="2624" t="n"/>
      <c r="AN68" s="2642" t="n"/>
      <c r="AO68" s="64" t="n"/>
      <c r="AP68" s="64" t="n"/>
      <c r="AQ68" s="64" t="n"/>
      <c r="AR68" s="64" t="n"/>
      <c r="AS68" s="64" t="n"/>
      <c r="AT68" s="663" t="n"/>
      <c r="AU68" s="64" t="n"/>
    </row>
    <row r="69" ht="18" customHeight="1">
      <c r="A69" s="1657" t="n"/>
      <c r="B69" s="295" t="n"/>
      <c r="C69" s="295" t="n"/>
      <c r="D69" s="295" t="n"/>
      <c r="E69" s="801" t="n"/>
      <c r="F69" s="801" t="n"/>
      <c r="G69" s="535" t="n"/>
      <c r="H69" s="475" t="n"/>
      <c r="I69" s="801" t="n"/>
      <c r="J69" s="801" t="n"/>
      <c r="K69" s="801" t="n"/>
      <c r="L69" s="801" t="n"/>
      <c r="M69" s="399" t="n"/>
      <c r="N69" s="399" t="n"/>
      <c r="O69" s="1678" t="n"/>
      <c r="P69" s="136" t="n"/>
      <c r="Q69" s="308" t="n"/>
      <c r="R69" s="64" t="n"/>
      <c r="S69" s="64" t="n"/>
      <c r="T69" s="663" t="n"/>
      <c r="U69" s="308" t="n"/>
      <c r="V69" s="64" t="n"/>
      <c r="W69" s="64" t="n"/>
      <c r="X69" s="64" t="n"/>
      <c r="Y69" s="64" t="n"/>
      <c r="Z69" s="64" t="n"/>
      <c r="AA69" s="64" t="n"/>
      <c r="AB69" s="2618" t="n"/>
      <c r="AC69" s="2648" t="n"/>
      <c r="AD69" s="2613" t="n"/>
      <c r="AE69" s="2613" t="n"/>
      <c r="AF69" s="2613" t="n"/>
      <c r="AG69" s="2649" t="n"/>
      <c r="AH69" s="1671" t="n"/>
      <c r="AI69" s="2613" t="n"/>
      <c r="AJ69" s="2613" t="n"/>
      <c r="AK69" s="2613" t="n"/>
      <c r="AL69" s="2613" t="n"/>
      <c r="AM69" s="2613" t="n"/>
      <c r="AN69" s="2649" t="n"/>
      <c r="AO69" s="64" t="n"/>
      <c r="AP69" s="64" t="n"/>
      <c r="AQ69" s="64" t="n"/>
      <c r="AR69" s="64" t="n"/>
      <c r="AS69" s="64" t="n"/>
      <c r="AT69" s="663" t="n"/>
      <c r="AU69" s="64" t="n"/>
    </row>
    <row r="70" ht="18" customHeight="1">
      <c r="A70" s="1657" t="n"/>
      <c r="B70" s="295" t="n"/>
      <c r="C70" s="295" t="n"/>
      <c r="D70" s="295" t="n"/>
      <c r="E70" s="801" t="n"/>
      <c r="F70" s="801" t="n"/>
      <c r="G70" s="535" t="n"/>
      <c r="H70" s="475" t="n"/>
      <c r="I70" s="801" t="n"/>
      <c r="J70" s="801" t="n"/>
      <c r="K70" s="801" t="n"/>
      <c r="L70" s="801" t="n"/>
      <c r="M70" s="399" t="n"/>
      <c r="N70" s="399" t="n"/>
      <c r="O70" s="1678" t="n"/>
      <c r="P70" s="136" t="n"/>
      <c r="Q70" s="308" t="n"/>
      <c r="R70" s="64" t="n"/>
      <c r="S70" s="64" t="n"/>
      <c r="T70" s="663" t="n"/>
      <c r="U70" s="308" t="n"/>
      <c r="V70" s="64" t="n"/>
      <c r="W70" s="64" t="n"/>
      <c r="X70" s="64" t="n"/>
      <c r="Y70" s="64" t="n"/>
      <c r="Z70" s="64" t="n"/>
      <c r="AA70" s="64" t="n"/>
      <c r="AB70" s="1657" t="n"/>
      <c r="AC70" s="399" t="n"/>
      <c r="AD70" s="399" t="n"/>
      <c r="AE70" s="399" t="n"/>
      <c r="AF70" s="399" t="n"/>
      <c r="AG70" s="801" t="n"/>
      <c r="AH70" s="399" t="n"/>
      <c r="AI70" s="1198" t="n"/>
      <c r="AJ70" s="1549" t="n"/>
      <c r="AK70" s="1197" t="n"/>
      <c r="AL70" s="1549" t="n"/>
      <c r="AM70" s="1197" t="n"/>
      <c r="AN70" s="1198" t="n"/>
      <c r="AO70" s="64" t="n"/>
      <c r="AP70" s="64" t="n"/>
      <c r="AQ70" s="64" t="n"/>
      <c r="AR70" s="64" t="n"/>
      <c r="AS70" s="64" t="n"/>
      <c r="AT70" s="663" t="n"/>
      <c r="AU70" s="64" t="n"/>
    </row>
    <row r="71" ht="12" customHeight="1">
      <c r="A71" s="1657" t="n"/>
      <c r="B71" s="295" t="n"/>
      <c r="C71" s="295" t="n"/>
      <c r="D71" s="295" t="n"/>
      <c r="E71" s="801" t="n"/>
      <c r="F71" s="801" t="n"/>
      <c r="G71" s="535" t="n"/>
      <c r="H71" s="475" t="n"/>
      <c r="I71" s="801" t="n"/>
      <c r="J71" s="801" t="n"/>
      <c r="K71" s="801" t="n"/>
      <c r="L71" s="801" t="n"/>
      <c r="M71" s="399" t="n"/>
      <c r="N71" s="399" t="n"/>
      <c r="O71" s="1678" t="n"/>
      <c r="P71" s="136" t="n"/>
      <c r="Q71" s="308" t="n"/>
      <c r="R71" s="64" t="n"/>
      <c r="S71" s="64" t="n"/>
      <c r="T71" s="663" t="n"/>
      <c r="U71" s="308" t="n"/>
      <c r="V71" s="64" t="n"/>
      <c r="W71" s="64" t="n"/>
      <c r="X71" s="64" t="n"/>
      <c r="Y71" s="64" t="n"/>
      <c r="Z71" s="64" t="n"/>
      <c r="AA71" s="64" t="n"/>
      <c r="AB71" s="1704" t="inlineStr">
        <is>
          <t>Avw_©K wnmve</t>
        </is>
      </c>
      <c r="AO71" s="64" t="n"/>
      <c r="AP71" s="64" t="n"/>
      <c r="AQ71" s="64" t="n"/>
      <c r="AR71" s="64" t="n"/>
      <c r="AS71" s="64" t="n"/>
      <c r="AT71" s="663" t="n"/>
      <c r="AU71" s="64" t="n"/>
    </row>
    <row r="72" ht="18" customHeight="1">
      <c r="A72" s="1708" t="inlineStr">
        <is>
          <t xml:space="preserve">19 |  AbywgZ e¨q (60 w`‡b) t </t>
        </is>
      </c>
      <c r="B72" s="2615" t="n"/>
      <c r="C72" s="2615" t="n"/>
      <c r="D72" s="2615" t="n"/>
      <c r="E72" s="2615" t="n"/>
      <c r="F72" s="2615" t="n"/>
      <c r="G72" s="2615" t="n"/>
      <c r="H72" s="2615" t="n"/>
      <c r="I72" s="2615" t="n"/>
      <c r="J72" s="2615" t="n"/>
      <c r="K72" s="2615" t="n"/>
      <c r="L72" s="2615" t="n"/>
      <c r="M72" s="2616" t="n"/>
      <c r="N72" s="1705" t="n"/>
      <c r="O72" s="1945" t="n"/>
      <c r="P72" s="136" t="n"/>
      <c r="Q72" s="308" t="n"/>
      <c r="R72" s="64" t="n"/>
      <c r="S72" s="64" t="n"/>
      <c r="T72" s="663" t="n"/>
      <c r="U72" s="308" t="n"/>
      <c r="V72" s="64" t="n"/>
      <c r="W72" s="64" t="n"/>
      <c r="X72" s="64" t="n"/>
      <c r="Y72" s="64" t="n"/>
      <c r="Z72" s="64" t="n"/>
      <c r="AA72" s="64" t="n"/>
      <c r="AB72" s="1711" t="inlineStr">
        <is>
          <t>K) µq cÖv°jb t-</t>
        </is>
      </c>
      <c r="AC72" s="2615" t="n"/>
      <c r="AD72" s="2615" t="n"/>
      <c r="AE72" s="2615" t="n"/>
      <c r="AF72" s="2615" t="n"/>
      <c r="AG72" s="2615" t="n"/>
      <c r="AH72" s="2615" t="n"/>
      <c r="AI72" s="2615" t="n"/>
      <c r="AJ72" s="2615" t="n"/>
      <c r="AK72" s="2615" t="n"/>
      <c r="AL72" s="2615" t="n"/>
      <c r="AM72" s="2615" t="n"/>
      <c r="AN72" s="2616" t="n"/>
      <c r="AO72" s="64" t="n"/>
      <c r="AP72" s="64" t="n"/>
      <c r="AQ72" s="64" t="n"/>
      <c r="AR72" s="64" t="n"/>
      <c r="AS72" s="64" t="n"/>
      <c r="AT72" s="663" t="n"/>
      <c r="AU72" s="64" t="n"/>
    </row>
    <row r="73" ht="18" customHeight="1">
      <c r="A73" s="1715" t="n"/>
      <c r="B73" s="2575" t="n"/>
      <c r="C73" s="2575" t="n"/>
      <c r="D73" s="2575" t="n"/>
      <c r="E73" s="1716" t="n"/>
      <c r="F73" s="1716" t="n"/>
      <c r="G73" s="2575" t="n"/>
      <c r="H73" s="1715" t="n"/>
      <c r="I73" s="1716" t="n"/>
      <c r="J73" s="1716" t="n"/>
      <c r="K73" s="1716" t="n"/>
      <c r="L73" s="1716" t="n"/>
      <c r="M73" s="2575" t="n"/>
      <c r="N73" s="1705" t="n"/>
      <c r="O73" s="1945" t="n"/>
      <c r="P73" s="136" t="n"/>
      <c r="Q73" s="308" t="n"/>
      <c r="R73" s="64" t="n"/>
      <c r="S73" s="64" t="n"/>
      <c r="T73" s="663" t="n"/>
      <c r="U73" s="308" t="n"/>
      <c r="V73" s="64" t="n"/>
      <c r="W73" s="64" t="n"/>
      <c r="X73" s="64" t="n"/>
      <c r="Y73" s="64" t="n"/>
      <c r="Z73" s="64" t="n"/>
      <c r="AA73" s="64" t="n"/>
      <c r="AB73" s="1711" t="n"/>
      <c r="AC73" s="1712" t="n"/>
      <c r="AD73" s="1712" t="n"/>
      <c r="AE73" s="1712" t="n"/>
      <c r="AF73" s="1712" t="n"/>
      <c r="AG73" s="1713" t="n"/>
      <c r="AH73" s="1712" t="n"/>
      <c r="AI73" s="1712" t="n"/>
      <c r="AJ73" s="1714" t="n"/>
      <c r="AK73" s="1713" t="n"/>
      <c r="AL73" s="1714" t="n"/>
      <c r="AM73" s="1713" t="n"/>
      <c r="AN73" s="1712" t="n"/>
      <c r="AO73" s="64" t="n"/>
      <c r="AP73" s="64" t="n"/>
      <c r="AQ73" s="64" t="n"/>
      <c r="AR73" s="64" t="n"/>
      <c r="AS73" s="64" t="n"/>
      <c r="AT73" s="663" t="n"/>
      <c r="AU73" s="64" t="n"/>
    </row>
    <row r="74" ht="18" customHeight="1">
      <c r="A74" s="1717" t="n"/>
      <c r="B74" s="1718" t="n"/>
      <c r="C74" s="1718" t="n"/>
      <c r="D74" s="1718" t="n"/>
      <c r="E74" s="1719" t="n"/>
      <c r="F74" s="1719" t="n"/>
      <c r="G74" s="1718" t="n"/>
      <c r="H74" s="1717" t="n"/>
      <c r="I74" s="1719" t="n"/>
      <c r="J74" s="1719" t="n"/>
      <c r="K74" s="1719" t="n"/>
      <c r="L74" s="1719" t="n"/>
      <c r="M74" s="222" t="inlineStr">
        <is>
          <t>(UvKvq)</t>
        </is>
      </c>
      <c r="N74" s="1705" t="n"/>
      <c r="O74" s="1945" t="n"/>
      <c r="P74" s="136" t="n"/>
      <c r="Q74" s="308" t="n"/>
      <c r="R74" s="64" t="n"/>
      <c r="S74" s="64" t="n"/>
      <c r="T74" s="663" t="n"/>
      <c r="U74" s="308" t="n"/>
      <c r="V74" s="64" t="n"/>
      <c r="W74" s="64" t="n"/>
      <c r="X74" s="64" t="n"/>
      <c r="Y74" s="64" t="n"/>
      <c r="Z74" s="64" t="n"/>
      <c r="AA74" s="64" t="n"/>
      <c r="AB74" s="1720" t="inlineStr">
        <is>
          <t xml:space="preserve">                                    cY¨ msMÖn, µq-weµq, wecbb, g~jab I FY mÂvj‡bi Avw_©K wnmve wb¤œiƒc t                         (jÿ UvKvq)</t>
        </is>
      </c>
      <c r="AC74" s="2613" t="n"/>
      <c r="AD74" s="2613" t="n"/>
      <c r="AE74" s="2613" t="n"/>
      <c r="AF74" s="2613" t="n"/>
      <c r="AG74" s="2613" t="n"/>
      <c r="AH74" s="2613" t="n"/>
      <c r="AI74" s="2613" t="n"/>
      <c r="AJ74" s="2613" t="n"/>
      <c r="AK74" s="2613" t="n"/>
      <c r="AL74" s="2613" t="n"/>
      <c r="AM74" s="2613" t="n"/>
      <c r="AN74" s="2613" t="n"/>
      <c r="AO74" s="64" t="n"/>
      <c r="AP74" s="64" t="n"/>
      <c r="AQ74" s="64" t="n"/>
      <c r="AR74" s="64" t="n"/>
      <c r="AS74" s="64" t="n"/>
      <c r="AT74" s="663" t="n"/>
      <c r="AU74" s="64" t="n"/>
    </row>
    <row r="75" ht="40.5" customHeight="1">
      <c r="A75" s="1724" t="inlineStr">
        <is>
          <t>µt bs</t>
        </is>
      </c>
      <c r="B75" s="2617" t="n"/>
      <c r="C75" s="1725" t="inlineStr">
        <is>
          <t>weeiY</t>
        </is>
      </c>
      <c r="D75" s="2617" t="n"/>
      <c r="E75" s="1726" t="inlineStr">
        <is>
          <t>cwigvb
(cÖwZ BDwbU)</t>
        </is>
      </c>
      <c r="F75" s="2614" t="n"/>
      <c r="G75" s="2658" t="n"/>
      <c r="H75" s="1724" t="inlineStr">
        <is>
          <t>`i</t>
        </is>
      </c>
      <c r="I75" s="1728" t="inlineStr">
        <is>
          <t>‡gvU gyj¨ 60 w`‡bi</t>
        </is>
      </c>
      <c r="J75" s="2614" t="n"/>
      <c r="K75" s="2658" t="n"/>
      <c r="L75" s="1728" t="inlineStr">
        <is>
          <t>‡gvU g~j¨ 1 eQ‡ii</t>
        </is>
      </c>
      <c r="M75" s="2658" t="n"/>
      <c r="N75" s="1705" t="n"/>
      <c r="O75" s="1730" t="n"/>
      <c r="P75" s="446" t="n"/>
      <c r="Q75" s="1613" t="n"/>
      <c r="R75" s="445" t="n"/>
      <c r="S75" s="445" t="n"/>
      <c r="T75" s="1731" t="n"/>
      <c r="U75" s="1613" t="n"/>
      <c r="V75" s="445" t="n"/>
      <c r="W75" s="445" t="n"/>
      <c r="X75" s="445" t="n"/>
      <c r="Y75" s="445" t="n"/>
      <c r="Z75" s="445" t="n"/>
      <c r="AA75" s="64" t="n"/>
      <c r="AB75" s="1724" t="inlineStr">
        <is>
          <t>µt bs</t>
        </is>
      </c>
      <c r="AC75" s="1725" t="inlineStr">
        <is>
          <t>weeiY</t>
        </is>
      </c>
      <c r="AD75" s="2614" t="n"/>
      <c r="AE75" s="2614" t="n"/>
      <c r="AF75" s="2614" t="n"/>
      <c r="AG75" s="2617" t="n"/>
      <c r="AH75" s="1725" t="inlineStr">
        <is>
          <t>cwigvb
(cÖwZ BDwbU)</t>
        </is>
      </c>
      <c r="AI75" s="2617" t="n"/>
      <c r="AJ75" s="1733" t="inlineStr">
        <is>
          <t>`i</t>
        </is>
      </c>
      <c r="AK75" s="1728" t="inlineStr">
        <is>
          <t>‡gvU gyj¨ 60 w`‡bi</t>
        </is>
      </c>
      <c r="AL75" s="2658" t="n"/>
      <c r="AM75" s="1728" t="inlineStr">
        <is>
          <t>‡gvU g~j¨ 1 eQ‡ii</t>
        </is>
      </c>
      <c r="AN75" s="2658" t="n"/>
      <c r="AO75" s="445" t="n"/>
      <c r="AP75" s="445" t="n"/>
      <c r="AQ75" s="445" t="n"/>
      <c r="AR75" s="445" t="n"/>
      <c r="AS75" s="445" t="n"/>
      <c r="AT75" s="1731" t="n"/>
      <c r="AU75" s="445" t="n"/>
    </row>
    <row r="76" ht="18" customHeight="1">
      <c r="A76" s="262">
        <f>IF(E76="","",_xlfn.AGGREGATE(3,5,$E$76:E76))</f>
        <v/>
      </c>
      <c r="B76" s="2617" t="n"/>
      <c r="C76" s="1735" t="inlineStr">
        <is>
          <t>kv‡U©i Kvco µq</t>
        </is>
      </c>
      <c r="D76" s="2617" t="n"/>
      <c r="E76" s="2676" t="n">
        <v>8000</v>
      </c>
      <c r="F76" s="2677" t="n"/>
      <c r="G76" s="2678" t="n"/>
      <c r="H76" s="1740" t="n">
        <v>800</v>
      </c>
      <c r="I76" s="2679">
        <f>IFERROR(IF(H76&gt;0,E76*H76,""),"")</f>
        <v/>
      </c>
      <c r="J76" s="2614" t="n"/>
      <c r="K76" s="2680" t="n"/>
      <c r="L76" s="2681">
        <f>IFERROR(IF(U76="yes",+I76*6,I76),"")</f>
        <v/>
      </c>
      <c r="M76" s="2678" t="n"/>
      <c r="N76" s="1705" t="n"/>
      <c r="O76" s="1945" t="n"/>
      <c r="P76" s="1745">
        <f>IF(H76="","","µq wK 1 P‡µi?")</f>
        <v/>
      </c>
      <c r="Q76" s="2615" t="n"/>
      <c r="R76" s="2615" t="n"/>
      <c r="S76" s="2616" t="n"/>
      <c r="T76" s="1748" t="n"/>
      <c r="U76" s="1613" t="inlineStr">
        <is>
          <t>Yes</t>
        </is>
      </c>
      <c r="V76" s="445" t="n"/>
      <c r="W76" s="445" t="n"/>
      <c r="X76" s="445" t="n"/>
      <c r="Y76" s="445" t="n"/>
      <c r="Z76" s="64" t="n"/>
      <c r="AA76" s="64" t="n"/>
      <c r="AB76" s="1740" t="inlineStr">
        <is>
          <t>01</t>
        </is>
      </c>
      <c r="AC76" s="1749">
        <f>IF('Data Input'!F3="","",'Data Input'!F3)</f>
        <v/>
      </c>
      <c r="AD76" s="2682" t="n"/>
      <c r="AE76" s="2682" t="n"/>
      <c r="AF76" s="2682" t="n"/>
      <c r="AG76" s="2683" t="n"/>
      <c r="AH76" s="1751">
        <f>IF(+'Data Input'!H3="","",'Data Input'!H3)</f>
        <v/>
      </c>
      <c r="AI76" s="2684" t="n"/>
      <c r="AJ76" s="1740">
        <f>IF(+'Data Input'!G3="","",'Data Input'!G3)</f>
        <v/>
      </c>
      <c r="AK76" s="2685">
        <f>IFERROR(IF(AJ76&gt;0,AH76*AJ76/100000,""),"")</f>
        <v/>
      </c>
      <c r="AL76" s="2678" t="n"/>
      <c r="AM76" s="2685">
        <f>IFERROR(IF(AT76="yes",+AK76*6,AK76),"")</f>
        <v/>
      </c>
      <c r="AN76" s="2678" t="n"/>
      <c r="AO76" s="64" t="n"/>
      <c r="AP76" s="1754">
        <f>IF(AJ76="","","µq wK 1 P‡µi?")</f>
        <v/>
      </c>
      <c r="AQ76" s="2615" t="n"/>
      <c r="AR76" s="2615" t="n"/>
      <c r="AS76" s="2616" t="n"/>
      <c r="AT76" s="1731" t="inlineStr">
        <is>
          <t>Yes</t>
        </is>
      </c>
      <c r="AU76" s="64" t="n"/>
    </row>
    <row r="77" ht="18" customHeight="1">
      <c r="A77" s="262">
        <f>IF(E77="","",_xlfn.AGGREGATE(3,5,$E$76:E77))</f>
        <v/>
      </c>
      <c r="B77" s="2617" t="n"/>
      <c r="C77" s="1735" t="inlineStr">
        <is>
          <t>c¨v‡›Ui Kvco µq</t>
        </is>
      </c>
      <c r="D77" s="2617" t="n"/>
      <c r="E77" s="2686" t="n">
        <v>7000</v>
      </c>
      <c r="F77" s="2682" t="n"/>
      <c r="G77" s="2683" t="n"/>
      <c r="H77" s="1740" t="n">
        <v>600</v>
      </c>
      <c r="I77" s="2679">
        <f>IFERROR(IF(H77&gt;0,E77*H77,""),"")</f>
        <v/>
      </c>
      <c r="J77" s="2614" t="n"/>
      <c r="K77" s="2680" t="n"/>
      <c r="L77" s="2681">
        <f>IFERROR(IF(U77="yes",+I77*6,I77),"")</f>
        <v/>
      </c>
      <c r="M77" s="2678" t="n"/>
      <c r="N77" s="1705" t="n"/>
      <c r="O77" s="1945" t="n"/>
      <c r="P77" s="1745">
        <f>IF(H77="","","µq wK 1 P‡µi?")</f>
        <v/>
      </c>
      <c r="Q77" s="2615" t="n"/>
      <c r="R77" s="2615" t="n"/>
      <c r="S77" s="2616" t="n"/>
      <c r="T77" s="1748" t="n"/>
      <c r="U77" s="1613" t="inlineStr">
        <is>
          <t>Yes</t>
        </is>
      </c>
      <c r="V77" s="445" t="n"/>
      <c r="W77" s="445" t="n"/>
      <c r="X77" s="445" t="n"/>
      <c r="Y77" s="445" t="n"/>
      <c r="Z77" s="64" t="n"/>
      <c r="AA77" s="64" t="n"/>
      <c r="AB77" s="1758" t="inlineStr">
        <is>
          <t>02</t>
        </is>
      </c>
      <c r="AC77" s="1749">
        <f>IF('Data Input'!F4="","",'Data Input'!F4)</f>
        <v/>
      </c>
      <c r="AD77" s="2682" t="n"/>
      <c r="AE77" s="2682" t="n"/>
      <c r="AF77" s="2682" t="n"/>
      <c r="AG77" s="2683" t="n"/>
      <c r="AH77" s="1751">
        <f>IF(+'Data Input'!H4="","",'Data Input'!H4)</f>
        <v/>
      </c>
      <c r="AI77" s="2684" t="n"/>
      <c r="AJ77" s="1740">
        <f>IF(+'Data Input'!G4="","",'Data Input'!G4)</f>
        <v/>
      </c>
      <c r="AK77" s="2685">
        <f>IFERROR(IF(AJ77&gt;0,AH77*AJ77/100000,""),"")</f>
        <v/>
      </c>
      <c r="AL77" s="2678" t="n"/>
      <c r="AM77" s="2685">
        <f>IFERROR(IF(AT77="yes",+AK77*6,AK77),"")</f>
        <v/>
      </c>
      <c r="AN77" s="2678" t="n"/>
      <c r="AO77" s="64" t="n"/>
      <c r="AP77" s="1754">
        <f>IF(AJ77="","","µq wK 1 P‡µi?")</f>
        <v/>
      </c>
      <c r="AQ77" s="2615" t="n"/>
      <c r="AR77" s="2615" t="n"/>
      <c r="AS77" s="2616" t="n"/>
      <c r="AT77" s="1731" t="inlineStr">
        <is>
          <t>Yes</t>
        </is>
      </c>
      <c r="AU77" s="64" t="n"/>
    </row>
    <row r="78" ht="18" customHeight="1">
      <c r="A78" s="262">
        <f>IF(E78="","",_xlfn.AGGREGATE(3,5,$E$76:E78))</f>
        <v/>
      </c>
      <c r="B78" s="2617" t="n"/>
      <c r="C78" s="1735" t="inlineStr">
        <is>
          <t>cvÄvexi Kvco µq</t>
        </is>
      </c>
      <c r="D78" s="2617" t="n"/>
      <c r="E78" s="2686" t="n">
        <v>2000</v>
      </c>
      <c r="F78" s="2682" t="n"/>
      <c r="G78" s="2683" t="n"/>
      <c r="H78" s="1740" t="n">
        <v>400</v>
      </c>
      <c r="I78" s="2679">
        <f>IFERROR(IF(H78&gt;0,E78*H78,""),"")</f>
        <v/>
      </c>
      <c r="J78" s="2614" t="n"/>
      <c r="K78" s="2680" t="n"/>
      <c r="L78" s="2681">
        <f>IFERROR(IF(U78="yes",+I78*6,I78),"")</f>
        <v/>
      </c>
      <c r="M78" s="2678" t="n"/>
      <c r="N78" s="1705" t="n"/>
      <c r="O78" s="1945" t="n"/>
      <c r="P78" s="1745">
        <f>IF(H78="","","µq wK 1 P‡µi?")</f>
        <v/>
      </c>
      <c r="Q78" s="2615" t="n"/>
      <c r="R78" s="2615" t="n"/>
      <c r="S78" s="2616" t="n"/>
      <c r="T78" s="1748" t="n"/>
      <c r="U78" s="1613" t="inlineStr">
        <is>
          <t>Yes</t>
        </is>
      </c>
      <c r="V78" s="445" t="n"/>
      <c r="W78" s="445" t="n"/>
      <c r="X78" s="445" t="n"/>
      <c r="Y78" s="445" t="n"/>
      <c r="Z78" s="64" t="n"/>
      <c r="AA78" s="64" t="n"/>
      <c r="AB78" s="1758" t="inlineStr">
        <is>
          <t>03</t>
        </is>
      </c>
      <c r="AC78" s="1749">
        <f>IF('Data Input'!F5="","",'Data Input'!F5)</f>
        <v/>
      </c>
      <c r="AD78" s="2682" t="n"/>
      <c r="AE78" s="2682" t="n"/>
      <c r="AF78" s="2682" t="n"/>
      <c r="AG78" s="2683" t="n"/>
      <c r="AH78" s="1751">
        <f>IF(+'Data Input'!H5="","",'Data Input'!H5)</f>
        <v/>
      </c>
      <c r="AI78" s="2684" t="n"/>
      <c r="AJ78" s="1740">
        <f>IF(+'Data Input'!G5="","",'Data Input'!G5)</f>
        <v/>
      </c>
      <c r="AK78" s="2685">
        <f>IFERROR(IF(AJ78&gt;0,AH78*AJ78/100000,""),"")</f>
        <v/>
      </c>
      <c r="AL78" s="2678" t="n"/>
      <c r="AM78" s="2685">
        <f>IFERROR(IF(AT78="yes",+AK78*6,AK78),"")</f>
        <v/>
      </c>
      <c r="AN78" s="2678" t="n"/>
      <c r="AO78" s="64" t="n"/>
      <c r="AP78" s="1754">
        <f>IF(AJ78="","","µq wK 1 P‡µi?")</f>
        <v/>
      </c>
      <c r="AQ78" s="2615" t="n"/>
      <c r="AR78" s="2615" t="n"/>
      <c r="AS78" s="2616" t="n"/>
      <c r="AT78" s="1731" t="inlineStr">
        <is>
          <t>Yes</t>
        </is>
      </c>
      <c r="AU78" s="64" t="n"/>
    </row>
    <row r="79" ht="18" customHeight="1">
      <c r="A79" s="262">
        <f>IF(E79="","",_xlfn.AGGREGATE(3,5,$E$76:E79))</f>
        <v/>
      </c>
      <c r="B79" s="2617" t="n"/>
      <c r="C79" s="1735" t="inlineStr">
        <is>
          <t>cvqRvgvi Kvco µq</t>
        </is>
      </c>
      <c r="D79" s="2617" t="n"/>
      <c r="E79" s="2686" t="n">
        <v>2000</v>
      </c>
      <c r="F79" s="2682" t="n"/>
      <c r="G79" s="2683" t="n"/>
      <c r="H79" s="1740" t="n">
        <v>300</v>
      </c>
      <c r="I79" s="2679">
        <f>IFERROR(IF(H79&gt;0,E79*H79,""),"")</f>
        <v/>
      </c>
      <c r="J79" s="2614" t="n"/>
      <c r="K79" s="2680" t="n"/>
      <c r="L79" s="2681">
        <f>IFERROR(IF(U79="yes",+I79*6,I79),"")</f>
        <v/>
      </c>
      <c r="M79" s="2678" t="n"/>
      <c r="N79" s="1705" t="n"/>
      <c r="O79" s="1945" t="n"/>
      <c r="P79" s="1745">
        <f>IF(H79="","","µq wK 1 P‡µi?")</f>
        <v/>
      </c>
      <c r="Q79" s="2615" t="n"/>
      <c r="R79" s="2615" t="n"/>
      <c r="S79" s="2616" t="n"/>
      <c r="T79" s="1748" t="n"/>
      <c r="U79" s="1613" t="inlineStr">
        <is>
          <t>Yes</t>
        </is>
      </c>
      <c r="V79" s="445" t="n"/>
      <c r="W79" s="445" t="n"/>
      <c r="X79" s="445" t="n"/>
      <c r="Y79" s="445" t="n"/>
      <c r="Z79" s="64" t="n"/>
      <c r="AA79" s="64" t="n"/>
      <c r="AB79" s="1758" t="inlineStr">
        <is>
          <t>04</t>
        </is>
      </c>
      <c r="AC79" s="1749">
        <f>IF('Data Input'!F8="","",'Data Input'!F8)</f>
        <v/>
      </c>
      <c r="AD79" s="2682" t="n"/>
      <c r="AE79" s="2682" t="n"/>
      <c r="AF79" s="2682" t="n"/>
      <c r="AG79" s="2683" t="n"/>
      <c r="AH79" s="1751">
        <f>IF(+'Data Input'!H8="","",'Data Input'!H8)</f>
        <v/>
      </c>
      <c r="AI79" s="2684" t="n"/>
      <c r="AJ79" s="1740">
        <f>IF(+'Data Input'!G8="","",'Data Input'!G8)</f>
        <v/>
      </c>
      <c r="AK79" s="2685">
        <f>IFERROR(IF(AJ79&gt;0,AH79*AJ79/100000,""),"")</f>
        <v/>
      </c>
      <c r="AL79" s="2678" t="n"/>
      <c r="AM79" s="2685">
        <f>IFERROR(IF(AT79="yes",+AK79*6,AK79),"")</f>
        <v/>
      </c>
      <c r="AN79" s="2678" t="n"/>
      <c r="AO79" s="64" t="n"/>
      <c r="AP79" s="1754">
        <f>IF(AJ79="","","µq wK 1 P‡µi?")</f>
        <v/>
      </c>
      <c r="AQ79" s="2615" t="n"/>
      <c r="AR79" s="2615" t="n"/>
      <c r="AS79" s="2616" t="n"/>
      <c r="AT79" s="1731" t="inlineStr">
        <is>
          <t>Yes</t>
        </is>
      </c>
      <c r="AU79" s="64" t="n"/>
    </row>
    <row r="80" ht="18" customHeight="1">
      <c r="A80" s="1740" t="inlineStr">
        <is>
          <t>Dc‡gvU</t>
        </is>
      </c>
      <c r="B80" s="2687" t="n"/>
      <c r="C80" s="2687" t="n"/>
      <c r="D80" s="2687" t="n"/>
      <c r="E80" s="2687" t="n"/>
      <c r="F80" s="2687" t="n"/>
      <c r="G80" s="2687" t="n"/>
      <c r="H80" s="2684" t="n"/>
      <c r="I80" s="1763">
        <f>SUM(I76:J79)</f>
        <v/>
      </c>
      <c r="J80" s="2682" t="n"/>
      <c r="K80" s="2688" t="n"/>
      <c r="L80" s="1763">
        <f>SUM(L76:M79)</f>
        <v/>
      </c>
      <c r="M80" s="2688" t="n"/>
      <c r="N80" s="1705" t="n"/>
      <c r="O80" s="1945" t="n"/>
      <c r="P80" s="1767">
        <f>H53*100000-I80</f>
        <v/>
      </c>
      <c r="T80" s="663" t="n"/>
      <c r="U80" s="308" t="n"/>
      <c r="V80" s="64" t="n"/>
      <c r="W80" s="64" t="n"/>
      <c r="X80" s="64" t="n"/>
      <c r="Y80" s="64" t="n"/>
      <c r="Z80" s="64" t="n"/>
      <c r="AA80" s="64" t="n"/>
      <c r="AB80" s="1711" t="inlineStr">
        <is>
          <t>L) cwiPvjb e¨q t-</t>
        </is>
      </c>
      <c r="AC80" s="2615" t="n"/>
      <c r="AD80" s="2615" t="n"/>
      <c r="AE80" s="2615" t="n"/>
      <c r="AF80" s="2615" t="n"/>
      <c r="AG80" s="2615" t="n"/>
      <c r="AH80" s="2615" t="n"/>
      <c r="AI80" s="2615" t="n"/>
      <c r="AJ80" s="2615" t="n"/>
      <c r="AK80" s="2615" t="n"/>
      <c r="AL80" s="2615" t="n"/>
      <c r="AM80" s="2615" t="n"/>
      <c r="AN80" s="2616" t="n"/>
      <c r="AO80" s="64" t="n"/>
      <c r="AP80" s="64" t="n"/>
      <c r="AQ80" s="64" t="n"/>
      <c r="AR80" s="64" t="n"/>
      <c r="AS80" s="64" t="n"/>
      <c r="AT80" s="663" t="n"/>
      <c r="AU80" s="64" t="n"/>
    </row>
    <row r="81" ht="18" customHeight="1">
      <c r="A81" s="224" t="n"/>
      <c r="B81" s="222" t="n"/>
      <c r="C81" s="222" t="n"/>
      <c r="D81" s="222" t="n"/>
      <c r="E81" s="301" t="n"/>
      <c r="F81" s="301" t="n"/>
      <c r="G81" s="222" t="n"/>
      <c r="H81" s="224" t="n"/>
      <c r="I81" s="301" t="n"/>
      <c r="J81" s="301" t="n"/>
      <c r="K81" s="301" t="n"/>
      <c r="L81" s="301" t="n"/>
      <c r="M81" s="222" t="n"/>
      <c r="N81" s="1705" t="n"/>
      <c r="O81" s="1945" t="n"/>
      <c r="P81" s="1767" t="n"/>
      <c r="Q81" s="1768" t="n"/>
      <c r="R81" s="1769" t="n"/>
      <c r="S81" s="1769" t="n"/>
      <c r="T81" s="663" t="n"/>
      <c r="U81" s="308" t="n"/>
      <c r="V81" s="64" t="n"/>
      <c r="W81" s="64" t="n"/>
      <c r="X81" s="64" t="n"/>
      <c r="Y81" s="64" t="n"/>
      <c r="Z81" s="64" t="n"/>
      <c r="AA81" s="64" t="n"/>
      <c r="AB81" s="1711" t="n"/>
      <c r="AC81" s="1712" t="n"/>
      <c r="AD81" s="1712" t="n"/>
      <c r="AE81" s="1712" t="n"/>
      <c r="AF81" s="1712" t="n"/>
      <c r="AG81" s="1713" t="n"/>
      <c r="AH81" s="1712" t="n"/>
      <c r="AI81" s="1712" t="n"/>
      <c r="AJ81" s="1714" t="n"/>
      <c r="AK81" s="1713" t="n"/>
      <c r="AL81" s="1714" t="n"/>
      <c r="AM81" s="1713" t="n"/>
      <c r="AN81" s="1712" t="n"/>
      <c r="AO81" s="64" t="n"/>
      <c r="AP81" s="64" t="n"/>
      <c r="AQ81" s="64" t="n"/>
      <c r="AR81" s="64" t="n"/>
      <c r="AS81" s="64" t="n"/>
      <c r="AT81" s="663" t="n"/>
      <c r="AU81" s="64" t="n"/>
    </row>
    <row r="82" ht="13.5" customHeight="1">
      <c r="A82" s="224" t="n"/>
      <c r="B82" s="222" t="n"/>
      <c r="C82" s="222" t="n"/>
      <c r="D82" s="222" t="n"/>
      <c r="E82" s="301" t="n"/>
      <c r="F82" s="301" t="n"/>
      <c r="G82" s="222" t="n"/>
      <c r="H82" s="224" t="n"/>
      <c r="I82" s="301" t="n"/>
      <c r="J82" s="301" t="n"/>
      <c r="K82" s="301" t="n"/>
      <c r="L82" s="301" t="n"/>
      <c r="M82" s="222" t="n"/>
      <c r="N82" s="1705" t="n"/>
      <c r="O82" s="1770" t="n"/>
      <c r="P82" s="136" t="n"/>
      <c r="Q82" s="308" t="n"/>
      <c r="R82" s="64" t="n"/>
      <c r="S82" s="64" t="n"/>
      <c r="T82" s="663" t="n"/>
      <c r="U82" s="308" t="n"/>
      <c r="V82" s="64" t="n"/>
      <c r="W82" s="64" t="n"/>
      <c r="X82" s="64" t="n"/>
      <c r="Y82" s="64" t="n"/>
      <c r="Z82" s="64" t="n"/>
      <c r="AA82" s="64" t="n"/>
      <c r="AB82" s="723" t="n">
        <v>1</v>
      </c>
      <c r="AC82" s="1735" t="inlineStr">
        <is>
          <t>cwienb e¨q</t>
        </is>
      </c>
      <c r="AD82" s="2614" t="n"/>
      <c r="AE82" s="2614" t="n"/>
      <c r="AF82" s="2614" t="n"/>
      <c r="AG82" s="2614" t="n"/>
      <c r="AH82" s="2614" t="n"/>
      <c r="AI82" s="2614" t="n"/>
      <c r="AJ82" s="2617" t="n"/>
      <c r="AK82" s="1924" t="n"/>
      <c r="AL82" s="2617" t="n"/>
      <c r="AM82" s="1924">
        <f>IFERROR(+AK82*6,"")</f>
        <v/>
      </c>
      <c r="AN82" s="2617" t="n"/>
      <c r="AO82" s="64" t="n"/>
      <c r="AP82" s="64" t="n"/>
      <c r="AQ82" s="64" t="n"/>
      <c r="AR82" s="64" t="n"/>
      <c r="AS82" s="64" t="n"/>
      <c r="AT82" s="663" t="n"/>
      <c r="AU82" s="64" t="n"/>
    </row>
    <row r="83" ht="18" customHeight="1">
      <c r="A83" s="1775" t="inlineStr">
        <is>
          <t>20| bM` cuywR Fb Pvwn`vi cÖv°jb (60 w`b P‡µ) t</t>
        </is>
      </c>
      <c r="B83" s="2615" t="n"/>
      <c r="C83" s="2615" t="n"/>
      <c r="D83" s="2615" t="n"/>
      <c r="E83" s="2615" t="n"/>
      <c r="F83" s="2615" t="n"/>
      <c r="G83" s="2615" t="n"/>
      <c r="H83" s="2615" t="n"/>
      <c r="I83" s="2615" t="n"/>
      <c r="J83" s="2615" t="n"/>
      <c r="K83" s="2615" t="n"/>
      <c r="L83" s="2615" t="n"/>
      <c r="M83" s="2616" t="n"/>
      <c r="N83" s="1705" t="n"/>
      <c r="O83" s="1770" t="n"/>
      <c r="P83" s="136" t="n"/>
      <c r="Q83" s="308" t="n"/>
      <c r="R83" s="64" t="n"/>
      <c r="S83" s="64" t="n"/>
      <c r="T83" s="663" t="n"/>
      <c r="U83" s="308" t="n"/>
      <c r="V83" s="64" t="n"/>
      <c r="W83" s="64" t="n"/>
      <c r="X83" s="64" t="n"/>
      <c r="Y83" s="64" t="n"/>
      <c r="Z83" s="64" t="n"/>
      <c r="AA83" s="64" t="n"/>
      <c r="AB83" s="723" t="n">
        <v>2</v>
      </c>
      <c r="AC83" s="1735" t="inlineStr">
        <is>
          <t>kÖwgK e¨q</t>
        </is>
      </c>
      <c r="AD83" s="2614" t="n"/>
      <c r="AE83" s="2614" t="n"/>
      <c r="AF83" s="2614" t="n"/>
      <c r="AG83" s="2614" t="n"/>
      <c r="AH83" s="2614" t="n"/>
      <c r="AI83" s="2614" t="n"/>
      <c r="AJ83" s="2617" t="n"/>
      <c r="AK83" s="1924" t="n">
        <v>0.12</v>
      </c>
      <c r="AL83" s="2617" t="n"/>
      <c r="AM83" s="1924">
        <f>IFERROR(+AK83*6,"")</f>
        <v/>
      </c>
      <c r="AN83" s="2617" t="n"/>
      <c r="AO83" s="64" t="n"/>
      <c r="AP83" s="64" t="n"/>
      <c r="AQ83" s="64" t="n"/>
      <c r="AR83" s="64" t="n"/>
      <c r="AS83" s="64" t="n"/>
      <c r="AT83" s="663" t="n"/>
      <c r="AU83" s="64" t="n"/>
    </row>
    <row r="84" ht="18" customHeight="1">
      <c r="A84" s="224" t="n"/>
      <c r="B84" s="222" t="n"/>
      <c r="C84" s="1778" t="n"/>
      <c r="D84" s="1778" t="n"/>
      <c r="E84" s="1779" t="n"/>
      <c r="F84" s="1779" t="n"/>
      <c r="G84" s="1778" t="n"/>
      <c r="H84" s="1780" t="n"/>
      <c r="I84" s="1779" t="n"/>
      <c r="J84" s="1779" t="n"/>
      <c r="K84" s="1779" t="n"/>
      <c r="L84" s="1779" t="n"/>
      <c r="M84" s="1778" t="n"/>
      <c r="N84" s="1705" t="n"/>
      <c r="O84" s="1770" t="n"/>
      <c r="P84" s="136" t="n"/>
      <c r="Q84" s="308" t="n"/>
      <c r="R84" s="64" t="n"/>
      <c r="S84" s="64" t="n"/>
      <c r="T84" s="663" t="n"/>
      <c r="U84" s="308" t="n"/>
      <c r="V84" s="64" t="n"/>
      <c r="W84" s="64" t="n"/>
      <c r="X84" s="64" t="n"/>
      <c r="Y84" s="64" t="n"/>
      <c r="Z84" s="64" t="n"/>
      <c r="AA84" s="64" t="n"/>
      <c r="AB84" s="723" t="n">
        <v>3</v>
      </c>
      <c r="AC84" s="1735" t="inlineStr">
        <is>
          <t>‰e`¨ywZK wej</t>
        </is>
      </c>
      <c r="AD84" s="2614" t="n"/>
      <c r="AE84" s="2614" t="n"/>
      <c r="AF84" s="2614" t="n"/>
      <c r="AG84" s="2614" t="n"/>
      <c r="AH84" s="2614" t="n"/>
      <c r="AI84" s="2614" t="n"/>
      <c r="AJ84" s="2617" t="n"/>
      <c r="AK84" s="1924" t="n">
        <v>0.02</v>
      </c>
      <c r="AL84" s="2617" t="n"/>
      <c r="AM84" s="1924">
        <f>IFERROR(+AK84*6,"")</f>
        <v/>
      </c>
      <c r="AN84" s="2617" t="n"/>
      <c r="AO84" s="64" t="n"/>
      <c r="AP84" s="64" t="n"/>
      <c r="AQ84" s="64" t="n"/>
      <c r="AR84" s="64" t="n"/>
      <c r="AS84" s="64" t="n"/>
      <c r="AT84" s="663" t="n"/>
      <c r="AU84" s="64" t="n"/>
    </row>
    <row r="85" ht="18" customHeight="1">
      <c r="A85" s="1781" t="inlineStr">
        <is>
          <t>µt bs</t>
        </is>
      </c>
      <c r="B85" s="2658" t="n"/>
      <c r="C85" s="1725" t="inlineStr">
        <is>
          <t>weeiY</t>
        </is>
      </c>
      <c r="D85" s="2614" t="n"/>
      <c r="E85" s="2617" t="n"/>
      <c r="F85" s="1782" t="inlineStr">
        <is>
          <t>UvBW Avc wcwiqW</t>
        </is>
      </c>
      <c r="G85" s="2614" t="n"/>
      <c r="H85" s="2614" t="n"/>
      <c r="I85" s="2658" t="n"/>
      <c r="J85" s="1726" t="inlineStr">
        <is>
          <t>Pvwn`v (UvKvq)</t>
        </is>
      </c>
      <c r="K85" s="2614" t="n"/>
      <c r="L85" s="2614" t="n"/>
      <c r="M85" s="2658" t="n"/>
      <c r="N85" s="1705" t="n"/>
      <c r="O85" s="1770" t="n"/>
      <c r="P85" s="136" t="n"/>
      <c r="Q85" s="308" t="n"/>
      <c r="R85" s="64" t="n"/>
      <c r="S85" s="64" t="n"/>
      <c r="T85" s="663" t="n"/>
      <c r="U85" s="308" t="n"/>
      <c r="V85" s="64" t="n"/>
      <c r="W85" s="64" t="n"/>
      <c r="X85" s="64" t="n"/>
      <c r="Y85" s="64" t="n"/>
      <c r="Z85" s="64" t="n"/>
      <c r="AA85" s="64" t="n"/>
      <c r="AB85" s="723" t="n">
        <v>4</v>
      </c>
      <c r="AC85" s="1735" t="inlineStr">
        <is>
          <t>‰bk¨Kvjxb cÖnix</t>
        </is>
      </c>
      <c r="AD85" s="2614" t="n"/>
      <c r="AE85" s="2614" t="n"/>
      <c r="AF85" s="2614" t="n"/>
      <c r="AG85" s="2614" t="n"/>
      <c r="AH85" s="2614" t="n"/>
      <c r="AI85" s="2614" t="n"/>
      <c r="AJ85" s="2617" t="n"/>
      <c r="AK85" s="1924" t="n">
        <v>0.02</v>
      </c>
      <c r="AL85" s="2617" t="n"/>
      <c r="AM85" s="1924">
        <f>IFERROR(+AK85*6,"")</f>
        <v/>
      </c>
      <c r="AN85" s="2617" t="n"/>
      <c r="AO85" s="64" t="n"/>
      <c r="AP85" s="64" t="n"/>
      <c r="AQ85" s="64" t="n"/>
      <c r="AR85" s="64" t="n"/>
      <c r="AS85" s="64" t="n"/>
      <c r="AT85" s="663" t="n"/>
      <c r="AU85" s="64" t="n"/>
    </row>
    <row r="86" ht="18" customHeight="1">
      <c r="A86" s="511" t="inlineStr">
        <is>
          <t>01</t>
        </is>
      </c>
      <c r="B86" s="2617" t="n"/>
      <c r="C86" s="1786" t="inlineStr">
        <is>
          <t>cY¨ µq</t>
        </is>
      </c>
      <c r="D86" s="2614" t="n"/>
      <c r="E86" s="2617" t="n"/>
      <c r="F86" s="1788" t="inlineStr">
        <is>
          <t>30 w`b</t>
        </is>
      </c>
      <c r="G86" s="2614" t="n"/>
      <c r="H86" s="2614" t="n"/>
      <c r="I86" s="2658" t="n"/>
      <c r="J86" s="1792" t="n">
        <v>6800000</v>
      </c>
      <c r="K86" s="2614" t="n"/>
      <c r="L86" s="2614" t="n"/>
      <c r="M86" s="2658" t="n"/>
      <c r="N86" s="1705" t="n"/>
      <c r="O86" s="1770" t="n"/>
      <c r="P86" s="136" t="n"/>
      <c r="Q86" s="308" t="n"/>
      <c r="R86" s="64" t="n"/>
      <c r="S86" s="64" t="n"/>
      <c r="T86" s="663" t="n"/>
      <c r="U86" s="308" t="n"/>
      <c r="V86" s="64" t="n"/>
      <c r="W86" s="64" t="n"/>
      <c r="X86" s="64" t="n"/>
      <c r="Y86" s="64" t="n"/>
      <c r="Z86" s="64" t="n"/>
      <c r="AA86" s="64" t="n"/>
      <c r="AB86" s="723" t="n">
        <v>5</v>
      </c>
      <c r="AC86" s="1735" t="inlineStr">
        <is>
          <t>‡eZb fvZvw`</t>
        </is>
      </c>
      <c r="AD86" s="2614" t="n"/>
      <c r="AE86" s="2614" t="n"/>
      <c r="AF86" s="2614" t="n"/>
      <c r="AG86" s="2614" t="n"/>
      <c r="AH86" s="2614" t="n"/>
      <c r="AI86" s="2614" t="n"/>
      <c r="AJ86" s="2617" t="n"/>
      <c r="AK86" s="1924" t="n">
        <v>0.12</v>
      </c>
      <c r="AL86" s="2617" t="n"/>
      <c r="AM86" s="1924">
        <f>IFERROR(+AK86*6,"")</f>
        <v/>
      </c>
      <c r="AN86" s="2617" t="n"/>
      <c r="AO86" s="64" t="n"/>
      <c r="AP86" s="64" t="n"/>
      <c r="AQ86" s="64" t="n"/>
      <c r="AR86" s="64" t="n"/>
      <c r="AS86" s="64" t="n"/>
      <c r="AT86" s="663" t="n"/>
      <c r="AU86" s="64" t="n"/>
    </row>
    <row r="87" ht="18" customHeight="1">
      <c r="A87" s="511" t="inlineStr">
        <is>
          <t>02</t>
        </is>
      </c>
      <c r="B87" s="2617" t="n"/>
      <c r="C87" s="1786" t="inlineStr">
        <is>
          <t>cY¨ gRy`</t>
        </is>
      </c>
      <c r="D87" s="2614" t="n"/>
      <c r="E87" s="2617" t="n"/>
      <c r="F87" s="1788" t="inlineStr">
        <is>
          <t>15 w`b</t>
        </is>
      </c>
      <c r="G87" s="2614" t="n"/>
      <c r="H87" s="2614" t="n"/>
      <c r="I87" s="2658" t="n"/>
      <c r="J87" s="1792" t="n">
        <v>3200000</v>
      </c>
      <c r="K87" s="2614" t="n"/>
      <c r="L87" s="2614" t="n"/>
      <c r="M87" s="2658" t="n"/>
      <c r="N87" s="1705" t="n"/>
      <c r="O87" s="1770" t="n"/>
      <c r="P87" s="136" t="n"/>
      <c r="Q87" s="308" t="n"/>
      <c r="R87" s="64" t="n"/>
      <c r="S87" s="64" t="n"/>
      <c r="T87" s="663" t="n"/>
      <c r="U87" s="308" t="n"/>
      <c r="V87" s="64" t="n"/>
      <c r="W87" s="64" t="n"/>
      <c r="X87" s="64" t="n"/>
      <c r="Y87" s="64" t="n"/>
      <c r="Z87" s="64" t="n"/>
      <c r="AA87" s="64" t="n"/>
      <c r="AB87" s="723" t="n">
        <v>6</v>
      </c>
      <c r="AC87" s="1735" t="inlineStr">
        <is>
          <t>wewea (fvov, cvwb, cwiQbœZv, Avc¨vqb BZ¨vw`)</t>
        </is>
      </c>
      <c r="AD87" s="2614" t="n"/>
      <c r="AE87" s="2614" t="n"/>
      <c r="AF87" s="2614" t="n"/>
      <c r="AG87" s="2614" t="n"/>
      <c r="AH87" s="2614" t="n"/>
      <c r="AI87" s="2614" t="n"/>
      <c r="AJ87" s="2617" t="n"/>
      <c r="AK87" s="1924" t="n">
        <v>0.12</v>
      </c>
      <c r="AL87" s="2617" t="n"/>
      <c r="AM87" s="1924">
        <f>IFERROR(+AK87*6,"")</f>
        <v/>
      </c>
      <c r="AN87" s="2617" t="n"/>
      <c r="AO87" s="64" t="n"/>
      <c r="AP87" s="64" t="n"/>
      <c r="AQ87" s="64" t="n"/>
      <c r="AR87" s="64" t="n"/>
      <c r="AS87" s="64" t="n"/>
      <c r="AT87" s="663" t="n"/>
      <c r="AU87" s="64" t="n"/>
    </row>
    <row r="88" ht="18" customHeight="1">
      <c r="A88" s="511" t="inlineStr">
        <is>
          <t>03</t>
        </is>
      </c>
      <c r="B88" s="2617" t="n"/>
      <c r="C88" s="1786" t="inlineStr">
        <is>
          <t>evKx‡Z weµq</t>
        </is>
      </c>
      <c r="D88" s="2614" t="n"/>
      <c r="E88" s="2617" t="n"/>
      <c r="F88" s="1788" t="inlineStr">
        <is>
          <t>15 w`b</t>
        </is>
      </c>
      <c r="G88" s="2614" t="n"/>
      <c r="H88" s="2614" t="n"/>
      <c r="I88" s="2658" t="n"/>
      <c r="J88" s="1790" t="n">
        <v>1500000</v>
      </c>
      <c r="K88" s="2614" t="n"/>
      <c r="L88" s="2614" t="n"/>
      <c r="M88" s="2658" t="n"/>
      <c r="N88" s="1705" t="n"/>
      <c r="O88" s="1770" t="n"/>
      <c r="P88" s="136" t="n"/>
      <c r="Q88" s="308" t="n"/>
      <c r="R88" s="64" t="n"/>
      <c r="S88" s="64" t="n"/>
      <c r="T88" s="663" t="n"/>
      <c r="U88" s="308" t="n"/>
      <c r="V88" s="64" t="n"/>
      <c r="W88" s="64" t="n"/>
      <c r="X88" s="64" t="n"/>
      <c r="Y88" s="64" t="n"/>
      <c r="Z88" s="64" t="n"/>
      <c r="AA88" s="64" t="n"/>
      <c r="AB88" s="511" t="inlineStr">
        <is>
          <t>Dc-‡gvU=</t>
        </is>
      </c>
      <c r="AC88" s="2614" t="n"/>
      <c r="AD88" s="2614" t="n"/>
      <c r="AE88" s="2614" t="n"/>
      <c r="AF88" s="2614" t="n"/>
      <c r="AG88" s="2614" t="n"/>
      <c r="AH88" s="2614" t="n"/>
      <c r="AI88" s="2614" t="n"/>
      <c r="AJ88" s="2617" t="n"/>
      <c r="AK88" s="1797">
        <f>SUM(AK82:AL87)</f>
        <v/>
      </c>
      <c r="AL88" s="2658" t="n"/>
      <c r="AM88" s="1797">
        <f>SUM(AM82:AN87)</f>
        <v/>
      </c>
      <c r="AN88" s="2658" t="n"/>
      <c r="AO88" s="64" t="n"/>
      <c r="AP88" s="64" t="n"/>
      <c r="AQ88" s="64" t="n"/>
      <c r="AR88" s="64" t="n"/>
      <c r="AS88" s="64" t="n"/>
      <c r="AT88" s="663" t="n"/>
      <c r="AU88" s="64" t="n"/>
    </row>
    <row r="89" ht="18" customHeight="1">
      <c r="A89" s="511" t="inlineStr">
        <is>
          <t>04</t>
        </is>
      </c>
      <c r="B89" s="2617" t="n"/>
      <c r="C89" s="1786" t="inlineStr">
        <is>
          <t>bM` A_©</t>
        </is>
      </c>
      <c r="D89" s="2614" t="n"/>
      <c r="E89" s="2617" t="n"/>
      <c r="F89" s="1788" t="inlineStr">
        <is>
          <t>30 w`b</t>
        </is>
      </c>
      <c r="G89" s="2614" t="n"/>
      <c r="H89" s="2614" t="n"/>
      <c r="I89" s="2658" t="n"/>
      <c r="J89" s="1790" t="n">
        <v>500000</v>
      </c>
      <c r="K89" s="2614" t="n"/>
      <c r="L89" s="2614" t="n"/>
      <c r="M89" s="2658" t="n"/>
      <c r="N89" s="1705" t="n"/>
      <c r="O89" s="1770" t="n"/>
      <c r="P89" s="136" t="n"/>
      <c r="Q89" s="308" t="n"/>
      <c r="R89" s="64" t="n"/>
      <c r="S89" s="64" t="n"/>
      <c r="T89" s="663" t="n"/>
      <c r="U89" s="308" t="n"/>
      <c r="V89" s="64" t="n"/>
      <c r="W89" s="64" t="n"/>
      <c r="X89" s="64" t="n"/>
      <c r="Y89" s="64" t="n"/>
      <c r="Z89" s="64" t="n"/>
      <c r="AA89" s="64" t="n"/>
      <c r="AB89" s="136" t="n"/>
      <c r="AC89" s="64" t="n"/>
      <c r="AD89" s="64" t="n"/>
      <c r="AE89" s="64" t="n"/>
      <c r="AF89" s="64" t="n"/>
      <c r="AG89" s="308" t="n"/>
      <c r="AH89" s="64" t="n"/>
      <c r="AI89" s="64" t="n"/>
      <c r="AJ89" s="663" t="n"/>
      <c r="AK89" s="308" t="n"/>
      <c r="AL89" s="663" t="n"/>
      <c r="AM89" s="308" t="n"/>
      <c r="AN89" s="64" t="n"/>
      <c r="AO89" s="64" t="n"/>
      <c r="AP89" s="64" t="n"/>
      <c r="AQ89" s="64" t="n"/>
      <c r="AR89" s="64" t="n"/>
      <c r="AS89" s="64" t="n"/>
      <c r="AT89" s="663" t="n"/>
      <c r="AU89" s="64" t="n"/>
    </row>
    <row r="90" ht="18" customHeight="1">
      <c r="A90" s="1792" t="inlineStr">
        <is>
          <t>Dc‡gvU</t>
        </is>
      </c>
      <c r="B90" s="2614" t="n"/>
      <c r="C90" s="2614" t="n"/>
      <c r="D90" s="2614" t="n"/>
      <c r="E90" s="2614" t="n"/>
      <c r="F90" s="2614" t="n"/>
      <c r="G90" s="2614" t="n"/>
      <c r="H90" s="2614" t="n"/>
      <c r="I90" s="2658" t="n"/>
      <c r="J90" s="1799">
        <f>J86+J87+J88+J89</f>
        <v/>
      </c>
      <c r="K90" s="2614" t="n"/>
      <c r="L90" s="2614" t="n"/>
      <c r="M90" s="2658" t="n"/>
      <c r="N90" s="1800" t="n"/>
      <c r="O90" s="1770" t="n"/>
      <c r="P90" s="1767">
        <f>I80-J90</f>
        <v/>
      </c>
      <c r="T90" s="1801" t="n"/>
      <c r="U90" s="308" t="n"/>
      <c r="V90" s="64" t="n"/>
      <c r="W90" s="64" t="n"/>
      <c r="X90" s="64" t="n"/>
      <c r="Y90" s="64" t="n"/>
      <c r="Z90" s="64" t="n"/>
      <c r="AA90" s="64" t="n"/>
      <c r="AB90" s="1711" t="inlineStr">
        <is>
          <t>M) cÖkvmwbK I wecbb e¨q t-</t>
        </is>
      </c>
      <c r="AC90" s="2615" t="n"/>
      <c r="AD90" s="2615" t="n"/>
      <c r="AE90" s="2615" t="n"/>
      <c r="AF90" s="2615" t="n"/>
      <c r="AG90" s="2615" t="n"/>
      <c r="AH90" s="2615" t="n"/>
      <c r="AI90" s="2615" t="n"/>
      <c r="AJ90" s="2615" t="n"/>
      <c r="AK90" s="2615" t="n"/>
      <c r="AL90" s="2615" t="n"/>
      <c r="AM90" s="2615" t="n"/>
      <c r="AN90" s="2616" t="n"/>
      <c r="AO90" s="64" t="n"/>
      <c r="AP90" s="64" t="n"/>
      <c r="AQ90" s="64" t="n"/>
      <c r="AR90" s="64" t="n"/>
      <c r="AS90" s="64" t="n"/>
      <c r="AT90" s="663" t="n"/>
      <c r="AU90" s="64" t="n"/>
    </row>
    <row r="91" ht="14.25" customHeight="1">
      <c r="A91" s="224" t="n"/>
      <c r="B91" s="222" t="n"/>
      <c r="C91" s="222" t="n"/>
      <c r="D91" s="222" t="n"/>
      <c r="E91" s="301" t="n"/>
      <c r="F91" s="301" t="n"/>
      <c r="G91" s="222" t="n"/>
      <c r="H91" s="224" t="n"/>
      <c r="I91" s="301" t="n"/>
      <c r="J91" s="301" t="n"/>
      <c r="K91" s="301" t="n"/>
      <c r="L91" s="301" t="n"/>
      <c r="M91" s="222" t="n"/>
      <c r="N91" s="1705" t="n"/>
      <c r="O91" s="1770" t="n"/>
      <c r="P91" s="136" t="n"/>
      <c r="Q91" s="308" t="n"/>
      <c r="R91" s="64" t="n"/>
      <c r="S91" s="64" t="n"/>
      <c r="T91" s="663" t="n"/>
      <c r="U91" s="308" t="n"/>
      <c r="V91" s="64" t="n"/>
      <c r="W91" s="64" t="n"/>
      <c r="X91" s="64" t="n"/>
      <c r="Y91" s="64" t="n"/>
      <c r="Z91" s="64" t="n"/>
      <c r="AA91" s="64" t="n"/>
      <c r="AB91" s="1724" t="inlineStr">
        <is>
          <t>µt bs</t>
        </is>
      </c>
      <c r="AC91" s="1725" t="inlineStr">
        <is>
          <t>weeiY</t>
        </is>
      </c>
      <c r="AD91" s="2614" t="n"/>
      <c r="AE91" s="2614" t="n"/>
      <c r="AF91" s="2614" t="n"/>
      <c r="AG91" s="2614" t="n"/>
      <c r="AH91" s="2614" t="n"/>
      <c r="AI91" s="2614" t="n"/>
      <c r="AJ91" s="2617" t="n"/>
      <c r="AK91" s="1728" t="inlineStr">
        <is>
          <t>60 w`‡bi e¨q</t>
        </is>
      </c>
      <c r="AL91" s="2658" t="n"/>
      <c r="AM91" s="1728" t="inlineStr">
        <is>
          <t>1 eQ‡ii e¨q</t>
        </is>
      </c>
      <c r="AN91" s="2658" t="n"/>
      <c r="AO91" s="445" t="n"/>
      <c r="AP91" s="445" t="n"/>
      <c r="AQ91" s="445" t="n"/>
      <c r="AR91" s="445" t="n"/>
      <c r="AS91" s="445" t="n"/>
      <c r="AT91" s="1731" t="n"/>
      <c r="AU91" s="445" t="n"/>
    </row>
    <row r="92" ht="10.5" customHeight="1">
      <c r="A92" s="224" t="n"/>
      <c r="B92" s="222" t="n"/>
      <c r="C92" s="222" t="n"/>
      <c r="D92" s="222" t="n"/>
      <c r="E92" s="301" t="n"/>
      <c r="F92" s="301" t="n"/>
      <c r="G92" s="222" t="n"/>
      <c r="H92" s="224" t="n"/>
      <c r="I92" s="301" t="n"/>
      <c r="J92" s="301" t="n"/>
      <c r="K92" s="301" t="n"/>
      <c r="L92" s="301" t="n"/>
      <c r="M92" s="222" t="n"/>
      <c r="N92" s="1705" t="n"/>
      <c r="O92" s="1770" t="n"/>
      <c r="P92" s="136" t="n"/>
      <c r="Q92" s="308" t="n"/>
      <c r="R92" s="64" t="n"/>
      <c r="S92" s="64" t="n"/>
      <c r="T92" s="663" t="n"/>
      <c r="U92" s="308" t="n"/>
      <c r="V92" s="64" t="n"/>
      <c r="W92" s="64" t="n"/>
      <c r="X92" s="64" t="n"/>
      <c r="Y92" s="64" t="n"/>
      <c r="Z92" s="64" t="n"/>
      <c r="AA92" s="64" t="n"/>
      <c r="AB92" s="723" t="n">
        <v>1</v>
      </c>
      <c r="AC92" s="1735" t="inlineStr">
        <is>
          <t>jvB‡mÝ I m`m¨ wd</t>
        </is>
      </c>
      <c r="AD92" s="2614" t="n"/>
      <c r="AE92" s="2614" t="n"/>
      <c r="AF92" s="2614" t="n"/>
      <c r="AG92" s="2614" t="n"/>
      <c r="AH92" s="2614" t="n"/>
      <c r="AI92" s="2614" t="n"/>
      <c r="AJ92" s="2617" t="n"/>
      <c r="AK92" s="1924" t="n">
        <v>0.01</v>
      </c>
      <c r="AL92" s="2617" t="n"/>
      <c r="AM92" s="1924">
        <f>+AK92*6</f>
        <v/>
      </c>
      <c r="AN92" s="2617" t="n"/>
      <c r="AO92" s="64" t="n"/>
      <c r="AP92" s="64" t="n"/>
      <c r="AQ92" s="64" t="n"/>
      <c r="AR92" s="64" t="n"/>
      <c r="AS92" s="64" t="n"/>
      <c r="AT92" s="663" t="n"/>
      <c r="AU92" s="64" t="n"/>
    </row>
    <row r="93" ht="18" customHeight="1">
      <c r="A93" s="1803" t="inlineStr">
        <is>
          <t xml:space="preserve">21| A_©vq‡bi Drm                                          </t>
        </is>
      </c>
      <c r="B93" s="2615" t="n"/>
      <c r="C93" s="2615" t="n"/>
      <c r="D93" s="2616" t="n"/>
      <c r="E93" s="1805" t="n"/>
      <c r="F93" s="1805" t="n"/>
      <c r="G93" s="1804" t="n"/>
      <c r="H93" s="1803" t="n"/>
      <c r="I93" s="1805" t="n"/>
      <c r="J93" s="1805" t="n"/>
      <c r="K93" s="1805" t="n"/>
      <c r="L93" s="1805" t="n"/>
      <c r="M93" s="1804" t="n"/>
      <c r="N93" s="1705" t="n"/>
      <c r="O93" s="1770" t="n"/>
      <c r="P93" s="136" t="n"/>
      <c r="Q93" s="308" t="n"/>
      <c r="R93" s="64" t="n"/>
      <c r="S93" s="64" t="n"/>
      <c r="T93" s="663" t="n"/>
      <c r="U93" s="308" t="n"/>
      <c r="V93" s="64" t="n"/>
      <c r="W93" s="64" t="n"/>
      <c r="X93" s="64" t="n"/>
      <c r="Y93" s="64" t="n"/>
      <c r="Z93" s="64" t="n"/>
      <c r="AA93" s="64" t="n"/>
      <c r="AB93" s="723" t="n">
        <v>3</v>
      </c>
      <c r="AC93" s="1735" t="inlineStr">
        <is>
          <t>hvZvqvZ LiP</t>
        </is>
      </c>
      <c r="AD93" s="2614" t="n"/>
      <c r="AE93" s="2614" t="n"/>
      <c r="AF93" s="2614" t="n"/>
      <c r="AG93" s="2614" t="n"/>
      <c r="AH93" s="2614" t="n"/>
      <c r="AI93" s="2614" t="n"/>
      <c r="AJ93" s="2617" t="n"/>
      <c r="AK93" s="1924" t="n">
        <v>0.02</v>
      </c>
      <c r="AL93" s="2617" t="n"/>
      <c r="AM93" s="1924">
        <f>+AK93*6</f>
        <v/>
      </c>
      <c r="AN93" s="2617" t="n"/>
      <c r="AO93" s="64" t="n"/>
      <c r="AP93" s="64" t="n"/>
      <c r="AQ93" s="64" t="n"/>
      <c r="AR93" s="64" t="n"/>
      <c r="AS93" s="64" t="n"/>
      <c r="AT93" s="663" t="n"/>
      <c r="AU93" s="64" t="n"/>
    </row>
    <row r="94" ht="18" customHeight="1">
      <c r="A94" s="1563" t="n"/>
      <c r="B94" s="63" t="n"/>
      <c r="C94" s="1964" t="inlineStr">
        <is>
          <t xml:space="preserve">(K) e¨vsK FY   </t>
        </is>
      </c>
      <c r="D94" s="1964" t="n"/>
      <c r="E94" s="1208">
        <f>H57/100</f>
        <v/>
      </c>
      <c r="G94" s="184" t="inlineStr">
        <is>
          <t>t</t>
        </is>
      </c>
      <c r="H94" s="1806">
        <f>L55</f>
        <v/>
      </c>
      <c r="I94" s="1651" t="inlineStr">
        <is>
          <t>jÿ</t>
        </is>
      </c>
      <c r="J94" s="1806" t="n"/>
      <c r="K94" s="1806" t="n"/>
      <c r="L94" s="1806" t="n"/>
      <c r="M94" s="1806" t="n"/>
      <c r="N94" s="1705" t="n"/>
      <c r="O94" s="1770" t="n"/>
      <c r="P94" s="136" t="n"/>
      <c r="Q94" s="308" t="n"/>
      <c r="R94" s="64" t="n"/>
      <c r="S94" s="64" t="n"/>
      <c r="T94" s="663" t="n"/>
      <c r="U94" s="308" t="n"/>
      <c r="V94" s="64" t="n"/>
      <c r="W94" s="64" t="n"/>
      <c r="X94" s="64" t="n"/>
      <c r="Y94" s="64" t="n"/>
      <c r="Z94" s="64" t="n"/>
      <c r="AA94" s="64" t="n"/>
      <c r="AB94" s="723" t="n">
        <v>4</v>
      </c>
      <c r="AC94" s="1735" t="inlineStr">
        <is>
          <t>gy`ªb I †÷kbvix</t>
        </is>
      </c>
      <c r="AD94" s="2614" t="n"/>
      <c r="AE94" s="2614" t="n"/>
      <c r="AF94" s="2614" t="n"/>
      <c r="AG94" s="2614" t="n"/>
      <c r="AH94" s="2614" t="n"/>
      <c r="AI94" s="2614" t="n"/>
      <c r="AJ94" s="2617" t="n"/>
      <c r="AK94" s="1924" t="n">
        <v>0.01</v>
      </c>
      <c r="AL94" s="2617" t="n"/>
      <c r="AM94" s="1924">
        <f>+AK94*6</f>
        <v/>
      </c>
      <c r="AN94" s="2617" t="n"/>
      <c r="AO94" s="64" t="n"/>
      <c r="AP94" s="64" t="n"/>
      <c r="AQ94" s="64" t="n"/>
      <c r="AR94" s="64" t="n"/>
      <c r="AS94" s="64" t="n"/>
      <c r="AT94" s="663" t="n"/>
      <c r="AU94" s="64" t="n"/>
    </row>
    <row r="95" ht="18" customHeight="1">
      <c r="A95" s="1563" t="n"/>
      <c r="B95" s="63" t="n"/>
      <c r="C95" s="1964" t="inlineStr">
        <is>
          <t xml:space="preserve">(L) D‡`¨v³vi gvwR©b </t>
        </is>
      </c>
      <c r="D95" s="1964" t="n"/>
      <c r="E95" s="1208">
        <f>L57/100</f>
        <v/>
      </c>
      <c r="G95" s="184" t="inlineStr">
        <is>
          <t>t</t>
        </is>
      </c>
      <c r="H95" s="1806">
        <f>L56</f>
        <v/>
      </c>
      <c r="I95" s="1651" t="inlineStr">
        <is>
          <t>jÿ</t>
        </is>
      </c>
      <c r="J95" s="1806" t="n"/>
      <c r="K95" s="1806" t="n"/>
      <c r="L95" s="1806" t="n"/>
      <c r="M95" s="1806" t="n"/>
      <c r="N95" s="1705" t="n"/>
      <c r="O95" s="1770" t="n"/>
      <c r="P95" s="136" t="n"/>
      <c r="Q95" s="308" t="n"/>
      <c r="R95" s="64" t="n"/>
      <c r="S95" s="64" t="n"/>
      <c r="T95" s="663" t="n"/>
      <c r="U95" s="308" t="n"/>
      <c r="V95" s="64" t="n"/>
      <c r="W95" s="64" t="n"/>
      <c r="X95" s="64" t="n"/>
      <c r="Y95" s="64" t="n"/>
      <c r="Z95" s="64" t="n"/>
      <c r="AA95" s="64" t="n"/>
      <c r="AB95" s="723" t="n">
        <v>5</v>
      </c>
      <c r="AC95" s="1735" t="inlineStr">
        <is>
          <t>Ab¨vb¨ LiP</t>
        </is>
      </c>
      <c r="AD95" s="2614" t="n"/>
      <c r="AE95" s="2614" t="n"/>
      <c r="AF95" s="2614" t="n"/>
      <c r="AG95" s="2614" t="n"/>
      <c r="AH95" s="2614" t="n"/>
      <c r="AI95" s="2614" t="n"/>
      <c r="AJ95" s="2617" t="n"/>
      <c r="AK95" s="1924" t="n">
        <v>0.01</v>
      </c>
      <c r="AL95" s="2617" t="n"/>
      <c r="AM95" s="1924">
        <f>+AK95*6</f>
        <v/>
      </c>
      <c r="AN95" s="2617" t="n"/>
      <c r="AO95" s="64" t="n"/>
      <c r="AP95" s="64" t="n"/>
      <c r="AQ95" s="64" t="n"/>
      <c r="AR95" s="64" t="n"/>
      <c r="AS95" s="64" t="n"/>
      <c r="AT95" s="663" t="n"/>
      <c r="AU95" s="64" t="n"/>
    </row>
    <row r="96" ht="18" customHeight="1">
      <c r="A96" s="1563" t="n"/>
      <c r="B96" s="63" t="n"/>
      <c r="C96" s="1964" t="inlineStr">
        <is>
          <t>(M) e¨vsK FY t BKzBwUi AbycvZ</t>
        </is>
      </c>
      <c r="G96" s="184" t="inlineStr">
        <is>
          <t>t</t>
        </is>
      </c>
      <c r="H96" s="1807">
        <f>H94/(H94+H95)*100</f>
        <v/>
      </c>
      <c r="I96" s="304" t="inlineStr">
        <is>
          <t>t</t>
        </is>
      </c>
      <c r="J96" s="1808">
        <f>H95/(H94+H95)*100</f>
        <v/>
      </c>
      <c r="K96" s="1809" t="n"/>
      <c r="L96" s="900" t="n"/>
      <c r="M96" s="900" t="n"/>
      <c r="N96" s="1705" t="n"/>
      <c r="O96" s="1770" t="n"/>
      <c r="P96" s="136" t="n"/>
      <c r="Q96" s="308" t="n"/>
      <c r="R96" s="64" t="n"/>
      <c r="S96" s="64" t="n"/>
      <c r="T96" s="663" t="n"/>
      <c r="U96" s="308" t="n"/>
      <c r="V96" s="64" t="n"/>
      <c r="W96" s="64" t="n"/>
      <c r="X96" s="64" t="n"/>
      <c r="Y96" s="64" t="n"/>
      <c r="Z96" s="64" t="n"/>
      <c r="AA96" s="64" t="n"/>
      <c r="AB96" s="511" t="inlineStr">
        <is>
          <t>Dc-‡gvU=</t>
        </is>
      </c>
      <c r="AC96" s="2614" t="n"/>
      <c r="AD96" s="2614" t="n"/>
      <c r="AE96" s="2614" t="n"/>
      <c r="AF96" s="2614" t="n"/>
      <c r="AG96" s="2614" t="n"/>
      <c r="AH96" s="2614" t="n"/>
      <c r="AI96" s="2614" t="n"/>
      <c r="AJ96" s="2617" t="n"/>
      <c r="AK96" s="1797">
        <f>SUM(AK92:AL95)</f>
        <v/>
      </c>
      <c r="AL96" s="2658" t="n"/>
      <c r="AM96" s="1797">
        <f>SUM(AM92:AN95)</f>
        <v/>
      </c>
      <c r="AN96" s="2658" t="n"/>
      <c r="AO96" s="64" t="n"/>
      <c r="AP96" s="64" t="n"/>
      <c r="AQ96" s="64" t="n"/>
      <c r="AR96" s="64" t="n"/>
      <c r="AS96" s="64" t="n"/>
      <c r="AT96" s="663" t="n"/>
      <c r="AU96" s="64" t="n"/>
    </row>
    <row r="97" ht="18" customHeight="1">
      <c r="A97" s="1563" t="n"/>
      <c r="B97" s="63" t="n"/>
      <c r="C97" s="295" t="inlineStr">
        <is>
          <t>(N) mgš^q Pµ</t>
        </is>
      </c>
      <c r="G97" s="184" t="inlineStr">
        <is>
          <t>t</t>
        </is>
      </c>
      <c r="H97" s="466" t="n">
        <v>60</v>
      </c>
      <c r="I97" s="1651" t="inlineStr">
        <is>
          <t>w`b</t>
        </is>
      </c>
      <c r="J97" s="1810" t="n"/>
      <c r="K97" s="1811" t="n"/>
      <c r="L97" s="1812" t="n"/>
      <c r="M97" s="1812" t="n"/>
      <c r="N97" s="1705" t="n"/>
      <c r="O97" s="1770" t="n"/>
      <c r="P97" s="136" t="n"/>
      <c r="Q97" s="308" t="n"/>
      <c r="R97" s="64" t="n"/>
      <c r="S97" s="64" t="n"/>
      <c r="T97" s="663" t="n"/>
      <c r="U97" s="308" t="n"/>
      <c r="V97" s="64" t="n"/>
      <c r="W97" s="64" t="n"/>
      <c r="X97" s="64" t="n"/>
      <c r="Y97" s="64" t="n"/>
      <c r="Z97" s="64" t="n"/>
      <c r="AA97" s="64" t="n"/>
      <c r="AB97" s="136" t="n"/>
      <c r="AC97" s="64" t="n"/>
      <c r="AD97" s="64" t="n"/>
      <c r="AE97" s="64" t="n"/>
      <c r="AF97" s="64" t="n"/>
      <c r="AG97" s="308" t="n"/>
      <c r="AH97" s="64" t="n"/>
      <c r="AI97" s="64" t="n"/>
      <c r="AJ97" s="663" t="n"/>
      <c r="AK97" s="308" t="n"/>
      <c r="AL97" s="663" t="n"/>
      <c r="AM97" s="308" t="n"/>
      <c r="AN97" s="64" t="n"/>
      <c r="AO97" s="64" t="n"/>
      <c r="AP97" s="64" t="n"/>
      <c r="AQ97" s="64" t="n"/>
      <c r="AR97" s="64" t="n"/>
      <c r="AS97" s="64" t="n"/>
      <c r="AT97" s="663" t="n"/>
      <c r="AU97" s="64" t="n"/>
    </row>
    <row r="98" ht="9.75" customHeight="1">
      <c r="A98" s="224" t="n"/>
      <c r="B98" s="222" t="n"/>
      <c r="C98" s="222" t="n"/>
      <c r="D98" s="222" t="n"/>
      <c r="E98" s="301" t="n"/>
      <c r="F98" s="301" t="n"/>
      <c r="G98" s="222" t="n"/>
      <c r="H98" s="224" t="n"/>
      <c r="I98" s="301" t="n"/>
      <c r="J98" s="301" t="n"/>
      <c r="K98" s="301" t="n"/>
      <c r="L98" s="301" t="n"/>
      <c r="M98" s="222" t="n"/>
      <c r="N98" s="1705" t="n"/>
      <c r="O98" s="1770" t="n"/>
      <c r="P98" s="136" t="n"/>
      <c r="Q98" s="308" t="n"/>
      <c r="R98" s="64" t="n"/>
      <c r="S98" s="64" t="n"/>
      <c r="T98" s="663" t="n"/>
      <c r="U98" s="308" t="n"/>
      <c r="V98" s="64" t="n"/>
      <c r="W98" s="64" t="n"/>
      <c r="X98" s="64" t="n"/>
      <c r="Y98" s="64" t="n"/>
      <c r="Z98" s="64" t="n"/>
      <c r="AA98" s="64" t="n"/>
      <c r="AB98" s="1813" t="inlineStr">
        <is>
          <t>N) Avw_©K e¨q t-</t>
        </is>
      </c>
      <c r="AC98" s="2689" t="n"/>
      <c r="AD98" s="2689" t="n"/>
      <c r="AE98" s="2689" t="n"/>
      <c r="AF98" s="2689" t="n"/>
      <c r="AG98" s="2689" t="n"/>
      <c r="AH98" s="2689" t="n"/>
      <c r="AI98" s="2689" t="n"/>
      <c r="AJ98" s="2689" t="n"/>
      <c r="AK98" s="2689" t="n"/>
      <c r="AL98" s="2689" t="n"/>
      <c r="AM98" s="2689" t="n"/>
      <c r="AN98" s="2670" t="n"/>
      <c r="AO98" s="64" t="n"/>
      <c r="AP98" s="64" t="n"/>
      <c r="AQ98" s="64" t="n"/>
      <c r="AR98" s="64" t="n"/>
      <c r="AS98" s="64" t="n"/>
      <c r="AT98" s="663" t="n"/>
      <c r="AU98" s="64" t="n"/>
    </row>
    <row r="99" ht="9.75" customHeight="1">
      <c r="A99" s="224" t="n"/>
      <c r="B99" s="222" t="n"/>
      <c r="C99" s="222" t="n"/>
      <c r="D99" s="222" t="n"/>
      <c r="E99" s="301" t="n"/>
      <c r="F99" s="301" t="n"/>
      <c r="G99" s="222" t="n"/>
      <c r="H99" s="224" t="n"/>
      <c r="I99" s="301" t="n"/>
      <c r="J99" s="301" t="n"/>
      <c r="K99" s="301" t="n"/>
      <c r="L99" s="301" t="n"/>
      <c r="M99" s="222" t="n"/>
      <c r="N99" s="1705" t="n"/>
      <c r="O99" s="1770" t="n"/>
      <c r="P99" s="136" t="n"/>
      <c r="Q99" s="308" t="n"/>
      <c r="R99" s="64" t="n"/>
      <c r="S99" s="64" t="n"/>
      <c r="T99" s="663" t="n"/>
      <c r="U99" s="308" t="n"/>
      <c r="V99" s="64" t="n"/>
      <c r="W99" s="64" t="n"/>
      <c r="X99" s="64" t="n"/>
      <c r="Y99" s="64" t="n"/>
      <c r="Z99" s="64" t="n"/>
      <c r="AA99" s="64" t="n"/>
      <c r="AB99" s="1724" t="inlineStr">
        <is>
          <t>µt bs</t>
        </is>
      </c>
      <c r="AC99" s="1839" t="inlineStr">
        <is>
          <t>weeiY</t>
        </is>
      </c>
      <c r="AD99" s="2614" t="n"/>
      <c r="AE99" s="2614" t="n"/>
      <c r="AF99" s="2614" t="n"/>
      <c r="AG99" s="2614" t="n"/>
      <c r="AH99" s="2614" t="n"/>
      <c r="AI99" s="2614" t="n"/>
      <c r="AJ99" s="2658" t="n"/>
      <c r="AK99" s="1728" t="inlineStr">
        <is>
          <t>60 w`‡bi e¨q</t>
        </is>
      </c>
      <c r="AL99" s="2658" t="n"/>
      <c r="AM99" s="1728" t="inlineStr">
        <is>
          <t>1 eQ‡ii e¨q</t>
        </is>
      </c>
      <c r="AN99" s="2658" t="n"/>
      <c r="AO99" s="445" t="n"/>
      <c r="AP99" s="445" t="n"/>
      <c r="AQ99" s="445" t="n"/>
      <c r="AR99" s="445" t="n"/>
      <c r="AS99" s="445" t="n"/>
      <c r="AT99" s="1731" t="n"/>
      <c r="AU99" s="445" t="n"/>
    </row>
    <row r="100" ht="18" customHeight="1">
      <c r="A100" s="224" t="n"/>
      <c r="B100" s="222" t="n"/>
      <c r="C100" s="222" t="n"/>
      <c r="D100" s="222" t="n"/>
      <c r="E100" s="301" t="n"/>
      <c r="F100" s="301" t="n"/>
      <c r="G100" s="222" t="n"/>
      <c r="H100" s="224" t="n"/>
      <c r="I100" s="301" t="n"/>
      <c r="J100" s="301" t="n"/>
      <c r="K100" s="301" t="n"/>
      <c r="L100" s="301" t="n"/>
      <c r="M100" s="222" t="n"/>
      <c r="N100" s="1705" t="n"/>
      <c r="O100" s="1770" t="n"/>
      <c r="P100" s="136" t="n"/>
      <c r="Q100" s="308" t="n"/>
      <c r="R100" s="64" t="n"/>
      <c r="S100" s="64" t="n"/>
      <c r="T100" s="663" t="n"/>
      <c r="U100" s="308" t="n"/>
      <c r="V100" s="64" t="n"/>
      <c r="W100" s="64" t="n"/>
      <c r="X100" s="64" t="n"/>
      <c r="Y100" s="64" t="n"/>
      <c r="Z100" s="64" t="n"/>
      <c r="AA100" s="64" t="n"/>
      <c r="AB100" s="1819" t="n"/>
      <c r="AC100" s="1839" t="n"/>
      <c r="AD100" s="1818" t="n"/>
      <c r="AE100" s="1818" t="n"/>
      <c r="AF100" s="1818" t="n"/>
      <c r="AG100" s="1729" t="n"/>
      <c r="AH100" s="1839" t="n"/>
      <c r="AI100" s="1727" t="n"/>
      <c r="AJ100" s="1733" t="n"/>
      <c r="AK100" s="1728" t="n"/>
      <c r="AL100" s="1734" t="n"/>
      <c r="AM100" s="1728" t="n"/>
      <c r="AN100" s="1727" t="n"/>
      <c r="AO100" s="64" t="n"/>
      <c r="AP100" s="301" t="n"/>
      <c r="AQ100" s="301" t="n"/>
      <c r="AR100" s="301" t="n"/>
      <c r="AS100" s="301" t="n"/>
      <c r="AT100" s="1820" t="n"/>
      <c r="AU100" s="64" t="n"/>
    </row>
    <row r="101" ht="18" customHeight="1">
      <c r="A101" s="224" t="n"/>
      <c r="B101" s="222" t="n"/>
      <c r="C101" s="222" t="n"/>
      <c r="D101" s="222" t="n"/>
      <c r="E101" s="301" t="n"/>
      <c r="F101" s="301" t="n"/>
      <c r="G101" s="222" t="n"/>
      <c r="H101" s="224" t="n"/>
      <c r="I101" s="301" t="n"/>
      <c r="J101" s="301" t="n"/>
      <c r="K101" s="301" t="n"/>
      <c r="L101" s="301" t="n"/>
      <c r="M101" s="222" t="n"/>
      <c r="N101" s="1705" t="n"/>
      <c r="O101" s="1770" t="n"/>
      <c r="P101" s="136" t="n"/>
      <c r="Q101" s="308" t="n"/>
      <c r="R101" s="64" t="n"/>
      <c r="S101" s="64" t="n"/>
      <c r="T101" s="663" t="n"/>
      <c r="U101" s="308" t="n"/>
      <c r="V101" s="64" t="n"/>
      <c r="W101" s="64" t="n"/>
      <c r="X101" s="64" t="n"/>
      <c r="Y101" s="64" t="n"/>
      <c r="Z101" s="64" t="n"/>
      <c r="AA101" s="64" t="n"/>
      <c r="AB101" s="511" t="n">
        <v>1</v>
      </c>
      <c r="AC101" s="2690">
        <f>+AC76</f>
        <v/>
      </c>
      <c r="AD101" s="2614" t="n"/>
      <c r="AE101" s="2614" t="n"/>
      <c r="AF101" s="2614" t="n"/>
      <c r="AG101" s="2617" t="n"/>
      <c r="AH101" s="2691">
        <f>+AH76</f>
        <v/>
      </c>
      <c r="AI101" s="2617" t="n"/>
      <c r="AJ101" s="1826">
        <f>IFERROR(+AJ76*(100%+$AT$109),"")</f>
        <v/>
      </c>
      <c r="AK101" s="1924">
        <f>IFERROR(+AH101*AJ101/100000,"")</f>
        <v/>
      </c>
      <c r="AL101" s="2617" t="n"/>
      <c r="AM101" s="1924">
        <f>IFERROR(IF(AT101="yes",+AK101*6,AK101),"")</f>
        <v/>
      </c>
      <c r="AN101" s="2617" t="n"/>
      <c r="AO101" s="64" t="n"/>
      <c r="AP101" s="1828">
        <f>IF(AJ101="","","weµq wK 1 P‡µi?")</f>
        <v/>
      </c>
      <c r="AQ101" s="2615" t="n"/>
      <c r="AR101" s="2615" t="n"/>
      <c r="AS101" s="2616" t="n"/>
      <c r="AT101" s="1731" t="inlineStr">
        <is>
          <t>Yes</t>
        </is>
      </c>
      <c r="AU101" s="64" t="n"/>
    </row>
    <row r="102" ht="18" customHeight="1">
      <c r="A102" s="224" t="n"/>
      <c r="B102" s="222" t="n"/>
      <c r="C102" s="222" t="n"/>
      <c r="D102" s="222" t="n"/>
      <c r="E102" s="301" t="n"/>
      <c r="F102" s="301" t="n"/>
      <c r="G102" s="222" t="n"/>
      <c r="H102" s="224" t="n"/>
      <c r="I102" s="301" t="n"/>
      <c r="J102" s="301" t="n"/>
      <c r="K102" s="301" t="n"/>
      <c r="L102" s="301" t="n"/>
      <c r="M102" s="222" t="n"/>
      <c r="N102" s="1705" t="n"/>
      <c r="O102" s="1770" t="n"/>
      <c r="P102" s="136" t="n"/>
      <c r="Q102" s="308" t="n"/>
      <c r="R102" s="64" t="n"/>
      <c r="S102" s="64" t="n"/>
      <c r="T102" s="663" t="n"/>
      <c r="U102" s="308" t="n"/>
      <c r="V102" s="64" t="n"/>
      <c r="W102" s="64" t="n"/>
      <c r="X102" s="64" t="n"/>
      <c r="Y102" s="64" t="n"/>
      <c r="Z102" s="64" t="n"/>
      <c r="AA102" s="64" t="n"/>
      <c r="AB102" s="511" t="n"/>
      <c r="AC102" s="1821" t="n"/>
      <c r="AD102" s="1822" t="n"/>
      <c r="AE102" s="1822" t="n"/>
      <c r="AF102" s="1822" t="n"/>
      <c r="AG102" s="1823" t="n"/>
      <c r="AH102" s="1824" t="n"/>
      <c r="AI102" s="1825" t="n"/>
      <c r="AJ102" s="1826" t="n"/>
      <c r="AK102" s="1773" t="n"/>
      <c r="AL102" s="1774" t="n"/>
      <c r="AM102" s="1773" t="n"/>
      <c r="AN102" s="1774" t="n"/>
      <c r="AO102" s="64" t="n"/>
      <c r="AP102" s="1828" t="n"/>
      <c r="AQ102" s="1828" t="n"/>
      <c r="AR102" s="1828" t="n"/>
      <c r="AS102" s="1828" t="n"/>
      <c r="AT102" s="1731" t="n"/>
      <c r="AU102" s="64" t="n"/>
    </row>
    <row r="103" ht="18" customHeight="1">
      <c r="A103" s="1803" t="inlineStr">
        <is>
          <t xml:space="preserve">22| gRyix/‡eZb  t                                       </t>
        </is>
      </c>
      <c r="B103" s="2615" t="n"/>
      <c r="C103" s="2615" t="n"/>
      <c r="D103" s="2616" t="n"/>
      <c r="E103" s="1805" t="n"/>
      <c r="F103" s="1805" t="n"/>
      <c r="G103" s="1804" t="n"/>
      <c r="H103" s="1803" t="n"/>
      <c r="I103" s="1805" t="n"/>
      <c r="J103" s="1805" t="n"/>
      <c r="K103" s="1805" t="n"/>
      <c r="L103" s="1805" t="n"/>
      <c r="M103" s="1804" t="n"/>
      <c r="N103" s="1705" t="n"/>
      <c r="O103" s="1770" t="n"/>
      <c r="P103" s="136" t="n"/>
      <c r="Q103" s="308" t="n"/>
      <c r="R103" s="64" t="n"/>
      <c r="S103" s="64" t="n"/>
      <c r="T103" s="663" t="n"/>
      <c r="U103" s="308" t="n"/>
      <c r="V103" s="64" t="n"/>
      <c r="W103" s="64" t="n"/>
      <c r="X103" s="64" t="n"/>
      <c r="Y103" s="64" t="n"/>
      <c r="Z103" s="64" t="n"/>
      <c r="AA103" s="64" t="n"/>
      <c r="AB103" s="723" t="n">
        <v>1</v>
      </c>
      <c r="AC103" s="1735" t="inlineStr">
        <is>
          <t>my` e¨q</t>
        </is>
      </c>
      <c r="AD103" s="2614" t="n"/>
      <c r="AE103" s="2614" t="n"/>
      <c r="AF103" s="2614" t="n"/>
      <c r="AG103" s="2614" t="n"/>
      <c r="AH103" s="2614" t="n"/>
      <c r="AI103" s="2614" t="n"/>
      <c r="AJ103" s="2617" t="n"/>
      <c r="AK103" s="1924">
        <f>+'Data Input'!D11/100000*0.06/6</f>
        <v/>
      </c>
      <c r="AL103" s="2617" t="n"/>
      <c r="AM103" s="1924">
        <f>+IFERROR(AK103*6,"-")</f>
        <v/>
      </c>
      <c r="AN103" s="2617" t="n"/>
      <c r="AO103" s="64" t="n"/>
      <c r="AP103" s="64" t="n"/>
      <c r="AQ103" s="64" t="n"/>
      <c r="AR103" s="64" t="n"/>
      <c r="AS103" s="64" t="n"/>
      <c r="AT103" s="663" t="n"/>
      <c r="AU103" s="64" t="n"/>
    </row>
    <row r="104" ht="18" customHeight="1">
      <c r="A104" s="224" t="n"/>
      <c r="B104" s="222" t="n"/>
      <c r="C104" s="222" t="n"/>
      <c r="D104" s="222" t="n"/>
      <c r="E104" s="301" t="n"/>
      <c r="F104" s="301" t="n"/>
      <c r="G104" s="222" t="n"/>
      <c r="H104" s="224" t="n"/>
      <c r="I104" s="301" t="n"/>
      <c r="J104" s="301" t="n"/>
      <c r="K104" s="301" t="n"/>
      <c r="L104" s="301" t="n"/>
      <c r="M104" s="222" t="inlineStr">
        <is>
          <t>(UvKvq)</t>
        </is>
      </c>
      <c r="N104" s="1705" t="n"/>
      <c r="O104" s="1770" t="n"/>
      <c r="P104" s="136" t="n"/>
      <c r="Q104" s="308" t="n"/>
      <c r="R104" s="64" t="n"/>
      <c r="S104" s="64" t="n"/>
      <c r="T104" s="663" t="n"/>
      <c r="U104" s="308" t="n"/>
      <c r="V104" s="64" t="n"/>
      <c r="W104" s="64" t="n"/>
      <c r="X104" s="64" t="n"/>
      <c r="Y104" s="64" t="n"/>
      <c r="Z104" s="64" t="n"/>
      <c r="AA104" s="64" t="n"/>
      <c r="AB104" s="723" t="n">
        <v>2</v>
      </c>
      <c r="AC104" s="1735" t="inlineStr">
        <is>
          <t>FY di‡gi gyj¨, `iLv¯Í wd, mvP© wd, `wjjvqb I exgv LiP|</t>
        </is>
      </c>
      <c r="AD104" s="2614" t="n"/>
      <c r="AE104" s="2614" t="n"/>
      <c r="AF104" s="2614" t="n"/>
      <c r="AG104" s="2614" t="n"/>
      <c r="AH104" s="2614" t="n"/>
      <c r="AI104" s="2614" t="n"/>
      <c r="AJ104" s="2617" t="n"/>
      <c r="AK104" s="1924" t="n">
        <v>0.01</v>
      </c>
      <c r="AL104" s="2617" t="n"/>
      <c r="AM104" s="1924">
        <f>+IFERROR(AK104*6,"-")</f>
        <v/>
      </c>
      <c r="AN104" s="2617" t="n"/>
      <c r="AO104" s="64" t="n"/>
      <c r="AP104" s="64" t="n"/>
      <c r="AQ104" s="64" t="n"/>
      <c r="AR104" s="64" t="n"/>
      <c r="AS104" s="64" t="n"/>
      <c r="AT104" s="663" t="n"/>
      <c r="AU104" s="64" t="n"/>
    </row>
    <row r="105" ht="18" customHeight="1">
      <c r="A105" s="1781" t="inlineStr">
        <is>
          <t>µt bs</t>
        </is>
      </c>
      <c r="B105" s="2658" t="n"/>
      <c r="C105" s="1725" t="inlineStr">
        <is>
          <t>c`</t>
        </is>
      </c>
      <c r="D105" s="2614" t="n"/>
      <c r="E105" s="2614" t="n"/>
      <c r="F105" s="2617" t="n"/>
      <c r="G105" s="1725" t="inlineStr">
        <is>
          <t>msL¨v</t>
        </is>
      </c>
      <c r="H105" s="2617" t="n"/>
      <c r="I105" s="1732" t="inlineStr">
        <is>
          <t>gvwmK †eZb</t>
        </is>
      </c>
      <c r="J105" s="2614" t="n"/>
      <c r="K105" s="2617" t="n"/>
      <c r="L105" s="1732" t="inlineStr">
        <is>
          <t>‡gvU</t>
        </is>
      </c>
      <c r="M105" s="2617" t="n"/>
      <c r="N105" s="1705" t="n"/>
      <c r="O105" s="1770" t="n"/>
      <c r="P105" s="136" t="n"/>
      <c r="Q105" s="308" t="n"/>
      <c r="R105" s="64" t="n"/>
      <c r="S105" s="64" t="n"/>
      <c r="T105" s="663" t="n"/>
      <c r="U105" s="308" t="n"/>
      <c r="V105" s="64" t="n"/>
      <c r="W105" s="64" t="n"/>
      <c r="X105" s="64" t="n"/>
      <c r="Y105" s="64" t="n"/>
      <c r="Z105" s="64" t="n"/>
      <c r="AA105" s="64" t="n"/>
      <c r="AB105" s="511" t="inlineStr">
        <is>
          <t>Dc‡gvU</t>
        </is>
      </c>
      <c r="AC105" s="2614" t="n"/>
      <c r="AD105" s="2614" t="n"/>
      <c r="AE105" s="2614" t="n"/>
      <c r="AF105" s="2614" t="n"/>
      <c r="AG105" s="2614" t="n"/>
      <c r="AH105" s="2614" t="n"/>
      <c r="AI105" s="2614" t="n"/>
      <c r="AJ105" s="2617" t="n"/>
      <c r="AK105" s="1797">
        <f>SUM(AK103:AL104)</f>
        <v/>
      </c>
      <c r="AL105" s="2658" t="n"/>
      <c r="AM105" s="1797">
        <f>SUM(AM103:AN104)</f>
        <v/>
      </c>
      <c r="AN105" s="2658" t="n"/>
      <c r="AO105" s="64" t="n"/>
      <c r="AP105" s="64" t="n"/>
      <c r="AQ105" s="64" t="n"/>
      <c r="AR105" s="64" t="n"/>
      <c r="AS105" s="64" t="n"/>
      <c r="AT105" s="663" t="n"/>
      <c r="AU105" s="64" t="n"/>
    </row>
    <row r="106" ht="18" customHeight="1">
      <c r="A106" s="511" t="inlineStr">
        <is>
          <t>K)</t>
        </is>
      </c>
      <c r="B106" s="2617" t="n"/>
      <c r="C106" s="1735" t="inlineStr">
        <is>
          <t>Kg©Pvix</t>
        </is>
      </c>
      <c r="D106" s="2614" t="n"/>
      <c r="E106" s="2614" t="n"/>
      <c r="F106" s="2617" t="n"/>
      <c r="G106" s="716" t="inlineStr">
        <is>
          <t>4 Rb</t>
        </is>
      </c>
      <c r="H106" s="2617" t="n"/>
      <c r="I106" s="511" t="n">
        <v>18000</v>
      </c>
      <c r="J106" s="2614" t="n"/>
      <c r="K106" s="2617" t="n"/>
      <c r="L106" s="511">
        <f>I106*4*12</f>
        <v/>
      </c>
      <c r="M106" s="2617" t="n"/>
      <c r="N106" s="1705" t="n"/>
      <c r="O106" s="1770" t="n"/>
      <c r="P106" s="136" t="n"/>
      <c r="Q106" s="308" t="n"/>
      <c r="R106" s="64" t="n"/>
      <c r="S106" s="64" t="n"/>
      <c r="T106" s="663" t="n"/>
      <c r="U106" s="308" t="n"/>
      <c r="V106" s="64" t="n"/>
      <c r="W106" s="64" t="n"/>
      <c r="X106" s="64" t="n"/>
      <c r="Y106" s="64" t="n"/>
      <c r="Z106" s="64" t="n"/>
      <c r="AA106" s="64" t="n"/>
      <c r="AB106" s="746" t="n"/>
      <c r="AC106" s="199" t="n"/>
      <c r="AD106" s="199" t="n"/>
      <c r="AE106" s="199" t="n"/>
      <c r="AF106" s="199" t="n"/>
      <c r="AG106" s="561" t="n"/>
      <c r="AH106" s="199" t="n"/>
      <c r="AI106" s="199" t="n"/>
      <c r="AJ106" s="1833" t="n"/>
      <c r="AK106" s="561" t="n"/>
      <c r="AL106" s="1833" t="n"/>
      <c r="AM106" s="561" t="n"/>
      <c r="AN106" s="199" t="n"/>
      <c r="AO106" s="64" t="n"/>
      <c r="AP106" s="64" t="n"/>
      <c r="AQ106" s="64" t="n"/>
      <c r="AR106" s="64" t="n"/>
      <c r="AS106" s="64" t="n"/>
      <c r="AT106" s="663" t="n"/>
      <c r="AU106" s="64" t="n"/>
    </row>
    <row r="107" ht="18" customHeight="1">
      <c r="A107" s="511" t="inlineStr">
        <is>
          <t>L)</t>
        </is>
      </c>
      <c r="B107" s="2617" t="n"/>
      <c r="C107" s="1735" t="inlineStr">
        <is>
          <t>‡evbvm (1 gv‡mi †eZ‡bi mgcwigvb)</t>
        </is>
      </c>
      <c r="D107" s="2614" t="n"/>
      <c r="E107" s="2614" t="n"/>
      <c r="F107" s="2617" t="n"/>
      <c r="G107" s="716" t="n"/>
      <c r="H107" s="2617" t="n"/>
      <c r="I107" s="1795" t="n"/>
      <c r="J107" s="2614" t="n"/>
      <c r="K107" s="2617" t="n"/>
      <c r="L107" s="511">
        <f>I106*4</f>
        <v/>
      </c>
      <c r="M107" s="2617" t="n"/>
      <c r="N107" s="1705" t="n"/>
      <c r="O107" s="1770" t="n"/>
      <c r="P107" s="136" t="n"/>
      <c r="Q107" s="308" t="n"/>
      <c r="R107" s="64" t="n"/>
      <c r="S107" s="64" t="n"/>
      <c r="T107" s="663" t="n"/>
      <c r="U107" s="308" t="n"/>
      <c r="V107" s="64" t="n"/>
      <c r="W107" s="64" t="n"/>
      <c r="X107" s="64" t="n"/>
      <c r="Y107" s="64" t="n"/>
      <c r="Z107" s="64" t="n"/>
      <c r="AA107" s="64" t="n"/>
      <c r="AB107" s="1834" t="inlineStr">
        <is>
          <t xml:space="preserve"> K| weµq cÖv°jb t</t>
        </is>
      </c>
      <c r="AC107" s="2615" t="n"/>
      <c r="AD107" s="2615" t="n"/>
      <c r="AE107" s="2615" t="n"/>
      <c r="AF107" s="2615" t="n"/>
      <c r="AG107" s="2615" t="n"/>
      <c r="AH107" s="2615" t="n"/>
      <c r="AI107" s="2615" t="n"/>
      <c r="AJ107" s="2615" t="n"/>
      <c r="AK107" s="2615" t="n"/>
      <c r="AL107" s="2615" t="n"/>
      <c r="AM107" s="2615" t="n"/>
      <c r="AN107" s="2616" t="n"/>
      <c r="AO107" s="64" t="n"/>
      <c r="AP107" s="64" t="n"/>
      <c r="AQ107" s="64" t="n"/>
      <c r="AR107" s="64" t="n"/>
      <c r="AS107" s="64" t="n"/>
      <c r="AT107" s="663" t="n"/>
      <c r="AU107" s="64" t="n"/>
    </row>
    <row r="108" ht="18" customHeight="1">
      <c r="A108" s="511" t="inlineStr">
        <is>
          <t>M)</t>
        </is>
      </c>
      <c r="B108" s="2617" t="n"/>
      <c r="C108" s="1735" t="inlineStr">
        <is>
          <t xml:space="preserve">we`y¨r </t>
        </is>
      </c>
      <c r="D108" s="2614" t="n"/>
      <c r="E108" s="2614" t="n"/>
      <c r="F108" s="2617" t="n"/>
      <c r="G108" s="716" t="n"/>
      <c r="H108" s="2617" t="n"/>
      <c r="I108" s="1795" t="n"/>
      <c r="J108" s="2614" t="n"/>
      <c r="K108" s="2617" t="n"/>
      <c r="L108" s="511" t="n">
        <v>96000</v>
      </c>
      <c r="M108" s="2617" t="n"/>
      <c r="N108" s="1705" t="n"/>
      <c r="O108" s="1770" t="n"/>
      <c r="P108" s="136" t="n"/>
      <c r="Q108" s="308" t="n"/>
      <c r="R108" s="64" t="n"/>
      <c r="S108" s="64" t="n"/>
      <c r="T108" s="663" t="n"/>
      <c r="U108" s="308" t="n"/>
      <c r="V108" s="64" t="n"/>
      <c r="W108" s="64" t="n"/>
      <c r="X108" s="64" t="n"/>
      <c r="Y108" s="64" t="n"/>
      <c r="Z108" s="64" t="n"/>
      <c r="AA108" s="64" t="n"/>
      <c r="AB108" s="1720" t="inlineStr">
        <is>
          <t xml:space="preserve">                                cY¨ msMÖn, µq-weµq, wecbb, g~jab I FY mÂvj‡bi Avw_©K wnmve wb¤œiƒc t                          (jÿ UvKvq)</t>
        </is>
      </c>
      <c r="AC108" s="2613" t="n"/>
      <c r="AD108" s="2613" t="n"/>
      <c r="AE108" s="2613" t="n"/>
      <c r="AF108" s="2613" t="n"/>
      <c r="AG108" s="2613" t="n"/>
      <c r="AH108" s="2613" t="n"/>
      <c r="AI108" s="2613" t="n"/>
      <c r="AJ108" s="2613" t="n"/>
      <c r="AK108" s="2613" t="n"/>
      <c r="AL108" s="2613" t="n"/>
      <c r="AM108" s="2613" t="n"/>
      <c r="AN108" s="2613" t="n"/>
      <c r="AO108" s="64" t="n"/>
      <c r="AP108" s="64" t="n"/>
      <c r="AQ108" s="64" t="n"/>
      <c r="AR108" s="64" t="n"/>
      <c r="AS108" s="64" t="n"/>
      <c r="AT108" s="663" t="n"/>
      <c r="AU108" s="64" t="n"/>
    </row>
    <row r="109" ht="18" customHeight="1">
      <c r="A109" s="511" t="inlineStr">
        <is>
          <t>me©‡gvU t</t>
        </is>
      </c>
      <c r="B109" s="2614" t="n"/>
      <c r="C109" s="2614" t="n"/>
      <c r="D109" s="2614" t="n"/>
      <c r="E109" s="2614" t="n"/>
      <c r="F109" s="2614" t="n"/>
      <c r="G109" s="2614" t="n"/>
      <c r="H109" s="2617" t="n"/>
      <c r="I109" s="1795" t="n"/>
      <c r="J109" s="2614" t="n"/>
      <c r="K109" s="2617" t="n"/>
      <c r="L109" s="511">
        <f>L106+L107+L108</f>
        <v/>
      </c>
      <c r="M109" s="2617" t="n"/>
      <c r="N109" s="1705" t="n"/>
      <c r="O109" s="1770" t="n"/>
      <c r="P109" s="136" t="n"/>
      <c r="Q109" s="308" t="n"/>
      <c r="R109" s="64" t="n"/>
      <c r="S109" s="64" t="n"/>
      <c r="T109" s="663" t="n"/>
      <c r="U109" s="308" t="n"/>
      <c r="V109" s="64" t="n"/>
      <c r="W109" s="64" t="n"/>
      <c r="X109" s="64" t="n"/>
      <c r="Y109" s="64" t="n"/>
      <c r="Z109" s="64" t="n"/>
      <c r="AA109" s="64" t="n"/>
      <c r="AB109" s="1819" t="inlineStr">
        <is>
          <t>µt bs</t>
        </is>
      </c>
      <c r="AC109" s="1839" t="inlineStr">
        <is>
          <t>c‡Y¨i weeiY</t>
        </is>
      </c>
      <c r="AD109" s="2614" t="n"/>
      <c r="AE109" s="2614" t="n"/>
      <c r="AF109" s="2614" t="n"/>
      <c r="AG109" s="2658" t="n"/>
      <c r="AH109" s="1839">
        <f>+AH75</f>
        <v/>
      </c>
      <c r="AI109" s="2658" t="n"/>
      <c r="AJ109" s="1733" t="inlineStr">
        <is>
          <t>`i</t>
        </is>
      </c>
      <c r="AK109" s="1728" t="inlineStr">
        <is>
          <t>‡gvU g~j¨ 60 w`‡bi</t>
        </is>
      </c>
      <c r="AL109" s="2658" t="n"/>
      <c r="AM109" s="1728" t="inlineStr">
        <is>
          <t>‡gvU g~j¨ 1 eQ‡ii</t>
        </is>
      </c>
      <c r="AN109" s="2658" t="n"/>
      <c r="AO109" s="64" t="n"/>
      <c r="AP109" s="222" t="inlineStr">
        <is>
          <t>jv‡fi nvi (%)</t>
        </is>
      </c>
      <c r="AT109" s="1733" t="n">
        <v>0.1</v>
      </c>
      <c r="AU109" s="64" t="n"/>
    </row>
    <row r="110" ht="18" customHeight="1">
      <c r="A110" s="224" t="n"/>
      <c r="B110" s="222" t="n"/>
      <c r="C110" s="222" t="n"/>
      <c r="D110" s="222" t="n"/>
      <c r="E110" s="301" t="n"/>
      <c r="F110" s="301" t="n"/>
      <c r="G110" s="222" t="n"/>
      <c r="H110" s="224" t="n"/>
      <c r="I110" s="301" t="n"/>
      <c r="J110" s="301" t="n"/>
      <c r="K110" s="301" t="n"/>
      <c r="L110" s="301" t="n"/>
      <c r="M110" s="222" t="n"/>
      <c r="N110" s="1705" t="n"/>
      <c r="O110" s="1770" t="n"/>
      <c r="P110" s="136" t="n"/>
      <c r="Q110" s="308" t="n"/>
      <c r="R110" s="64" t="n"/>
      <c r="S110" s="64" t="n"/>
      <c r="T110" s="663" t="n"/>
      <c r="U110" s="308" t="n"/>
      <c r="V110" s="64" t="n"/>
      <c r="W110" s="64" t="n"/>
      <c r="X110" s="64" t="n"/>
      <c r="Y110" s="64" t="n"/>
      <c r="Z110" s="64" t="n"/>
      <c r="AA110" s="64" t="n"/>
      <c r="AB110" s="1819" t="n"/>
      <c r="AC110" s="1839" t="n"/>
      <c r="AD110" s="1818" t="n"/>
      <c r="AE110" s="1818" t="n"/>
      <c r="AF110" s="1818" t="n"/>
      <c r="AG110" s="1729" t="n"/>
      <c r="AH110" s="1839" t="n"/>
      <c r="AI110" s="1727" t="n"/>
      <c r="AJ110" s="1733" t="n"/>
      <c r="AK110" s="1728" t="n"/>
      <c r="AL110" s="1734" t="n"/>
      <c r="AM110" s="1728" t="n"/>
      <c r="AN110" s="1727" t="n"/>
      <c r="AO110" s="64" t="n"/>
      <c r="AP110" s="301" t="n"/>
      <c r="AQ110" s="301" t="n"/>
      <c r="AR110" s="301" t="n"/>
      <c r="AS110" s="301" t="n"/>
      <c r="AT110" s="1820" t="n"/>
      <c r="AU110" s="64" t="n"/>
    </row>
    <row r="111" ht="18" customHeight="1">
      <c r="A111" s="224" t="n"/>
      <c r="B111" s="222" t="n"/>
      <c r="C111" s="222" t="n"/>
      <c r="D111" s="222" t="n"/>
      <c r="E111" s="301" t="n"/>
      <c r="F111" s="301" t="n"/>
      <c r="G111" s="222" t="n"/>
      <c r="H111" s="224" t="n"/>
      <c r="I111" s="301" t="n"/>
      <c r="J111" s="301" t="n"/>
      <c r="K111" s="301" t="n"/>
      <c r="L111" s="301" t="n"/>
      <c r="M111" s="222" t="n"/>
      <c r="N111" s="1705" t="n"/>
      <c r="O111" s="1770" t="n"/>
      <c r="P111" s="136" t="n"/>
      <c r="Q111" s="308" t="n"/>
      <c r="R111" s="64" t="n"/>
      <c r="S111" s="64" t="n"/>
      <c r="T111" s="663" t="n"/>
      <c r="U111" s="308" t="n"/>
      <c r="V111" s="64" t="n"/>
      <c r="W111" s="64" t="n"/>
      <c r="X111" s="64" t="n"/>
      <c r="Y111" s="64" t="n"/>
      <c r="Z111" s="64" t="n"/>
      <c r="AA111" s="64" t="n"/>
      <c r="AB111" s="511" t="n"/>
      <c r="AC111" s="1821" t="n"/>
      <c r="AD111" s="1822" t="n"/>
      <c r="AE111" s="1822" t="n"/>
      <c r="AF111" s="1822" t="n"/>
      <c r="AG111" s="1823" t="n"/>
      <c r="AH111" s="1824" t="n"/>
      <c r="AI111" s="1825" t="n"/>
      <c r="AJ111" s="1826" t="n"/>
      <c r="AK111" s="1773" t="n"/>
      <c r="AL111" s="1774" t="n"/>
      <c r="AM111" s="1773" t="n"/>
      <c r="AN111" s="1774" t="n"/>
      <c r="AO111" s="64" t="n"/>
      <c r="AP111" s="1828" t="n"/>
      <c r="AQ111" s="1828" t="n"/>
      <c r="AR111" s="1828" t="n"/>
      <c r="AS111" s="1828" t="n"/>
      <c r="AT111" s="1731" t="n"/>
      <c r="AU111" s="64" t="n"/>
    </row>
    <row r="112" ht="18" customHeight="1">
      <c r="A112" s="1803" t="inlineStr">
        <is>
          <t xml:space="preserve">23|  cÖkvmwbK e¨q t                                        </t>
        </is>
      </c>
      <c r="B112" s="2615" t="n"/>
      <c r="C112" s="2615" t="n"/>
      <c r="D112" s="2616" t="n"/>
      <c r="E112" s="1805" t="n"/>
      <c r="F112" s="1805" t="n"/>
      <c r="G112" s="1804" t="n"/>
      <c r="H112" s="1803" t="n"/>
      <c r="I112" s="1805" t="n"/>
      <c r="J112" s="1805" t="n"/>
      <c r="K112" s="1805" t="n"/>
      <c r="L112" s="1805" t="n"/>
      <c r="M112" s="1804" t="n"/>
      <c r="N112" s="1705" t="n"/>
      <c r="O112" s="1770" t="n"/>
      <c r="P112" s="136" t="n"/>
      <c r="Q112" s="308" t="n"/>
      <c r="R112" s="64" t="n"/>
      <c r="S112" s="64" t="n"/>
      <c r="T112" s="663" t="n"/>
      <c r="U112" s="308" t="n"/>
      <c r="V112" s="64" t="n"/>
      <c r="W112" s="64" t="n"/>
      <c r="X112" s="64" t="n"/>
      <c r="Y112" s="64" t="n"/>
      <c r="Z112" s="64" t="n"/>
      <c r="AA112" s="64" t="n"/>
      <c r="AB112" s="511" t="n">
        <v>2</v>
      </c>
      <c r="AC112" s="2690">
        <f>+AC77</f>
        <v/>
      </c>
      <c r="AD112" s="2614" t="n"/>
      <c r="AE112" s="2614" t="n"/>
      <c r="AF112" s="2614" t="n"/>
      <c r="AG112" s="2617" t="n"/>
      <c r="AH112" s="2691">
        <f>+AH77</f>
        <v/>
      </c>
      <c r="AI112" s="2617" t="n"/>
      <c r="AJ112" s="1826">
        <f>IFERROR(+AJ77*(100%+$AT$109),"")</f>
        <v/>
      </c>
      <c r="AK112" s="1924">
        <f>IFERROR(+AH112*AJ112/100000,"")</f>
        <v/>
      </c>
      <c r="AL112" s="2617" t="n"/>
      <c r="AM112" s="1924">
        <f>IFERROR(IF(AT112="yes",+AK112*6,AK112),"")</f>
        <v/>
      </c>
      <c r="AN112" s="2617" t="n"/>
      <c r="AO112" s="64" t="n"/>
      <c r="AP112" s="1828">
        <f>IF(AJ112="","","weµq wK 1 P‡µi?")</f>
        <v/>
      </c>
      <c r="AQ112" s="2615" t="n"/>
      <c r="AR112" s="2615" t="n"/>
      <c r="AS112" s="2616" t="n"/>
      <c r="AT112" s="1731" t="inlineStr">
        <is>
          <t>Yes</t>
        </is>
      </c>
      <c r="AU112" s="64" t="n"/>
    </row>
    <row r="113" ht="18" customHeight="1">
      <c r="A113" s="224" t="n"/>
      <c r="B113" s="222" t="n"/>
      <c r="C113" s="222" t="n"/>
      <c r="D113" s="222" t="n"/>
      <c r="E113" s="301" t="n"/>
      <c r="F113" s="301" t="n"/>
      <c r="G113" s="222" t="n"/>
      <c r="H113" s="224" t="n"/>
      <c r="I113" s="301" t="n"/>
      <c r="J113" s="301" t="n"/>
      <c r="K113" s="301" t="n"/>
      <c r="L113" s="301" t="n"/>
      <c r="M113" s="222" t="inlineStr">
        <is>
          <t>(UvKvq)</t>
        </is>
      </c>
      <c r="N113" s="1705" t="n"/>
      <c r="O113" s="1770" t="n"/>
      <c r="P113" s="136" t="n"/>
      <c r="Q113" s="308" t="n"/>
      <c r="R113" s="64" t="n"/>
      <c r="S113" s="64" t="n"/>
      <c r="T113" s="663" t="n"/>
      <c r="U113" s="308" t="n"/>
      <c r="V113" s="64" t="n"/>
      <c r="W113" s="64" t="n"/>
      <c r="X113" s="64" t="n"/>
      <c r="Y113" s="64" t="n"/>
      <c r="Z113" s="64" t="n"/>
      <c r="AA113" s="64" t="n"/>
      <c r="AB113" s="511" t="n">
        <v>3</v>
      </c>
      <c r="AC113" s="2690">
        <f>+AC78</f>
        <v/>
      </c>
      <c r="AD113" s="2614" t="n"/>
      <c r="AE113" s="2614" t="n"/>
      <c r="AF113" s="2614" t="n"/>
      <c r="AG113" s="2617" t="n"/>
      <c r="AH113" s="2691">
        <f>+AH78</f>
        <v/>
      </c>
      <c r="AI113" s="2617" t="n"/>
      <c r="AJ113" s="1826">
        <f>IFERROR(+AJ78*(100%+$AT$109),"")</f>
        <v/>
      </c>
      <c r="AK113" s="1924">
        <f>IFERROR(+AH113*AJ113/100000,"")</f>
        <v/>
      </c>
      <c r="AL113" s="2617" t="n"/>
      <c r="AM113" s="1924">
        <f>IFERROR(IF(AT113="yes",+AK113*6,AK113),"")</f>
        <v/>
      </c>
      <c r="AN113" s="2617" t="n"/>
      <c r="AO113" s="64" t="n"/>
      <c r="AP113" s="1828">
        <f>IF(AJ113="","","weµq wK 1 P‡µi?")</f>
        <v/>
      </c>
      <c r="AQ113" s="2615" t="n"/>
      <c r="AR113" s="2615" t="n"/>
      <c r="AS113" s="2616" t="n"/>
      <c r="AT113" s="1731" t="inlineStr">
        <is>
          <t>Yes</t>
        </is>
      </c>
      <c r="AU113" s="64" t="n"/>
    </row>
    <row r="114" ht="18" customHeight="1">
      <c r="A114" s="1781" t="inlineStr">
        <is>
          <t>µt bs</t>
        </is>
      </c>
      <c r="B114" s="2658" t="n"/>
      <c r="C114" s="1839" t="inlineStr">
        <is>
          <t>weeib</t>
        </is>
      </c>
      <c r="D114" s="2614" t="n"/>
      <c r="E114" s="2614" t="n"/>
      <c r="F114" s="2614" t="n"/>
      <c r="G114" s="2614" t="n"/>
      <c r="H114" s="2614" t="n"/>
      <c r="I114" s="2614" t="n"/>
      <c r="J114" s="2658" t="n"/>
      <c r="K114" s="1728" t="inlineStr">
        <is>
          <t>LiP</t>
        </is>
      </c>
      <c r="L114" s="2614" t="n"/>
      <c r="M114" s="2658" t="n"/>
      <c r="N114" s="1705" t="n"/>
      <c r="O114" s="1770" t="n"/>
      <c r="P114" s="136" t="n"/>
      <c r="Q114" s="308" t="n"/>
      <c r="R114" s="64" t="n"/>
      <c r="S114" s="64" t="n"/>
      <c r="T114" s="663" t="n"/>
      <c r="U114" s="308" t="n"/>
      <c r="V114" s="64" t="n"/>
      <c r="W114" s="64" t="n"/>
      <c r="X114" s="64" t="n"/>
      <c r="Y114" s="64" t="n"/>
      <c r="Z114" s="64" t="n"/>
      <c r="AA114" s="64" t="n"/>
      <c r="AB114" s="511" t="n">
        <v>4</v>
      </c>
      <c r="AC114" s="2690">
        <f>+AC79</f>
        <v/>
      </c>
      <c r="AD114" s="2614" t="n"/>
      <c r="AE114" s="2614" t="n"/>
      <c r="AF114" s="2614" t="n"/>
      <c r="AG114" s="2617" t="n"/>
      <c r="AH114" s="2691">
        <f>+AH79</f>
        <v/>
      </c>
      <c r="AI114" s="2617" t="n"/>
      <c r="AJ114" s="1826">
        <f>IFERROR(+AJ79*(100%+$AT$109),"")</f>
        <v/>
      </c>
      <c r="AK114" s="1924">
        <f>IFERROR(+AH114*AJ114/100000,"")</f>
        <v/>
      </c>
      <c r="AL114" s="2617" t="n"/>
      <c r="AM114" s="1924">
        <f>IFERROR(IF(AT114="yes",+AK114*6,AK114),"")</f>
        <v/>
      </c>
      <c r="AN114" s="2617" t="n"/>
      <c r="AO114" s="64" t="n"/>
      <c r="AP114" s="1828">
        <f>IF(AJ114="","","weµq wK 1 P‡µi?")</f>
        <v/>
      </c>
      <c r="AQ114" s="2615" t="n"/>
      <c r="AR114" s="2615" t="n"/>
      <c r="AS114" s="2616" t="n"/>
      <c r="AT114" s="1731" t="inlineStr">
        <is>
          <t>Yes</t>
        </is>
      </c>
      <c r="AU114" s="64" t="n"/>
    </row>
    <row r="115" ht="18" customHeight="1">
      <c r="A115" s="511" t="inlineStr">
        <is>
          <t>K)</t>
        </is>
      </c>
      <c r="B115" s="2617" t="n"/>
      <c r="C115" s="1735" t="inlineStr">
        <is>
          <t>‡Uwj‡dvb</t>
        </is>
      </c>
      <c r="D115" s="2614" t="n"/>
      <c r="E115" s="2614" t="n"/>
      <c r="F115" s="2614" t="n"/>
      <c r="G115" s="2614" t="n"/>
      <c r="H115" s="2614" t="n"/>
      <c r="I115" s="2614" t="n"/>
      <c r="J115" s="2617" t="n"/>
      <c r="K115" s="511" t="n">
        <v>5000</v>
      </c>
      <c r="L115" s="2614" t="n"/>
      <c r="M115" s="2617" t="n"/>
      <c r="N115" s="1705" t="n"/>
      <c r="O115" s="1770" t="n"/>
      <c r="P115" s="136" t="n"/>
      <c r="Q115" s="308" t="n"/>
      <c r="R115" s="64" t="n"/>
      <c r="S115" s="64" t="n"/>
      <c r="T115" s="663" t="n"/>
      <c r="U115" s="308" t="n"/>
      <c r="V115" s="64" t="n"/>
      <c r="W115" s="64" t="n"/>
      <c r="X115" s="64" t="n"/>
      <c r="Y115" s="64" t="n"/>
      <c r="Z115" s="64" t="n"/>
      <c r="AA115" s="64" t="n"/>
      <c r="AB115" s="511" t="n">
        <v>5</v>
      </c>
      <c r="AC115" s="2692">
        <f>+#REF!</f>
        <v/>
      </c>
      <c r="AD115" s="2614" t="n"/>
      <c r="AE115" s="2614" t="n"/>
      <c r="AF115" s="2614" t="n"/>
      <c r="AG115" s="2617" t="n"/>
      <c r="AH115" s="2693">
        <f>+#REF!</f>
        <v/>
      </c>
      <c r="AI115" s="2617" t="n"/>
      <c r="AJ115" s="1826">
        <f>IFERROR(+#REF!*(100%+$AT$109),"")</f>
        <v/>
      </c>
      <c r="AK115" s="1924">
        <f>IFERROR(+AH115*AJ115/100000,"")</f>
        <v/>
      </c>
      <c r="AL115" s="2617" t="n"/>
      <c r="AM115" s="1924">
        <f>IFERROR(IF(AT115="yes",+AK115*6,AK115),"")</f>
        <v/>
      </c>
      <c r="AN115" s="2617" t="n"/>
      <c r="AO115" s="64" t="n"/>
      <c r="AP115" s="1828">
        <f>IF(AJ115="","","weµq wK 1 P‡µi?")</f>
        <v/>
      </c>
      <c r="AQ115" s="2615" t="n"/>
      <c r="AR115" s="2615" t="n"/>
      <c r="AS115" s="2616" t="n"/>
      <c r="AT115" s="1731" t="inlineStr">
        <is>
          <t>Yes</t>
        </is>
      </c>
      <c r="AU115" s="64" t="n"/>
    </row>
    <row r="116" ht="18" customHeight="1">
      <c r="A116" s="511" t="inlineStr">
        <is>
          <t>L)</t>
        </is>
      </c>
      <c r="B116" s="2617" t="n"/>
      <c r="C116" s="1735" t="inlineStr">
        <is>
          <t>hvZvqvZ</t>
        </is>
      </c>
      <c r="D116" s="2614" t="n"/>
      <c r="E116" s="2614" t="n"/>
      <c r="F116" s="2614" t="n"/>
      <c r="G116" s="2614" t="n"/>
      <c r="H116" s="2614" t="n"/>
      <c r="I116" s="2614" t="n"/>
      <c r="J116" s="2617" t="n"/>
      <c r="K116" s="511" t="n">
        <v>10000</v>
      </c>
      <c r="L116" s="2614" t="n"/>
      <c r="M116" s="2617" t="n"/>
      <c r="N116" s="1705" t="n"/>
      <c r="O116" s="1770" t="n"/>
      <c r="P116" s="136" t="n"/>
      <c r="Q116" s="308" t="n"/>
      <c r="R116" s="64" t="n"/>
      <c r="S116" s="64" t="n"/>
      <c r="T116" s="663" t="n"/>
      <c r="U116" s="308" t="n"/>
      <c r="V116" s="64" t="n"/>
      <c r="W116" s="64" t="n"/>
      <c r="X116" s="64" t="n"/>
      <c r="Y116" s="64" t="n"/>
      <c r="Z116" s="64" t="n"/>
      <c r="AA116" s="64" t="n"/>
      <c r="AB116" s="511" t="n">
        <v>6</v>
      </c>
      <c r="AC116" s="2692">
        <f>+#REF!</f>
        <v/>
      </c>
      <c r="AD116" s="2614" t="n"/>
      <c r="AE116" s="2614" t="n"/>
      <c r="AF116" s="2614" t="n"/>
      <c r="AG116" s="2617" t="n"/>
      <c r="AH116" s="2693">
        <f>+#REF!</f>
        <v/>
      </c>
      <c r="AI116" s="2617" t="n"/>
      <c r="AJ116" s="1826">
        <f>IFERROR(+#REF!*(100%+$AT$109),"")</f>
        <v/>
      </c>
      <c r="AK116" s="1924">
        <f>IFERROR(+AH116*AJ116/100000,"")</f>
        <v/>
      </c>
      <c r="AL116" s="2617" t="n"/>
      <c r="AM116" s="1924">
        <f>IFERROR(IF(AT116="yes",+AK116*6,AK116),"")</f>
        <v/>
      </c>
      <c r="AN116" s="2617" t="n"/>
      <c r="AO116" s="64" t="n"/>
      <c r="AP116" s="1828">
        <f>IF(AJ116="","","weµq wK 1 P‡µi?")</f>
        <v/>
      </c>
      <c r="AQ116" s="2615" t="n"/>
      <c r="AR116" s="2615" t="n"/>
      <c r="AS116" s="2616" t="n"/>
      <c r="AT116" s="1731" t="inlineStr">
        <is>
          <t>Yes</t>
        </is>
      </c>
      <c r="AU116" s="64" t="n"/>
    </row>
    <row r="117" ht="18" customHeight="1">
      <c r="A117" s="511" t="inlineStr">
        <is>
          <t>M)</t>
        </is>
      </c>
      <c r="B117" s="2617" t="n"/>
      <c r="C117" s="1735" t="inlineStr">
        <is>
          <t>WvK/Zvi</t>
        </is>
      </c>
      <c r="D117" s="2614" t="n"/>
      <c r="E117" s="2614" t="n"/>
      <c r="F117" s="2614" t="n"/>
      <c r="G117" s="2614" t="n"/>
      <c r="H117" s="2614" t="n"/>
      <c r="I117" s="2614" t="n"/>
      <c r="J117" s="2617" t="n"/>
      <c r="K117" s="511" t="n">
        <v>500</v>
      </c>
      <c r="L117" s="2614" t="n"/>
      <c r="M117" s="2617" t="n"/>
      <c r="N117" s="1705" t="n"/>
      <c r="O117" s="1770" t="n"/>
      <c r="P117" s="136" t="n"/>
      <c r="Q117" s="308" t="n"/>
      <c r="R117" s="64" t="n"/>
      <c r="S117" s="64" t="n"/>
      <c r="T117" s="663" t="n"/>
      <c r="U117" s="308" t="n"/>
      <c r="V117" s="64" t="n"/>
      <c r="W117" s="64" t="n"/>
      <c r="X117" s="64" t="n"/>
      <c r="Y117" s="64" t="n"/>
      <c r="Z117" s="64" t="n"/>
      <c r="AA117" s="64" t="n"/>
      <c r="AB117" s="511" t="n">
        <v>7</v>
      </c>
      <c r="AC117" s="2692">
        <f>+#REF!</f>
        <v/>
      </c>
      <c r="AD117" s="2614" t="n"/>
      <c r="AE117" s="2614" t="n"/>
      <c r="AF117" s="2614" t="n"/>
      <c r="AG117" s="2617" t="n"/>
      <c r="AH117" s="2693">
        <f>+#REF!</f>
        <v/>
      </c>
      <c r="AI117" s="2617" t="n"/>
      <c r="AJ117" s="1826">
        <f>IFERROR(+#REF!*(100%+$AT$109),"")</f>
        <v/>
      </c>
      <c r="AK117" s="1924">
        <f>IFERROR(+AH117*AJ117/100000,"")</f>
        <v/>
      </c>
      <c r="AL117" s="2617" t="n"/>
      <c r="AM117" s="1924">
        <f>IFERROR(IF(AT117="yes",+AK117*6,AK117),"")</f>
        <v/>
      </c>
      <c r="AN117" s="2617" t="n"/>
      <c r="AO117" s="64" t="n"/>
      <c r="AP117" s="1828">
        <f>IF(AJ117="","","weµq wK 1 P‡µi?")</f>
        <v/>
      </c>
      <c r="AQ117" s="2615" t="n"/>
      <c r="AR117" s="2615" t="n"/>
      <c r="AS117" s="2616" t="n"/>
      <c r="AT117" s="1731" t="inlineStr">
        <is>
          <t>Yes</t>
        </is>
      </c>
      <c r="AU117" s="64" t="n"/>
    </row>
    <row r="118" ht="18" customHeight="1">
      <c r="A118" s="511" t="inlineStr">
        <is>
          <t>N)</t>
        </is>
      </c>
      <c r="B118" s="2617" t="n"/>
      <c r="C118" s="1735" t="inlineStr">
        <is>
          <t>Ab¨vb¨ e¨q</t>
        </is>
      </c>
      <c r="D118" s="2614" t="n"/>
      <c r="E118" s="2614" t="n"/>
      <c r="F118" s="2614" t="n"/>
      <c r="G118" s="2614" t="n"/>
      <c r="H118" s="2614" t="n"/>
      <c r="I118" s="2614" t="n"/>
      <c r="J118" s="2617" t="n"/>
      <c r="K118" s="511" t="n">
        <v>5000</v>
      </c>
      <c r="L118" s="2614" t="n"/>
      <c r="M118" s="2617" t="n"/>
      <c r="N118" s="1705" t="n"/>
      <c r="O118" s="1770" t="n"/>
      <c r="P118" s="136" t="n"/>
      <c r="Q118" s="308" t="n"/>
      <c r="R118" s="64" t="n"/>
      <c r="S118" s="64" t="n"/>
      <c r="T118" s="663" t="n"/>
      <c r="U118" s="308" t="n"/>
      <c r="V118" s="64" t="n"/>
      <c r="W118" s="64" t="n"/>
      <c r="X118" s="64" t="n"/>
      <c r="Y118" s="64" t="n"/>
      <c r="Z118" s="64" t="n"/>
      <c r="AA118" s="64" t="n"/>
      <c r="AB118" s="511" t="n">
        <v>8</v>
      </c>
      <c r="AC118" s="2690" t="n"/>
      <c r="AD118" s="2614" t="n"/>
      <c r="AE118" s="2614" t="n"/>
      <c r="AF118" s="2614" t="n"/>
      <c r="AG118" s="2617" t="n"/>
      <c r="AH118" s="2693">
        <f>+#REF!</f>
        <v/>
      </c>
      <c r="AI118" s="2617" t="n"/>
      <c r="AJ118" s="1826">
        <f>IFERROR(+#REF!*(100%+$AT$109),"")</f>
        <v/>
      </c>
      <c r="AK118" s="1924">
        <f>IFERROR(+AH118*AJ118/100000,"")</f>
        <v/>
      </c>
      <c r="AL118" s="2617" t="n"/>
      <c r="AM118" s="1924">
        <f>IFERROR(IF(AT118="yes",+AK118*6,AK118),"")</f>
        <v/>
      </c>
      <c r="AN118" s="2617" t="n"/>
      <c r="AO118" s="64" t="n"/>
      <c r="AP118" s="1828">
        <f>IF(AJ118="","","weµq wK 1 P‡µi?")</f>
        <v/>
      </c>
      <c r="AQ118" s="2615" t="n"/>
      <c r="AR118" s="2615" t="n"/>
      <c r="AS118" s="2616" t="n"/>
      <c r="AT118" s="1731" t="inlineStr">
        <is>
          <t>Yes</t>
        </is>
      </c>
      <c r="AU118" s="64" t="n"/>
    </row>
    <row r="119" ht="18" customHeight="1">
      <c r="A119" s="511" t="inlineStr">
        <is>
          <t>‡gvU</t>
        </is>
      </c>
      <c r="B119" s="2614" t="n"/>
      <c r="C119" s="2614" t="n"/>
      <c r="D119" s="2614" t="n"/>
      <c r="E119" s="2614" t="n"/>
      <c r="F119" s="2614" t="n"/>
      <c r="G119" s="2614" t="n"/>
      <c r="H119" s="2614" t="n"/>
      <c r="I119" s="2614" t="n"/>
      <c r="J119" s="2617" t="n"/>
      <c r="K119" s="1781">
        <f>K115+K116+K117+K118</f>
        <v/>
      </c>
      <c r="L119" s="2614" t="n"/>
      <c r="M119" s="2658" t="n"/>
      <c r="N119" s="1705" t="n"/>
      <c r="O119" s="1770" t="n"/>
      <c r="P119" s="136" t="n"/>
      <c r="Q119" s="308" t="n"/>
      <c r="R119" s="64" t="n"/>
      <c r="S119" s="64" t="n"/>
      <c r="T119" s="663" t="n"/>
      <c r="U119" s="308" t="n"/>
      <c r="V119" s="64" t="n"/>
      <c r="W119" s="64" t="n"/>
      <c r="X119" s="64" t="n"/>
      <c r="Y119" s="64" t="n"/>
      <c r="Z119" s="64" t="n"/>
      <c r="AA119" s="64" t="n"/>
      <c r="AB119" s="511" t="n">
        <v>9</v>
      </c>
      <c r="AC119" s="2690" t="n"/>
      <c r="AD119" s="2614" t="n"/>
      <c r="AE119" s="2614" t="n"/>
      <c r="AF119" s="2614" t="n"/>
      <c r="AG119" s="2617" t="n"/>
      <c r="AH119" s="2693">
        <f>+#REF!</f>
        <v/>
      </c>
      <c r="AI119" s="2617" t="n"/>
      <c r="AJ119" s="1826">
        <f>IFERROR(+#REF!*(100%+$AT$109),"")</f>
        <v/>
      </c>
      <c r="AK119" s="1924">
        <f>IFERROR(+AH119*AJ119/100000,"")</f>
        <v/>
      </c>
      <c r="AL119" s="2617" t="n"/>
      <c r="AM119" s="1924">
        <f>IFERROR(IF(AT119="yes",+AK119*6,AK119),"")</f>
        <v/>
      </c>
      <c r="AN119" s="2617" t="n"/>
      <c r="AO119" s="64" t="n"/>
      <c r="AP119" s="1828">
        <f>IF(AJ119="","","weµq wK 1 P‡µi?")</f>
        <v/>
      </c>
      <c r="AQ119" s="2615" t="n"/>
      <c r="AR119" s="2615" t="n"/>
      <c r="AS119" s="2616" t="n"/>
      <c r="AT119" s="1731" t="inlineStr">
        <is>
          <t>Yes</t>
        </is>
      </c>
      <c r="AU119" s="64" t="n"/>
    </row>
    <row r="120" ht="18" customHeight="1">
      <c r="A120" s="224" t="n"/>
      <c r="B120" s="222" t="n"/>
      <c r="C120" s="222" t="n"/>
      <c r="D120" s="222" t="n"/>
      <c r="E120" s="301" t="n"/>
      <c r="F120" s="301" t="n"/>
      <c r="G120" s="222" t="n"/>
      <c r="H120" s="224" t="n"/>
      <c r="I120" s="301" t="n"/>
      <c r="J120" s="301" t="n"/>
      <c r="K120" s="301" t="n"/>
      <c r="L120" s="301" t="n"/>
      <c r="M120" s="222" t="n"/>
      <c r="N120" s="1705" t="n"/>
      <c r="O120" s="1770" t="n"/>
      <c r="P120" s="136" t="n"/>
      <c r="Q120" s="308" t="n"/>
      <c r="R120" s="64" t="n"/>
      <c r="S120" s="64" t="n"/>
      <c r="T120" s="663" t="n"/>
      <c r="U120" s="308" t="n"/>
      <c r="V120" s="64" t="n"/>
      <c r="W120" s="64" t="n"/>
      <c r="X120" s="64" t="n"/>
      <c r="Y120" s="64" t="n"/>
      <c r="Z120" s="64" t="n"/>
      <c r="AA120" s="64" t="n"/>
      <c r="AB120" s="511" t="n">
        <v>10</v>
      </c>
      <c r="AC120" s="2690" t="n"/>
      <c r="AD120" s="2614" t="n"/>
      <c r="AE120" s="2614" t="n"/>
      <c r="AF120" s="2614" t="n"/>
      <c r="AG120" s="2617" t="n"/>
      <c r="AH120" s="2693">
        <f>+#REF!</f>
        <v/>
      </c>
      <c r="AI120" s="2617" t="n"/>
      <c r="AJ120" s="1826">
        <f>IFERROR(+#REF!*(100%+$AT$109),"")</f>
        <v/>
      </c>
      <c r="AK120" s="1924">
        <f>IFERROR(+AH120*AJ120/100000,"")</f>
        <v/>
      </c>
      <c r="AL120" s="2617" t="n"/>
      <c r="AM120" s="1924">
        <f>IFERROR(IF(AT120="yes",+AK120*6,AK120),"")</f>
        <v/>
      </c>
      <c r="AN120" s="2617" t="n"/>
      <c r="AO120" s="64" t="n"/>
      <c r="AP120" s="1828">
        <f>IF(AJ120="","","weµq wK 1 P‡µi?")</f>
        <v/>
      </c>
      <c r="AQ120" s="2615" t="n"/>
      <c r="AR120" s="2615" t="n"/>
      <c r="AS120" s="2616" t="n"/>
      <c r="AT120" s="1731" t="inlineStr">
        <is>
          <t>Yes</t>
        </is>
      </c>
      <c r="AU120" s="64" t="n"/>
    </row>
    <row r="121" ht="18" customHeight="1">
      <c r="A121" s="1803" t="inlineStr">
        <is>
          <t xml:space="preserve">24 | cwiPvjb e¨q t                                        </t>
        </is>
      </c>
      <c r="B121" s="2615" t="n"/>
      <c r="C121" s="2615" t="n"/>
      <c r="D121" s="2616" t="n"/>
      <c r="E121" s="1805" t="n"/>
      <c r="F121" s="1805" t="n"/>
      <c r="G121" s="1804" t="n"/>
      <c r="H121" s="1803" t="n"/>
      <c r="I121" s="1805" t="n"/>
      <c r="J121" s="1805" t="n"/>
      <c r="K121" s="1805" t="n"/>
      <c r="L121" s="1805" t="n"/>
      <c r="M121" s="1804" t="n"/>
      <c r="N121" s="1705" t="n"/>
      <c r="O121" s="1770" t="n"/>
      <c r="P121" s="136" t="n"/>
      <c r="Q121" s="308" t="n"/>
      <c r="R121" s="64" t="n"/>
      <c r="S121" s="64" t="n"/>
      <c r="T121" s="663" t="n"/>
      <c r="U121" s="308" t="n"/>
      <c r="V121" s="64" t="n"/>
      <c r="W121" s="64" t="n"/>
      <c r="X121" s="64" t="n"/>
      <c r="Y121" s="64" t="n"/>
      <c r="Z121" s="64" t="n"/>
      <c r="AA121" s="64" t="n"/>
      <c r="AB121" s="511" t="inlineStr">
        <is>
          <t>Dc-‡gvU=</t>
        </is>
      </c>
      <c r="AC121" s="2614" t="n"/>
      <c r="AD121" s="2614" t="n"/>
      <c r="AE121" s="2614" t="n"/>
      <c r="AF121" s="2614" t="n"/>
      <c r="AG121" s="2614" t="n"/>
      <c r="AH121" s="2614" t="n"/>
      <c r="AI121" s="2614" t="n"/>
      <c r="AJ121" s="2617" t="n"/>
      <c r="AK121" s="1728">
        <f>SUM(AK101:AL120)</f>
        <v/>
      </c>
      <c r="AL121" s="2658" t="n"/>
      <c r="AM121" s="1728">
        <f>SUM(AM101:AN120)</f>
        <v/>
      </c>
      <c r="AN121" s="2658" t="n"/>
      <c r="AO121" s="64" t="n"/>
      <c r="AP121" s="64" t="n"/>
      <c r="AQ121" s="64" t="n"/>
      <c r="AR121" s="64" t="n"/>
      <c r="AS121" s="64" t="n"/>
      <c r="AT121" s="663" t="n"/>
      <c r="AU121" s="64" t="n"/>
    </row>
    <row r="122" ht="18" customHeight="1">
      <c r="A122" s="224" t="n"/>
      <c r="B122" s="222" t="n"/>
      <c r="C122" s="222" t="n"/>
      <c r="D122" s="222" t="n"/>
      <c r="E122" s="301" t="n"/>
      <c r="F122" s="301" t="n"/>
      <c r="G122" s="222" t="n"/>
      <c r="H122" s="224" t="n"/>
      <c r="I122" s="301" t="n"/>
      <c r="J122" s="301" t="n"/>
      <c r="K122" s="301" t="n"/>
      <c r="L122" s="1845" t="inlineStr">
        <is>
          <t>(jÿ UvKvq)</t>
        </is>
      </c>
      <c r="M122" s="2613" t="n"/>
      <c r="N122" s="1705" t="n"/>
      <c r="O122" s="1770" t="n"/>
      <c r="P122" s="136" t="n"/>
      <c r="Q122" s="308" t="n"/>
      <c r="R122" s="64" t="n"/>
      <c r="S122" s="64" t="n"/>
      <c r="T122" s="663" t="n"/>
      <c r="U122" s="308" t="n"/>
      <c r="V122" s="64" t="n"/>
      <c r="W122" s="64" t="n"/>
      <c r="X122" s="64" t="n"/>
      <c r="Y122" s="64" t="n"/>
      <c r="Z122" s="64" t="n"/>
      <c r="AA122" s="64" t="n"/>
      <c r="AB122" s="224" t="n"/>
      <c r="AC122" s="222" t="n"/>
      <c r="AD122" s="222" t="n"/>
      <c r="AE122" s="222" t="n"/>
      <c r="AF122" s="222" t="n"/>
      <c r="AG122" s="301" t="n"/>
      <c r="AH122" s="222" t="n"/>
      <c r="AI122" s="222" t="n"/>
      <c r="AJ122" s="1847" t="n"/>
      <c r="AK122" s="301" t="n"/>
      <c r="AL122" s="301" t="n"/>
      <c r="AM122" s="301" t="n"/>
      <c r="AN122" s="301" t="n"/>
      <c r="AO122" s="64" t="n"/>
      <c r="AP122" s="64" t="n"/>
      <c r="AQ122" s="64" t="n"/>
      <c r="AR122" s="64" t="n"/>
      <c r="AS122" s="64" t="n"/>
      <c r="AT122" s="663" t="n"/>
      <c r="AU122" s="64" t="n"/>
    </row>
    <row r="123" ht="18" customHeight="1">
      <c r="A123" s="1781" t="inlineStr">
        <is>
          <t>µt bs</t>
        </is>
      </c>
      <c r="B123" s="2658" t="n"/>
      <c r="C123" s="1839" t="inlineStr">
        <is>
          <t>weeib</t>
        </is>
      </c>
      <c r="D123" s="2614" t="n"/>
      <c r="E123" s="2658" t="n"/>
      <c r="F123" s="1732" t="inlineStr">
        <is>
          <t>1g el©</t>
        </is>
      </c>
      <c r="G123" s="2614" t="n"/>
      <c r="H123" s="2614" t="n"/>
      <c r="I123" s="2617" t="n"/>
      <c r="J123" s="1732" t="inlineStr">
        <is>
          <t>2q el©</t>
        </is>
      </c>
      <c r="K123" s="2617" t="n"/>
      <c r="L123" s="1732" t="inlineStr">
        <is>
          <t>3q el©</t>
        </is>
      </c>
      <c r="M123" s="2617" t="n"/>
      <c r="N123" s="1705" t="n"/>
      <c r="O123" s="1770" t="n"/>
      <c r="P123" s="136" t="n"/>
      <c r="Q123" s="308" t="n"/>
      <c r="R123" s="64" t="n"/>
      <c r="S123" s="64" t="n"/>
      <c r="T123" s="663" t="n"/>
      <c r="U123" s="308" t="n"/>
      <c r="V123" s="64" t="n"/>
      <c r="W123" s="64" t="n"/>
      <c r="X123" s="64" t="n"/>
      <c r="Y123" s="64" t="n"/>
      <c r="Z123" s="64" t="n"/>
      <c r="AA123" s="64" t="n"/>
      <c r="AB123" s="1848" t="inlineStr">
        <is>
          <t>jvfÑ‡jvKmvb weeiYx</t>
        </is>
      </c>
      <c r="AO123" s="64" t="n"/>
      <c r="AP123" s="64" t="n"/>
      <c r="AQ123" s="64" t="n"/>
      <c r="AR123" s="64" t="n"/>
      <c r="AS123" s="64" t="n"/>
      <c r="AT123" s="663" t="n"/>
      <c r="AU123" s="64" t="n"/>
    </row>
    <row r="124" ht="18" customHeight="1">
      <c r="A124" s="511" t="n">
        <v>1</v>
      </c>
      <c r="B124" s="2617" t="n"/>
      <c r="C124" s="1735" t="inlineStr">
        <is>
          <t>KuvPvgvj</t>
        </is>
      </c>
      <c r="D124" s="2614" t="n"/>
      <c r="E124" s="2617" t="n"/>
      <c r="F124" s="1795">
        <f>Q124</f>
        <v/>
      </c>
      <c r="G124" s="2614" t="n"/>
      <c r="H124" s="2614" t="n"/>
      <c r="I124" s="2617" t="n"/>
      <c r="J124" s="1795">
        <f>F124</f>
        <v/>
      </c>
      <c r="K124" s="2617" t="n"/>
      <c r="L124" s="1795">
        <f>J124</f>
        <v/>
      </c>
      <c r="M124" s="2617" t="n"/>
      <c r="N124" s="1705" t="n"/>
      <c r="O124" s="1770" t="n"/>
      <c r="P124" s="136" t="n"/>
      <c r="Q124" s="1852">
        <f>L80/100000</f>
        <v/>
      </c>
      <c r="U124" s="308" t="n"/>
      <c r="V124" s="64" t="n"/>
      <c r="W124" s="64" t="n"/>
      <c r="X124" s="64" t="n"/>
      <c r="Y124" s="64" t="n"/>
      <c r="Z124" s="64" t="n"/>
      <c r="AA124" s="64" t="n"/>
      <c r="AB124" s="1724" t="inlineStr">
        <is>
          <t>µt bs</t>
        </is>
      </c>
      <c r="AC124" s="1725" t="inlineStr">
        <is>
          <t>weeiY</t>
        </is>
      </c>
      <c r="AD124" s="2614" t="n"/>
      <c r="AE124" s="2614" t="n"/>
      <c r="AF124" s="2614" t="n"/>
      <c r="AG124" s="2614" t="n"/>
      <c r="AH124" s="2614" t="n"/>
      <c r="AI124" s="2617" t="n"/>
      <c r="AJ124" s="1855" t="inlineStr">
        <is>
          <t>1 eQ‡ii</t>
        </is>
      </c>
      <c r="AK124" s="2614" t="n"/>
      <c r="AL124" s="2614" t="n"/>
      <c r="AM124" s="2614" t="n"/>
      <c r="AN124" s="2658" t="n"/>
      <c r="AO124" s="64" t="n"/>
      <c r="AP124" s="64" t="n"/>
      <c r="AQ124" s="64" t="n"/>
      <c r="AR124" s="64" t="n"/>
      <c r="AS124" s="64" t="n"/>
      <c r="AT124" s="663" t="n"/>
      <c r="AU124" s="64" t="n"/>
    </row>
    <row r="125" ht="18" customHeight="1">
      <c r="A125" s="511" t="n">
        <v>2</v>
      </c>
      <c r="B125" s="2617" t="n"/>
      <c r="C125" s="1735" t="inlineStr">
        <is>
          <t>‡eZb I gRyix</t>
        </is>
      </c>
      <c r="D125" s="2614" t="n"/>
      <c r="E125" s="2617" t="n"/>
      <c r="F125" s="1795">
        <f>Q125</f>
        <v/>
      </c>
      <c r="G125" s="2614" t="n"/>
      <c r="H125" s="2614" t="n"/>
      <c r="I125" s="2617" t="n"/>
      <c r="J125" s="1795">
        <f>F125</f>
        <v/>
      </c>
      <c r="K125" s="2617" t="n"/>
      <c r="L125" s="1795">
        <f>J125</f>
        <v/>
      </c>
      <c r="M125" s="2617" t="n"/>
      <c r="N125" s="1705" t="n"/>
      <c r="O125" s="1770" t="n"/>
      <c r="P125" s="136" t="n"/>
      <c r="Q125" s="1852">
        <f>(L109-L108)/100000</f>
        <v/>
      </c>
      <c r="U125" s="308" t="n"/>
      <c r="V125" s="64" t="n"/>
      <c r="W125" s="64" t="n"/>
      <c r="X125" s="64" t="n"/>
      <c r="Y125" s="64" t="n"/>
      <c r="Z125" s="64" t="n"/>
      <c r="AA125" s="64" t="n"/>
      <c r="AB125" s="136" t="n"/>
      <c r="AC125" s="64" t="n"/>
      <c r="AD125" s="64" t="n"/>
      <c r="AE125" s="64" t="n"/>
      <c r="AF125" s="64" t="n"/>
      <c r="AG125" s="308" t="n"/>
      <c r="AH125" s="64" t="n"/>
      <c r="AI125" s="64" t="n"/>
      <c r="AJ125" s="1857" t="n"/>
      <c r="AK125" s="2614" t="n"/>
      <c r="AL125" s="2614" t="n"/>
      <c r="AM125" s="2614" t="n"/>
      <c r="AN125" s="2658" t="n"/>
      <c r="AO125" s="64" t="n"/>
      <c r="AP125" s="64" t="n"/>
      <c r="AQ125" s="64" t="n"/>
      <c r="AR125" s="64" t="n"/>
      <c r="AS125" s="64" t="n"/>
      <c r="AT125" s="663" t="n"/>
      <c r="AU125" s="64" t="n"/>
    </row>
    <row r="126" ht="18" customHeight="1">
      <c r="A126" s="511" t="n">
        <v>3</v>
      </c>
      <c r="B126" s="2617" t="n"/>
      <c r="C126" s="1735" t="inlineStr">
        <is>
          <t>cvwb, we`y¨r, M¨vm</t>
        </is>
      </c>
      <c r="D126" s="2614" t="n"/>
      <c r="E126" s="2617" t="n"/>
      <c r="F126" s="1795">
        <f>Q126</f>
        <v/>
      </c>
      <c r="G126" s="2614" t="n"/>
      <c r="H126" s="2614" t="n"/>
      <c r="I126" s="2617" t="n"/>
      <c r="J126" s="1795">
        <f>F126</f>
        <v/>
      </c>
      <c r="K126" s="2617" t="n"/>
      <c r="L126" s="1795">
        <f>J126</f>
        <v/>
      </c>
      <c r="M126" s="2617" t="n"/>
      <c r="N126" s="1705" t="n"/>
      <c r="O126" s="1770" t="n"/>
      <c r="P126" s="136" t="n"/>
      <c r="Q126" s="1852">
        <f>L108/100000</f>
        <v/>
      </c>
      <c r="U126" s="308" t="n"/>
      <c r="V126" s="64" t="n"/>
      <c r="W126" s="64" t="n"/>
      <c r="X126" s="64" t="n"/>
      <c r="Y126" s="64" t="n"/>
      <c r="Z126" s="64" t="n"/>
      <c r="AA126" s="64" t="n"/>
      <c r="AB126" s="1860" t="n">
        <v>1</v>
      </c>
      <c r="AC126" s="1861" t="inlineStr">
        <is>
          <t>†gvU weµq n‡Z Avq</t>
        </is>
      </c>
      <c r="AD126" s="2694" t="n"/>
      <c r="AE126" s="2694" t="n"/>
      <c r="AF126" s="2694" t="n"/>
      <c r="AG126" s="2694" t="n"/>
      <c r="AH126" s="2694" t="n"/>
      <c r="AI126" s="2669" t="n"/>
      <c r="AJ126" s="1865">
        <f>+AM121</f>
        <v/>
      </c>
      <c r="AK126" s="2694" t="n"/>
      <c r="AL126" s="2694" t="n"/>
      <c r="AM126" s="2694" t="n"/>
      <c r="AN126" s="2669" t="n"/>
      <c r="AO126" s="64" t="n"/>
      <c r="AP126" s="64" t="n"/>
      <c r="AQ126" s="64" t="n"/>
      <c r="AR126" s="64" t="n"/>
      <c r="AS126" s="64" t="n"/>
      <c r="AT126" s="663" t="n"/>
      <c r="AU126" s="64" t="n"/>
    </row>
    <row r="127" ht="18" customHeight="1">
      <c r="A127" s="511" t="inlineStr">
        <is>
          <t>‡gvU</t>
        </is>
      </c>
      <c r="B127" s="2614" t="n"/>
      <c r="C127" s="2614" t="n"/>
      <c r="D127" s="2614" t="n"/>
      <c r="E127" s="2617" t="n"/>
      <c r="F127" s="1795">
        <f>F124+F125+F126</f>
        <v/>
      </c>
      <c r="G127" s="2614" t="n"/>
      <c r="H127" s="2614" t="n"/>
      <c r="I127" s="2617" t="n"/>
      <c r="J127" s="1795">
        <f>F127</f>
        <v/>
      </c>
      <c r="K127" s="2617" t="n"/>
      <c r="L127" s="1795">
        <f>J127</f>
        <v/>
      </c>
      <c r="M127" s="2617" t="n"/>
      <c r="N127" s="1705" t="n"/>
      <c r="O127" s="1945" t="n"/>
      <c r="P127" s="136" t="n"/>
      <c r="Q127" s="308" t="n"/>
      <c r="R127" s="64" t="n"/>
      <c r="S127" s="64" t="n"/>
      <c r="T127" s="663" t="n"/>
      <c r="U127" s="308" t="n"/>
      <c r="V127" s="64" t="n"/>
      <c r="W127" s="64" t="n"/>
      <c r="X127" s="64" t="n"/>
      <c r="Y127" s="64" t="n"/>
      <c r="Z127" s="64" t="n"/>
      <c r="AA127" s="64" t="n"/>
      <c r="AB127" s="1868" t="n"/>
      <c r="AC127" s="2695" t="inlineStr">
        <is>
          <t>cY¨ µq</t>
        </is>
      </c>
      <c r="AI127" s="2641" t="n"/>
      <c r="AJ127" s="2696">
        <f>-#REF!</f>
        <v/>
      </c>
      <c r="AK127" s="2613" t="n"/>
      <c r="AL127" s="2613" t="n"/>
      <c r="AM127" s="2613" t="n"/>
      <c r="AN127" s="2649" t="n"/>
      <c r="AO127" s="64" t="n"/>
      <c r="AP127" s="64" t="n"/>
      <c r="AQ127" s="64" t="n"/>
      <c r="AR127" s="64" t="n"/>
      <c r="AS127" s="64" t="n"/>
      <c r="AT127" s="663" t="n"/>
      <c r="AU127" s="64" t="n"/>
    </row>
    <row r="128" ht="18" customHeight="1">
      <c r="A128" s="1563" t="n"/>
      <c r="B128" s="63" t="n"/>
      <c r="C128" s="63" t="n"/>
      <c r="D128" s="63" t="n"/>
      <c r="E128" s="308" t="n"/>
      <c r="F128" s="308" t="n"/>
      <c r="G128" s="354" t="n"/>
      <c r="H128" s="65" t="n"/>
      <c r="I128" s="66" t="n"/>
      <c r="J128" s="66" t="n"/>
      <c r="K128" s="66" t="n"/>
      <c r="L128" s="66" t="n"/>
      <c r="M128" s="63" t="n"/>
      <c r="N128" s="1705" t="n"/>
      <c r="O128" s="1945" t="n"/>
      <c r="P128" s="136" t="n"/>
      <c r="Q128" s="308" t="n"/>
      <c r="R128" s="64" t="n"/>
      <c r="S128" s="64" t="n"/>
      <c r="T128" s="663" t="n"/>
      <c r="U128" s="308" t="n"/>
      <c r="V128" s="64" t="n"/>
      <c r="W128" s="64" t="n"/>
      <c r="X128" s="64" t="n"/>
      <c r="Y128" s="64" t="n"/>
      <c r="Z128" s="64" t="n"/>
      <c r="AA128" s="64" t="n"/>
      <c r="AB128" s="1860" t="n">
        <v>2</v>
      </c>
      <c r="AC128" s="1861" t="inlineStr">
        <is>
          <t>†gvU gybvdv</t>
        </is>
      </c>
      <c r="AD128" s="2694" t="n"/>
      <c r="AE128" s="2694" t="n"/>
      <c r="AF128" s="2694" t="n"/>
      <c r="AG128" s="2694" t="n"/>
      <c r="AH128" s="2694" t="n"/>
      <c r="AI128" s="2669" t="n"/>
      <c r="AJ128" s="1874">
        <f>SUM(AJ126:AN127)</f>
        <v/>
      </c>
      <c r="AK128" s="2694" t="n"/>
      <c r="AL128" s="2694" t="n"/>
      <c r="AM128" s="2694" t="n"/>
      <c r="AN128" s="2669" t="n"/>
      <c r="AO128" s="64" t="n"/>
      <c r="AP128" s="64" t="n"/>
      <c r="AQ128" s="64" t="n"/>
      <c r="AR128" s="64" t="n"/>
      <c r="AS128" s="64" t="n"/>
      <c r="AT128" s="663" t="n"/>
      <c r="AU128" s="64" t="n"/>
    </row>
    <row r="129" ht="18" customHeight="1">
      <c r="A129" s="1803" t="inlineStr">
        <is>
          <t xml:space="preserve">25 | Avw_©K e¨q t                                      </t>
        </is>
      </c>
      <c r="B129" s="2615" t="n"/>
      <c r="C129" s="2615" t="n"/>
      <c r="D129" s="2616" t="n"/>
      <c r="E129" s="1805" t="n"/>
      <c r="F129" s="1805" t="n"/>
      <c r="G129" s="1804" t="n"/>
      <c r="H129" s="1803" t="n"/>
      <c r="I129" s="1805" t="n"/>
      <c r="J129" s="1805" t="n"/>
      <c r="K129" s="1805" t="n"/>
      <c r="L129" s="1805" t="n"/>
      <c r="M129" s="1804" t="n"/>
      <c r="N129" s="1705" t="n"/>
      <c r="O129" s="1945" t="n"/>
      <c r="P129" s="136" t="n"/>
      <c r="Q129" s="308" t="n"/>
      <c r="R129" s="64" t="n"/>
      <c r="S129" s="64" t="n"/>
      <c r="T129" s="663" t="n"/>
      <c r="U129" s="308" t="n"/>
      <c r="V129" s="64" t="n"/>
      <c r="W129" s="64" t="n"/>
      <c r="X129" s="64" t="n"/>
      <c r="Y129" s="64" t="n"/>
      <c r="Z129" s="64" t="n"/>
      <c r="AA129" s="64" t="n"/>
      <c r="AB129" s="1868" t="n"/>
      <c r="AC129" s="2695" t="inlineStr">
        <is>
          <t>cwiPvjb e¨q</t>
        </is>
      </c>
      <c r="AI129" s="2641" t="n"/>
      <c r="AJ129" s="2697">
        <f>-AM88</f>
        <v/>
      </c>
      <c r="AN129" s="2641" t="n"/>
      <c r="AO129" s="64" t="n"/>
      <c r="AP129" s="64" t="n"/>
      <c r="AQ129" s="64" t="n"/>
      <c r="AR129" s="64" t="n"/>
      <c r="AS129" s="64" t="n"/>
      <c r="AT129" s="663" t="n"/>
      <c r="AU129" s="64" t="n"/>
    </row>
    <row r="130" ht="18" customHeight="1">
      <c r="A130" s="224" t="n"/>
      <c r="B130" s="222" t="n"/>
      <c r="C130" s="222" t="n"/>
      <c r="D130" s="222" t="n"/>
      <c r="E130" s="301" t="n"/>
      <c r="F130" s="301" t="n"/>
      <c r="G130" s="222" t="n"/>
      <c r="H130" s="224" t="n"/>
      <c r="I130" s="301" t="n"/>
      <c r="J130" s="301" t="n"/>
      <c r="K130" s="301" t="n"/>
      <c r="L130" s="1845" t="inlineStr">
        <is>
          <t>(jÿ UvKvq)</t>
        </is>
      </c>
      <c r="M130" s="2613" t="n"/>
      <c r="N130" s="1705" t="n"/>
      <c r="O130" s="1945" t="n"/>
      <c r="P130" s="136" t="n"/>
      <c r="Q130" s="308" t="n"/>
      <c r="R130" s="64" t="n"/>
      <c r="S130" s="64" t="n"/>
      <c r="T130" s="663" t="n"/>
      <c r="U130" s="308" t="n"/>
      <c r="V130" s="64" t="n"/>
      <c r="W130" s="64" t="n"/>
      <c r="X130" s="64" t="n"/>
      <c r="Y130" s="64" t="n"/>
      <c r="Z130" s="64" t="n"/>
      <c r="AA130" s="64" t="n"/>
      <c r="AB130" s="1877" t="n"/>
      <c r="AC130" s="2698" t="inlineStr">
        <is>
          <t>cÖkvmwbK I evRviRvZ e¨q</t>
        </is>
      </c>
      <c r="AD130" s="2613" t="n"/>
      <c r="AE130" s="2613" t="n"/>
      <c r="AF130" s="2613" t="n"/>
      <c r="AG130" s="2613" t="n"/>
      <c r="AH130" s="2613" t="n"/>
      <c r="AI130" s="2649" t="n"/>
      <c r="AJ130" s="2699">
        <f>-AM96</f>
        <v/>
      </c>
      <c r="AK130" s="2613" t="n"/>
      <c r="AL130" s="2613" t="n"/>
      <c r="AM130" s="2613" t="n"/>
      <c r="AN130" s="2649" t="n"/>
      <c r="AO130" s="64" t="n"/>
      <c r="AP130" s="64" t="n"/>
      <c r="AQ130" s="64" t="n"/>
      <c r="AR130" s="64" t="n"/>
      <c r="AS130" s="64" t="n"/>
      <c r="AT130" s="663" t="n"/>
      <c r="AU130" s="64" t="n"/>
    </row>
    <row r="131" ht="18" customHeight="1">
      <c r="A131" s="1883" t="inlineStr">
        <is>
          <t>µt bs</t>
        </is>
      </c>
      <c r="B131" s="2658" t="n"/>
      <c r="C131" s="1839" t="inlineStr">
        <is>
          <t>weeib</t>
        </is>
      </c>
      <c r="D131" s="2614" t="n"/>
      <c r="E131" s="2658" t="n"/>
      <c r="F131" s="1732" t="inlineStr">
        <is>
          <t>1g el©</t>
        </is>
      </c>
      <c r="G131" s="2614" t="n"/>
      <c r="H131" s="2614" t="n"/>
      <c r="I131" s="2617" t="n"/>
      <c r="J131" s="1732" t="inlineStr">
        <is>
          <t>2q el©</t>
        </is>
      </c>
      <c r="K131" s="2617" t="n"/>
      <c r="L131" s="1732" t="inlineStr">
        <is>
          <t>3q el©</t>
        </is>
      </c>
      <c r="M131" s="2617" t="n"/>
      <c r="N131" s="1705" t="n"/>
      <c r="O131" s="1945" t="n"/>
      <c r="P131" s="136" t="n"/>
      <c r="Q131" s="308" t="n"/>
      <c r="R131" s="64" t="n"/>
      <c r="S131" s="64" t="n"/>
      <c r="T131" s="663" t="n"/>
      <c r="U131" s="308" t="n"/>
      <c r="V131" s="64" t="n"/>
      <c r="W131" s="64" t="n"/>
      <c r="X131" s="64" t="n"/>
      <c r="Y131" s="64" t="n"/>
      <c r="Z131" s="64" t="n"/>
      <c r="AA131" s="64" t="n"/>
      <c r="AB131" s="1885" t="n">
        <v>3</v>
      </c>
      <c r="AC131" s="1886" t="inlineStr">
        <is>
          <t>Acv‡iwUs gybvdv</t>
        </is>
      </c>
      <c r="AD131" s="2615" t="n"/>
      <c r="AE131" s="2615" t="n"/>
      <c r="AF131" s="2615" t="n"/>
      <c r="AG131" s="2615" t="n"/>
      <c r="AH131" s="2615" t="n"/>
      <c r="AI131" s="2616" t="n"/>
      <c r="AJ131" s="1874">
        <f>SUM(AJ128:AN130)</f>
        <v/>
      </c>
      <c r="AK131" s="2694" t="n"/>
      <c r="AL131" s="2694" t="n"/>
      <c r="AM131" s="2694" t="n"/>
      <c r="AN131" s="2669" t="n"/>
      <c r="AO131" s="64" t="n"/>
      <c r="AP131" s="64" t="n"/>
      <c r="AQ131" s="64" t="n"/>
      <c r="AR131" s="64" t="n"/>
      <c r="AS131" s="64" t="n"/>
      <c r="AT131" s="663" t="n"/>
      <c r="AU131" s="64" t="n"/>
    </row>
    <row r="132" ht="18" customHeight="1">
      <c r="A132" s="511" t="n">
        <v>1</v>
      </c>
      <c r="B132" s="2617" t="n"/>
      <c r="C132" s="716" t="inlineStr">
        <is>
          <t>bM` cuywR Fb (my`)</t>
        </is>
      </c>
      <c r="D132" s="2614" t="n"/>
      <c r="E132" s="2617" t="n"/>
      <c r="F132" s="1795">
        <f>Q132</f>
        <v/>
      </c>
      <c r="G132" s="2614" t="n"/>
      <c r="H132" s="2614" t="n"/>
      <c r="I132" s="2617" t="n"/>
      <c r="J132" s="1795">
        <f>F132</f>
        <v/>
      </c>
      <c r="K132" s="2617" t="n"/>
      <c r="L132" s="1795">
        <f>J132</f>
        <v/>
      </c>
      <c r="M132" s="2617" t="n"/>
      <c r="N132" s="1705" t="n"/>
      <c r="O132" s="1945" t="n"/>
      <c r="P132" s="136" t="n"/>
      <c r="Q132" s="1852">
        <f>L55*H64</f>
        <v/>
      </c>
      <c r="U132" s="1613">
        <f>L55*H64*4/12</f>
        <v/>
      </c>
      <c r="V132" s="64" t="n"/>
      <c r="W132" s="64" t="n"/>
      <c r="X132" s="64" t="n"/>
      <c r="Y132" s="64" t="n"/>
      <c r="Z132" s="64" t="n"/>
      <c r="AA132" s="64" t="n"/>
      <c r="AB132" s="1877" t="n"/>
      <c r="AC132" s="2698" t="inlineStr">
        <is>
          <t>Avw_©K e¨q</t>
        </is>
      </c>
      <c r="AD132" s="2613" t="n"/>
      <c r="AE132" s="2613" t="n"/>
      <c r="AF132" s="2613" t="n"/>
      <c r="AG132" s="2613" t="n"/>
      <c r="AH132" s="2613" t="n"/>
      <c r="AI132" s="2649" t="n"/>
      <c r="AJ132" s="2699">
        <f>-AM105</f>
        <v/>
      </c>
      <c r="AK132" s="2613" t="n"/>
      <c r="AL132" s="2613" t="n"/>
      <c r="AM132" s="2613" t="n"/>
      <c r="AN132" s="2649" t="n"/>
      <c r="AO132" s="64" t="n"/>
      <c r="AP132" s="64" t="n"/>
      <c r="AQ132" s="64" t="n"/>
      <c r="AR132" s="64" t="n"/>
      <c r="AS132" s="64" t="n"/>
      <c r="AT132" s="663" t="n"/>
      <c r="AU132" s="64" t="n"/>
    </row>
    <row r="133" ht="18" customHeight="1">
      <c r="A133" s="1563" t="n"/>
      <c r="B133" s="63" t="n"/>
      <c r="C133" s="63" t="n"/>
      <c r="D133" s="63" t="n"/>
      <c r="E133" s="308" t="n"/>
      <c r="F133" s="308" t="n"/>
      <c r="G133" s="354" t="n"/>
      <c r="H133" s="65" t="n"/>
      <c r="I133" s="66" t="n"/>
      <c r="J133" s="66" t="n"/>
      <c r="K133" s="66" t="n"/>
      <c r="L133" s="66" t="n"/>
      <c r="M133" s="63" t="n"/>
      <c r="N133" s="1705" t="n"/>
      <c r="O133" s="1945" t="n"/>
      <c r="P133" s="136" t="n"/>
      <c r="Q133" s="308" t="n"/>
      <c r="R133" s="64" t="n"/>
      <c r="S133" s="64" t="n"/>
      <c r="T133" s="663" t="n"/>
      <c r="U133" s="308" t="n"/>
      <c r="V133" s="64" t="n"/>
      <c r="W133" s="64" t="n"/>
      <c r="X133" s="64" t="n"/>
      <c r="Y133" s="64" t="n"/>
      <c r="Z133" s="64" t="n"/>
      <c r="AA133" s="64" t="n"/>
      <c r="AB133" s="1724" t="n">
        <v>4</v>
      </c>
      <c r="AC133" s="1891" t="inlineStr">
        <is>
          <t>cÖK…Z gybvdv</t>
        </is>
      </c>
      <c r="AD133" s="2614" t="n"/>
      <c r="AE133" s="2614" t="n"/>
      <c r="AF133" s="2614" t="n"/>
      <c r="AG133" s="2614" t="n"/>
      <c r="AH133" s="2614" t="n"/>
      <c r="AI133" s="2617" t="n"/>
      <c r="AJ133" s="1855">
        <f>SUM(AJ131:AN132)</f>
        <v/>
      </c>
      <c r="AK133" s="2614" t="n"/>
      <c r="AL133" s="2614" t="n"/>
      <c r="AM133" s="2614" t="n"/>
      <c r="AN133" s="2658" t="n"/>
      <c r="AO133" s="64" t="n"/>
      <c r="AP133" s="64" t="n"/>
      <c r="AQ133" s="64" t="n"/>
      <c r="AR133" s="64" t="n"/>
      <c r="AS133" s="64" t="n"/>
      <c r="AT133" s="663" t="n"/>
      <c r="AU133" s="64" t="n"/>
    </row>
    <row r="134" ht="18" customHeight="1">
      <c r="A134" s="1563" t="n"/>
      <c r="B134" s="63" t="n"/>
      <c r="C134" s="63" t="n"/>
      <c r="D134" s="63" t="n"/>
      <c r="E134" s="308" t="n"/>
      <c r="F134" s="308" t="n"/>
      <c r="G134" s="354" t="n"/>
      <c r="H134" s="65" t="n"/>
      <c r="I134" s="66" t="n"/>
      <c r="J134" s="66" t="n"/>
      <c r="K134" s="66" t="n"/>
      <c r="L134" s="66" t="n"/>
      <c r="M134" s="63" t="n"/>
      <c r="N134" s="1705" t="n"/>
      <c r="O134" s="1945" t="n"/>
      <c r="P134" s="136" t="n"/>
      <c r="Q134" s="308" t="n"/>
      <c r="R134" s="64" t="n"/>
      <c r="S134" s="64" t="n"/>
      <c r="T134" s="663" t="n"/>
      <c r="U134" s="308" t="n"/>
      <c r="V134" s="64" t="n"/>
      <c r="W134" s="64" t="n"/>
      <c r="X134" s="64" t="n"/>
      <c r="Y134" s="64" t="n"/>
      <c r="Z134" s="64" t="n"/>
      <c r="AA134" s="64" t="n"/>
      <c r="AB134" s="136" t="n"/>
      <c r="AC134" s="64" t="n"/>
      <c r="AD134" s="64" t="n"/>
      <c r="AE134" s="64" t="n"/>
      <c r="AF134" s="64" t="n"/>
      <c r="AG134" s="308" t="n"/>
      <c r="AH134" s="64" t="n"/>
      <c r="AI134" s="64" t="n"/>
      <c r="AJ134" s="663" t="n"/>
      <c r="AK134" s="308" t="n"/>
      <c r="AL134" s="663" t="n"/>
      <c r="AM134" s="308" t="n"/>
      <c r="AN134" s="64" t="n"/>
      <c r="AO134" s="64" t="n"/>
      <c r="AP134" s="64" t="n"/>
      <c r="AQ134" s="64" t="n"/>
      <c r="AR134" s="64" t="n"/>
      <c r="AS134" s="64" t="n"/>
      <c r="AT134" s="663" t="n"/>
      <c r="AU134" s="64" t="n"/>
    </row>
    <row r="135" ht="18" customHeight="1">
      <c r="A135" s="1708" t="inlineStr">
        <is>
          <t xml:space="preserve">26 | AbyzwgZ Avq ( 60 w`‡b) t </t>
        </is>
      </c>
      <c r="B135" s="2615" t="n"/>
      <c r="C135" s="2615" t="n"/>
      <c r="D135" s="2615" t="n"/>
      <c r="E135" s="2615" t="n"/>
      <c r="F135" s="2615" t="n"/>
      <c r="G135" s="2615" t="n"/>
      <c r="H135" s="2615" t="n"/>
      <c r="I135" s="2615" t="n"/>
      <c r="J135" s="2615" t="n"/>
      <c r="K135" s="2615" t="n"/>
      <c r="L135" s="2615" t="n"/>
      <c r="M135" s="2616" t="n"/>
      <c r="N135" s="1705" t="n"/>
      <c r="O135" s="1945" t="n"/>
      <c r="P135" s="136" t="n"/>
      <c r="Q135" s="308" t="n"/>
      <c r="R135" s="64" t="n"/>
      <c r="S135" s="64" t="n"/>
      <c r="T135" s="663" t="n"/>
      <c r="U135" s="308" t="n"/>
      <c r="V135" s="64" t="n"/>
      <c r="W135" s="64" t="n"/>
      <c r="X135" s="64" t="n"/>
      <c r="Y135" s="64" t="n"/>
      <c r="Z135" s="64" t="n"/>
      <c r="AA135" s="64" t="n"/>
      <c r="AB135" s="1894" t="inlineStr">
        <is>
          <t>AvbygvwbK bM` †jb‡`b cÖevn (UvBW Avc wcwiqW /m¤^bq P‡µi wfwË‡Z )</t>
        </is>
      </c>
      <c r="AC135" s="2615" t="n"/>
      <c r="AD135" s="2615" t="n"/>
      <c r="AE135" s="2615" t="n"/>
      <c r="AF135" s="2615" t="n"/>
      <c r="AG135" s="2615" t="n"/>
      <c r="AH135" s="2615" t="n"/>
      <c r="AI135" s="2615" t="n"/>
      <c r="AJ135" s="2615" t="n"/>
      <c r="AK135" s="2615" t="n"/>
      <c r="AL135" s="2615" t="n"/>
      <c r="AM135" s="2615" t="n"/>
      <c r="AN135" s="2616" t="n"/>
      <c r="AO135" s="64" t="n"/>
      <c r="AP135" s="64" t="n"/>
      <c r="AQ135" s="64" t="n"/>
      <c r="AR135" s="64" t="n"/>
      <c r="AS135" s="64" t="n"/>
      <c r="AT135" s="663" t="n"/>
      <c r="AU135" s="64" t="n"/>
    </row>
    <row r="136" ht="18" customHeight="1">
      <c r="A136" s="1898" t="inlineStr">
        <is>
          <t>(UvKvq)</t>
        </is>
      </c>
      <c r="B136" s="2613" t="n"/>
      <c r="C136" s="2613" t="n"/>
      <c r="D136" s="2613" t="n"/>
      <c r="E136" s="2613" t="n"/>
      <c r="F136" s="2613" t="n"/>
      <c r="G136" s="2613" t="n"/>
      <c r="H136" s="2613" t="n"/>
      <c r="I136" s="2613" t="n"/>
      <c r="J136" s="2613" t="n"/>
      <c r="K136" s="2613" t="n"/>
      <c r="L136" s="2613" t="n"/>
      <c r="M136" s="2613" t="n"/>
      <c r="N136" s="1705" t="n"/>
      <c r="O136" s="1945" t="n"/>
      <c r="P136" s="136" t="n"/>
      <c r="Q136" s="308" t="n"/>
      <c r="R136" s="64" t="n"/>
      <c r="S136" s="64" t="n"/>
      <c r="T136" s="663" t="n"/>
      <c r="U136" s="308" t="n"/>
      <c r="V136" s="64" t="n"/>
      <c r="W136" s="64" t="n"/>
      <c r="X136" s="64" t="n"/>
      <c r="Y136" s="64" t="n"/>
      <c r="Z136" s="64" t="n"/>
      <c r="AA136" s="64" t="n"/>
      <c r="AB136" s="136" t="n"/>
      <c r="AC136" s="64" t="n"/>
      <c r="AD136" s="64" t="n"/>
      <c r="AE136" s="64" t="n"/>
      <c r="AF136" s="64" t="n"/>
      <c r="AG136" s="308" t="n"/>
      <c r="AH136" s="64" t="n"/>
      <c r="AI136" s="64" t="n"/>
      <c r="AJ136" s="663" t="n"/>
      <c r="AK136" s="308" t="n"/>
      <c r="AL136" s="663" t="n"/>
      <c r="AM136" s="308" t="n"/>
      <c r="AN136" s="64" t="n"/>
      <c r="AO136" s="64" t="n"/>
      <c r="AP136" s="64" t="n"/>
      <c r="AQ136" s="64" t="n"/>
      <c r="AR136" s="64" t="n"/>
      <c r="AS136" s="64" t="n"/>
      <c r="AT136" s="663" t="n"/>
      <c r="AU136" s="64" t="n"/>
    </row>
    <row r="137" ht="18" customHeight="1">
      <c r="A137" s="1781" t="inlineStr">
        <is>
          <t>µt bs</t>
        </is>
      </c>
      <c r="B137" s="2658" t="n"/>
      <c r="C137" s="1725" t="inlineStr">
        <is>
          <t>weeiY</t>
        </is>
      </c>
      <c r="D137" s="2617" t="n"/>
      <c r="E137" s="1728" t="inlineStr">
        <is>
          <t>cwigvb
(cÖwZ BDwbU)</t>
        </is>
      </c>
      <c r="F137" s="2614" t="n"/>
      <c r="G137" s="2658" t="n"/>
      <c r="H137" s="1724" t="inlineStr">
        <is>
          <t>`i</t>
        </is>
      </c>
      <c r="I137" s="1728" t="inlineStr">
        <is>
          <t>‡gvU gyj¨ 60 w`‡bi</t>
        </is>
      </c>
      <c r="J137" s="2614" t="n"/>
      <c r="K137" s="2658" t="n"/>
      <c r="L137" s="1728" t="inlineStr">
        <is>
          <t>‡gvU g~j¨ 1 eQ‡ii</t>
        </is>
      </c>
      <c r="M137" s="2658" t="n"/>
      <c r="N137" s="1705" t="n"/>
      <c r="O137" s="1945" t="n"/>
      <c r="P137" s="746" t="inlineStr">
        <is>
          <t>jv‡fi nvi (%)</t>
        </is>
      </c>
      <c r="Q137" s="1901" t="n"/>
      <c r="R137" s="1901" t="n"/>
      <c r="S137" s="1902" t="n"/>
      <c r="T137" s="1733" t="n">
        <v>0.1</v>
      </c>
      <c r="U137" s="308" t="n"/>
      <c r="V137" s="64" t="n"/>
      <c r="W137" s="64" t="n"/>
      <c r="X137" s="64" t="n"/>
      <c r="Y137" s="64" t="n"/>
      <c r="Z137" s="301" t="n"/>
      <c r="AA137" s="64" t="n"/>
      <c r="AB137" s="1903" t="inlineStr">
        <is>
          <t>K) AvšÍtcÖevn t</t>
        </is>
      </c>
      <c r="AC137" s="2615" t="n"/>
      <c r="AD137" s="2615" t="n"/>
      <c r="AE137" s="2615" t="n"/>
      <c r="AF137" s="2615" t="n"/>
      <c r="AG137" s="2615" t="n"/>
      <c r="AH137" s="2615" t="n"/>
      <c r="AI137" s="2615" t="n"/>
      <c r="AJ137" s="2615" t="n"/>
      <c r="AK137" s="2615" t="n"/>
      <c r="AL137" s="2615" t="n"/>
      <c r="AM137" s="2615" t="n"/>
      <c r="AN137" s="2616" t="n"/>
      <c r="AO137" s="64" t="n"/>
      <c r="AP137" s="64" t="n"/>
      <c r="AQ137" s="64" t="n"/>
      <c r="AR137" s="64" t="n"/>
      <c r="AS137" s="64" t="n"/>
      <c r="AT137" s="663" t="n"/>
      <c r="AU137" s="64" t="n"/>
    </row>
    <row r="138" ht="18" customHeight="1">
      <c r="A138" s="262">
        <f>IF(E138="","",_xlfn.AGGREGATE(3,5,$E$138:E138))</f>
        <v/>
      </c>
      <c r="B138" s="2617" t="n"/>
      <c r="C138" s="1735" t="inlineStr">
        <is>
          <t>kv‡U©i Kvco weµq</t>
        </is>
      </c>
      <c r="D138" s="2617" t="n"/>
      <c r="E138" s="2700">
        <f>E76</f>
        <v/>
      </c>
      <c r="F138" s="2677" t="n"/>
      <c r="G138" s="2678" t="n"/>
      <c r="H138" s="1910" t="n">
        <v>850</v>
      </c>
      <c r="I138" s="2701">
        <f>IFERROR(IF(H138&gt;0,E138*H138,""),"")</f>
        <v/>
      </c>
      <c r="J138" s="2614" t="n"/>
      <c r="K138" s="2680" t="n"/>
      <c r="L138" s="2700">
        <f>IFERROR(IF(T138="yes",+I138*6,I138),"")</f>
        <v/>
      </c>
      <c r="M138" s="2678" t="n"/>
      <c r="N138" s="64" t="n"/>
      <c r="O138" s="1914">
        <f>H76</f>
        <v/>
      </c>
      <c r="P138" s="1915">
        <f>IF(H138="","","weµq wK 1 P‡µi?")</f>
        <v/>
      </c>
      <c r="Q138" s="2615" t="n"/>
      <c r="R138" s="2615" t="n"/>
      <c r="S138" s="2616" t="n"/>
      <c r="T138" s="1731" t="inlineStr">
        <is>
          <t>Yes</t>
        </is>
      </c>
      <c r="U138" s="308" t="n"/>
      <c r="V138" s="64" t="n"/>
      <c r="W138" s="64" t="n"/>
      <c r="X138" s="64" t="n"/>
      <c r="Y138" s="64" t="n"/>
      <c r="Z138" s="1828" t="n"/>
      <c r="AA138" s="64" t="n"/>
      <c r="AB138" s="136" t="n"/>
      <c r="AC138" s="64" t="n"/>
      <c r="AD138" s="64" t="n"/>
      <c r="AE138" s="64" t="n"/>
      <c r="AF138" s="64" t="n"/>
      <c r="AG138" s="308" t="n"/>
      <c r="AH138" s="64" t="n"/>
      <c r="AI138" s="64" t="n"/>
      <c r="AJ138" s="663" t="n"/>
      <c r="AK138" s="308" t="n"/>
      <c r="AL138" s="663" t="n"/>
      <c r="AM138" s="308" t="n"/>
      <c r="AN138" s="64" t="n"/>
      <c r="AO138" s="64" t="n"/>
      <c r="AP138" s="64" t="n"/>
      <c r="AQ138" s="64" t="n"/>
      <c r="AR138" s="64" t="n"/>
      <c r="AS138" s="64" t="n"/>
      <c r="AT138" s="663" t="n"/>
      <c r="AU138" s="64" t="n"/>
    </row>
    <row r="139" ht="18" customHeight="1">
      <c r="A139" s="262">
        <f>IF(E139="","",_xlfn.AGGREGATE(3,5,$E$138:E139))</f>
        <v/>
      </c>
      <c r="B139" s="2617" t="n"/>
      <c r="C139" s="1735" t="inlineStr">
        <is>
          <t>c¨v‡›Ui Kvco weµq</t>
        </is>
      </c>
      <c r="D139" s="2617" t="n"/>
      <c r="E139" s="2700">
        <f>E77</f>
        <v/>
      </c>
      <c r="F139" s="2677" t="n"/>
      <c r="G139" s="2678" t="n"/>
      <c r="H139" s="1910" t="n">
        <v>650</v>
      </c>
      <c r="I139" s="2701">
        <f>IFERROR(IF(H139&gt;0,E139*H139,""),"")</f>
        <v/>
      </c>
      <c r="J139" s="2614" t="n"/>
      <c r="K139" s="2680" t="n"/>
      <c r="L139" s="2700">
        <f>IFERROR(IF(T139="yes",+I139*6,I139),"")</f>
        <v/>
      </c>
      <c r="M139" s="2678" t="n"/>
      <c r="N139" s="64" t="n"/>
      <c r="O139" s="1914">
        <f>H77</f>
        <v/>
      </c>
      <c r="P139" s="1915">
        <f>IF(H139="","","weµq wK 1 P‡µi?")</f>
        <v/>
      </c>
      <c r="Q139" s="2615" t="n"/>
      <c r="R139" s="2615" t="n"/>
      <c r="S139" s="2616" t="n"/>
      <c r="T139" s="1731" t="inlineStr">
        <is>
          <t>Yes</t>
        </is>
      </c>
      <c r="U139" s="308" t="n"/>
      <c r="V139" s="64" t="n"/>
      <c r="W139" s="64" t="n"/>
      <c r="X139" s="64" t="n"/>
      <c r="Y139" s="64" t="n"/>
      <c r="Z139" s="1828" t="n"/>
      <c r="AA139" s="64" t="n"/>
      <c r="AB139" s="1819" t="inlineStr">
        <is>
          <t>µtbs</t>
        </is>
      </c>
      <c r="AC139" s="1917" t="inlineStr">
        <is>
          <t>weeiY</t>
        </is>
      </c>
      <c r="AD139" s="1918" t="n"/>
      <c r="AE139" s="1918" t="n"/>
      <c r="AF139" s="1918" t="n"/>
      <c r="AG139" s="1728" t="inlineStr">
        <is>
          <t>GK P‡µ</t>
        </is>
      </c>
      <c r="AH139" s="2614" t="n"/>
      <c r="AI139" s="2614" t="n"/>
      <c r="AJ139" s="2658" t="n"/>
      <c r="AK139" s="1726" t="inlineStr">
        <is>
          <t>1 eQ‡ii</t>
        </is>
      </c>
      <c r="AL139" s="2614" t="n"/>
      <c r="AM139" s="2614" t="n"/>
      <c r="AN139" s="2658" t="n"/>
      <c r="AO139" s="64" t="n"/>
      <c r="AP139" s="64" t="n"/>
      <c r="AQ139" s="64" t="n"/>
      <c r="AR139" s="64" t="n"/>
      <c r="AS139" s="64" t="n"/>
      <c r="AT139" s="663" t="n"/>
      <c r="AU139" s="64" t="n"/>
    </row>
    <row r="140" ht="18" customHeight="1">
      <c r="A140" s="262">
        <f>IF(E140="","",_xlfn.AGGREGATE(3,5,$E$138:E140))</f>
        <v/>
      </c>
      <c r="B140" s="2617" t="n"/>
      <c r="C140" s="1735" t="inlineStr">
        <is>
          <t>cvÄvexi Kvco weµq</t>
        </is>
      </c>
      <c r="D140" s="2617" t="n"/>
      <c r="E140" s="2700">
        <f>E78</f>
        <v/>
      </c>
      <c r="F140" s="2677" t="n"/>
      <c r="G140" s="2678" t="n"/>
      <c r="H140" s="1910" t="n">
        <v>450</v>
      </c>
      <c r="I140" s="2701">
        <f>IFERROR(IF(H140&gt;0,E140*H140,""),"")</f>
        <v/>
      </c>
      <c r="J140" s="2614" t="n"/>
      <c r="K140" s="2680" t="n"/>
      <c r="L140" s="2700">
        <f>IFERROR(IF(T140="yes",+I140*6,I140),"")</f>
        <v/>
      </c>
      <c r="M140" s="2678" t="n"/>
      <c r="N140" s="64" t="n"/>
      <c r="O140" s="1914">
        <f>H78</f>
        <v/>
      </c>
      <c r="P140" s="1915">
        <f>IF(H140="","","weµq wK 1 P‡µi?")</f>
        <v/>
      </c>
      <c r="Q140" s="2615" t="n"/>
      <c r="R140" s="2615" t="n"/>
      <c r="S140" s="2616" t="n"/>
      <c r="T140" s="1731" t="inlineStr">
        <is>
          <t>Yes</t>
        </is>
      </c>
      <c r="U140" s="308" t="n"/>
      <c r="V140" s="64" t="n"/>
      <c r="W140" s="64" t="n"/>
      <c r="X140" s="64" t="n"/>
      <c r="Y140" s="64" t="n"/>
      <c r="Z140" s="1828" t="n"/>
      <c r="AA140" s="64" t="n"/>
      <c r="AB140" s="511" t="n">
        <v>1</v>
      </c>
      <c r="AC140" s="1735" t="inlineStr">
        <is>
          <t>D‡`¨v³vi wewb‡qvM</t>
        </is>
      </c>
      <c r="AD140" s="1759" t="n"/>
      <c r="AE140" s="1759" t="n"/>
      <c r="AF140" s="1759" t="n"/>
      <c r="AG140" s="1919">
        <f>+'Data Input'!G15/100000</f>
        <v/>
      </c>
      <c r="AH140" s="2614" t="n"/>
      <c r="AI140" s="2614" t="n"/>
      <c r="AJ140" s="2614" t="n"/>
      <c r="AK140" s="1921">
        <f>+$AG$140</f>
        <v/>
      </c>
      <c r="AL140" s="2614" t="n"/>
      <c r="AM140" s="2614" t="n"/>
      <c r="AN140" s="2617" t="n"/>
      <c r="AO140" s="64" t="n"/>
      <c r="AP140" s="64" t="n"/>
      <c r="AQ140" s="64" t="n"/>
      <c r="AR140" s="64" t="n"/>
      <c r="AS140" s="64" t="n"/>
      <c r="AT140" s="663" t="n"/>
      <c r="AU140" s="64" t="n"/>
    </row>
    <row r="141" ht="18" customHeight="1">
      <c r="A141" s="262">
        <f>IF(E141="","",_xlfn.AGGREGATE(3,5,$E$138:E141))</f>
        <v/>
      </c>
      <c r="B141" s="2617" t="n"/>
      <c r="C141" s="1735" t="inlineStr">
        <is>
          <t>cvqRvgvi Kvco weµq</t>
        </is>
      </c>
      <c r="D141" s="2617" t="n"/>
      <c r="E141" s="2700">
        <f>E79</f>
        <v/>
      </c>
      <c r="F141" s="2677" t="n"/>
      <c r="G141" s="2678" t="n"/>
      <c r="H141" s="1910" t="n">
        <v>350</v>
      </c>
      <c r="I141" s="2701">
        <f>IFERROR(IF(H141&gt;0,E141*H141,""),"")</f>
        <v/>
      </c>
      <c r="J141" s="2614" t="n"/>
      <c r="K141" s="2680" t="n"/>
      <c r="L141" s="2700">
        <f>IFERROR(IF(T141="yes",+I141*6,I141),"")</f>
        <v/>
      </c>
      <c r="M141" s="2678" t="n"/>
      <c r="N141" s="64" t="n"/>
      <c r="O141" s="1914">
        <f>H79</f>
        <v/>
      </c>
      <c r="P141" s="1915">
        <f>IF(H141="","","weµq wK 1 P‡µi?")</f>
        <v/>
      </c>
      <c r="Q141" s="2615" t="n"/>
      <c r="R141" s="2615" t="n"/>
      <c r="S141" s="2616" t="n"/>
      <c r="T141" s="1731" t="inlineStr">
        <is>
          <t>Yes</t>
        </is>
      </c>
      <c r="U141" s="308" t="n"/>
      <c r="V141" s="64" t="n"/>
      <c r="W141" s="64" t="n"/>
      <c r="X141" s="64" t="n"/>
      <c r="Y141" s="64" t="n"/>
      <c r="Z141" s="1828" t="n"/>
      <c r="AA141" s="64" t="n"/>
      <c r="AB141" s="511" t="n">
        <v>2</v>
      </c>
      <c r="AC141" s="1735" t="inlineStr">
        <is>
          <t>e¨vsK FY</t>
        </is>
      </c>
      <c r="AD141" s="1759" t="n"/>
      <c r="AE141" s="1759" t="n"/>
      <c r="AF141" s="1759" t="n"/>
      <c r="AG141" s="1922">
        <f>+'Data Input'!G16/100000</f>
        <v/>
      </c>
      <c r="AH141" s="2614" t="n"/>
      <c r="AI141" s="2614" t="n"/>
      <c r="AJ141" s="2614" t="n"/>
      <c r="AK141" s="1844">
        <f>+$AG$141</f>
        <v/>
      </c>
      <c r="AL141" s="2614" t="n"/>
      <c r="AM141" s="2614" t="n"/>
      <c r="AN141" s="2617" t="n"/>
      <c r="AO141" s="64" t="n"/>
      <c r="AP141" s="64" t="n"/>
      <c r="AQ141" s="64" t="n"/>
      <c r="AR141" s="64" t="n"/>
      <c r="AS141" s="64" t="n"/>
      <c r="AT141" s="663" t="n"/>
      <c r="AU141" s="64" t="n"/>
    </row>
    <row r="142" ht="18" customHeight="1">
      <c r="A142" s="1758" t="inlineStr">
        <is>
          <t>Dc‡gvU</t>
        </is>
      </c>
      <c r="B142" s="2682" t="n"/>
      <c r="C142" s="2682" t="n"/>
      <c r="D142" s="2682" t="n"/>
      <c r="E142" s="2682" t="n"/>
      <c r="F142" s="2682" t="n"/>
      <c r="G142" s="2682" t="n"/>
      <c r="H142" s="2683" t="n"/>
      <c r="I142" s="1763">
        <f>SUM(I138:J141)</f>
        <v/>
      </c>
      <c r="J142" s="2682" t="n"/>
      <c r="K142" s="2688" t="n"/>
      <c r="L142" s="1763">
        <f>SUM(L138:M141)</f>
        <v/>
      </c>
      <c r="M142" s="2688" t="n"/>
      <c r="N142" s="1923" t="n"/>
      <c r="O142" s="1945" t="n"/>
      <c r="P142" s="136" t="n"/>
      <c r="Q142" s="308" t="n"/>
      <c r="R142" s="64" t="n"/>
      <c r="S142" s="64" t="n"/>
      <c r="T142" s="663" t="n"/>
      <c r="U142" s="308" t="n"/>
      <c r="V142" s="64" t="n"/>
      <c r="W142" s="64" t="n"/>
      <c r="X142" s="64" t="n"/>
      <c r="Y142" s="64" t="n"/>
      <c r="Z142" s="64" t="n"/>
      <c r="AA142" s="64" t="n"/>
      <c r="AB142" s="511" t="n">
        <v>2</v>
      </c>
      <c r="AC142" s="1735" t="inlineStr">
        <is>
          <t>cY¨ µq</t>
        </is>
      </c>
      <c r="AD142" s="1759" t="n"/>
      <c r="AE142" s="1759" t="n"/>
      <c r="AF142" s="1759" t="n"/>
      <c r="AG142" s="1922">
        <f>+#REF!</f>
        <v/>
      </c>
      <c r="AH142" s="2614" t="n"/>
      <c r="AI142" s="2614" t="n"/>
      <c r="AJ142" s="2614" t="n"/>
      <c r="AK142" s="1844">
        <f>+#REF!</f>
        <v/>
      </c>
      <c r="AL142" s="2614" t="n"/>
      <c r="AM142" s="2614" t="n"/>
      <c r="AN142" s="2617" t="n"/>
      <c r="AO142" s="64" t="n"/>
      <c r="AP142" s="64" t="n"/>
      <c r="AQ142" s="64" t="n"/>
      <c r="AR142" s="64" t="n"/>
      <c r="AS142" s="64" t="n"/>
      <c r="AT142" s="663" t="n"/>
      <c r="AU142" s="64" t="n"/>
    </row>
    <row r="143" ht="18" customHeight="1">
      <c r="A143" s="1563" t="n"/>
      <c r="B143" s="63" t="n"/>
      <c r="C143" s="63" t="n"/>
      <c r="D143" s="63" t="n"/>
      <c r="E143" s="308" t="n"/>
      <c r="F143" s="308" t="n"/>
      <c r="G143" s="354" t="n"/>
      <c r="H143" s="65" t="n"/>
      <c r="I143" s="66" t="n"/>
      <c r="J143" s="66" t="n"/>
      <c r="K143" s="66" t="n"/>
      <c r="L143" s="66" t="n"/>
      <c r="M143" s="63" t="n"/>
      <c r="N143" s="1705" t="n"/>
      <c r="O143" s="1945" t="n"/>
      <c r="P143" s="136" t="n"/>
      <c r="Q143" s="308" t="n"/>
      <c r="R143" s="64" t="n"/>
      <c r="S143" s="64" t="n"/>
      <c r="T143" s="663" t="n"/>
      <c r="U143" s="308" t="n"/>
      <c r="V143" s="64" t="n"/>
      <c r="W143" s="64" t="n"/>
      <c r="X143" s="64" t="n"/>
      <c r="Y143" s="64" t="n"/>
      <c r="Z143" s="64" t="n"/>
      <c r="AA143" s="64" t="n"/>
      <c r="AB143" s="511" t="n">
        <v>3</v>
      </c>
      <c r="AC143" s="1735" t="inlineStr">
        <is>
          <t>cwiPvjb e¨q</t>
        </is>
      </c>
      <c r="AD143" s="1759" t="n"/>
      <c r="AE143" s="1759" t="n"/>
      <c r="AF143" s="1759" t="n"/>
      <c r="AG143" s="1922">
        <f>+AK88</f>
        <v/>
      </c>
      <c r="AH143" s="2614" t="n"/>
      <c r="AI143" s="2614" t="n"/>
      <c r="AJ143" s="2614" t="n"/>
      <c r="AK143" s="1844">
        <f>+AM88</f>
        <v/>
      </c>
      <c r="AL143" s="2614" t="n"/>
      <c r="AM143" s="2614" t="n"/>
      <c r="AN143" s="2617" t="n"/>
      <c r="AO143" s="64" t="n"/>
      <c r="AP143" s="64" t="n"/>
      <c r="AQ143" s="64" t="n"/>
      <c r="AR143" s="64" t="n"/>
      <c r="AS143" s="64" t="n"/>
      <c r="AT143" s="663" t="n"/>
      <c r="AU143" s="64" t="n"/>
    </row>
    <row r="144" ht="18" customHeight="1">
      <c r="A144" s="1563" t="n"/>
      <c r="B144" s="63" t="n"/>
      <c r="C144" s="63" t="n"/>
      <c r="D144" s="63" t="n"/>
      <c r="E144" s="308" t="n"/>
      <c r="F144" s="308" t="n"/>
      <c r="G144" s="354" t="n"/>
      <c r="H144" s="65" t="n"/>
      <c r="I144" s="66" t="n"/>
      <c r="J144" s="66" t="n"/>
      <c r="K144" s="66" t="n"/>
      <c r="L144" s="66" t="n"/>
      <c r="M144" s="63" t="n"/>
      <c r="N144" s="1705" t="n"/>
      <c r="O144" s="1945" t="n"/>
      <c r="P144" s="136" t="n"/>
      <c r="Q144" s="308" t="n"/>
      <c r="R144" s="64" t="n"/>
      <c r="S144" s="64" t="n"/>
      <c r="T144" s="663" t="n"/>
      <c r="U144" s="308" t="n"/>
      <c r="V144" s="64" t="n"/>
      <c r="W144" s="64" t="n"/>
      <c r="X144" s="64" t="n"/>
      <c r="Y144" s="64" t="n"/>
      <c r="Z144" s="64" t="n"/>
      <c r="AA144" s="64" t="n"/>
      <c r="AB144" s="511" t="n">
        <v>4</v>
      </c>
      <c r="AC144" s="1735" t="inlineStr">
        <is>
          <t>cÖkvmwbK I wecbb e¨q</t>
        </is>
      </c>
      <c r="AD144" s="1759" t="n"/>
      <c r="AE144" s="1759" t="n"/>
      <c r="AF144" s="1759" t="n"/>
      <c r="AG144" s="1922">
        <f>+AK96</f>
        <v/>
      </c>
      <c r="AH144" s="2614" t="n"/>
      <c r="AI144" s="2614" t="n"/>
      <c r="AJ144" s="2614" t="n"/>
      <c r="AK144" s="1844">
        <f>+AM96</f>
        <v/>
      </c>
      <c r="AL144" s="2614" t="n"/>
      <c r="AM144" s="2614" t="n"/>
      <c r="AN144" s="2617" t="n"/>
      <c r="AO144" s="64" t="n"/>
      <c r="AP144" s="64" t="n"/>
      <c r="AQ144" s="64" t="n"/>
      <c r="AR144" s="64" t="n"/>
      <c r="AS144" s="64" t="n"/>
      <c r="AT144" s="663" t="n"/>
      <c r="AU144" s="64" t="n"/>
    </row>
    <row r="145" ht="18" customHeight="1">
      <c r="A145" s="1563" t="n"/>
      <c r="B145" s="63" t="n"/>
      <c r="C145" s="63" t="n"/>
      <c r="D145" s="63" t="n"/>
      <c r="E145" s="308" t="n"/>
      <c r="F145" s="308" t="n"/>
      <c r="G145" s="354" t="n"/>
      <c r="H145" s="65" t="n"/>
      <c r="I145" s="66" t="n"/>
      <c r="J145" s="66" t="n"/>
      <c r="K145" s="66" t="n"/>
      <c r="L145" s="66" t="n"/>
      <c r="M145" s="63" t="n"/>
      <c r="N145" s="1705" t="n"/>
      <c r="O145" s="1945" t="n"/>
      <c r="P145" s="136" t="n"/>
      <c r="Q145" s="308" t="n"/>
      <c r="R145" s="64" t="n"/>
      <c r="S145" s="64" t="n"/>
      <c r="T145" s="663" t="n"/>
      <c r="U145" s="308" t="n"/>
      <c r="V145" s="64" t="n"/>
      <c r="W145" s="64" t="n"/>
      <c r="X145" s="64" t="n"/>
      <c r="Y145" s="64" t="n"/>
      <c r="Z145" s="64" t="n"/>
      <c r="AA145" s="64" t="n"/>
      <c r="AB145" s="511" t="n"/>
      <c r="AC145" s="1735" t="n"/>
      <c r="AD145" s="1759" t="n"/>
      <c r="AE145" s="1759" t="n"/>
      <c r="AF145" s="1759" t="n"/>
      <c r="AG145" s="1922" t="n"/>
      <c r="AH145" s="1742" t="n"/>
      <c r="AI145" s="1742" t="n"/>
      <c r="AJ145" s="1742" t="n"/>
      <c r="AK145" s="1742" t="n"/>
      <c r="AL145" s="1742" t="n"/>
      <c r="AM145" s="1742" t="n"/>
      <c r="AN145" s="1844" t="n"/>
      <c r="AO145" s="64" t="n"/>
      <c r="AP145" s="64" t="n"/>
      <c r="AQ145" s="64" t="n"/>
      <c r="AR145" s="64" t="n"/>
      <c r="AS145" s="64" t="n"/>
      <c r="AT145" s="663" t="n"/>
      <c r="AU145" s="64" t="n"/>
    </row>
    <row r="146" ht="18" customHeight="1">
      <c r="A146" s="1563" t="n"/>
      <c r="B146" s="63" t="n"/>
      <c r="C146" s="63" t="n"/>
      <c r="D146" s="63" t="n"/>
      <c r="E146" s="308" t="n"/>
      <c r="F146" s="308" t="n"/>
      <c r="G146" s="354" t="n"/>
      <c r="H146" s="65" t="n"/>
      <c r="I146" s="66" t="n"/>
      <c r="J146" s="66" t="n"/>
      <c r="K146" s="66" t="n"/>
      <c r="L146" s="66" t="n"/>
      <c r="M146" s="63" t="n"/>
      <c r="N146" s="1705" t="n"/>
      <c r="O146" s="1945" t="n"/>
      <c r="P146" s="136" t="n"/>
      <c r="Q146" s="308" t="n"/>
      <c r="R146" s="64" t="n"/>
      <c r="S146" s="64" t="n"/>
      <c r="T146" s="663" t="n"/>
      <c r="U146" s="308" t="n"/>
      <c r="V146" s="64" t="n"/>
      <c r="W146" s="64" t="n"/>
      <c r="X146" s="64" t="n"/>
      <c r="Y146" s="64" t="n"/>
      <c r="Z146" s="64" t="n"/>
      <c r="AA146" s="64" t="n"/>
      <c r="AB146" s="511" t="n"/>
      <c r="AC146" s="1735" t="n"/>
      <c r="AD146" s="1759" t="n"/>
      <c r="AE146" s="1759" t="n"/>
      <c r="AF146" s="1759" t="n"/>
      <c r="AG146" s="1922" t="n"/>
      <c r="AH146" s="1742" t="n"/>
      <c r="AI146" s="1742" t="n"/>
      <c r="AJ146" s="1742" t="n"/>
      <c r="AK146" s="1742" t="n"/>
      <c r="AL146" s="1742" t="n"/>
      <c r="AM146" s="1742" t="n"/>
      <c r="AN146" s="1844" t="n"/>
      <c r="AO146" s="64" t="n"/>
      <c r="AP146" s="64" t="n"/>
      <c r="AQ146" s="64" t="n"/>
      <c r="AR146" s="64" t="n"/>
      <c r="AS146" s="64" t="n"/>
      <c r="AT146" s="663" t="n"/>
      <c r="AU146" s="64" t="n"/>
    </row>
    <row r="147" ht="18" customHeight="1">
      <c r="A147" s="1563" t="n"/>
      <c r="B147" s="63" t="n"/>
      <c r="C147" s="63" t="n"/>
      <c r="D147" s="63" t="n"/>
      <c r="E147" s="308" t="n"/>
      <c r="F147" s="308" t="n"/>
      <c r="G147" s="354" t="n"/>
      <c r="H147" s="65" t="n"/>
      <c r="I147" s="66" t="n"/>
      <c r="J147" s="66" t="n"/>
      <c r="K147" s="66" t="n"/>
      <c r="L147" s="66" t="n"/>
      <c r="M147" s="63" t="n"/>
      <c r="N147" s="1705" t="n"/>
      <c r="O147" s="1945" t="n"/>
      <c r="P147" s="136" t="n"/>
      <c r="Q147" s="308" t="n"/>
      <c r="R147" s="64" t="n"/>
      <c r="S147" s="64" t="n"/>
      <c r="T147" s="663" t="n"/>
      <c r="U147" s="308" t="n"/>
      <c r="V147" s="64" t="n"/>
      <c r="W147" s="64" t="n"/>
      <c r="X147" s="64" t="n"/>
      <c r="Y147" s="64" t="n"/>
      <c r="Z147" s="64" t="n"/>
      <c r="AA147" s="64" t="n"/>
      <c r="AB147" s="511" t="n"/>
      <c r="AC147" s="1735" t="n"/>
      <c r="AD147" s="1759" t="n"/>
      <c r="AE147" s="1759" t="n"/>
      <c r="AF147" s="1759" t="n"/>
      <c r="AG147" s="1922" t="n"/>
      <c r="AH147" s="1742" t="n"/>
      <c r="AI147" s="1742" t="n"/>
      <c r="AJ147" s="1742" t="n"/>
      <c r="AK147" s="1742" t="n"/>
      <c r="AL147" s="1742" t="n"/>
      <c r="AM147" s="1742" t="n"/>
      <c r="AN147" s="1844" t="n"/>
      <c r="AO147" s="64" t="n"/>
      <c r="AP147" s="64" t="n"/>
      <c r="AQ147" s="64" t="n"/>
      <c r="AR147" s="64" t="n"/>
      <c r="AS147" s="64" t="n"/>
      <c r="AT147" s="663" t="n"/>
      <c r="AU147" s="64" t="n"/>
    </row>
    <row r="148" ht="18" customHeight="1">
      <c r="A148" s="1803" t="inlineStr">
        <is>
          <t xml:space="preserve">27| Av‡qi c~e©vfvm t                                     </t>
        </is>
      </c>
      <c r="B148" s="2615" t="n"/>
      <c r="C148" s="2615" t="n"/>
      <c r="D148" s="2616" t="n"/>
      <c r="E148" s="1805" t="n"/>
      <c r="F148" s="1805" t="n"/>
      <c r="G148" s="1804" t="n"/>
      <c r="H148" s="1803" t="n"/>
      <c r="I148" s="1805" t="n"/>
      <c r="J148" s="1805" t="n"/>
      <c r="K148" s="1805" t="n"/>
      <c r="L148" s="1805" t="n"/>
      <c r="M148" s="1804" t="n"/>
      <c r="N148" s="1705" t="n"/>
      <c r="O148" s="1945" t="n"/>
      <c r="P148" s="136" t="n"/>
      <c r="Q148" s="308" t="n"/>
      <c r="R148" s="64" t="n"/>
      <c r="S148" s="64" t="n"/>
      <c r="T148" s="663" t="n"/>
      <c r="U148" s="308" t="n"/>
      <c r="V148" s="64" t="n"/>
      <c r="W148" s="64" t="n"/>
      <c r="X148" s="64" t="n"/>
      <c r="Y148" s="64" t="n"/>
      <c r="Z148" s="64" t="n"/>
      <c r="AA148" s="64" t="n"/>
      <c r="AB148" s="511" t="n">
        <v>5</v>
      </c>
      <c r="AC148" s="1735" t="inlineStr">
        <is>
          <t>Avw_©K e¨q</t>
        </is>
      </c>
      <c r="AD148" s="1759" t="n"/>
      <c r="AE148" s="1759" t="n"/>
      <c r="AF148" s="1759" t="n"/>
      <c r="AG148" s="1922">
        <f>+AK105</f>
        <v/>
      </c>
      <c r="AH148" s="2614" t="n"/>
      <c r="AI148" s="2614" t="n"/>
      <c r="AJ148" s="2614" t="n"/>
      <c r="AK148" s="1844">
        <f>+AM105</f>
        <v/>
      </c>
      <c r="AL148" s="2614" t="n"/>
      <c r="AM148" s="2614" t="n"/>
      <c r="AN148" s="2617" t="n"/>
      <c r="AO148" s="64" t="n"/>
      <c r="AP148" s="64" t="n"/>
      <c r="AQ148" s="64" t="n"/>
      <c r="AR148" s="64" t="n"/>
      <c r="AS148" s="64" t="n"/>
      <c r="AT148" s="663" t="n"/>
      <c r="AU148" s="64" t="n"/>
    </row>
    <row r="149" ht="18" customHeight="1">
      <c r="A149" s="224" t="n"/>
      <c r="B149" s="222" t="n"/>
      <c r="C149" s="222" t="n"/>
      <c r="D149" s="222" t="n"/>
      <c r="E149" s="301" t="n"/>
      <c r="F149" s="301" t="n"/>
      <c r="G149" s="222" t="n"/>
      <c r="H149" s="224" t="n"/>
      <c r="I149" s="301" t="n"/>
      <c r="J149" s="301" t="n"/>
      <c r="K149" s="301" t="n"/>
      <c r="L149" s="1845" t="inlineStr">
        <is>
          <t>(jÿ UvKvq)</t>
        </is>
      </c>
      <c r="M149" s="2613" t="n"/>
      <c r="N149" s="1705" t="n"/>
      <c r="O149" s="1945" t="n"/>
      <c r="P149" s="136" t="n"/>
      <c r="Q149" s="308" t="n"/>
      <c r="R149" s="64" t="n"/>
      <c r="S149" s="64" t="n"/>
      <c r="T149" s="663" t="n"/>
      <c r="U149" s="308" t="n"/>
      <c r="V149" s="64" t="n"/>
      <c r="W149" s="64" t="n"/>
      <c r="X149" s="64" t="n"/>
      <c r="Y149" s="64" t="n"/>
      <c r="Z149" s="64" t="n"/>
      <c r="AA149" s="64" t="n"/>
      <c r="AB149" s="511" t="n">
        <v>6</v>
      </c>
      <c r="AC149" s="1735" t="inlineStr">
        <is>
          <t>Ab¨vb¨ e¨q</t>
        </is>
      </c>
      <c r="AD149" s="1759" t="n"/>
      <c r="AE149" s="1759" t="n"/>
      <c r="AF149" s="1759" t="n"/>
      <c r="AG149" s="1922" t="inlineStr">
        <is>
          <t>-</t>
        </is>
      </c>
      <c r="AH149" s="2614" t="n"/>
      <c r="AI149" s="2614" t="n"/>
      <c r="AJ149" s="2614" t="n"/>
      <c r="AK149" s="1844" t="inlineStr">
        <is>
          <t>-</t>
        </is>
      </c>
      <c r="AL149" s="2614" t="n"/>
      <c r="AM149" s="2614" t="n"/>
      <c r="AN149" s="2617" t="n"/>
      <c r="AO149" s="64" t="n"/>
      <c r="AP149" s="64" t="n"/>
      <c r="AQ149" s="64" t="n"/>
      <c r="AR149" s="64" t="n"/>
      <c r="AS149" s="64" t="n"/>
      <c r="AT149" s="663" t="n"/>
      <c r="AU149" s="64" t="n"/>
    </row>
    <row r="150" ht="18" customHeight="1">
      <c r="A150" s="1781" t="inlineStr">
        <is>
          <t>µt bs</t>
        </is>
      </c>
      <c r="B150" s="2658" t="n"/>
      <c r="C150" s="1839" t="inlineStr">
        <is>
          <t>weeib</t>
        </is>
      </c>
      <c r="D150" s="2614" t="n"/>
      <c r="E150" s="2658" t="n"/>
      <c r="F150" s="1732" t="inlineStr">
        <is>
          <t>1g el©</t>
        </is>
      </c>
      <c r="G150" s="2614" t="n"/>
      <c r="H150" s="2614" t="n"/>
      <c r="I150" s="2617" t="n"/>
      <c r="J150" s="1732" t="inlineStr">
        <is>
          <t>2q el©</t>
        </is>
      </c>
      <c r="K150" s="2617" t="n"/>
      <c r="L150" s="1732" t="inlineStr">
        <is>
          <t>3q el©</t>
        </is>
      </c>
      <c r="M150" s="2617" t="n"/>
      <c r="N150" s="1705" t="n"/>
      <c r="O150" s="1945" t="n"/>
      <c r="P150" s="136" t="n"/>
      <c r="Q150" s="308" t="n"/>
      <c r="R150" s="64" t="n"/>
      <c r="S150" s="64" t="n"/>
      <c r="T150" s="663" t="n"/>
      <c r="U150" s="308" t="n"/>
      <c r="V150" s="64" t="n"/>
      <c r="W150" s="64" t="n"/>
      <c r="X150" s="64" t="n"/>
      <c r="Y150" s="64" t="n"/>
      <c r="Z150" s="64" t="n"/>
      <c r="AA150" s="64" t="n"/>
      <c r="AB150" s="511" t="n">
        <v>7</v>
      </c>
      <c r="AC150" s="1917" t="inlineStr">
        <is>
          <t>†gvU ewntcÖevn</t>
        </is>
      </c>
      <c r="AD150" s="1918" t="n"/>
      <c r="AE150" s="1918" t="n"/>
      <c r="AF150" s="1918" t="n"/>
      <c r="AG150" s="1728">
        <f>SUM(AG142:AJ149)</f>
        <v/>
      </c>
      <c r="AH150" s="2614" t="n"/>
      <c r="AI150" s="2614" t="n"/>
      <c r="AJ150" s="2658" t="n"/>
      <c r="AK150" s="1726">
        <f>SUM(AK142:AN149)</f>
        <v/>
      </c>
      <c r="AL150" s="2614" t="n"/>
      <c r="AM150" s="2614" t="n"/>
      <c r="AN150" s="2658" t="n"/>
      <c r="AO150" s="64" t="n"/>
      <c r="AP150" s="64" t="n"/>
      <c r="AQ150" s="64" t="n"/>
      <c r="AR150" s="64" t="n"/>
      <c r="AS150" s="64" t="n"/>
      <c r="AT150" s="663" t="n"/>
      <c r="AU150" s="64" t="n"/>
    </row>
    <row r="151" ht="18" customHeight="1">
      <c r="A151" s="511" t="inlineStr">
        <is>
          <t>01</t>
        </is>
      </c>
      <c r="B151" s="2617" t="n"/>
      <c r="C151" s="1735" t="inlineStr">
        <is>
          <t>weµqjä</t>
        </is>
      </c>
      <c r="D151" s="2614" t="n"/>
      <c r="E151" s="2617" t="n"/>
      <c r="F151" s="1924">
        <f>Q151</f>
        <v/>
      </c>
      <c r="G151" s="2614" t="n"/>
      <c r="H151" s="2614" t="n"/>
      <c r="I151" s="2617" t="n"/>
      <c r="J151" s="1924">
        <f>F151</f>
        <v/>
      </c>
      <c r="K151" s="2617" t="n"/>
      <c r="L151" s="1924">
        <f>J151</f>
        <v/>
      </c>
      <c r="M151" s="2617" t="n"/>
      <c r="N151" s="1705" t="n"/>
      <c r="O151" s="1945" t="n"/>
      <c r="P151" s="136" t="n"/>
      <c r="Q151" s="1768">
        <f>L142/100000</f>
        <v/>
      </c>
      <c r="T151" s="663" t="n"/>
      <c r="U151" s="308" t="n"/>
      <c r="V151" s="64" t="n"/>
      <c r="W151" s="64" t="n"/>
      <c r="X151" s="64" t="n"/>
      <c r="Y151" s="64" t="n"/>
      <c r="Z151" s="64" t="n"/>
      <c r="AA151" s="64" t="n"/>
      <c r="AB151" s="511" t="n">
        <v>8</v>
      </c>
      <c r="AC151" s="1917" t="inlineStr">
        <is>
          <t>bxU DØ„Ë</t>
        </is>
      </c>
      <c r="AD151" s="1918" t="n"/>
      <c r="AE151" s="1918" t="n"/>
      <c r="AF151" s="1918" t="n"/>
      <c r="AG151" s="1728">
        <f>+#REF!-AG150</f>
        <v/>
      </c>
      <c r="AH151" s="2614" t="n"/>
      <c r="AI151" s="2614" t="n"/>
      <c r="AJ151" s="2658" t="n"/>
      <c r="AK151" s="1726">
        <f>+#REF!-AK150</f>
        <v/>
      </c>
      <c r="AL151" s="2614" t="n"/>
      <c r="AM151" s="2614" t="n"/>
      <c r="AN151" s="2658" t="n"/>
      <c r="AO151" s="64" t="n"/>
      <c r="AP151" s="64" t="n"/>
      <c r="AQ151" s="64" t="n"/>
      <c r="AR151" s="64" t="n"/>
      <c r="AS151" s="64" t="n"/>
      <c r="AT151" s="663" t="n"/>
      <c r="AU151" s="64" t="n"/>
    </row>
    <row r="152" ht="18" customHeight="1">
      <c r="A152" s="511" t="inlineStr">
        <is>
          <t>02</t>
        </is>
      </c>
      <c r="B152" s="2617" t="n"/>
      <c r="C152" s="1735" t="inlineStr">
        <is>
          <t>cwiPvjb e¨q</t>
        </is>
      </c>
      <c r="D152" s="2614" t="n"/>
      <c r="E152" s="2617" t="n"/>
      <c r="F152" s="1924">
        <f>F127</f>
        <v/>
      </c>
      <c r="G152" s="2614" t="n"/>
      <c r="H152" s="2614" t="n"/>
      <c r="I152" s="2617" t="n"/>
      <c r="J152" s="1924">
        <f>F152</f>
        <v/>
      </c>
      <c r="K152" s="2617" t="n"/>
      <c r="L152" s="1924">
        <f>J152</f>
        <v/>
      </c>
      <c r="M152" s="2617" t="n"/>
      <c r="N152" s="1705" t="n"/>
      <c r="O152" s="1945" t="n"/>
      <c r="P152" s="136" t="n"/>
      <c r="Q152" s="1768" t="n"/>
      <c r="T152" s="663" t="n"/>
      <c r="U152" s="308" t="n"/>
      <c r="V152" s="64" t="n"/>
      <c r="W152" s="64" t="n"/>
      <c r="X152" s="64" t="n"/>
      <c r="Y152" s="64" t="n"/>
      <c r="Z152" s="64" t="n"/>
      <c r="AA152" s="64" t="n"/>
      <c r="AB152" s="136" t="n"/>
      <c r="AC152" s="64" t="n"/>
      <c r="AD152" s="64" t="n"/>
      <c r="AE152" s="64" t="n"/>
      <c r="AF152" s="64" t="n"/>
      <c r="AG152" s="308" t="n"/>
      <c r="AH152" s="64" t="n"/>
      <c r="AI152" s="64" t="n"/>
      <c r="AJ152" s="663" t="n"/>
      <c r="AK152" s="308" t="n"/>
      <c r="AL152" s="663" t="n"/>
      <c r="AM152" s="308" t="n"/>
      <c r="AN152" s="64" t="n"/>
      <c r="AO152" s="64" t="n"/>
      <c r="AP152" s="64" t="n"/>
      <c r="AQ152" s="64" t="n"/>
      <c r="AR152" s="64" t="n"/>
      <c r="AS152" s="64" t="n"/>
      <c r="AT152" s="663" t="n"/>
      <c r="AU152" s="64" t="n"/>
    </row>
    <row r="153" ht="18" customHeight="1">
      <c r="A153" s="511" t="inlineStr">
        <is>
          <t>03</t>
        </is>
      </c>
      <c r="B153" s="2617" t="n"/>
      <c r="C153" s="716" t="inlineStr">
        <is>
          <t>‡gvU gybvdv</t>
        </is>
      </c>
      <c r="D153" s="2614" t="n"/>
      <c r="E153" s="2617" t="n"/>
      <c r="F153" s="1924">
        <f>F151-F152</f>
        <v/>
      </c>
      <c r="G153" s="2614" t="n"/>
      <c r="H153" s="2614" t="n"/>
      <c r="I153" s="2617" t="n"/>
      <c r="J153" s="1924">
        <f>F153</f>
        <v/>
      </c>
      <c r="K153" s="2617" t="n"/>
      <c r="L153" s="1924">
        <f>J153</f>
        <v/>
      </c>
      <c r="M153" s="2617" t="n"/>
      <c r="N153" s="1705" t="n"/>
      <c r="O153" s="1945" t="n"/>
      <c r="P153" s="136" t="n"/>
      <c r="Q153" s="1768" t="n"/>
      <c r="T153" s="663" t="n"/>
      <c r="U153" s="308" t="n"/>
      <c r="V153" s="64" t="n"/>
      <c r="W153" s="64" t="n"/>
      <c r="X153" s="64" t="n"/>
      <c r="Y153" s="64" t="n"/>
      <c r="Z153" s="64" t="n"/>
      <c r="AA153" s="64" t="n"/>
      <c r="AB153" s="1925" t="inlineStr">
        <is>
          <t xml:space="preserve">                                                                    wewb‡qvM wefvRb t-                                           (jÿ UvKvq)</t>
        </is>
      </c>
      <c r="AC153" s="2615" t="n"/>
      <c r="AD153" s="2615" t="n"/>
      <c r="AE153" s="2615" t="n"/>
      <c r="AF153" s="2615" t="n"/>
      <c r="AG153" s="2615" t="n"/>
      <c r="AH153" s="2615" t="n"/>
      <c r="AI153" s="2615" t="n"/>
      <c r="AJ153" s="2615" t="n"/>
      <c r="AK153" s="2615" t="n"/>
      <c r="AL153" s="2615" t="n"/>
      <c r="AM153" s="2615" t="n"/>
      <c r="AN153" s="2616" t="n"/>
      <c r="AO153" s="64" t="n"/>
      <c r="AP153" s="64" t="n"/>
      <c r="AQ153" s="64" t="n"/>
      <c r="AR153" s="64" t="n"/>
      <c r="AS153" s="64" t="n"/>
      <c r="AT153" s="663" t="n"/>
      <c r="AU153" s="64" t="n"/>
    </row>
    <row r="154" ht="18" customHeight="1">
      <c r="A154" s="511" t="inlineStr">
        <is>
          <t>04</t>
        </is>
      </c>
      <c r="B154" s="2617" t="n"/>
      <c r="C154" s="1735" t="inlineStr">
        <is>
          <t>cÖkvmwbK e¨q</t>
        </is>
      </c>
      <c r="D154" s="2614" t="n"/>
      <c r="E154" s="2617" t="n"/>
      <c r="F154" s="1924">
        <f>Q154</f>
        <v/>
      </c>
      <c r="G154" s="2614" t="n"/>
      <c r="H154" s="2614" t="n"/>
      <c r="I154" s="2617" t="n"/>
      <c r="J154" s="1924">
        <f>F154</f>
        <v/>
      </c>
      <c r="K154" s="2617" t="n"/>
      <c r="L154" s="1924">
        <f>J154</f>
        <v/>
      </c>
      <c r="M154" s="2617" t="n"/>
      <c r="N154" s="1705" t="n"/>
      <c r="O154" s="1945" t="n"/>
      <c r="P154" s="136" t="n"/>
      <c r="Q154" s="1768" t="n">
        <v>0.21</v>
      </c>
      <c r="T154" s="663" t="n"/>
      <c r="U154" s="308" t="n"/>
      <c r="V154" s="64" t="n"/>
      <c r="W154" s="64" t="n"/>
      <c r="X154" s="64" t="n"/>
      <c r="Y154" s="64" t="n"/>
      <c r="Z154" s="64" t="n"/>
      <c r="AA154" s="64" t="n"/>
      <c r="AB154" s="136" t="n"/>
      <c r="AC154" s="2074" t="inlineStr">
        <is>
          <t>01) e¨vsK FY             Ñ</t>
        </is>
      </c>
      <c r="AD154" s="2614" t="n"/>
      <c r="AE154" s="2614" t="n"/>
      <c r="AF154" s="2614" t="n"/>
      <c r="AG154" s="2614" t="n"/>
      <c r="AH154" s="2614" t="n"/>
      <c r="AI154" s="2617" t="n"/>
      <c r="AJ154" s="1400">
        <f>'Data Input'!G16&amp;"/- UvKv, ("&amp;ConvertCurrencyToBangla('Data Input'!G16)&amp;" ) gvÎ|"</f>
        <v/>
      </c>
      <c r="AK154" s="2614" t="n"/>
      <c r="AL154" s="2614" t="n"/>
      <c r="AM154" s="2614" t="n"/>
      <c r="AN154" s="2617" t="n"/>
      <c r="AO154" s="64" t="n"/>
      <c r="AP154" s="64" t="n"/>
      <c r="AQ154" s="64" t="n"/>
      <c r="AR154" s="64" t="n"/>
      <c r="AS154" s="64" t="n"/>
      <c r="AT154" s="663" t="n"/>
      <c r="AU154" s="64" t="n"/>
    </row>
    <row r="155" ht="18" customHeight="1">
      <c r="A155" s="511" t="inlineStr">
        <is>
          <t>05</t>
        </is>
      </c>
      <c r="B155" s="2617" t="n"/>
      <c r="C155" s="1735" t="inlineStr">
        <is>
          <t xml:space="preserve">cwiPvjb gybvdv    </t>
        </is>
      </c>
      <c r="D155" s="2614" t="n"/>
      <c r="E155" s="2617" t="n"/>
      <c r="F155" s="1924">
        <f>F153-F154</f>
        <v/>
      </c>
      <c r="G155" s="2614" t="n"/>
      <c r="H155" s="2614" t="n"/>
      <c r="I155" s="2617" t="n"/>
      <c r="J155" s="1924">
        <f>F155</f>
        <v/>
      </c>
      <c r="K155" s="2617" t="n"/>
      <c r="L155" s="1924">
        <f>J155</f>
        <v/>
      </c>
      <c r="M155" s="2617" t="n"/>
      <c r="N155" s="1705" t="n"/>
      <c r="O155" s="1945" t="n"/>
      <c r="P155" s="136" t="n"/>
      <c r="Q155" s="1768" t="n"/>
      <c r="T155" s="663" t="n"/>
      <c r="U155" s="308" t="n"/>
      <c r="V155" s="64" t="n"/>
      <c r="W155" s="64" t="n"/>
      <c r="X155" s="64" t="n"/>
      <c r="Y155" s="64" t="n"/>
      <c r="Z155" s="64" t="n"/>
      <c r="AA155" s="64" t="n"/>
      <c r="AB155" s="136" t="n"/>
      <c r="AC155" s="2074" t="inlineStr">
        <is>
          <t>02) D‡`¨v³vi wewb‡qvM   Ñ</t>
        </is>
      </c>
      <c r="AD155" s="2614" t="n"/>
      <c r="AE155" s="2614" t="n"/>
      <c r="AF155" s="2614" t="n"/>
      <c r="AG155" s="2614" t="n"/>
      <c r="AH155" s="2614" t="n"/>
      <c r="AI155" s="2617" t="n"/>
      <c r="AJ155" s="1400">
        <f>'Data Input'!G15&amp;"/- UvKv, ("&amp;ConvertCurrencyToBangla('Data Input'!G15)&amp;" ) gvÎ|"</f>
        <v/>
      </c>
      <c r="AK155" s="2614" t="n"/>
      <c r="AL155" s="2614" t="n"/>
      <c r="AM155" s="2614" t="n"/>
      <c r="AN155" s="2617" t="n"/>
      <c r="AO155" s="64" t="n"/>
      <c r="AP155" s="64" t="n"/>
      <c r="AQ155" s="64" t="n"/>
      <c r="AR155" s="64" t="n"/>
      <c r="AS155" s="64" t="n"/>
      <c r="AT155" s="663" t="n"/>
      <c r="AU155" s="64" t="n"/>
    </row>
    <row r="156" ht="18" customHeight="1">
      <c r="A156" s="511" t="inlineStr">
        <is>
          <t>06</t>
        </is>
      </c>
      <c r="B156" s="2617" t="n"/>
      <c r="C156" s="1735" t="inlineStr">
        <is>
          <t>Avw_©K e¨q</t>
        </is>
      </c>
      <c r="D156" s="2614" t="n"/>
      <c r="E156" s="2617" t="n"/>
      <c r="F156" s="1924">
        <f>Q156</f>
        <v/>
      </c>
      <c r="G156" s="2614" t="n"/>
      <c r="H156" s="2614" t="n"/>
      <c r="I156" s="2617" t="n"/>
      <c r="J156" s="1924">
        <f>F156</f>
        <v/>
      </c>
      <c r="K156" s="2617" t="n"/>
      <c r="L156" s="1924">
        <f>J156</f>
        <v/>
      </c>
      <c r="M156" s="2617" t="n"/>
      <c r="N156" s="1705" t="n"/>
      <c r="O156" s="1945" t="n"/>
      <c r="P156" s="136" t="n"/>
      <c r="Q156" s="1768">
        <f>F132</f>
        <v/>
      </c>
      <c r="T156" s="663" t="n"/>
      <c r="U156" s="308" t="n"/>
      <c r="V156" s="64" t="n"/>
      <c r="W156" s="64" t="n"/>
      <c r="X156" s="64" t="n"/>
      <c r="Y156" s="64" t="n"/>
      <c r="Z156" s="64" t="n"/>
      <c r="AA156" s="64" t="n"/>
      <c r="AB156" s="136" t="n"/>
      <c r="AC156" s="2074" t="inlineStr">
        <is>
          <t>03) †gvU wewb‡qvM        Ñ</t>
        </is>
      </c>
      <c r="AD156" s="2614" t="n"/>
      <c r="AE156" s="2614" t="n"/>
      <c r="AF156" s="2614" t="n"/>
      <c r="AG156" s="2614" t="n"/>
      <c r="AH156" s="2614" t="n"/>
      <c r="AI156" s="2617" t="n"/>
      <c r="AJ156" s="1400">
        <f>'Data Input'!G15+'Data Input'!G16&amp;"/- UvKv, ("&amp;ConvertCurrencyToBangla('Data Input'!G15+'Data Input'!G16)&amp;" ) gvÎ|"</f>
        <v/>
      </c>
      <c r="AK156" s="2614" t="n"/>
      <c r="AL156" s="2614" t="n"/>
      <c r="AM156" s="2614" t="n"/>
      <c r="AN156" s="2617" t="n"/>
      <c r="AO156" s="64" t="n"/>
      <c r="AP156" s="64" t="n"/>
      <c r="AQ156" s="64" t="n"/>
      <c r="AR156" s="64" t="n"/>
      <c r="AS156" s="64" t="n"/>
      <c r="AT156" s="663" t="n"/>
      <c r="AU156" s="64" t="n"/>
    </row>
    <row r="157" ht="18" customHeight="1">
      <c r="A157" s="511" t="inlineStr">
        <is>
          <t>07</t>
        </is>
      </c>
      <c r="B157" s="2617" t="n"/>
      <c r="C157" s="1942" t="inlineStr">
        <is>
          <t>bxU gybvdv</t>
        </is>
      </c>
      <c r="D157" s="2614" t="n"/>
      <c r="E157" s="2617" t="n"/>
      <c r="F157" s="1935">
        <f>F155-F156</f>
        <v/>
      </c>
      <c r="G157" s="2614" t="n"/>
      <c r="H157" s="2614" t="n"/>
      <c r="I157" s="2617" t="n"/>
      <c r="J157" s="1935">
        <f>F157</f>
        <v/>
      </c>
      <c r="K157" s="2617" t="n"/>
      <c r="L157" s="1935">
        <f>J157</f>
        <v/>
      </c>
      <c r="M157" s="2617" t="n"/>
      <c r="N157" s="1705" t="n"/>
      <c r="O157" s="1945" t="n"/>
      <c r="P157" s="136" t="n"/>
      <c r="Q157" s="1768" t="n"/>
      <c r="T157" s="663" t="n"/>
      <c r="U157" s="308" t="n"/>
      <c r="V157" s="64" t="n"/>
      <c r="W157" s="64" t="n"/>
      <c r="X157" s="64" t="n"/>
      <c r="Y157" s="64" t="n"/>
      <c r="Z157" s="64" t="n"/>
      <c r="AA157" s="64" t="n"/>
      <c r="AB157" s="136" t="n"/>
      <c r="AC157" s="276" t="inlineStr">
        <is>
          <t>04) e¨vsK I D‡`¨v³vi wewb‡qvM AbycvZ t</t>
        </is>
      </c>
      <c r="AD157" s="2614" t="n"/>
      <c r="AE157" s="2614" t="n"/>
      <c r="AF157" s="2614" t="n"/>
      <c r="AG157" s="2614" t="n"/>
      <c r="AH157" s="2614" t="n"/>
      <c r="AI157" s="2614" t="n"/>
      <c r="AJ157" s="1936">
        <f>'Data Input'!G16/('Data Input'!G16+'Data Input'!G15)</f>
        <v/>
      </c>
      <c r="AK157" s="1937" t="inlineStr">
        <is>
          <t>t</t>
        </is>
      </c>
      <c r="AL157" s="1938">
        <f>'Data Input'!G15/('Data Input'!G16+'Data Input'!G15)</f>
        <v/>
      </c>
      <c r="AM157" s="1939" t="n"/>
      <c r="AN157" s="1940" t="n"/>
      <c r="AO157" s="64" t="n"/>
      <c r="AP157" s="64" t="n"/>
      <c r="AQ157" s="64" t="n"/>
      <c r="AR157" s="64" t="n"/>
      <c r="AS157" s="64" t="n"/>
      <c r="AT157" s="663" t="n"/>
      <c r="AU157" s="64" t="n"/>
    </row>
    <row r="158" ht="18" customHeight="1">
      <c r="A158" s="1563" t="n"/>
      <c r="B158" s="63" t="n"/>
      <c r="C158" s="63" t="n"/>
      <c r="D158" s="63" t="n"/>
      <c r="E158" s="308" t="n"/>
      <c r="F158" s="308" t="n"/>
      <c r="G158" s="354" t="n"/>
      <c r="H158" s="65" t="n"/>
      <c r="I158" s="66" t="n"/>
      <c r="J158" s="66" t="n"/>
      <c r="K158" s="66" t="n"/>
      <c r="L158" s="66" t="n"/>
      <c r="M158" s="63" t="n"/>
      <c r="N158" s="1705" t="n"/>
      <c r="O158" s="1945" t="n"/>
      <c r="P158" s="136" t="n"/>
      <c r="Q158" s="308" t="n"/>
      <c r="R158" s="64" t="n"/>
      <c r="S158" s="64" t="n"/>
      <c r="T158" s="663" t="n"/>
      <c r="U158" s="308" t="n"/>
      <c r="V158" s="64" t="n"/>
      <c r="W158" s="64" t="n"/>
      <c r="X158" s="64" t="n"/>
      <c r="Y158" s="64" t="n"/>
      <c r="Z158" s="64" t="n"/>
      <c r="AA158" s="64" t="n"/>
      <c r="AB158" s="1941" t="n"/>
      <c r="AC158" s="64" t="n"/>
      <c r="AD158" s="64" t="n"/>
      <c r="AE158" s="64" t="n"/>
      <c r="AF158" s="64" t="n"/>
      <c r="AG158" s="308" t="n"/>
      <c r="AH158" s="64" t="n"/>
      <c r="AI158" s="64" t="n"/>
      <c r="AJ158" s="663" t="n"/>
      <c r="AK158" s="308" t="n"/>
      <c r="AL158" s="663" t="n"/>
      <c r="AM158" s="308" t="n"/>
      <c r="AN158" s="64" t="n"/>
      <c r="AO158" s="64" t="n"/>
      <c r="AP158" s="64" t="n"/>
      <c r="AQ158" s="64" t="n"/>
      <c r="AR158" s="64" t="n"/>
      <c r="AS158" s="64" t="n"/>
      <c r="AT158" s="663" t="n"/>
      <c r="AU158" s="64" t="n"/>
    </row>
    <row r="159" ht="18" customHeight="1">
      <c r="A159" s="1563" t="n"/>
      <c r="B159" s="63" t="n"/>
      <c r="C159" s="63" t="n"/>
      <c r="D159" s="63" t="n"/>
      <c r="E159" s="308" t="n"/>
      <c r="F159" s="308" t="n"/>
      <c r="G159" s="354" t="n"/>
      <c r="H159" s="65" t="n"/>
      <c r="I159" s="66" t="n"/>
      <c r="J159" s="66" t="n"/>
      <c r="K159" s="66" t="n"/>
      <c r="L159" s="66" t="n"/>
      <c r="M159" s="63" t="n"/>
      <c r="N159" s="1705" t="n"/>
      <c r="O159" s="1945" t="n"/>
      <c r="P159" s="136" t="n"/>
      <c r="Q159" s="308" t="n"/>
      <c r="R159" s="64" t="n"/>
      <c r="S159" s="64" t="n"/>
      <c r="T159" s="663" t="n"/>
      <c r="U159" s="308" t="n"/>
      <c r="V159" s="64" t="n"/>
      <c r="W159" s="64" t="n"/>
      <c r="X159" s="64" t="n"/>
      <c r="Y159" s="64" t="n"/>
      <c r="Z159" s="64" t="n"/>
      <c r="AA159" s="64" t="n"/>
      <c r="AB159" s="224" t="inlineStr">
        <is>
          <t xml:space="preserve">AZGe bM` FY wnmvewU Avw_K we‡køl‡b jvfRbK g‡b nq| d‡j A_©vqb‡hvM¨ wnmv‡e we‡ePbv Kiv hvB‡Z cv‡i | </t>
        </is>
      </c>
      <c r="AO159" s="64" t="n"/>
      <c r="AP159" s="64" t="n"/>
      <c r="AQ159" s="64" t="n"/>
      <c r="AR159" s="64" t="n"/>
      <c r="AS159" s="64" t="n"/>
      <c r="AT159" s="663" t="n"/>
      <c r="AU159" s="64" t="n"/>
    </row>
    <row r="160" ht="18" customHeight="1">
      <c r="A160" s="1803" t="inlineStr">
        <is>
          <t xml:space="preserve">28|  Znwej cÖevn t                                 </t>
        </is>
      </c>
      <c r="B160" s="2615" t="n"/>
      <c r="C160" s="2615" t="n"/>
      <c r="D160" s="2616" t="n"/>
      <c r="E160" s="1805" t="n"/>
      <c r="F160" s="1805" t="n"/>
      <c r="G160" s="1804" t="n"/>
      <c r="H160" s="1803" t="n"/>
      <c r="I160" s="1805" t="n"/>
      <c r="J160" s="1805" t="n"/>
      <c r="K160" s="1805" t="n"/>
      <c r="L160" s="1805" t="n"/>
      <c r="M160" s="1804" t="n"/>
      <c r="N160" s="1705" t="n"/>
      <c r="O160" s="1945" t="n"/>
      <c r="P160" s="136" t="n"/>
      <c r="Q160" s="308" t="n"/>
      <c r="R160" s="64" t="n"/>
      <c r="S160" s="64" t="n"/>
      <c r="T160" s="663" t="n"/>
      <c r="U160" s="308" t="n"/>
      <c r="V160" s="64" t="n"/>
      <c r="W160" s="64" t="n"/>
      <c r="X160" s="64" t="n"/>
      <c r="Y160" s="64" t="n"/>
      <c r="Z160" s="64" t="n"/>
      <c r="AA160" s="64" t="n"/>
      <c r="AB160" s="135" t="n"/>
      <c r="AC160" s="64" t="n"/>
      <c r="AD160" s="64" t="n"/>
      <c r="AE160" s="64" t="n"/>
      <c r="AF160" s="64" t="n"/>
      <c r="AG160" s="308" t="n"/>
      <c r="AH160" s="64" t="n"/>
      <c r="AI160" s="64" t="n"/>
      <c r="AJ160" s="663" t="n"/>
      <c r="AK160" s="308" t="n"/>
      <c r="AL160" s="663" t="n"/>
      <c r="AM160" s="308" t="n"/>
      <c r="AN160" s="64" t="n"/>
      <c r="AO160" s="64" t="n"/>
      <c r="AP160" s="64" t="n"/>
      <c r="AQ160" s="64" t="n"/>
      <c r="AR160" s="64" t="n"/>
      <c r="AS160" s="64" t="n"/>
      <c r="AT160" s="663" t="n"/>
      <c r="AU160" s="64" t="n"/>
    </row>
    <row r="161" ht="18" customHeight="1">
      <c r="A161" s="224" t="n"/>
      <c r="B161" s="222" t="n"/>
      <c r="C161" s="1964" t="inlineStr">
        <is>
          <t>K) Znwej AvšÍt cÖevn t</t>
        </is>
      </c>
      <c r="D161" s="222" t="n"/>
      <c r="E161" s="301" t="n"/>
      <c r="F161" s="301" t="n"/>
      <c r="G161" s="222" t="n"/>
      <c r="H161" s="224" t="n"/>
      <c r="I161" s="301" t="n"/>
      <c r="J161" s="301" t="n"/>
      <c r="K161" s="301" t="n"/>
      <c r="L161" s="301" t="n"/>
      <c r="M161" s="222" t="n"/>
      <c r="N161" s="1705" t="n"/>
      <c r="O161" s="1945" t="n"/>
      <c r="P161" s="136" t="n"/>
      <c r="Q161" s="308" t="n"/>
      <c r="R161" s="64" t="n"/>
      <c r="S161" s="64" t="n"/>
      <c r="T161" s="663" t="n"/>
      <c r="U161" s="308" t="n"/>
      <c r="V161" s="64" t="n"/>
      <c r="W161" s="64" t="n"/>
      <c r="X161" s="64" t="n"/>
      <c r="Y161" s="64" t="n"/>
      <c r="Z161" s="64" t="n"/>
      <c r="AA161" s="64" t="n"/>
      <c r="AB161" s="135" t="n"/>
      <c r="AC161" s="64" t="n"/>
      <c r="AD161" s="64" t="n"/>
      <c r="AE161" s="64" t="n"/>
      <c r="AF161" s="64" t="n"/>
      <c r="AG161" s="308" t="n"/>
      <c r="AH161" s="64" t="n"/>
      <c r="AI161" s="64" t="n"/>
      <c r="AJ161" s="663" t="n"/>
      <c r="AK161" s="308" t="n"/>
      <c r="AL161" s="663" t="n"/>
      <c r="AM161" s="308" t="n"/>
      <c r="AN161" s="64" t="n"/>
      <c r="AO161" s="64" t="n"/>
      <c r="AP161" s="64" t="n"/>
      <c r="AQ161" s="64" t="n"/>
      <c r="AR161" s="64" t="n"/>
      <c r="AS161" s="64" t="n"/>
      <c r="AT161" s="663" t="n"/>
      <c r="AU161" s="64" t="n"/>
    </row>
    <row r="162" ht="18" customHeight="1">
      <c r="A162" s="224" t="n"/>
      <c r="B162" s="222" t="n"/>
      <c r="C162" s="222" t="n"/>
      <c r="D162" s="222" t="n"/>
      <c r="E162" s="301" t="n"/>
      <c r="F162" s="301" t="n"/>
      <c r="G162" s="222" t="n"/>
      <c r="H162" s="224" t="n"/>
      <c r="I162" s="301" t="n"/>
      <c r="J162" s="301" t="n"/>
      <c r="K162" s="301" t="n"/>
      <c r="L162" s="1845" t="inlineStr">
        <is>
          <t>(jÿ UvKvq)</t>
        </is>
      </c>
      <c r="M162" s="2613" t="n"/>
      <c r="N162" s="1705" t="n"/>
      <c r="O162" s="1945" t="n"/>
      <c r="P162" s="136" t="n"/>
      <c r="Q162" s="308" t="n"/>
      <c r="R162" s="64" t="n"/>
      <c r="S162" s="64" t="n"/>
      <c r="T162" s="663" t="n"/>
      <c r="U162" s="308" t="n"/>
      <c r="V162" s="64" t="n"/>
      <c r="W162" s="64" t="n"/>
      <c r="X162" s="64" t="n"/>
      <c r="Y162" s="64" t="n"/>
      <c r="Z162" s="64" t="n"/>
      <c r="AA162" s="64" t="n"/>
      <c r="AB162" s="135" t="n"/>
      <c r="AC162" s="64" t="n"/>
      <c r="AD162" s="64" t="n"/>
      <c r="AE162" s="64" t="n"/>
      <c r="AF162" s="64" t="n"/>
      <c r="AG162" s="308" t="n"/>
      <c r="AH162" s="64" t="n"/>
      <c r="AI162" s="64" t="n"/>
      <c r="AJ162" s="663" t="n"/>
      <c r="AK162" s="308" t="n"/>
      <c r="AL162" s="663" t="n"/>
      <c r="AM162" s="308" t="n"/>
      <c r="AN162" s="64" t="n"/>
      <c r="AO162" s="64" t="n"/>
      <c r="AP162" s="64" t="n"/>
      <c r="AQ162" s="64" t="n"/>
      <c r="AR162" s="64" t="n"/>
      <c r="AS162" s="64" t="n"/>
      <c r="AT162" s="663" t="n"/>
      <c r="AU162" s="64" t="n"/>
    </row>
    <row r="163" ht="18" customHeight="1">
      <c r="A163" s="224" t="n"/>
      <c r="B163" s="222" t="n"/>
      <c r="C163" s="1839" t="inlineStr">
        <is>
          <t>weeib</t>
        </is>
      </c>
      <c r="D163" s="2614" t="n"/>
      <c r="E163" s="2658" t="n"/>
      <c r="F163" s="1732" t="inlineStr">
        <is>
          <t>1g el©</t>
        </is>
      </c>
      <c r="G163" s="2614" t="n"/>
      <c r="H163" s="2614" t="n"/>
      <c r="I163" s="2617" t="n"/>
      <c r="J163" s="1732" t="inlineStr">
        <is>
          <t>2q el©</t>
        </is>
      </c>
      <c r="K163" s="2617" t="n"/>
      <c r="L163" s="1732" t="inlineStr">
        <is>
          <t>3q el©</t>
        </is>
      </c>
      <c r="M163" s="2617" t="n"/>
      <c r="N163" s="1705" t="n"/>
      <c r="O163" s="1945" t="n"/>
      <c r="P163" s="136" t="n"/>
      <c r="Q163" s="308" t="n"/>
      <c r="R163" s="64" t="n"/>
      <c r="S163" s="64" t="n"/>
      <c r="T163" s="663" t="n"/>
      <c r="U163" s="308" t="n"/>
      <c r="V163" s="64" t="n"/>
      <c r="W163" s="64" t="n"/>
      <c r="X163" s="64" t="n"/>
      <c r="Y163" s="64" t="n"/>
      <c r="Z163" s="64" t="n"/>
      <c r="AA163" s="64" t="n"/>
      <c r="AB163" s="136" t="n"/>
      <c r="AC163" s="222" t="inlineStr">
        <is>
          <t>cÖwZ ¯^vÿi wi‡cvwU©s Awdmvi</t>
        </is>
      </c>
      <c r="AH163" s="222" t="n"/>
      <c r="AI163" s="222" t="inlineStr">
        <is>
          <t>cÖwZ¯^vÿi (e¨e¯’vcK)</t>
        </is>
      </c>
      <c r="AL163" s="1847" t="inlineStr">
        <is>
          <t>D‡`¨v³vi ¯^vÿi</t>
        </is>
      </c>
      <c r="AO163" s="64" t="n"/>
      <c r="AP163" s="64" t="n"/>
      <c r="AQ163" s="64" t="n"/>
      <c r="AR163" s="64" t="n"/>
      <c r="AS163" s="64" t="n"/>
      <c r="AT163" s="663" t="n"/>
      <c r="AU163" s="64" t="n"/>
    </row>
    <row r="164" ht="18" customHeight="1">
      <c r="A164" s="224" t="n"/>
      <c r="B164" s="222" t="n"/>
      <c r="C164" s="716" t="inlineStr">
        <is>
          <t>cwiPvjb gybvdv</t>
        </is>
      </c>
      <c r="D164" s="2614" t="n"/>
      <c r="E164" s="2617" t="n"/>
      <c r="F164" s="1795">
        <f>F155</f>
        <v/>
      </c>
      <c r="G164" s="2614" t="n"/>
      <c r="H164" s="2614" t="n"/>
      <c r="I164" s="2617" t="n"/>
      <c r="J164" s="1795">
        <f>F164</f>
        <v/>
      </c>
      <c r="K164" s="2617" t="n"/>
      <c r="L164" s="1795">
        <f>J164</f>
        <v/>
      </c>
      <c r="M164" s="2617" t="n"/>
      <c r="N164" s="1705" t="n"/>
      <c r="O164" s="1945" t="n"/>
      <c r="P164" s="136" t="n"/>
      <c r="Q164" s="308" t="n"/>
      <c r="R164" s="64" t="n"/>
      <c r="S164" s="64" t="n"/>
      <c r="T164" s="663" t="n"/>
      <c r="U164" s="308" t="n"/>
      <c r="V164" s="64" t="n"/>
      <c r="W164" s="64" t="n"/>
      <c r="X164" s="64" t="n"/>
      <c r="Y164" s="64" t="n"/>
      <c r="Z164" s="64" t="n"/>
      <c r="AA164" s="64" t="n"/>
      <c r="AB164" s="136" t="n"/>
      <c r="AC164" s="64" t="n"/>
      <c r="AD164" s="64" t="n"/>
      <c r="AE164" s="64" t="n"/>
      <c r="AF164" s="64" t="n"/>
      <c r="AG164" s="308" t="n"/>
      <c r="AH164" s="64" t="n"/>
      <c r="AI164" s="64" t="n"/>
      <c r="AJ164" s="663" t="n"/>
      <c r="AK164" s="308" t="n"/>
      <c r="AL164" s="663" t="n"/>
      <c r="AM164" s="308" t="n"/>
      <c r="AN164" s="64" t="n"/>
      <c r="AO164" s="64" t="n"/>
      <c r="AP164" s="64" t="n"/>
      <c r="AQ164" s="64" t="n"/>
      <c r="AR164" s="64" t="n"/>
      <c r="AS164" s="64" t="n"/>
      <c r="AT164" s="663" t="n"/>
      <c r="AU164" s="64" t="n"/>
    </row>
    <row r="165" ht="18" customHeight="1">
      <c r="A165" s="224" t="n"/>
      <c r="B165" s="222" t="n"/>
      <c r="C165" s="716" t="inlineStr">
        <is>
          <t>PjwZ `vq e„w×</t>
        </is>
      </c>
      <c r="D165" s="2614" t="n"/>
      <c r="E165" s="2617" t="n"/>
      <c r="F165" s="1795">
        <f>Q165</f>
        <v/>
      </c>
      <c r="G165" s="2614" t="n"/>
      <c r="H165" s="2614" t="n"/>
      <c r="I165" s="2617" t="n"/>
      <c r="J165" s="1795">
        <f>F165</f>
        <v/>
      </c>
      <c r="K165" s="2617" t="n"/>
      <c r="L165" s="1795">
        <f>J165</f>
        <v/>
      </c>
      <c r="M165" s="2617" t="n"/>
      <c r="N165" s="1705" t="n"/>
      <c r="O165" s="1945" t="n"/>
      <c r="P165" s="136" t="n"/>
      <c r="Q165" s="1768">
        <f>L55</f>
        <v/>
      </c>
      <c r="T165" s="663" t="n"/>
      <c r="U165" s="308" t="n"/>
      <c r="V165" s="64" t="n"/>
      <c r="W165" s="64" t="n"/>
      <c r="X165" s="64" t="n"/>
      <c r="Y165" s="64" t="n"/>
      <c r="Z165" s="64" t="n"/>
      <c r="AA165" s="64" t="n"/>
      <c r="AB165" s="136" t="n"/>
      <c r="AC165" s="64" t="n"/>
      <c r="AD165" s="64" t="n"/>
      <c r="AE165" s="64" t="n"/>
      <c r="AF165" s="64" t="n"/>
      <c r="AG165" s="308" t="n"/>
      <c r="AH165" s="64" t="n"/>
      <c r="AI165" s="64" t="n"/>
      <c r="AJ165" s="663" t="n"/>
      <c r="AK165" s="308" t="n"/>
      <c r="AL165" s="663" t="n"/>
      <c r="AM165" s="308" t="n"/>
      <c r="AN165" s="64" t="n"/>
      <c r="AO165" s="64" t="n"/>
      <c r="AP165" s="64" t="n"/>
      <c r="AQ165" s="64" t="n"/>
      <c r="AR165" s="64" t="n"/>
      <c r="AS165" s="64" t="n"/>
      <c r="AT165" s="663" t="n"/>
      <c r="AU165" s="64" t="n"/>
    </row>
    <row r="166" ht="18" customHeight="1">
      <c r="A166" s="224" t="n"/>
      <c r="B166" s="222" t="n"/>
      <c r="C166" s="716" t="inlineStr">
        <is>
          <t>bM` cywR wewb‡qvM</t>
        </is>
      </c>
      <c r="D166" s="2614" t="n"/>
      <c r="E166" s="2617" t="n"/>
      <c r="F166" s="1795">
        <f>Q166</f>
        <v/>
      </c>
      <c r="G166" s="2614" t="n"/>
      <c r="H166" s="2614" t="n"/>
      <c r="I166" s="2617" t="n"/>
      <c r="J166" s="1795">
        <f>F166</f>
        <v/>
      </c>
      <c r="K166" s="2617" t="n"/>
      <c r="L166" s="1795">
        <f>J166</f>
        <v/>
      </c>
      <c r="M166" s="2617" t="n"/>
      <c r="N166" s="1705" t="n"/>
      <c r="O166" s="1945" t="n"/>
      <c r="P166" s="136" t="n"/>
      <c r="Q166" s="1768">
        <f>L56</f>
        <v/>
      </c>
      <c r="T166" s="663" t="n"/>
      <c r="U166" s="308" t="n"/>
      <c r="V166" s="64" t="n"/>
      <c r="W166" s="64" t="n"/>
      <c r="X166" s="64" t="n"/>
      <c r="Y166" s="64" t="n"/>
      <c r="Z166" s="64" t="n"/>
      <c r="AA166" s="64" t="n"/>
      <c r="AB166" s="136" t="n"/>
      <c r="AC166" s="64" t="n"/>
      <c r="AD166" s="64" t="n"/>
      <c r="AE166" s="64" t="n"/>
      <c r="AF166" s="64" t="n"/>
      <c r="AG166" s="308" t="n"/>
      <c r="AH166" s="64" t="n"/>
      <c r="AI166" s="64" t="n"/>
      <c r="AJ166" s="663" t="n"/>
      <c r="AK166" s="308" t="n"/>
      <c r="AL166" s="663" t="n"/>
      <c r="AM166" s="308" t="n"/>
      <c r="AN166" s="64" t="n"/>
      <c r="AO166" s="64" t="n"/>
      <c r="AP166" s="64" t="n"/>
      <c r="AQ166" s="64" t="n"/>
      <c r="AR166" s="64" t="n"/>
      <c r="AS166" s="64" t="n"/>
      <c r="AT166" s="663" t="n"/>
      <c r="AU166" s="64" t="n"/>
    </row>
    <row r="167" ht="18" customHeight="1">
      <c r="A167" s="1563" t="n"/>
      <c r="B167" s="63" t="n"/>
      <c r="C167" s="716" t="inlineStr">
        <is>
          <t>‡gvU</t>
        </is>
      </c>
      <c r="D167" s="2614" t="n"/>
      <c r="E167" s="2617" t="n"/>
      <c r="F167" s="1795">
        <f>F164+F165+F166</f>
        <v/>
      </c>
      <c r="G167" s="2614" t="n"/>
      <c r="H167" s="2614" t="n"/>
      <c r="I167" s="2617" t="n"/>
      <c r="J167" s="1795">
        <f>F167</f>
        <v/>
      </c>
      <c r="K167" s="2617" t="n"/>
      <c r="L167" s="1795">
        <f>J167</f>
        <v/>
      </c>
      <c r="M167" s="2617" t="n"/>
      <c r="N167" s="1705" t="n"/>
      <c r="O167" s="1945" t="n"/>
      <c r="P167" s="136" t="n"/>
      <c r="Q167" s="308" t="n"/>
      <c r="R167" s="64" t="n"/>
      <c r="S167" s="64" t="n"/>
      <c r="T167" s="663" t="n"/>
      <c r="U167" s="308" t="n"/>
      <c r="V167" s="64" t="n"/>
      <c r="W167" s="64" t="n"/>
      <c r="X167" s="64" t="n"/>
      <c r="Y167" s="64" t="n"/>
      <c r="Z167" s="64" t="n"/>
      <c r="AA167" s="64" t="n"/>
      <c r="AB167" s="136" t="n"/>
      <c r="AC167" s="64" t="n"/>
      <c r="AD167" s="64" t="n"/>
      <c r="AE167" s="64" t="n"/>
      <c r="AF167" s="64" t="n"/>
      <c r="AG167" s="308" t="n"/>
      <c r="AH167" s="64" t="n"/>
      <c r="AI167" s="64" t="n"/>
      <c r="AJ167" s="663" t="n"/>
      <c r="AK167" s="308" t="n"/>
      <c r="AL167" s="663" t="n"/>
      <c r="AM167" s="308" t="n"/>
      <c r="AN167" s="64" t="n"/>
      <c r="AO167" s="64" t="n"/>
      <c r="AP167" s="64" t="n"/>
      <c r="AQ167" s="64" t="n"/>
      <c r="AR167" s="64" t="n"/>
      <c r="AS167" s="64" t="n"/>
      <c r="AT167" s="663" t="n"/>
      <c r="AU167" s="64" t="n"/>
    </row>
    <row r="168" ht="18" customHeight="1">
      <c r="A168" s="1563" t="n"/>
      <c r="B168" s="63" t="n"/>
      <c r="C168" s="63" t="n"/>
      <c r="D168" s="63" t="n"/>
      <c r="E168" s="308" t="n"/>
      <c r="F168" s="308" t="n"/>
      <c r="G168" s="354" t="n"/>
      <c r="H168" s="65" t="n"/>
      <c r="I168" s="66" t="n"/>
      <c r="J168" s="66" t="n"/>
      <c r="K168" s="66" t="n"/>
      <c r="L168" s="66" t="n"/>
      <c r="M168" s="63" t="n"/>
      <c r="N168" s="1705" t="n"/>
      <c r="O168" s="1945" t="n"/>
      <c r="P168" s="136" t="n"/>
      <c r="Q168" s="308" t="n"/>
      <c r="R168" s="64" t="n"/>
      <c r="S168" s="64" t="n"/>
      <c r="T168" s="663" t="n"/>
      <c r="U168" s="308" t="n"/>
      <c r="V168" s="64" t="n"/>
      <c r="W168" s="64" t="n"/>
      <c r="X168" s="64" t="n"/>
      <c r="Y168" s="64" t="n"/>
      <c r="Z168" s="64" t="n"/>
      <c r="AA168" s="64" t="n"/>
      <c r="AB168" s="136" t="n"/>
      <c r="AC168" s="64" t="n"/>
      <c r="AD168" s="64" t="n"/>
      <c r="AE168" s="64" t="n"/>
      <c r="AF168" s="64" t="n"/>
      <c r="AG168" s="308" t="n"/>
      <c r="AH168" s="64" t="n"/>
      <c r="AI168" s="64" t="n"/>
      <c r="AJ168" s="663" t="n"/>
      <c r="AK168" s="308" t="n"/>
      <c r="AL168" s="663" t="n"/>
      <c r="AM168" s="308" t="n"/>
      <c r="AN168" s="64" t="n"/>
      <c r="AO168" s="64" t="n"/>
      <c r="AP168" s="64" t="n"/>
      <c r="AQ168" s="64" t="n"/>
      <c r="AR168" s="64" t="n"/>
      <c r="AS168" s="64" t="n"/>
      <c r="AT168" s="663" t="n"/>
      <c r="AU168" s="64" t="n"/>
    </row>
    <row r="169" ht="18" customHeight="1">
      <c r="A169" s="1563" t="n"/>
      <c r="B169" s="63" t="n"/>
      <c r="C169" s="63" t="n"/>
      <c r="D169" s="63" t="n"/>
      <c r="E169" s="308" t="n"/>
      <c r="F169" s="308" t="n"/>
      <c r="G169" s="354" t="n"/>
      <c r="H169" s="65" t="n"/>
      <c r="I169" s="66" t="n"/>
      <c r="J169" s="66" t="n"/>
      <c r="K169" s="66" t="n"/>
      <c r="L169" s="66" t="n"/>
      <c r="M169" s="63" t="n"/>
      <c r="N169" s="1705" t="n"/>
      <c r="O169" s="1945" t="n"/>
      <c r="P169" s="136" t="n"/>
      <c r="Q169" s="308" t="n"/>
      <c r="R169" s="64" t="n"/>
      <c r="S169" s="64" t="n"/>
      <c r="T169" s="663" t="n"/>
      <c r="U169" s="308" t="n"/>
      <c r="V169" s="64" t="n"/>
      <c r="W169" s="64" t="n"/>
      <c r="X169" s="64" t="n"/>
      <c r="Y169" s="64" t="n"/>
      <c r="Z169" s="64" t="n"/>
      <c r="AA169" s="64" t="n"/>
      <c r="AB169" s="136" t="n"/>
      <c r="AC169" s="64" t="n"/>
      <c r="AD169" s="64" t="n"/>
      <c r="AE169" s="64" t="n"/>
      <c r="AF169" s="64" t="n"/>
      <c r="AG169" s="308" t="n"/>
      <c r="AH169" s="64" t="n"/>
      <c r="AI169" s="64" t="n"/>
      <c r="AJ169" s="663" t="n"/>
      <c r="AK169" s="308" t="n"/>
      <c r="AL169" s="663" t="n"/>
      <c r="AM169" s="308" t="n"/>
      <c r="AN169" s="64" t="n"/>
      <c r="AO169" s="64" t="n"/>
      <c r="AP169" s="64" t="n"/>
      <c r="AQ169" s="64" t="n"/>
      <c r="AR169" s="64" t="n"/>
      <c r="AS169" s="64" t="n"/>
      <c r="AT169" s="663" t="n"/>
      <c r="AU169" s="64" t="n"/>
    </row>
    <row r="170" ht="18" customHeight="1">
      <c r="A170" s="224" t="n"/>
      <c r="B170" s="222" t="n"/>
      <c r="C170" s="1964" t="inlineStr">
        <is>
          <t>L) Znwej ewnt cÖevn t</t>
        </is>
      </c>
      <c r="D170" s="222" t="n"/>
      <c r="E170" s="301" t="n"/>
      <c r="F170" s="301" t="n"/>
      <c r="G170" s="222" t="n"/>
      <c r="H170" s="224" t="n"/>
      <c r="I170" s="301" t="n"/>
      <c r="J170" s="301" t="n"/>
      <c r="K170" s="301" t="n"/>
      <c r="L170" s="301" t="n"/>
      <c r="M170" s="222" t="n"/>
      <c r="N170" s="1705" t="n"/>
      <c r="O170" s="1945" t="n"/>
      <c r="P170" s="136" t="n"/>
      <c r="Q170" s="308" t="n"/>
      <c r="R170" s="64" t="n"/>
      <c r="S170" s="64" t="n"/>
      <c r="T170" s="663" t="n"/>
      <c r="U170" s="308" t="n"/>
      <c r="V170" s="64" t="n"/>
      <c r="W170" s="64" t="n"/>
      <c r="X170" s="64" t="n"/>
      <c r="Y170" s="64" t="n"/>
      <c r="Z170" s="64" t="n"/>
      <c r="AA170" s="64" t="n"/>
      <c r="AB170" s="136" t="n"/>
      <c r="AC170" s="64" t="n"/>
      <c r="AD170" s="64" t="n"/>
      <c r="AE170" s="64" t="n"/>
      <c r="AF170" s="64" t="n"/>
      <c r="AG170" s="308" t="n"/>
      <c r="AH170" s="64" t="n"/>
      <c r="AI170" s="64" t="n"/>
      <c r="AJ170" s="663" t="n"/>
      <c r="AK170" s="308" t="n"/>
      <c r="AL170" s="663" t="n"/>
      <c r="AM170" s="308" t="n"/>
      <c r="AN170" s="64" t="n"/>
      <c r="AO170" s="64" t="n"/>
      <c r="AP170" s="64" t="n"/>
      <c r="AQ170" s="64" t="n"/>
      <c r="AR170" s="64" t="n"/>
      <c r="AS170" s="64" t="n"/>
      <c r="AT170" s="663" t="n"/>
      <c r="AU170" s="64" t="n"/>
    </row>
    <row r="171" ht="18" customHeight="1">
      <c r="A171" s="224" t="n"/>
      <c r="B171" s="222" t="n"/>
      <c r="C171" s="222" t="n"/>
      <c r="D171" s="222" t="n"/>
      <c r="E171" s="301" t="n"/>
      <c r="F171" s="301" t="n"/>
      <c r="G171" s="222" t="n"/>
      <c r="H171" s="224" t="n"/>
      <c r="I171" s="301" t="n"/>
      <c r="J171" s="301" t="n"/>
      <c r="K171" s="301" t="n"/>
      <c r="L171" s="1845" t="inlineStr">
        <is>
          <t>(jÿ UvKvq)</t>
        </is>
      </c>
      <c r="M171" s="2613" t="n"/>
      <c r="N171" s="1705" t="n"/>
      <c r="O171" s="1945" t="n"/>
      <c r="P171" s="136" t="n"/>
      <c r="Q171" s="308" t="n"/>
      <c r="R171" s="64" t="n"/>
      <c r="S171" s="64" t="n"/>
      <c r="T171" s="663" t="n"/>
      <c r="U171" s="308" t="n"/>
      <c r="V171" s="64" t="n"/>
      <c r="W171" s="64" t="n"/>
      <c r="X171" s="64" t="n"/>
      <c r="Y171" s="64" t="n"/>
      <c r="Z171" s="64" t="n"/>
      <c r="AA171" s="64" t="n"/>
      <c r="AB171" s="136" t="n"/>
      <c r="AC171" s="64" t="n"/>
      <c r="AD171" s="64" t="n"/>
      <c r="AE171" s="64" t="n"/>
      <c r="AF171" s="64" t="n"/>
      <c r="AG171" s="308" t="n"/>
      <c r="AH171" s="64" t="n"/>
      <c r="AI171" s="64" t="n"/>
      <c r="AJ171" s="663" t="n"/>
      <c r="AK171" s="308" t="n"/>
      <c r="AL171" s="663" t="n"/>
      <c r="AM171" s="308" t="n"/>
      <c r="AN171" s="64" t="n"/>
      <c r="AO171" s="64" t="n"/>
      <c r="AP171" s="64" t="n"/>
      <c r="AQ171" s="64" t="n"/>
      <c r="AR171" s="64" t="n"/>
      <c r="AS171" s="64" t="n"/>
      <c r="AT171" s="663" t="n"/>
      <c r="AU171" s="64" t="n"/>
    </row>
    <row r="172" ht="18" customHeight="1">
      <c r="A172" s="224" t="n"/>
      <c r="B172" s="222" t="n"/>
      <c r="C172" s="1839" t="inlineStr">
        <is>
          <t>weeib</t>
        </is>
      </c>
      <c r="D172" s="2614" t="n"/>
      <c r="E172" s="2658" t="n"/>
      <c r="F172" s="1732" t="inlineStr">
        <is>
          <t>1g el©</t>
        </is>
      </c>
      <c r="G172" s="2614" t="n"/>
      <c r="H172" s="2614" t="n"/>
      <c r="I172" s="2617" t="n"/>
      <c r="J172" s="1732" t="inlineStr">
        <is>
          <t>2q el©</t>
        </is>
      </c>
      <c r="K172" s="2617" t="n"/>
      <c r="L172" s="1732" t="inlineStr">
        <is>
          <t>3q el©</t>
        </is>
      </c>
      <c r="M172" s="2617" t="n"/>
      <c r="N172" s="1705" t="n"/>
      <c r="O172" s="1945" t="n"/>
      <c r="P172" s="136" t="n"/>
      <c r="Q172" s="308" t="n"/>
      <c r="R172" s="64" t="n"/>
      <c r="S172" s="64" t="n"/>
      <c r="T172" s="663" t="n"/>
      <c r="U172" s="308" t="n"/>
      <c r="V172" s="64" t="n"/>
      <c r="W172" s="64" t="n"/>
      <c r="X172" s="64" t="n"/>
      <c r="Y172" s="64" t="n"/>
      <c r="Z172" s="64" t="n"/>
      <c r="AA172" s="64" t="n"/>
      <c r="AB172" s="136" t="n"/>
      <c r="AC172" s="64" t="n"/>
      <c r="AD172" s="64" t="n"/>
      <c r="AE172" s="64" t="n"/>
      <c r="AF172" s="64" t="n"/>
      <c r="AG172" s="308" t="n"/>
      <c r="AH172" s="64" t="n"/>
      <c r="AI172" s="64" t="n"/>
      <c r="AJ172" s="663" t="n"/>
      <c r="AK172" s="308" t="n"/>
      <c r="AL172" s="663" t="n"/>
      <c r="AM172" s="308" t="n"/>
      <c r="AN172" s="64" t="n"/>
      <c r="AO172" s="64" t="n"/>
      <c r="AP172" s="64" t="n"/>
      <c r="AQ172" s="64" t="n"/>
      <c r="AR172" s="64" t="n"/>
      <c r="AS172" s="64" t="n"/>
      <c r="AT172" s="663" t="n"/>
      <c r="AU172" s="64" t="n"/>
    </row>
    <row r="173" ht="18" customHeight="1">
      <c r="A173" s="224" t="n"/>
      <c r="B173" s="222" t="n"/>
      <c r="C173" s="716" t="inlineStr">
        <is>
          <t>PjwZ m¤ú` e„w×</t>
        </is>
      </c>
      <c r="D173" s="2614" t="n"/>
      <c r="E173" s="2617" t="n"/>
      <c r="F173" s="1795">
        <f>F165+F166</f>
        <v/>
      </c>
      <c r="G173" s="2614" t="n"/>
      <c r="H173" s="2614" t="n"/>
      <c r="I173" s="2617" t="n"/>
      <c r="J173" s="1795">
        <f>F173</f>
        <v/>
      </c>
      <c r="K173" s="2617" t="n"/>
      <c r="L173" s="1795">
        <f>J173</f>
        <v/>
      </c>
      <c r="M173" s="2617" t="n"/>
      <c r="N173" s="1705" t="n"/>
      <c r="O173" s="1945" t="n"/>
      <c r="P173" s="136" t="n"/>
      <c r="Q173" s="308" t="n"/>
      <c r="R173" s="64" t="n"/>
      <c r="S173" s="64" t="n"/>
      <c r="T173" s="663" t="n"/>
      <c r="U173" s="308" t="n"/>
      <c r="V173" s="64" t="n"/>
      <c r="W173" s="64" t="n"/>
      <c r="X173" s="64" t="n"/>
      <c r="Y173" s="64" t="n"/>
      <c r="Z173" s="64" t="n"/>
      <c r="AA173" s="64" t="n"/>
      <c r="AB173" s="136" t="n"/>
      <c r="AC173" s="64" t="n"/>
      <c r="AD173" s="64" t="n"/>
      <c r="AE173" s="64" t="n"/>
      <c r="AF173" s="64" t="n"/>
      <c r="AG173" s="308" t="n"/>
      <c r="AH173" s="64" t="n"/>
      <c r="AI173" s="64" t="n"/>
      <c r="AJ173" s="663" t="n"/>
      <c r="AK173" s="308" t="n"/>
      <c r="AL173" s="663" t="n"/>
      <c r="AM173" s="308" t="n"/>
      <c r="AN173" s="64" t="n"/>
      <c r="AO173" s="64" t="n"/>
      <c r="AP173" s="64" t="n"/>
      <c r="AQ173" s="64" t="n"/>
      <c r="AR173" s="64" t="n"/>
      <c r="AS173" s="64" t="n"/>
      <c r="AT173" s="663" t="n"/>
      <c r="AU173" s="64" t="n"/>
    </row>
    <row r="174" ht="18" customHeight="1">
      <c r="A174" s="224" t="n"/>
      <c r="B174" s="222" t="n"/>
      <c r="C174" s="716" t="inlineStr">
        <is>
          <t>F‡Yi my`</t>
        </is>
      </c>
      <c r="D174" s="2614" t="n"/>
      <c r="E174" s="2617" t="n"/>
      <c r="F174" s="1795">
        <f>F156</f>
        <v/>
      </c>
      <c r="G174" s="2614" t="n"/>
      <c r="H174" s="2614" t="n"/>
      <c r="I174" s="2617" t="n"/>
      <c r="J174" s="1795">
        <f>F174</f>
        <v/>
      </c>
      <c r="K174" s="2617" t="n"/>
      <c r="L174" s="1795">
        <f>J174</f>
        <v/>
      </c>
      <c r="M174" s="2617" t="n"/>
      <c r="N174" s="1705" t="n"/>
      <c r="O174" s="1945" t="n"/>
      <c r="P174" s="136" t="n"/>
      <c r="Q174" s="308" t="n"/>
      <c r="R174" s="64" t="n"/>
      <c r="S174" s="64" t="n"/>
      <c r="T174" s="663" t="n"/>
      <c r="U174" s="308" t="n"/>
      <c r="V174" s="64" t="n"/>
      <c r="W174" s="64" t="n"/>
      <c r="X174" s="64" t="n"/>
      <c r="Y174" s="64" t="n"/>
      <c r="Z174" s="64" t="n"/>
      <c r="AA174" s="64" t="n"/>
      <c r="AB174" s="136" t="n"/>
      <c r="AC174" s="64" t="n"/>
      <c r="AD174" s="64" t="n"/>
      <c r="AE174" s="64" t="n"/>
      <c r="AF174" s="64" t="n"/>
      <c r="AG174" s="308" t="n"/>
      <c r="AH174" s="64" t="n"/>
      <c r="AI174" s="64" t="n"/>
      <c r="AJ174" s="663" t="n"/>
      <c r="AK174" s="308" t="n"/>
      <c r="AL174" s="663" t="n"/>
      <c r="AM174" s="308" t="n"/>
      <c r="AN174" s="64" t="n"/>
      <c r="AO174" s="64" t="n"/>
      <c r="AP174" s="64" t="n"/>
      <c r="AQ174" s="64" t="n"/>
      <c r="AR174" s="64" t="n"/>
      <c r="AS174" s="64" t="n"/>
      <c r="AT174" s="663" t="n"/>
      <c r="AU174" s="64" t="n"/>
    </row>
    <row r="175" ht="18" customHeight="1">
      <c r="A175" s="1563" t="n"/>
      <c r="B175" s="63" t="n"/>
      <c r="C175" s="716" t="inlineStr">
        <is>
          <t>‡gvU</t>
        </is>
      </c>
      <c r="D175" s="2614" t="n"/>
      <c r="E175" s="2617" t="n"/>
      <c r="F175" s="1795">
        <f>F173+F174</f>
        <v/>
      </c>
      <c r="G175" s="2614" t="n"/>
      <c r="H175" s="2614" t="n"/>
      <c r="I175" s="2617" t="n"/>
      <c r="J175" s="1795">
        <f>F175</f>
        <v/>
      </c>
      <c r="K175" s="2617" t="n"/>
      <c r="L175" s="1795">
        <f>J175</f>
        <v/>
      </c>
      <c r="M175" s="2617" t="n"/>
      <c r="N175" s="1705" t="n"/>
      <c r="O175" s="1945" t="n"/>
      <c r="P175" s="136" t="n"/>
      <c r="Q175" s="308" t="n"/>
      <c r="R175" s="64" t="n"/>
      <c r="S175" s="64" t="n"/>
      <c r="T175" s="663" t="n"/>
      <c r="U175" s="308" t="n"/>
      <c r="V175" s="64" t="n"/>
      <c r="W175" s="64" t="n"/>
      <c r="X175" s="64" t="n"/>
      <c r="Y175" s="64" t="n"/>
      <c r="Z175" s="64" t="n"/>
      <c r="AA175" s="64" t="n"/>
      <c r="AB175" s="136" t="n"/>
      <c r="AC175" s="64" t="n"/>
      <c r="AD175" s="64" t="n"/>
      <c r="AE175" s="64" t="n"/>
      <c r="AF175" s="64" t="n"/>
      <c r="AG175" s="308" t="n"/>
      <c r="AH175" s="64" t="n"/>
      <c r="AI175" s="64" t="n"/>
      <c r="AJ175" s="663" t="n"/>
      <c r="AK175" s="308" t="n"/>
      <c r="AL175" s="663" t="n"/>
      <c r="AM175" s="308" t="n"/>
      <c r="AN175" s="64" t="n"/>
      <c r="AO175" s="64" t="n"/>
      <c r="AP175" s="64" t="n"/>
      <c r="AQ175" s="64" t="n"/>
      <c r="AR175" s="64" t="n"/>
      <c r="AS175" s="64" t="n"/>
      <c r="AT175" s="663" t="n"/>
      <c r="AU175" s="64" t="n"/>
    </row>
    <row r="176" ht="18" customHeight="1">
      <c r="A176" s="1563" t="n"/>
      <c r="B176" s="63" t="n"/>
      <c r="C176" s="63" t="n"/>
      <c r="D176" s="63" t="n"/>
      <c r="E176" s="308" t="n"/>
      <c r="F176" s="308" t="n"/>
      <c r="G176" s="354" t="n"/>
      <c r="H176" s="65" t="n"/>
      <c r="I176" s="66" t="n"/>
      <c r="J176" s="66" t="n"/>
      <c r="K176" s="66" t="n"/>
      <c r="L176" s="66" t="n"/>
      <c r="M176" s="63" t="n"/>
      <c r="N176" s="64" t="n"/>
      <c r="O176" s="1945" t="n"/>
      <c r="P176" s="136" t="n"/>
      <c r="Q176" s="308" t="n"/>
      <c r="R176" s="64" t="n"/>
      <c r="S176" s="64" t="n"/>
      <c r="T176" s="663" t="n"/>
      <c r="U176" s="308" t="n"/>
      <c r="V176" s="64" t="n"/>
      <c r="W176" s="64" t="n"/>
      <c r="X176" s="64" t="n"/>
      <c r="Y176" s="64" t="n"/>
      <c r="Z176" s="64" t="n"/>
      <c r="AA176" s="64" t="n"/>
      <c r="AB176" s="136" t="n"/>
      <c r="AC176" s="64" t="n"/>
      <c r="AD176" s="64" t="n"/>
      <c r="AE176" s="64" t="n"/>
      <c r="AF176" s="64" t="n"/>
      <c r="AG176" s="308" t="n"/>
      <c r="AH176" s="64" t="n"/>
      <c r="AI176" s="64" t="n"/>
      <c r="AJ176" s="663" t="n"/>
      <c r="AK176" s="308" t="n"/>
      <c r="AL176" s="663" t="n"/>
      <c r="AM176" s="308" t="n"/>
      <c r="AN176" s="64" t="n"/>
      <c r="AO176" s="64" t="n"/>
      <c r="AP176" s="64" t="n"/>
      <c r="AQ176" s="64" t="n"/>
      <c r="AR176" s="64" t="n"/>
      <c r="AS176" s="64" t="n"/>
      <c r="AT176" s="663" t="n"/>
      <c r="AU176" s="64" t="n"/>
    </row>
    <row r="177" ht="18" customHeight="1">
      <c r="A177" s="1563" t="n"/>
      <c r="B177" s="63" t="n"/>
      <c r="C177" s="63" t="n"/>
      <c r="D177" s="63" t="n"/>
      <c r="E177" s="308" t="n"/>
      <c r="F177" s="308" t="n"/>
      <c r="G177" s="354" t="n"/>
      <c r="H177" s="65" t="n"/>
      <c r="I177" s="66" t="n"/>
      <c r="J177" s="66" t="n"/>
      <c r="K177" s="66" t="n"/>
      <c r="L177" s="66" t="n"/>
      <c r="M177" s="63" t="n"/>
      <c r="N177" s="64" t="n"/>
      <c r="O177" s="1945" t="n"/>
      <c r="P177" s="136" t="n"/>
      <c r="Q177" s="308" t="n"/>
      <c r="R177" s="64" t="n"/>
      <c r="S177" s="64" t="n"/>
      <c r="T177" s="663" t="n"/>
      <c r="U177" s="308" t="n"/>
      <c r="V177" s="64" t="n"/>
      <c r="W177" s="64" t="n"/>
      <c r="X177" s="64" t="n"/>
      <c r="Y177" s="64" t="n"/>
      <c r="Z177" s="64" t="n"/>
      <c r="AA177" s="64" t="n"/>
      <c r="AB177" s="136" t="n"/>
      <c r="AC177" s="64" t="n"/>
      <c r="AD177" s="64" t="n"/>
      <c r="AE177" s="64" t="n"/>
      <c r="AF177" s="64" t="n"/>
      <c r="AG177" s="308" t="n"/>
      <c r="AH177" s="64" t="n"/>
      <c r="AI177" s="64" t="n"/>
      <c r="AJ177" s="663" t="n"/>
      <c r="AK177" s="308" t="n"/>
      <c r="AL177" s="663" t="n"/>
      <c r="AM177" s="308" t="n"/>
      <c r="AN177" s="64" t="n"/>
      <c r="AO177" s="64" t="n"/>
      <c r="AP177" s="64" t="n"/>
      <c r="AQ177" s="64" t="n"/>
      <c r="AR177" s="64" t="n"/>
      <c r="AS177" s="64" t="n"/>
      <c r="AT177" s="663" t="n"/>
      <c r="AU177" s="64" t="n"/>
    </row>
    <row r="178" ht="18" customHeight="1">
      <c r="A178" s="1803" t="inlineStr">
        <is>
          <t xml:space="preserve">29|  Znwej D×…Ë t                                 </t>
        </is>
      </c>
      <c r="B178" s="2615" t="n"/>
      <c r="C178" s="2615" t="n"/>
      <c r="D178" s="2616" t="n"/>
      <c r="E178" s="1805" t="n"/>
      <c r="F178" s="1805" t="n"/>
      <c r="G178" s="1804" t="n"/>
      <c r="H178" s="1803" t="n"/>
      <c r="I178" s="1805" t="n"/>
      <c r="J178" s="1805" t="n"/>
      <c r="K178" s="1805" t="n"/>
      <c r="L178" s="1805" t="n"/>
      <c r="M178" s="1804" t="n"/>
      <c r="N178" s="1705" t="n"/>
      <c r="O178" s="1945" t="n"/>
      <c r="P178" s="136" t="n"/>
      <c r="Q178" s="308" t="n"/>
      <c r="R178" s="64" t="n"/>
      <c r="S178" s="64" t="n"/>
      <c r="T178" s="663" t="n"/>
      <c r="U178" s="308" t="n"/>
      <c r="V178" s="64" t="n"/>
      <c r="W178" s="64" t="n"/>
      <c r="X178" s="64" t="n"/>
      <c r="Y178" s="64" t="n"/>
      <c r="Z178" s="64" t="n"/>
      <c r="AA178" s="64" t="n"/>
      <c r="AB178" s="136" t="n"/>
      <c r="AC178" s="64" t="n"/>
      <c r="AD178" s="64" t="n"/>
      <c r="AE178" s="64" t="n"/>
      <c r="AF178" s="64" t="n"/>
      <c r="AG178" s="308" t="n"/>
      <c r="AH178" s="64" t="n"/>
      <c r="AI178" s="64" t="n"/>
      <c r="AJ178" s="663" t="n"/>
      <c r="AK178" s="308" t="n"/>
      <c r="AL178" s="663" t="n"/>
      <c r="AM178" s="308" t="n"/>
      <c r="AN178" s="64" t="n"/>
      <c r="AO178" s="64" t="n"/>
      <c r="AP178" s="64" t="n"/>
      <c r="AQ178" s="64" t="n"/>
      <c r="AR178" s="64" t="n"/>
      <c r="AS178" s="64" t="n"/>
      <c r="AT178" s="663" t="n"/>
      <c r="AU178" s="64" t="n"/>
    </row>
    <row r="179" ht="18" customHeight="1">
      <c r="A179" s="1563" t="n"/>
      <c r="B179" s="63" t="n"/>
      <c r="C179" s="63" t="n"/>
      <c r="D179" s="63" t="n"/>
      <c r="E179" s="308" t="n"/>
      <c r="F179" s="308" t="n"/>
      <c r="G179" s="354" t="n"/>
      <c r="H179" s="65" t="n"/>
      <c r="I179" s="66" t="n"/>
      <c r="J179" s="66" t="n"/>
      <c r="K179" s="66" t="n"/>
      <c r="L179" s="1845" t="inlineStr">
        <is>
          <t>(jÿ UvKvq)</t>
        </is>
      </c>
      <c r="M179" s="1964" t="n"/>
      <c r="N179" s="1705" t="n"/>
      <c r="O179" s="1945" t="n"/>
      <c r="P179" s="136" t="n"/>
      <c r="Q179" s="308" t="n"/>
      <c r="R179" s="64" t="n"/>
      <c r="S179" s="64" t="n"/>
      <c r="T179" s="663" t="n"/>
      <c r="U179" s="308" t="n"/>
      <c r="V179" s="64" t="n"/>
      <c r="W179" s="64" t="n"/>
      <c r="X179" s="64" t="n"/>
      <c r="Y179" s="64" t="n"/>
      <c r="Z179" s="64" t="n"/>
      <c r="AA179" s="64" t="n"/>
      <c r="AB179" s="136" t="n"/>
      <c r="AC179" s="64" t="n"/>
      <c r="AD179" s="64" t="n"/>
      <c r="AE179" s="64" t="n"/>
      <c r="AF179" s="64" t="n"/>
      <c r="AG179" s="308" t="n"/>
      <c r="AH179" s="64" t="n"/>
      <c r="AI179" s="64" t="n"/>
      <c r="AJ179" s="663" t="n"/>
      <c r="AK179" s="308" t="n"/>
      <c r="AL179" s="663" t="n"/>
      <c r="AM179" s="308" t="n"/>
      <c r="AN179" s="64" t="n"/>
      <c r="AO179" s="64" t="n"/>
      <c r="AP179" s="64" t="n"/>
      <c r="AQ179" s="64" t="n"/>
      <c r="AR179" s="64" t="n"/>
      <c r="AS179" s="64" t="n"/>
      <c r="AT179" s="663" t="n"/>
      <c r="AU179" s="64" t="n"/>
    </row>
    <row r="180" ht="18" customHeight="1">
      <c r="A180" s="1563" t="n"/>
      <c r="B180" s="63" t="n"/>
      <c r="C180" s="1725" t="inlineStr">
        <is>
          <t>weeib</t>
        </is>
      </c>
      <c r="D180" s="2617" t="n"/>
      <c r="E180" s="1732" t="inlineStr">
        <is>
          <t>1g el©</t>
        </is>
      </c>
      <c r="F180" s="2614" t="n"/>
      <c r="G180" s="2614" t="n"/>
      <c r="H180" s="2617" t="n"/>
      <c r="I180" s="1732" t="inlineStr">
        <is>
          <t>2q el©</t>
        </is>
      </c>
      <c r="J180" s="2617" t="n"/>
      <c r="K180" s="1732" t="inlineStr">
        <is>
          <t>3q el©</t>
        </is>
      </c>
      <c r="L180" s="2617" t="n"/>
      <c r="M180" s="63" t="n"/>
      <c r="N180" s="1705" t="n"/>
      <c r="O180" s="1945" t="n"/>
      <c r="P180" s="136" t="n"/>
      <c r="Q180" s="308" t="n"/>
      <c r="R180" s="64" t="n"/>
      <c r="S180" s="64" t="n"/>
      <c r="T180" s="663" t="n"/>
      <c r="U180" s="308" t="n"/>
      <c r="V180" s="64" t="n"/>
      <c r="W180" s="64" t="n"/>
      <c r="X180" s="64" t="n"/>
      <c r="Y180" s="64" t="n"/>
      <c r="Z180" s="64" t="n"/>
      <c r="AA180" s="64" t="n"/>
      <c r="AB180" s="136" t="n"/>
      <c r="AC180" s="64" t="n"/>
      <c r="AD180" s="64" t="n"/>
      <c r="AE180" s="64" t="n"/>
      <c r="AF180" s="64" t="n"/>
      <c r="AG180" s="308" t="n"/>
      <c r="AH180" s="64" t="n"/>
      <c r="AI180" s="64" t="n"/>
      <c r="AJ180" s="663" t="n"/>
      <c r="AK180" s="308" t="n"/>
      <c r="AL180" s="663" t="n"/>
      <c r="AM180" s="308" t="n"/>
      <c r="AN180" s="64" t="n"/>
      <c r="AO180" s="64" t="n"/>
      <c r="AP180" s="64" t="n"/>
      <c r="AQ180" s="64" t="n"/>
      <c r="AR180" s="64" t="n"/>
      <c r="AS180" s="64" t="n"/>
      <c r="AT180" s="663" t="n"/>
      <c r="AU180" s="64" t="n"/>
    </row>
    <row r="181" ht="18" customHeight="1">
      <c r="A181" s="1563" t="n"/>
      <c r="B181" s="63" t="n"/>
      <c r="C181" s="716" t="inlineStr">
        <is>
          <t>Znwej AvšÍtcÖevn</t>
        </is>
      </c>
      <c r="D181" s="2617" t="n"/>
      <c r="E181" s="1795">
        <f>F167</f>
        <v/>
      </c>
      <c r="F181" s="2614" t="n"/>
      <c r="G181" s="2614" t="n"/>
      <c r="H181" s="2617" t="n"/>
      <c r="I181" s="1795">
        <f>E181</f>
        <v/>
      </c>
      <c r="J181" s="2617" t="n"/>
      <c r="K181" s="1795">
        <f>I181</f>
        <v/>
      </c>
      <c r="L181" s="2617" t="n"/>
      <c r="M181" s="63" t="n"/>
      <c r="N181" s="1705" t="n"/>
      <c r="O181" s="1945" t="n"/>
      <c r="P181" s="136" t="n"/>
      <c r="Q181" s="308" t="n"/>
      <c r="R181" s="64" t="n"/>
      <c r="S181" s="64" t="n"/>
      <c r="T181" s="663" t="n"/>
      <c r="U181" s="308" t="n"/>
      <c r="V181" s="64" t="n"/>
      <c r="W181" s="64" t="n"/>
      <c r="X181" s="64" t="n"/>
      <c r="Y181" s="64" t="n"/>
      <c r="Z181" s="64" t="n"/>
      <c r="AA181" s="64" t="n"/>
      <c r="AB181" s="136" t="n"/>
      <c r="AC181" s="64" t="n"/>
      <c r="AD181" s="64" t="n"/>
      <c r="AE181" s="64" t="n"/>
      <c r="AF181" s="64" t="n"/>
      <c r="AG181" s="308" t="n"/>
      <c r="AH181" s="64" t="n"/>
      <c r="AI181" s="64" t="n"/>
      <c r="AJ181" s="663" t="n"/>
      <c r="AK181" s="308" t="n"/>
      <c r="AL181" s="663" t="n"/>
      <c r="AM181" s="308" t="n"/>
      <c r="AN181" s="64" t="n"/>
      <c r="AO181" s="64" t="n"/>
      <c r="AP181" s="64" t="n"/>
      <c r="AQ181" s="64" t="n"/>
      <c r="AR181" s="64" t="n"/>
      <c r="AS181" s="64" t="n"/>
      <c r="AT181" s="663" t="n"/>
      <c r="AU181" s="64" t="n"/>
    </row>
    <row r="182" ht="18" customHeight="1">
      <c r="A182" s="1563" t="n"/>
      <c r="B182" s="63" t="n"/>
      <c r="C182" s="716" t="inlineStr">
        <is>
          <t>Znwej ewntcÖevn</t>
        </is>
      </c>
      <c r="D182" s="2617" t="n"/>
      <c r="E182" s="1795">
        <f>F175</f>
        <v/>
      </c>
      <c r="F182" s="2614" t="n"/>
      <c r="G182" s="2614" t="n"/>
      <c r="H182" s="2617" t="n"/>
      <c r="I182" s="1795">
        <f>E182</f>
        <v/>
      </c>
      <c r="J182" s="2617" t="n"/>
      <c r="K182" s="1795">
        <f>I182</f>
        <v/>
      </c>
      <c r="L182" s="2617" t="n"/>
      <c r="M182" s="63" t="n"/>
      <c r="N182" s="1705" t="n"/>
      <c r="O182" s="1945" t="n"/>
      <c r="P182" s="136" t="n"/>
      <c r="Q182" s="308" t="n"/>
      <c r="R182" s="64" t="n"/>
      <c r="S182" s="64" t="n"/>
      <c r="T182" s="663" t="n"/>
      <c r="U182" s="308" t="n"/>
      <c r="V182" s="64" t="n"/>
      <c r="W182" s="64" t="n"/>
      <c r="X182" s="64" t="n"/>
      <c r="Y182" s="64" t="n"/>
      <c r="Z182" s="64" t="n"/>
      <c r="AA182" s="64" t="n"/>
      <c r="AB182" s="136" t="n"/>
      <c r="AC182" s="64" t="n"/>
      <c r="AD182" s="64" t="n"/>
      <c r="AE182" s="64" t="n"/>
      <c r="AF182" s="64" t="n"/>
      <c r="AG182" s="308" t="n"/>
      <c r="AH182" s="64" t="n"/>
      <c r="AI182" s="64" t="n"/>
      <c r="AJ182" s="663" t="n"/>
      <c r="AK182" s="308" t="n"/>
      <c r="AL182" s="663" t="n"/>
      <c r="AM182" s="308" t="n"/>
      <c r="AN182" s="64" t="n"/>
      <c r="AO182" s="64" t="n"/>
      <c r="AP182" s="64" t="n"/>
      <c r="AQ182" s="64" t="n"/>
      <c r="AR182" s="64" t="n"/>
      <c r="AS182" s="64" t="n"/>
      <c r="AT182" s="663" t="n"/>
      <c r="AU182" s="64" t="n"/>
    </row>
    <row r="183" ht="18" customHeight="1">
      <c r="A183" s="1563" t="n"/>
      <c r="B183" s="63" t="n"/>
      <c r="C183" s="1942" t="inlineStr">
        <is>
          <t>Znwej DØ„Ë t</t>
        </is>
      </c>
      <c r="D183" s="2617" t="n"/>
      <c r="E183" s="1795">
        <f>E181-E182</f>
        <v/>
      </c>
      <c r="F183" s="2614" t="n"/>
      <c r="G183" s="2614" t="n"/>
      <c r="H183" s="2617" t="n"/>
      <c r="I183" s="1795">
        <f>E183</f>
        <v/>
      </c>
      <c r="J183" s="2617" t="n"/>
      <c r="K183" s="1795">
        <f>I183</f>
        <v/>
      </c>
      <c r="L183" s="2617" t="n"/>
      <c r="M183" s="63" t="n"/>
      <c r="N183" s="64" t="n"/>
      <c r="O183" s="1943">
        <f>F167-F175=F157</f>
        <v/>
      </c>
      <c r="Q183" s="1768">
        <f>F157-F183</f>
        <v/>
      </c>
      <c r="T183" s="663" t="n"/>
      <c r="U183" s="308" t="n"/>
      <c r="V183" s="64" t="n"/>
      <c r="W183" s="64" t="n"/>
      <c r="X183" s="64" t="n"/>
      <c r="Y183" s="64" t="n"/>
      <c r="Z183" s="64" t="n"/>
      <c r="AA183" s="64" t="n"/>
      <c r="AB183" s="136" t="n"/>
      <c r="AC183" s="64" t="n"/>
      <c r="AD183" s="64" t="n"/>
      <c r="AE183" s="64" t="n"/>
      <c r="AF183" s="64" t="n"/>
      <c r="AG183" s="308" t="n"/>
      <c r="AH183" s="64" t="n"/>
      <c r="AI183" s="64" t="n"/>
      <c r="AJ183" s="663" t="n"/>
      <c r="AK183" s="308" t="n"/>
      <c r="AL183" s="663" t="n"/>
      <c r="AM183" s="308" t="n"/>
      <c r="AN183" s="64" t="n"/>
      <c r="AO183" s="64" t="n"/>
      <c r="AP183" s="64" t="n"/>
      <c r="AQ183" s="64" t="n"/>
      <c r="AR183" s="64" t="n"/>
      <c r="AS183" s="64" t="n"/>
      <c r="AT183" s="663" t="n"/>
      <c r="AU183" s="64" t="n"/>
    </row>
    <row r="184" ht="18" customHeight="1">
      <c r="A184" s="1657" t="n"/>
      <c r="B184" s="295" t="n"/>
      <c r="C184" s="295" t="n"/>
      <c r="D184" s="295" t="n"/>
      <c r="E184" s="801" t="n"/>
      <c r="F184" s="801" t="n"/>
      <c r="G184" s="535" t="n"/>
      <c r="H184" s="475" t="n"/>
      <c r="I184" s="801" t="n"/>
      <c r="J184" s="801" t="n"/>
      <c r="K184" s="801" t="n"/>
      <c r="L184" s="801" t="n"/>
      <c r="M184" s="399" t="n"/>
      <c r="N184" s="399" t="n"/>
      <c r="O184" s="1678" t="n"/>
      <c r="P184" s="136" t="n"/>
      <c r="Q184" s="308" t="n"/>
      <c r="R184" s="64" t="n"/>
      <c r="S184" s="64" t="n"/>
      <c r="T184" s="663" t="n"/>
      <c r="U184" s="308" t="n"/>
      <c r="V184" s="64" t="n"/>
      <c r="W184" s="64" t="n"/>
      <c r="X184" s="64" t="n"/>
      <c r="Y184" s="64" t="n"/>
      <c r="Z184" s="64" t="n"/>
      <c r="AA184" s="64" t="n"/>
      <c r="AB184" s="136" t="n"/>
      <c r="AC184" s="64" t="n"/>
      <c r="AD184" s="64" t="n"/>
      <c r="AE184" s="64" t="n"/>
      <c r="AF184" s="64" t="n"/>
      <c r="AG184" s="308" t="n"/>
      <c r="AH184" s="64" t="n"/>
      <c r="AI184" s="64" t="n"/>
      <c r="AJ184" s="663" t="n"/>
      <c r="AK184" s="308" t="n"/>
      <c r="AL184" s="663" t="n"/>
      <c r="AM184" s="308" t="n"/>
      <c r="AN184" s="64" t="n"/>
      <c r="AO184" s="64" t="n"/>
      <c r="AP184" s="64" t="n"/>
      <c r="AQ184" s="64" t="n"/>
      <c r="AR184" s="64" t="n"/>
      <c r="AS184" s="64" t="n"/>
      <c r="AT184" s="663" t="n"/>
      <c r="AU184" s="64" t="n"/>
    </row>
    <row r="185" ht="18" customHeight="1">
      <c r="A185" s="1657" t="n"/>
      <c r="B185" s="295" t="n"/>
      <c r="C185" s="295" t="n"/>
      <c r="D185" s="295" t="n"/>
      <c r="E185" s="801" t="n"/>
      <c r="F185" s="801" t="n"/>
      <c r="G185" s="535" t="n"/>
      <c r="H185" s="475" t="n"/>
      <c r="I185" s="801" t="n"/>
      <c r="J185" s="801" t="n"/>
      <c r="K185" s="801" t="n"/>
      <c r="L185" s="801" t="n"/>
      <c r="M185" s="399" t="n"/>
      <c r="N185" s="399" t="n"/>
      <c r="O185" s="1678" t="n"/>
      <c r="P185" s="136" t="n"/>
      <c r="Q185" s="308" t="n"/>
      <c r="R185" s="64" t="n"/>
      <c r="S185" s="64" t="n"/>
      <c r="T185" s="663" t="n"/>
      <c r="U185" s="308" t="n"/>
      <c r="V185" s="64" t="n"/>
      <c r="W185" s="64" t="n"/>
      <c r="X185" s="64" t="n"/>
      <c r="Y185" s="64" t="n"/>
      <c r="Z185" s="64" t="n"/>
      <c r="AA185" s="64" t="n"/>
      <c r="AB185" s="136" t="n"/>
      <c r="AC185" s="64" t="n"/>
      <c r="AD185" s="64" t="n"/>
      <c r="AE185" s="64" t="n"/>
      <c r="AF185" s="64" t="n"/>
      <c r="AG185" s="308" t="n"/>
      <c r="AH185" s="64" t="n"/>
      <c r="AI185" s="64" t="n"/>
      <c r="AJ185" s="663" t="n"/>
      <c r="AK185" s="308" t="n"/>
      <c r="AL185" s="663" t="n"/>
      <c r="AM185" s="308" t="n"/>
      <c r="AN185" s="64" t="n"/>
      <c r="AO185" s="64" t="n"/>
      <c r="AP185" s="64" t="n"/>
      <c r="AQ185" s="64" t="n"/>
      <c r="AR185" s="64" t="n"/>
      <c r="AS185" s="64" t="n"/>
      <c r="AT185" s="663" t="n"/>
      <c r="AU185" s="64" t="n"/>
    </row>
  </sheetData>
  <mergeCells count="589">
    <mergeCell ref="B60:D60"/>
    <mergeCell ref="AB107:AN107"/>
    <mergeCell ref="A107:B107"/>
    <mergeCell ref="H40:M42"/>
    <mergeCell ref="AK87:AL87"/>
    <mergeCell ref="B53:D53"/>
    <mergeCell ref="AJ129:AN129"/>
    <mergeCell ref="A121:D121"/>
    <mergeCell ref="C79:D79"/>
    <mergeCell ref="AF30:AH30"/>
    <mergeCell ref="AM105:AN105"/>
    <mergeCell ref="AC78:AG78"/>
    <mergeCell ref="F132:I132"/>
    <mergeCell ref="F157:I157"/>
    <mergeCell ref="C123:E123"/>
    <mergeCell ref="AC86:AJ86"/>
    <mergeCell ref="AM120:AN120"/>
    <mergeCell ref="C118:J118"/>
    <mergeCell ref="G58:G59"/>
    <mergeCell ref="K180:L180"/>
    <mergeCell ref="A119:J119"/>
    <mergeCell ref="AK76:AL76"/>
    <mergeCell ref="F173:I173"/>
    <mergeCell ref="E180:H180"/>
    <mergeCell ref="U24:AH24"/>
    <mergeCell ref="AH79:AI79"/>
    <mergeCell ref="P80:S80"/>
    <mergeCell ref="AB121:AJ121"/>
    <mergeCell ref="E182:H182"/>
    <mergeCell ref="AK77:AL77"/>
    <mergeCell ref="J154:K154"/>
    <mergeCell ref="E138:G138"/>
    <mergeCell ref="AK75:AL75"/>
    <mergeCell ref="J156:K156"/>
    <mergeCell ref="L107:M107"/>
    <mergeCell ref="AK149:AN149"/>
    <mergeCell ref="C167:E167"/>
    <mergeCell ref="L57:M57"/>
    <mergeCell ref="AH76:AI76"/>
    <mergeCell ref="C116:J116"/>
    <mergeCell ref="J155:K155"/>
    <mergeCell ref="AC157:AI157"/>
    <mergeCell ref="I183:J183"/>
    <mergeCell ref="E77:G77"/>
    <mergeCell ref="AJ154:AN154"/>
    <mergeCell ref="AK151:AN151"/>
    <mergeCell ref="A153:B153"/>
    <mergeCell ref="AB58:AB60"/>
    <mergeCell ref="J157:K157"/>
    <mergeCell ref="J151:K151"/>
    <mergeCell ref="L151:M151"/>
    <mergeCell ref="Q125:T125"/>
    <mergeCell ref="C117:J117"/>
    <mergeCell ref="I56:J56"/>
    <mergeCell ref="AJ131:AN131"/>
    <mergeCell ref="Q153:S153"/>
    <mergeCell ref="AK88:AL88"/>
    <mergeCell ref="AM88:AN88"/>
    <mergeCell ref="AB123:AN123"/>
    <mergeCell ref="AM82:AN82"/>
    <mergeCell ref="H58:M59"/>
    <mergeCell ref="C131:E131"/>
    <mergeCell ref="C115:J115"/>
    <mergeCell ref="C87:E87"/>
    <mergeCell ref="C181:D181"/>
    <mergeCell ref="A131:B131"/>
    <mergeCell ref="C89:E89"/>
    <mergeCell ref="A38:N38"/>
    <mergeCell ref="C88:E88"/>
    <mergeCell ref="U26:AH26"/>
    <mergeCell ref="AL163:AN163"/>
    <mergeCell ref="K183:L183"/>
    <mergeCell ref="AI64:AN65"/>
    <mergeCell ref="I75:K75"/>
    <mergeCell ref="AK139:AN139"/>
    <mergeCell ref="AH120:AI120"/>
    <mergeCell ref="H50:N51"/>
    <mergeCell ref="L47:M47"/>
    <mergeCell ref="A78:B78"/>
    <mergeCell ref="AK83:AL83"/>
    <mergeCell ref="E94:F94"/>
    <mergeCell ref="B26:N26"/>
    <mergeCell ref="C150:E150"/>
    <mergeCell ref="C108:F108"/>
    <mergeCell ref="U25:AH25"/>
    <mergeCell ref="AG143:AJ143"/>
    <mergeCell ref="K116:M116"/>
    <mergeCell ref="H48:M48"/>
    <mergeCell ref="L157:M157"/>
    <mergeCell ref="AK150:AN150"/>
    <mergeCell ref="AB66:AB67"/>
    <mergeCell ref="J172:K172"/>
    <mergeCell ref="AM78:AN78"/>
    <mergeCell ref="L123:M123"/>
    <mergeCell ref="E95:F95"/>
    <mergeCell ref="K118:M118"/>
    <mergeCell ref="AB68:AB69"/>
    <mergeCell ref="AC118:AG118"/>
    <mergeCell ref="L152:M152"/>
    <mergeCell ref="AK96:AL96"/>
    <mergeCell ref="A156:B156"/>
    <mergeCell ref="L124:M124"/>
    <mergeCell ref="Q154:S154"/>
    <mergeCell ref="U28:AA28"/>
    <mergeCell ref="AC119:AG119"/>
    <mergeCell ref="Q156:S156"/>
    <mergeCell ref="C124:E124"/>
    <mergeCell ref="AK91:AL91"/>
    <mergeCell ref="AC133:AI133"/>
    <mergeCell ref="AC127:AI127"/>
    <mergeCell ref="AM91:AN91"/>
    <mergeCell ref="AP77:AS77"/>
    <mergeCell ref="U29:AA29"/>
    <mergeCell ref="A124:B124"/>
    <mergeCell ref="J127:K127"/>
    <mergeCell ref="L78:M78"/>
    <mergeCell ref="C132:E132"/>
    <mergeCell ref="AC92:AJ92"/>
    <mergeCell ref="A148:D148"/>
    <mergeCell ref="L142:M142"/>
    <mergeCell ref="AC116:AG116"/>
    <mergeCell ref="L172:M172"/>
    <mergeCell ref="I181:J181"/>
    <mergeCell ref="AB80:AN80"/>
    <mergeCell ref="A86:B86"/>
    <mergeCell ref="L171:M171"/>
    <mergeCell ref="A151:B151"/>
    <mergeCell ref="A6:M6"/>
    <mergeCell ref="J87:M87"/>
    <mergeCell ref="AK109:AL109"/>
    <mergeCell ref="AK84:AL84"/>
    <mergeCell ref="A150:B150"/>
    <mergeCell ref="AM84:AN84"/>
    <mergeCell ref="B40:F40"/>
    <mergeCell ref="J173:K173"/>
    <mergeCell ref="AM75:AN75"/>
    <mergeCell ref="J89:M89"/>
    <mergeCell ref="F154:I154"/>
    <mergeCell ref="Q151:S151"/>
    <mergeCell ref="AK86:AL86"/>
    <mergeCell ref="L139:M139"/>
    <mergeCell ref="A152:B152"/>
    <mergeCell ref="AM86:AN86"/>
    <mergeCell ref="A3:M3"/>
    <mergeCell ref="AC115:AG115"/>
    <mergeCell ref="F156:I156"/>
    <mergeCell ref="A160:D160"/>
    <mergeCell ref="AK101:AL101"/>
    <mergeCell ref="E47:F47"/>
    <mergeCell ref="AM79:AN79"/>
    <mergeCell ref="H64:M64"/>
    <mergeCell ref="F131:I131"/>
    <mergeCell ref="A90:I90"/>
    <mergeCell ref="K119:M119"/>
    <mergeCell ref="A5:M5"/>
    <mergeCell ref="A32:M32"/>
    <mergeCell ref="H65:N65"/>
    <mergeCell ref="A72:M72"/>
    <mergeCell ref="L130:M130"/>
    <mergeCell ref="J166:K166"/>
    <mergeCell ref="L166:M166"/>
    <mergeCell ref="AB74:AN74"/>
    <mergeCell ref="I79:K79"/>
    <mergeCell ref="K181:L181"/>
    <mergeCell ref="L132:M132"/>
    <mergeCell ref="Q157:S157"/>
    <mergeCell ref="AC112:AG112"/>
    <mergeCell ref="AK114:AL114"/>
    <mergeCell ref="AH118:AI118"/>
    <mergeCell ref="C165:E165"/>
    <mergeCell ref="E181:H181"/>
    <mergeCell ref="I137:K137"/>
    <mergeCell ref="A76:B76"/>
    <mergeCell ref="C138:D138"/>
    <mergeCell ref="G108:H108"/>
    <mergeCell ref="C76:D76"/>
    <mergeCell ref="AC94:AJ94"/>
    <mergeCell ref="L79:M79"/>
    <mergeCell ref="F86:I86"/>
    <mergeCell ref="AK99:AL99"/>
    <mergeCell ref="AM99:AN99"/>
    <mergeCell ref="A16:M16"/>
    <mergeCell ref="I139:K139"/>
    <mergeCell ref="A140:B140"/>
    <mergeCell ref="AP109:AS109"/>
    <mergeCell ref="AK148:AN148"/>
    <mergeCell ref="AP78:AS78"/>
    <mergeCell ref="C105:F105"/>
    <mergeCell ref="E141:G141"/>
    <mergeCell ref="L173:M173"/>
    <mergeCell ref="AC95:AJ95"/>
    <mergeCell ref="H39:M39"/>
    <mergeCell ref="AM94:AN94"/>
    <mergeCell ref="A22:M22"/>
    <mergeCell ref="L174:M174"/>
    <mergeCell ref="AC28:AD28"/>
    <mergeCell ref="C45:D45"/>
    <mergeCell ref="J90:M90"/>
    <mergeCell ref="AK112:AL112"/>
    <mergeCell ref="AM112:AN112"/>
    <mergeCell ref="AH116:AI116"/>
    <mergeCell ref="Q152:S152"/>
    <mergeCell ref="A87:B87"/>
    <mergeCell ref="AC30:AD30"/>
    <mergeCell ref="C47:D47"/>
    <mergeCell ref="C96:F96"/>
    <mergeCell ref="H57:J57"/>
    <mergeCell ref="A89:B89"/>
    <mergeCell ref="C153:E153"/>
    <mergeCell ref="F172:I172"/>
    <mergeCell ref="A11:M11"/>
    <mergeCell ref="A105:B105"/>
    <mergeCell ref="C125:E125"/>
    <mergeCell ref="L163:M163"/>
    <mergeCell ref="AC124:AI124"/>
    <mergeCell ref="AP114:AS114"/>
    <mergeCell ref="AC109:AG109"/>
    <mergeCell ref="C154:E154"/>
    <mergeCell ref="AC126:AI126"/>
    <mergeCell ref="I105:K105"/>
    <mergeCell ref="L167:M167"/>
    <mergeCell ref="AC114:AG114"/>
    <mergeCell ref="AK105:AL105"/>
    <mergeCell ref="J125:K125"/>
    <mergeCell ref="C156:E156"/>
    <mergeCell ref="A115:B115"/>
    <mergeCell ref="AH119:AI119"/>
    <mergeCell ref="J85:M85"/>
    <mergeCell ref="AB88:AJ88"/>
    <mergeCell ref="F150:I150"/>
    <mergeCell ref="F125:I125"/>
    <mergeCell ref="I76:K76"/>
    <mergeCell ref="B48:D48"/>
    <mergeCell ref="A77:B77"/>
    <mergeCell ref="AM101:AN101"/>
    <mergeCell ref="C77:D77"/>
    <mergeCell ref="Q165:S165"/>
    <mergeCell ref="AM113:AN113"/>
    <mergeCell ref="H49:M49"/>
    <mergeCell ref="AC129:AI129"/>
    <mergeCell ref="F152:I152"/>
    <mergeCell ref="A17:M17"/>
    <mergeCell ref="P78:S78"/>
    <mergeCell ref="C141:D141"/>
    <mergeCell ref="AM115:AN115"/>
    <mergeCell ref="J131:K131"/>
    <mergeCell ref="A93:D93"/>
    <mergeCell ref="B39:F39"/>
    <mergeCell ref="AP112:AS112"/>
    <mergeCell ref="AC77:AG77"/>
    <mergeCell ref="P79:S79"/>
    <mergeCell ref="F87:I87"/>
    <mergeCell ref="AC58:AG60"/>
    <mergeCell ref="L126:M126"/>
    <mergeCell ref="F89:I89"/>
    <mergeCell ref="L153:M153"/>
    <mergeCell ref="AC29:AD29"/>
    <mergeCell ref="C46:D46"/>
    <mergeCell ref="AC66:AG67"/>
    <mergeCell ref="E46:F46"/>
    <mergeCell ref="H62:M62"/>
    <mergeCell ref="AC155:AI155"/>
    <mergeCell ref="AH117:AI117"/>
    <mergeCell ref="AG149:AJ149"/>
    <mergeCell ref="G45:K45"/>
    <mergeCell ref="I108:K108"/>
    <mergeCell ref="B65:F65"/>
    <mergeCell ref="AB90:AN90"/>
    <mergeCell ref="AK142:AN142"/>
    <mergeCell ref="AG151:AJ151"/>
    <mergeCell ref="F163:I163"/>
    <mergeCell ref="B66:D66"/>
    <mergeCell ref="A109:H109"/>
    <mergeCell ref="G47:K47"/>
    <mergeCell ref="G106:H106"/>
    <mergeCell ref="AK144:AN144"/>
    <mergeCell ref="F165:I165"/>
    <mergeCell ref="G46:K46"/>
    <mergeCell ref="A127:E127"/>
    <mergeCell ref="L77:M77"/>
    <mergeCell ref="L108:M108"/>
    <mergeCell ref="J150:K150"/>
    <mergeCell ref="AC104:AJ104"/>
    <mergeCell ref="G105:H105"/>
    <mergeCell ref="A14:M14"/>
    <mergeCell ref="C106:F106"/>
    <mergeCell ref="AK82:AL82"/>
    <mergeCell ref="L131:M131"/>
    <mergeCell ref="C164:E164"/>
    <mergeCell ref="L45:N45"/>
    <mergeCell ref="A123:B123"/>
    <mergeCell ref="A142:H142"/>
    <mergeCell ref="G107:H107"/>
    <mergeCell ref="F166:I166"/>
    <mergeCell ref="AB96:AJ96"/>
    <mergeCell ref="K115:M115"/>
    <mergeCell ref="AB108:AN108"/>
    <mergeCell ref="AK121:AL121"/>
    <mergeCell ref="AM121:AN121"/>
    <mergeCell ref="AJ126:AN126"/>
    <mergeCell ref="A108:B108"/>
    <mergeCell ref="A118:B118"/>
    <mergeCell ref="C180:D180"/>
    <mergeCell ref="Q124:T124"/>
    <mergeCell ref="B64:D64"/>
    <mergeCell ref="O183:P183"/>
    <mergeCell ref="E75:G75"/>
    <mergeCell ref="AM116:AN116"/>
    <mergeCell ref="C182:D182"/>
    <mergeCell ref="Q126:T126"/>
    <mergeCell ref="AM103:AN103"/>
    <mergeCell ref="AG139:AJ139"/>
    <mergeCell ref="J124:K124"/>
    <mergeCell ref="C86:E86"/>
    <mergeCell ref="AM118:AN118"/>
    <mergeCell ref="C175:E175"/>
    <mergeCell ref="A35:N35"/>
    <mergeCell ref="AC68:AG69"/>
    <mergeCell ref="AB71:AN71"/>
    <mergeCell ref="L154:M154"/>
    <mergeCell ref="C152:E152"/>
    <mergeCell ref="AJ124:AN124"/>
    <mergeCell ref="AG150:AJ150"/>
    <mergeCell ref="AB98:AN98"/>
    <mergeCell ref="B57:D57"/>
    <mergeCell ref="AH77:AI77"/>
    <mergeCell ref="A112:D112"/>
    <mergeCell ref="B58:F58"/>
    <mergeCell ref="B52:F52"/>
    <mergeCell ref="F123:I123"/>
    <mergeCell ref="J152:K152"/>
    <mergeCell ref="AB61:AB62"/>
    <mergeCell ref="A15:M15"/>
    <mergeCell ref="F174:I174"/>
    <mergeCell ref="C107:F107"/>
    <mergeCell ref="A178:D178"/>
    <mergeCell ref="C114:J114"/>
    <mergeCell ref="L46:N46"/>
    <mergeCell ref="L109:M109"/>
    <mergeCell ref="AK85:AL85"/>
    <mergeCell ref="L122:M122"/>
    <mergeCell ref="B62:D62"/>
    <mergeCell ref="A126:B126"/>
    <mergeCell ref="AC64:AG65"/>
    <mergeCell ref="A117:B117"/>
    <mergeCell ref="J163:K163"/>
    <mergeCell ref="AJ127:AN127"/>
    <mergeCell ref="C85:E85"/>
    <mergeCell ref="A34:N34"/>
    <mergeCell ref="AK140:AN140"/>
    <mergeCell ref="A135:M135"/>
    <mergeCell ref="J165:K165"/>
    <mergeCell ref="AC57:AG57"/>
    <mergeCell ref="E78:G78"/>
    <mergeCell ref="L140:M140"/>
    <mergeCell ref="A79:B79"/>
    <mergeCell ref="AC75:AG75"/>
    <mergeCell ref="A36:N36"/>
    <mergeCell ref="L137:M137"/>
    <mergeCell ref="L106:M106"/>
    <mergeCell ref="AB137:AN137"/>
    <mergeCell ref="I142:K142"/>
    <mergeCell ref="A137:B137"/>
    <mergeCell ref="C137:D137"/>
    <mergeCell ref="AC91:AJ91"/>
    <mergeCell ref="AK104:AL104"/>
    <mergeCell ref="L141:M141"/>
    <mergeCell ref="AK79:AL79"/>
    <mergeCell ref="A139:B139"/>
    <mergeCell ref="C139:D139"/>
    <mergeCell ref="AC103:AJ103"/>
    <mergeCell ref="AC130:AI130"/>
    <mergeCell ref="AH113:AI113"/>
    <mergeCell ref="P77:S77"/>
    <mergeCell ref="F126:I126"/>
    <mergeCell ref="K114:M114"/>
    <mergeCell ref="E79:G79"/>
    <mergeCell ref="AB64:AB65"/>
    <mergeCell ref="A129:D129"/>
    <mergeCell ref="AM76:AN76"/>
    <mergeCell ref="P141:S141"/>
    <mergeCell ref="J153:K153"/>
    <mergeCell ref="E137:G137"/>
    <mergeCell ref="C173:E173"/>
    <mergeCell ref="L125:M125"/>
    <mergeCell ref="AJ130:AN130"/>
    <mergeCell ref="AI163:AK163"/>
    <mergeCell ref="AC163:AG163"/>
    <mergeCell ref="K117:M117"/>
    <mergeCell ref="AC101:AG101"/>
    <mergeCell ref="AC87:AJ87"/>
    <mergeCell ref="K182:L182"/>
    <mergeCell ref="AK92:AL92"/>
    <mergeCell ref="C183:D183"/>
    <mergeCell ref="AM92:AN92"/>
    <mergeCell ref="AJ125:AN125"/>
    <mergeCell ref="AK94:AL94"/>
    <mergeCell ref="AK141:AN141"/>
    <mergeCell ref="J88:M88"/>
    <mergeCell ref="F124:I124"/>
    <mergeCell ref="A1:M1"/>
    <mergeCell ref="AC82:AJ82"/>
    <mergeCell ref="L138:M138"/>
    <mergeCell ref="AP79:AS79"/>
    <mergeCell ref="L76:M76"/>
    <mergeCell ref="AM87:AN87"/>
    <mergeCell ref="P90:S90"/>
    <mergeCell ref="AK143:AN143"/>
    <mergeCell ref="J174:K174"/>
    <mergeCell ref="AC93:AJ93"/>
    <mergeCell ref="AI66:AN67"/>
    <mergeCell ref="A44:A47"/>
    <mergeCell ref="AH109:AI109"/>
    <mergeCell ref="U23:AH23"/>
    <mergeCell ref="AK120:AL120"/>
    <mergeCell ref="C140:D140"/>
    <mergeCell ref="AH75:AI75"/>
    <mergeCell ref="AI61:AN62"/>
    <mergeCell ref="A4:M4"/>
    <mergeCell ref="J167:K167"/>
    <mergeCell ref="AP101:AS101"/>
    <mergeCell ref="I107:K107"/>
    <mergeCell ref="AC83:AJ83"/>
    <mergeCell ref="J123:K123"/>
    <mergeCell ref="AM77:AN77"/>
    <mergeCell ref="L127:M127"/>
    <mergeCell ref="AJ132:AN132"/>
    <mergeCell ref="A80:H80"/>
    <mergeCell ref="E76:G76"/>
    <mergeCell ref="C174:E174"/>
    <mergeCell ref="J175:K175"/>
    <mergeCell ref="I138:K138"/>
    <mergeCell ref="AC79:AG79"/>
    <mergeCell ref="F127:I127"/>
    <mergeCell ref="L162:M162"/>
    <mergeCell ref="L156:M156"/>
    <mergeCell ref="I55:J55"/>
    <mergeCell ref="AC131:AI131"/>
    <mergeCell ref="AB135:AN135"/>
    <mergeCell ref="I140:K140"/>
    <mergeCell ref="A141:B141"/>
    <mergeCell ref="AB159:AN159"/>
    <mergeCell ref="J164:K164"/>
    <mergeCell ref="AB153:AN153"/>
    <mergeCell ref="AK115:AL115"/>
    <mergeCell ref="AI57:AN57"/>
    <mergeCell ref="AB72:AN72"/>
    <mergeCell ref="I77:K77"/>
    <mergeCell ref="Q132:T132"/>
    <mergeCell ref="H52:N52"/>
    <mergeCell ref="AH58:AH60"/>
    <mergeCell ref="H44:M44"/>
    <mergeCell ref="AK95:AL95"/>
    <mergeCell ref="AJ156:AN156"/>
    <mergeCell ref="AM95:AN95"/>
    <mergeCell ref="J126:K126"/>
    <mergeCell ref="AI68:AN69"/>
    <mergeCell ref="AH101:AI101"/>
    <mergeCell ref="H60:M60"/>
    <mergeCell ref="L75:M75"/>
    <mergeCell ref="A88:B88"/>
    <mergeCell ref="AP76:AS76"/>
    <mergeCell ref="AG142:AJ142"/>
    <mergeCell ref="G40:G42"/>
    <mergeCell ref="AH112:AI112"/>
    <mergeCell ref="AK113:AL113"/>
    <mergeCell ref="AG144:AJ144"/>
    <mergeCell ref="AJ155:AN155"/>
    <mergeCell ref="A154:B154"/>
    <mergeCell ref="B44:F44"/>
    <mergeCell ref="AH78:AI78"/>
    <mergeCell ref="AH114:AI114"/>
    <mergeCell ref="C155:E155"/>
    <mergeCell ref="AF28:AH28"/>
    <mergeCell ref="A85:B85"/>
    <mergeCell ref="AC85:AJ85"/>
    <mergeCell ref="AG148:AJ148"/>
    <mergeCell ref="A7:M7"/>
    <mergeCell ref="AC84:AJ84"/>
    <mergeCell ref="B54:D54"/>
    <mergeCell ref="C157:E157"/>
    <mergeCell ref="C151:E151"/>
    <mergeCell ref="AM83:AN83"/>
    <mergeCell ref="AC99:AJ99"/>
    <mergeCell ref="C126:E126"/>
    <mergeCell ref="L164:M164"/>
    <mergeCell ref="J86:M86"/>
    <mergeCell ref="F153:I153"/>
    <mergeCell ref="AM85:AN85"/>
    <mergeCell ref="AC120:AG120"/>
    <mergeCell ref="Q166:S166"/>
    <mergeCell ref="A2:M2"/>
    <mergeCell ref="I141:K141"/>
    <mergeCell ref="AK116:AL116"/>
    <mergeCell ref="AK103:AL103"/>
    <mergeCell ref="E183:H183"/>
    <mergeCell ref="AP120:AS120"/>
    <mergeCell ref="AK118:AL118"/>
    <mergeCell ref="AC132:AI132"/>
    <mergeCell ref="AM96:AN96"/>
    <mergeCell ref="F88:I88"/>
    <mergeCell ref="P139:S139"/>
    <mergeCell ref="AH115:AI115"/>
    <mergeCell ref="J132:K132"/>
    <mergeCell ref="I78:K78"/>
    <mergeCell ref="P138:S138"/>
    <mergeCell ref="P76:S76"/>
    <mergeCell ref="AP115:AS115"/>
    <mergeCell ref="AC61:AG62"/>
    <mergeCell ref="AC113:AG113"/>
    <mergeCell ref="U30:AA30"/>
    <mergeCell ref="P140:S140"/>
    <mergeCell ref="A116:B116"/>
    <mergeCell ref="E139:G139"/>
    <mergeCell ref="F85:I85"/>
    <mergeCell ref="L149:M149"/>
    <mergeCell ref="H63:M63"/>
    <mergeCell ref="A155:B155"/>
    <mergeCell ref="L80:M80"/>
    <mergeCell ref="E140:G140"/>
    <mergeCell ref="AF29:AH29"/>
    <mergeCell ref="A157:B157"/>
    <mergeCell ref="A8:M8"/>
    <mergeCell ref="Q155:S155"/>
    <mergeCell ref="AM109:AN109"/>
    <mergeCell ref="F167:I167"/>
    <mergeCell ref="C163:E163"/>
    <mergeCell ref="AK93:AL93"/>
    <mergeCell ref="AM93:AN93"/>
    <mergeCell ref="L175:M175"/>
    <mergeCell ref="AP116:AS116"/>
    <mergeCell ref="AK78:AL78"/>
    <mergeCell ref="AC128:AI128"/>
    <mergeCell ref="F175:I175"/>
    <mergeCell ref="B49:D49"/>
    <mergeCell ref="A75:B75"/>
    <mergeCell ref="C75:D75"/>
    <mergeCell ref="AK117:AL117"/>
    <mergeCell ref="A103:D103"/>
    <mergeCell ref="I109:K109"/>
    <mergeCell ref="C97:F97"/>
    <mergeCell ref="B63:D63"/>
    <mergeCell ref="AG140:AJ140"/>
    <mergeCell ref="B50:D50"/>
    <mergeCell ref="AC117:AG117"/>
    <mergeCell ref="AK119:AL119"/>
    <mergeCell ref="AP113:AS113"/>
    <mergeCell ref="AM119:AN119"/>
    <mergeCell ref="A106:B106"/>
    <mergeCell ref="Q183:S183"/>
    <mergeCell ref="I80:K80"/>
    <mergeCell ref="H61:N61"/>
    <mergeCell ref="L155:M155"/>
    <mergeCell ref="AM104:AN104"/>
    <mergeCell ref="C172:E172"/>
    <mergeCell ref="A136:M136"/>
    <mergeCell ref="A21:M21"/>
    <mergeCell ref="I106:K106"/>
    <mergeCell ref="AM114:AN114"/>
    <mergeCell ref="F155:I155"/>
    <mergeCell ref="L150:M150"/>
    <mergeCell ref="A138:B138"/>
    <mergeCell ref="AJ133:AN133"/>
    <mergeCell ref="A132:B132"/>
    <mergeCell ref="F151:I151"/>
    <mergeCell ref="AB105:AJ105"/>
    <mergeCell ref="L165:M165"/>
    <mergeCell ref="H66:M66"/>
    <mergeCell ref="AM117:AN117"/>
    <mergeCell ref="B61:F61"/>
    <mergeCell ref="AC76:AG76"/>
    <mergeCell ref="A83:M83"/>
    <mergeCell ref="AP118:AS118"/>
    <mergeCell ref="AP117:AS117"/>
    <mergeCell ref="E45:F45"/>
    <mergeCell ref="AC154:AI154"/>
    <mergeCell ref="I180:J180"/>
    <mergeCell ref="F164:I164"/>
    <mergeCell ref="C166:E166"/>
    <mergeCell ref="AP119:AS119"/>
    <mergeCell ref="A125:B125"/>
    <mergeCell ref="AC156:AI156"/>
    <mergeCell ref="B25:M25"/>
    <mergeCell ref="L105:M105"/>
    <mergeCell ref="I182:J182"/>
    <mergeCell ref="AJ128:AN128"/>
    <mergeCell ref="C78:D78"/>
    <mergeCell ref="AG141:AJ141"/>
    <mergeCell ref="A114:B114"/>
  </mergeCells>
  <pageMargins left="0.7" right="0.7" top="0.75" bottom="0.75" header="0.3" footer="0.3"/>
</worksheet>
</file>

<file path=xl/worksheets/sheet7.xml><?xml version="1.0" encoding="utf-8"?>
<worksheet xmlns="http://schemas.openxmlformats.org/spreadsheetml/2006/main">
  <sheetPr>
    <outlinePr summaryBelow="0"/>
    <pageSetUpPr/>
  </sheetPr>
  <dimension ref="A1:E68"/>
  <sheetViews>
    <sheetView workbookViewId="0">
      <selection activeCell="A1" sqref="A1"/>
    </sheetView>
  </sheetViews>
  <sheetFormatPr baseColWidth="8" defaultRowHeight="15"/>
  <cols>
    <col width="3.862142857142857" bestFit="1" customWidth="1" style="136" min="1" max="1"/>
    <col width="6.147857142857143" bestFit="1" customWidth="1" style="1563" min="2" max="2"/>
    <col width="40.86214285714286" bestFit="1" customWidth="1" style="64" min="3" max="3"/>
    <col width="2.862142857142857" bestFit="1" customWidth="1" style="64" min="4" max="4"/>
    <col width="46.005" bestFit="1" customWidth="1" style="545" min="5" max="5"/>
  </cols>
  <sheetData>
    <row r="1" ht="29.25" customHeight="1">
      <c r="A1" s="1581" t="n"/>
      <c r="B1" s="1582" t="n"/>
      <c r="C1" s="399" t="n"/>
      <c r="D1" s="614" t="n"/>
      <c r="E1" s="1583" t="inlineStr">
        <is>
          <t xml:space="preserve">                                                   ms‡kvwaZ ms‡hvRbx-3                            (webvg~‡j¨ cÖ‡`q)
</t>
        </is>
      </c>
    </row>
    <row r="2" ht="18.75" customHeight="1">
      <c r="B2" s="1582" t="n"/>
      <c r="C2" s="399" t="n"/>
      <c r="D2" s="614" t="n"/>
      <c r="E2" s="1584" t="n"/>
    </row>
    <row r="3" ht="18.75" customFormat="1" customHeight="1" s="18">
      <c r="B3" s="1585" t="inlineStr">
        <is>
          <t xml:space="preserve">wmGgGmGgB D‡`¨v³v wn‡m‡e FY/wewb‡qvM Gi Rb¨ Av‡e`b </t>
        </is>
      </c>
    </row>
    <row r="4" ht="18.75" customFormat="1" customHeight="1" s="18">
      <c r="B4" s="1582" t="n"/>
      <c r="C4" s="399" t="n"/>
      <c r="D4" s="103" t="n"/>
      <c r="E4" s="479" t="n"/>
    </row>
    <row r="5" ht="18.75" customHeight="1">
      <c r="A5" s="136" t="n"/>
      <c r="B5" s="1563" t="n"/>
      <c r="C5" s="64" t="n"/>
      <c r="D5" s="64" t="n"/>
      <c r="E5" s="545" t="n"/>
    </row>
    <row r="6" ht="18.75" customHeight="1">
      <c r="A6" s="136" t="n"/>
      <c r="B6" s="1563" t="n"/>
      <c r="C6" s="64" t="n"/>
      <c r="D6" s="64" t="n"/>
      <c r="E6" s="545" t="n"/>
    </row>
    <row r="7" ht="18.75" customFormat="1" customHeight="1" s="18">
      <c r="A7" s="2136" t="n">
        <v>1</v>
      </c>
      <c r="B7" s="1589" t="inlineStr">
        <is>
          <t>Av‡e`bKvix cÖwZôv‡bi e„ËvšÍ</t>
        </is>
      </c>
      <c r="C7" s="2614" t="n"/>
      <c r="D7" s="2614" t="n"/>
      <c r="E7" s="2617" t="n"/>
    </row>
    <row r="8" ht="18.75" customFormat="1" customHeight="1" s="18">
      <c r="A8" s="2673" t="n"/>
      <c r="B8" s="1112" t="n">
        <v>1.1</v>
      </c>
      <c r="C8" s="1593" t="inlineStr">
        <is>
          <t>cÖwZôv‡bi bvg</t>
        </is>
      </c>
      <c r="D8" s="35" t="inlineStr">
        <is>
          <t>t</t>
        </is>
      </c>
      <c r="E8" s="1594">
        <f>'Data Input'!D8</f>
        <v/>
      </c>
    </row>
    <row r="9" ht="18.75" customFormat="1" customHeight="1" s="18">
      <c r="A9" s="2673" t="n"/>
      <c r="B9" s="1112" t="n">
        <v>1.2</v>
      </c>
      <c r="C9" s="1593" t="inlineStr">
        <is>
          <t>‡U«W jvB‡mÝ</t>
        </is>
      </c>
      <c r="D9" s="35" t="inlineStr">
        <is>
          <t>t</t>
        </is>
      </c>
      <c r="E9" s="1595" t="inlineStr">
        <is>
          <t>TRAD/NCC/0002462/2023</t>
        </is>
      </c>
    </row>
    <row r="10" ht="18.75" customFormat="1" customHeight="1" s="18">
      <c r="A10" s="2673" t="n"/>
      <c r="B10" s="1112" t="n">
        <v>1.3</v>
      </c>
      <c r="C10" s="1593" t="inlineStr">
        <is>
          <t>e¨emvq wewb‡qvMK…Z g~jab</t>
        </is>
      </c>
      <c r="D10" s="35" t="inlineStr">
        <is>
          <t>t</t>
        </is>
      </c>
      <c r="E10" s="1596">
        <f>Profile!L56*100000</f>
        <v/>
      </c>
    </row>
    <row r="11" ht="18.75" customFormat="1" customHeight="1" s="18">
      <c r="A11" s="2673" t="n"/>
      <c r="B11" s="1112" t="n">
        <v>1.4</v>
      </c>
      <c r="C11" s="1593" t="inlineStr">
        <is>
          <t>wUb (U¨v· AvB‡Ww›Uwd‡Kkb b¤^i)</t>
        </is>
      </c>
      <c r="D11" s="35" t="inlineStr">
        <is>
          <t>t</t>
        </is>
      </c>
      <c r="E11" s="1597">
        <f>'Data Input'!D26</f>
        <v/>
      </c>
    </row>
    <row r="12" ht="18.75" customFormat="1" customHeight="1" s="18">
      <c r="A12" s="2673" t="n"/>
      <c r="B12" s="1112" t="n">
        <v>1.5</v>
      </c>
      <c r="C12" s="1593" t="inlineStr">
        <is>
          <t>e¨vsK wnmv‡ei bvg I b¤^i</t>
        </is>
      </c>
      <c r="D12" s="35" t="inlineStr">
        <is>
          <t>t</t>
        </is>
      </c>
      <c r="E12" s="1594">
        <f>'Data Input'!D8 &amp;  " I "&amp;'Data Input'!D24</f>
        <v/>
      </c>
    </row>
    <row r="13" ht="18.75" customFormat="1" customHeight="1" s="18">
      <c r="A13" s="2673" t="n"/>
      <c r="B13" s="1112" t="n">
        <v>1.6</v>
      </c>
      <c r="C13" s="1593" t="inlineStr">
        <is>
          <t>cÖwZôv‡bi evwl©K weµq (cÖ‡hvR¨ ‡¶‡Î)</t>
        </is>
      </c>
      <c r="D13" s="35" t="inlineStr">
        <is>
          <t>t</t>
        </is>
      </c>
      <c r="E13" s="1594" t="n"/>
    </row>
    <row r="14" ht="18.75" customFormat="1" customHeight="1" s="18">
      <c r="A14" s="2673" t="n"/>
      <c r="B14" s="1112" t="n">
        <v>1.7</v>
      </c>
      <c r="C14" s="1593" t="inlineStr">
        <is>
          <t>cÖwZôv‡bi ‡gvU evwl©K Avq</t>
        </is>
      </c>
      <c r="D14" s="35" t="inlineStr">
        <is>
          <t>t</t>
        </is>
      </c>
      <c r="E14" s="1596">
        <f>Profile!F151*100000</f>
        <v/>
      </c>
    </row>
    <row r="15" ht="18.75" customFormat="1" customHeight="1" s="18">
      <c r="A15" s="2673" t="n"/>
      <c r="B15" s="1112" t="n">
        <v>1.8</v>
      </c>
      <c r="C15" s="1593" t="inlineStr">
        <is>
          <t>cÖwZôv‡bi ‡gvU evwl©K e¨q</t>
        </is>
      </c>
      <c r="D15" s="35" t="inlineStr">
        <is>
          <t>t</t>
        </is>
      </c>
      <c r="E15" s="1596">
        <f>Profile!F152*100000</f>
        <v/>
      </c>
    </row>
    <row r="16" ht="18.75" customFormat="1" customHeight="1" s="18">
      <c r="A16" s="2673" t="n"/>
      <c r="B16" s="1112" t="n">
        <v>1.9</v>
      </c>
      <c r="C16" s="1593" t="inlineStr">
        <is>
          <t>cÖwZôv‡bi ¯’vqx m¤ú` (f~wg I BgviZ e¨ZxZ)</t>
        </is>
      </c>
      <c r="D16" s="35" t="inlineStr">
        <is>
          <t>t</t>
        </is>
      </c>
      <c r="E16" s="1594" t="n"/>
    </row>
    <row r="17" ht="18.75" customFormat="1" customHeight="1" s="18">
      <c r="A17" s="2673" t="n"/>
      <c r="B17" s="1112" t="n">
        <v>1.1</v>
      </c>
      <c r="C17" s="1593" t="inlineStr">
        <is>
          <t>cÖwZôv‡b wb‡qvwRZ Rbe‡ji msL¨v</t>
        </is>
      </c>
      <c r="D17" s="35" t="inlineStr">
        <is>
          <t>t</t>
        </is>
      </c>
      <c r="E17" s="1594">
        <f>Profile!G106</f>
        <v/>
      </c>
    </row>
    <row r="18" ht="18.75" customFormat="1" customHeight="1" s="18">
      <c r="A18" s="2618" t="n"/>
      <c r="B18" s="1112" t="n">
        <v>1.11</v>
      </c>
      <c r="C18" s="1593" t="inlineStr">
        <is>
          <t>gRy` c‡Y¨i g~j¨</t>
        </is>
      </c>
      <c r="D18" s="35" t="inlineStr">
        <is>
          <t>t</t>
        </is>
      </c>
      <c r="E18" s="1596">
        <f>'Data Input'!D11</f>
        <v/>
      </c>
    </row>
    <row r="19" ht="18.75" customFormat="1" customHeight="1" s="18">
      <c r="A19" s="2136" t="n">
        <v>2</v>
      </c>
      <c r="B19" s="1589" t="inlineStr">
        <is>
          <t>Av‡e`bKvix cÖwZôv‡bi `vq</t>
        </is>
      </c>
      <c r="C19" s="2614" t="n"/>
      <c r="D19" s="2614" t="n"/>
      <c r="E19" s="2617" t="n"/>
    </row>
    <row r="20" ht="18.75" customFormat="1" customHeight="1" s="18">
      <c r="A20" s="2673" t="n"/>
      <c r="B20" s="1112" t="n">
        <v>2.1</v>
      </c>
      <c r="C20" s="1593" t="inlineStr">
        <is>
          <t>e¨vsK/Avw_©K cÖwZôvb</t>
        </is>
      </c>
      <c r="D20" s="35" t="inlineStr">
        <is>
          <t>t</t>
        </is>
      </c>
      <c r="E20" s="1594" t="n"/>
    </row>
    <row r="21" ht="18.75" customFormat="1" customHeight="1" s="18">
      <c r="A21" s="2618" t="n"/>
      <c r="B21" s="1112" t="n">
        <v>2.2</v>
      </c>
      <c r="C21" s="1593" t="inlineStr">
        <is>
          <t>Ab¨vb¨</t>
        </is>
      </c>
      <c r="D21" s="35" t="inlineStr">
        <is>
          <t>t</t>
        </is>
      </c>
      <c r="E21" s="1594" t="n"/>
    </row>
    <row r="22" ht="18.75" customFormat="1" customHeight="1" s="18">
      <c r="A22" s="2136" t="n">
        <v>3</v>
      </c>
      <c r="B22" s="1589" t="inlineStr">
        <is>
          <t>Av‡e`bKvixi e…ËvšÍ (Askx`vwi/‡hŠ_ g~jabx Kviev‡ii ‡¶‡Î cwiPvjK‡`i Abyiƒc Z_¨ c…_K KvM‡R mshy³ Ki‡Z n‡e|</t>
        </is>
      </c>
      <c r="C22" s="2614" t="n"/>
      <c r="D22" s="2614" t="n"/>
      <c r="E22" s="2617" t="n"/>
    </row>
    <row r="23" ht="18.75" customFormat="1" customHeight="1" s="18">
      <c r="A23" s="2673" t="n"/>
      <c r="B23" s="1112" t="n">
        <v>3.1</v>
      </c>
      <c r="C23" s="1593" t="inlineStr">
        <is>
          <t>bvg</t>
        </is>
      </c>
      <c r="D23" s="35" t="inlineStr">
        <is>
          <t>t</t>
        </is>
      </c>
      <c r="E23" s="1594">
        <f>'Data Input'!D12</f>
        <v/>
      </c>
    </row>
    <row r="24" ht="18.75" customFormat="1" customHeight="1" s="18">
      <c r="A24" s="2673" t="n"/>
      <c r="B24" s="1112" t="n">
        <v>3.2</v>
      </c>
      <c r="C24" s="1593" t="inlineStr">
        <is>
          <t>RvZxq cwiPqcÎ b¤^i</t>
        </is>
      </c>
      <c r="D24" s="35" t="inlineStr">
        <is>
          <t>t</t>
        </is>
      </c>
      <c r="E24" s="1599">
        <f>'Data Input'!D15</f>
        <v/>
      </c>
    </row>
    <row r="25" ht="18.75" customFormat="1" customHeight="1" s="18">
      <c r="A25" s="2673" t="n"/>
      <c r="B25" s="1112" t="n">
        <v>3.3</v>
      </c>
      <c r="C25" s="1593" t="inlineStr">
        <is>
          <t>cÖwk¶Y (cÖ‡hvR¨ ‡¶‡Î)</t>
        </is>
      </c>
      <c r="D25" s="35" t="inlineStr">
        <is>
          <t>t</t>
        </is>
      </c>
      <c r="E25" s="1594" t="n"/>
    </row>
    <row r="26" ht="18.75" customFormat="1" customHeight="1" s="18">
      <c r="A26" s="2618" t="n"/>
      <c r="B26" s="1112" t="n">
        <v>3.4</v>
      </c>
      <c r="C26" s="1593" t="inlineStr">
        <is>
          <t>wUAvBGb b¤^i (cÖ‡hvR¨ †ÿ‡Î)</t>
        </is>
      </c>
      <c r="D26" s="35" t="inlineStr">
        <is>
          <t>t</t>
        </is>
      </c>
      <c r="E26" s="1594">
        <f>E11</f>
        <v/>
      </c>
    </row>
    <row r="27" ht="18.75" customFormat="1" customHeight="1" s="18">
      <c r="A27" s="36" t="n">
        <v>4</v>
      </c>
      <c r="B27" s="1589" t="inlineStr">
        <is>
          <t>Rvgvb‡Zi weeiY (cÖ‡hvR¨ ‡¶‡Î)</t>
        </is>
      </c>
      <c r="C27" s="2614" t="n"/>
      <c r="D27" s="2614" t="n"/>
      <c r="E27" s="2617" t="n"/>
    </row>
    <row r="28" ht="18.75" customFormat="1" customHeight="1" s="18">
      <c r="A28" s="2136" t="n">
        <v>5</v>
      </c>
      <c r="B28" s="1589" t="inlineStr">
        <is>
          <t>Rvwgb`vi m¤úwK©Z Z_¨</t>
        </is>
      </c>
      <c r="C28" s="2614" t="n"/>
      <c r="D28" s="2614" t="n"/>
      <c r="E28" s="2617" t="n"/>
    </row>
    <row r="29" ht="18.75" customFormat="1" customHeight="1" s="18">
      <c r="A29" s="2673" t="n"/>
      <c r="B29" s="1112" t="n">
        <v>5.1</v>
      </c>
      <c r="C29" s="1593" t="inlineStr">
        <is>
          <t>bvg</t>
        </is>
      </c>
      <c r="D29" s="35" t="inlineStr">
        <is>
          <t>t</t>
        </is>
      </c>
      <c r="E29" s="1594" t="n"/>
    </row>
    <row r="30" ht="18.75" customFormat="1" customHeight="1" s="18">
      <c r="A30" s="2673" t="n"/>
      <c r="B30" s="1112" t="n">
        <v>5.2</v>
      </c>
      <c r="C30" s="1593" t="inlineStr">
        <is>
          <t>RvZxq cwiPqcÎ b¤^i</t>
        </is>
      </c>
      <c r="D30" s="35" t="inlineStr">
        <is>
          <t>t</t>
        </is>
      </c>
      <c r="E30" s="1594" t="n"/>
    </row>
    <row r="31" ht="18.75" customFormat="1" customHeight="1" s="18">
      <c r="A31" s="2673" t="n"/>
      <c r="B31" s="1112" t="n">
        <v>5.3</v>
      </c>
      <c r="C31" s="1593" t="inlineStr">
        <is>
          <t>‡ckv</t>
        </is>
      </c>
      <c r="D31" s="35" t="inlineStr">
        <is>
          <t>t</t>
        </is>
      </c>
      <c r="E31" s="1594" t="n"/>
    </row>
    <row r="32" ht="18.75" customFormat="1" customHeight="1" s="18">
      <c r="A32" s="2673" t="n"/>
      <c r="B32" s="1112" t="n">
        <v>5.4</v>
      </c>
      <c r="C32" s="1593" t="inlineStr">
        <is>
          <t>wUAvBGb b¤^i (cÖ‡hvR¨ †ÿ‡Î)</t>
        </is>
      </c>
      <c r="D32" s="35" t="inlineStr">
        <is>
          <t>t</t>
        </is>
      </c>
      <c r="E32" s="1594" t="n"/>
    </row>
    <row r="33" ht="18.75" customFormat="1" customHeight="1" s="18">
      <c r="A33" s="2618" t="n"/>
      <c r="B33" s="1112" t="n">
        <v>5.5</v>
      </c>
      <c r="C33" s="1593" t="inlineStr">
        <is>
          <t>Av‡e`bKvixi mv‡_ m¤úK©</t>
        </is>
      </c>
      <c r="D33" s="35" t="inlineStr">
        <is>
          <t>t</t>
        </is>
      </c>
      <c r="E33" s="1594" t="n"/>
    </row>
    <row r="34" ht="18.75" customHeight="1">
      <c r="A34" s="136" t="n"/>
      <c r="B34" s="1563" t="n"/>
      <c r="C34" s="64" t="n"/>
      <c r="D34" s="64" t="n"/>
      <c r="E34" s="545" t="n"/>
    </row>
    <row r="35" ht="37.5" customFormat="1" customHeight="1" s="18">
      <c r="A35" s="198" t="inlineStr">
        <is>
          <t>(we‡kl `«óe¨t cÖ‡qvR‡b c…_K KvMR mshy³ Ki‡Z n‡e Ges FY/wewb‡qvM gÄywii Rb¨ Avek¨Kxq Ab¨ ‡h ‡Kvb Z_¨, cÖgvYcÎ Ges `wjjvw` e¨vsK/Avw_©K cÖwZôv‡bi Pvwn`v Abyhvqx MÖvnK cÖgvb Ki‡Z eva¨ _vK‡e|</t>
        </is>
      </c>
    </row>
    <row r="36" ht="18.75" customHeight="1">
      <c r="A36" s="136" t="n"/>
      <c r="B36" s="1563" t="n"/>
      <c r="C36" s="64" t="n"/>
      <c r="D36" s="64" t="n"/>
      <c r="E36" s="545" t="n"/>
    </row>
    <row r="37" ht="18.75" customHeight="1">
      <c r="A37" s="136" t="n"/>
      <c r="B37" s="1563" t="n"/>
      <c r="C37" s="64" t="n"/>
      <c r="D37" s="64" t="n"/>
      <c r="E37" s="545" t="n"/>
    </row>
    <row r="38" ht="18.75" customHeight="1">
      <c r="A38" s="111" t="inlineStr">
        <is>
          <t>GB g‡g© cÖZ¨qb KiwQ ‡h, G Av‡e`bc‡Î cÖ`Ë mKj Z_¨vw` mwVK|</t>
        </is>
      </c>
    </row>
    <row r="39" ht="18.75" customHeight="1">
      <c r="A39" s="803" t="n"/>
      <c r="B39" s="803" t="n"/>
      <c r="C39" s="295" t="n"/>
      <c r="D39" s="295" t="n"/>
      <c r="E39" s="1600" t="n"/>
    </row>
    <row r="40" ht="18.75" customHeight="1">
      <c r="A40" s="136" t="n"/>
      <c r="B40" s="1563" t="n"/>
      <c r="C40" s="64" t="n"/>
      <c r="D40" s="64" t="n"/>
      <c r="E40" s="545" t="n"/>
    </row>
    <row r="41" ht="18.75" customHeight="1">
      <c r="A41" s="136" t="n"/>
      <c r="B41" s="1563" t="n"/>
      <c r="C41" s="64" t="n"/>
      <c r="D41" s="64" t="n"/>
      <c r="E41" s="545" t="n"/>
    </row>
    <row r="42" ht="18.75" customHeight="1">
      <c r="A42" s="136" t="n"/>
      <c r="B42" s="1563" t="n"/>
      <c r="C42" s="64" t="n"/>
      <c r="D42" s="64" t="n"/>
      <c r="E42" s="545" t="n"/>
    </row>
    <row r="43" ht="18.75" customHeight="1">
      <c r="A43" s="136" t="n"/>
      <c r="B43" s="1563" t="n"/>
      <c r="C43" s="243" t="inlineStr">
        <is>
          <t>Rvwgb`v‡ii ¯^v¶i I ZvwiL</t>
        </is>
      </c>
      <c r="D43" s="64" t="n"/>
      <c r="E43" s="545" t="n"/>
    </row>
    <row r="44" ht="18.75" customHeight="1">
      <c r="A44" s="136" t="n"/>
      <c r="B44" s="1563" t="n"/>
      <c r="C44" s="64" t="n"/>
      <c r="D44" s="64" t="n"/>
      <c r="E44" s="1601" t="inlineStr">
        <is>
          <t>Av‡e`bKvixi ¯^v¶i I ZvwiL</t>
        </is>
      </c>
    </row>
    <row r="45" ht="18.75" customHeight="1">
      <c r="A45" s="136" t="n"/>
      <c r="B45" s="1563" t="n"/>
      <c r="C45" s="64" t="n"/>
      <c r="D45" s="64" t="n"/>
      <c r="E45" s="1601" t="n"/>
    </row>
    <row r="46" ht="18.75" customHeight="1">
      <c r="A46" s="136" t="n"/>
      <c r="B46" s="1563" t="n"/>
      <c r="C46" s="64" t="n"/>
      <c r="D46" s="64" t="n"/>
      <c r="E46" s="1601" t="n"/>
    </row>
    <row r="47" ht="18.75" customHeight="1">
      <c r="A47" s="136" t="n"/>
      <c r="B47" s="1563" t="n"/>
      <c r="C47" s="64" t="n"/>
      <c r="D47" s="64" t="n"/>
      <c r="E47" s="1601" t="n"/>
    </row>
    <row r="48" ht="18.75" customHeight="1">
      <c r="A48" s="136" t="n"/>
      <c r="B48" s="1563" t="n"/>
      <c r="C48" s="64" t="n"/>
      <c r="D48" s="64" t="n"/>
      <c r="E48" s="1601" t="n"/>
    </row>
    <row r="49" ht="18.75" customHeight="1">
      <c r="A49" s="136" t="n"/>
      <c r="B49" s="1563" t="n"/>
      <c r="C49" s="64" t="n"/>
      <c r="D49" s="64" t="n"/>
      <c r="E49" s="1601" t="n"/>
    </row>
    <row r="50" ht="18.75" customHeight="1">
      <c r="A50" s="136" t="n"/>
      <c r="B50" s="1563" t="n"/>
      <c r="C50" s="64" t="n"/>
      <c r="D50" s="64" t="n"/>
      <c r="E50" s="1601" t="n"/>
    </row>
    <row r="51" ht="18.75" customHeight="1">
      <c r="A51" s="136" t="n"/>
      <c r="B51" s="1563" t="n"/>
      <c r="C51" s="64" t="n"/>
      <c r="D51" s="64" t="n"/>
      <c r="E51" s="1601" t="n"/>
    </row>
    <row r="52" ht="18.75" customHeight="1">
      <c r="A52" s="136" t="n"/>
      <c r="B52" s="1563" t="n"/>
      <c r="C52" s="64" t="n"/>
      <c r="D52" s="64" t="n"/>
      <c r="E52" s="1601" t="n"/>
    </row>
    <row r="53" ht="18.75" customHeight="1">
      <c r="A53" s="136" t="n"/>
      <c r="B53" s="1563" t="n"/>
      <c r="C53" s="1602" t="inlineStr">
        <is>
          <t>Av‡e`bKvixi Rxeb e„ËvšÍ</t>
        </is>
      </c>
    </row>
    <row r="54" ht="18.75" customHeight="1">
      <c r="A54" s="136" t="n"/>
      <c r="B54" s="1563" t="n"/>
      <c r="C54" s="96" t="n"/>
      <c r="D54" s="96" t="n"/>
      <c r="E54" s="466" t="n"/>
    </row>
    <row r="55" ht="18.75" customHeight="1">
      <c r="A55" s="136" t="n"/>
      <c r="B55" s="1563" t="n"/>
      <c r="C55" s="96" t="n"/>
      <c r="D55" s="96" t="n"/>
      <c r="E55" s="466" t="n"/>
    </row>
    <row r="56" ht="18.75" customHeight="1">
      <c r="A56" s="136" t="n"/>
      <c r="B56" s="1563" t="n"/>
      <c r="C56" s="96" t="n"/>
      <c r="D56" s="96" t="n"/>
      <c r="E56" s="466" t="n"/>
    </row>
    <row r="57" ht="18.75" customHeight="1">
      <c r="A57" s="136" t="n"/>
      <c r="B57" s="1563" t="n"/>
      <c r="C57" s="96" t="n"/>
      <c r="D57" s="96" t="n"/>
      <c r="E57" s="466" t="n"/>
    </row>
    <row r="58" ht="18.75" customFormat="1" customHeight="1" s="18">
      <c r="A58" s="225" t="n"/>
      <c r="B58" s="224" t="n">
        <v>1</v>
      </c>
      <c r="C58" s="199" t="inlineStr">
        <is>
          <t>Av‡e`bKvixi bvg</t>
        </is>
      </c>
      <c r="D58" s="222" t="inlineStr">
        <is>
          <t>t</t>
        </is>
      </c>
      <c r="E58" s="1604">
        <f>'Data Input'!D12</f>
        <v/>
      </c>
    </row>
    <row r="59" ht="18.75" customFormat="1" customHeight="1" s="18">
      <c r="A59" s="225" t="n"/>
      <c r="B59" s="224" t="n">
        <v>2</v>
      </c>
      <c r="C59" s="199" t="inlineStr">
        <is>
          <t xml:space="preserve">wcZv/¯^vgxi bvg         </t>
        </is>
      </c>
      <c r="D59" s="222" t="inlineStr">
        <is>
          <t>t</t>
        </is>
      </c>
      <c r="E59" s="1604">
        <f>'Data Input'!D13</f>
        <v/>
      </c>
    </row>
    <row r="60" ht="18.75" customFormat="1" customHeight="1" s="18">
      <c r="A60" s="225" t="n"/>
      <c r="B60" s="224" t="n">
        <v>3</v>
      </c>
      <c r="C60" s="199" t="inlineStr">
        <is>
          <t xml:space="preserve">gvZvi bvg          </t>
        </is>
      </c>
      <c r="D60" s="222" t="inlineStr">
        <is>
          <t>t</t>
        </is>
      </c>
      <c r="E60" s="1604">
        <f>'Data Input'!D14</f>
        <v/>
      </c>
    </row>
    <row r="61" ht="18.75" customFormat="1" customHeight="1" s="18">
      <c r="A61" s="225" t="n"/>
      <c r="B61" s="224" t="n">
        <v>4</v>
      </c>
      <c r="C61" s="199" t="inlineStr">
        <is>
          <t xml:space="preserve">eqm  </t>
        </is>
      </c>
      <c r="D61" s="222" t="inlineStr">
        <is>
          <t>t</t>
        </is>
      </c>
      <c r="E61" s="1604">
        <f>Profile!E46&amp;" eQi"</f>
        <v/>
      </c>
    </row>
    <row r="62" ht="18.75" customFormat="1" customHeight="1" s="18">
      <c r="A62" s="225" t="n"/>
      <c r="B62" s="224" t="n">
        <v>5</v>
      </c>
      <c r="C62" s="199" t="inlineStr">
        <is>
          <t>wkÿvMZ †hvM¨Zv</t>
        </is>
      </c>
      <c r="D62" s="222" t="inlineStr">
        <is>
          <t>t</t>
        </is>
      </c>
      <c r="E62" s="1604">
        <f>'Information Sheet'!U36</f>
        <v/>
      </c>
    </row>
    <row r="63" ht="18.75" customFormat="1" customHeight="1" s="18">
      <c r="A63" s="225" t="n"/>
      <c r="B63" s="224" t="n">
        <v>6</v>
      </c>
      <c r="C63" s="199" t="inlineStr">
        <is>
          <t xml:space="preserve">AwfÁZv   </t>
        </is>
      </c>
      <c r="D63" s="222" t="inlineStr">
        <is>
          <t>t</t>
        </is>
      </c>
      <c r="E63" s="1604">
        <f>'Information Sheet'!R41</f>
        <v/>
      </c>
    </row>
    <row r="64" ht="18.75" customFormat="1" customHeight="1" s="18">
      <c r="A64" s="225" t="n"/>
      <c r="B64" s="1605" t="n">
        <v>7</v>
      </c>
      <c r="C64" s="1606" t="inlineStr">
        <is>
          <t>¯’vqx wVKvbv</t>
        </is>
      </c>
      <c r="D64" s="1607" t="inlineStr">
        <is>
          <t>t</t>
        </is>
      </c>
      <c r="E64" s="1604">
        <f>+'Data Input'!D27</f>
        <v/>
      </c>
    </row>
    <row r="65" ht="18.75" customFormat="1" customHeight="1" s="18">
      <c r="A65" s="225" t="n"/>
      <c r="E65" s="1604">
        <f>"‡gvevBj b¤^i t "&amp;+'Data Input'!D16</f>
        <v/>
      </c>
    </row>
    <row r="66" ht="18.75" customFormat="1" customHeight="1" s="18">
      <c r="A66" s="225" t="n"/>
      <c r="B66" s="224" t="n">
        <v>8</v>
      </c>
      <c r="C66" s="199" t="inlineStr">
        <is>
          <t>eZ©gvb wVKvbv</t>
        </is>
      </c>
      <c r="D66" s="222" t="inlineStr">
        <is>
          <t>t</t>
        </is>
      </c>
      <c r="E66" s="1604">
        <f>'Data Input'!D17</f>
        <v/>
      </c>
    </row>
    <row r="67" ht="18.75" customFormat="1" customHeight="1" s="18">
      <c r="A67" s="225" t="n"/>
      <c r="B67" s="224" t="n">
        <v>9</v>
      </c>
      <c r="C67" s="199" t="inlineStr">
        <is>
          <t xml:space="preserve">e¨emvwqK wVKvbv  </t>
        </is>
      </c>
      <c r="D67" s="222" t="inlineStr">
        <is>
          <t>t</t>
        </is>
      </c>
      <c r="E67" s="1604">
        <f>'Data Input'!D9</f>
        <v/>
      </c>
    </row>
    <row r="68" ht="18.75" customFormat="1" customHeight="1" s="18">
      <c r="A68" s="225" t="n"/>
      <c r="B68" s="224" t="n"/>
      <c r="C68" s="199" t="n"/>
      <c r="D68" s="567" t="n"/>
      <c r="E68" s="1604" t="n"/>
    </row>
  </sheetData>
  <mergeCells count="17">
    <mergeCell ref="A22:A26"/>
    <mergeCell ref="B27:E27"/>
    <mergeCell ref="A35:E35"/>
    <mergeCell ref="A38:E38"/>
    <mergeCell ref="C53:E53"/>
    <mergeCell ref="A7:A18"/>
    <mergeCell ref="A19:A21"/>
    <mergeCell ref="B64:B65"/>
    <mergeCell ref="B7:E7"/>
    <mergeCell ref="C64:C65"/>
    <mergeCell ref="D64:D65"/>
    <mergeCell ref="B3:E3"/>
    <mergeCell ref="A1:A4"/>
    <mergeCell ref="B19:E19"/>
    <mergeCell ref="A28:A33"/>
    <mergeCell ref="B28:E28"/>
    <mergeCell ref="B22:E22"/>
  </mergeCells>
  <pageMargins left="0.7" right="0.7" top="0.75" bottom="0.75" header="0.3" footer="0.3"/>
</worksheet>
</file>

<file path=xl/worksheets/sheet8.xml><?xml version="1.0" encoding="utf-8"?>
<worksheet xmlns="http://schemas.openxmlformats.org/spreadsheetml/2006/main">
  <sheetPr>
    <outlinePr summaryBelow="0"/>
    <pageSetUpPr/>
  </sheetPr>
  <dimension ref="A1:D47"/>
  <sheetViews>
    <sheetView workbookViewId="0">
      <selection activeCell="A1" sqref="A1"/>
    </sheetView>
  </sheetViews>
  <sheetFormatPr baseColWidth="8" defaultRowHeight="15"/>
  <cols>
    <col width="7.005" bestFit="1" customWidth="1" style="374" min="1" max="1"/>
    <col width="76.57642857142856" bestFit="1" customWidth="1" style="375" min="2" max="2"/>
    <col width="6.433571428571429" bestFit="1" customWidth="1" style="354" min="3" max="3"/>
    <col width="6.576428571428571" bestFit="1" customWidth="1" style="354" min="4" max="4"/>
  </cols>
  <sheetData>
    <row r="1" ht="33.75" customFormat="1" customHeight="1" s="18">
      <c r="A1" s="318" t="inlineStr">
        <is>
          <t>evsjv‡`k K…wl e¨vsK</t>
        </is>
      </c>
    </row>
    <row r="2" ht="19.5" customFormat="1" customHeight="1" s="18">
      <c r="A2" s="319">
        <f>+'Data Input'!D2</f>
        <v/>
      </c>
    </row>
    <row r="3" ht="13.5" customFormat="1" customHeight="1" s="18">
      <c r="A3" s="320">
        <f>+'Data Input'!D3</f>
        <v/>
      </c>
    </row>
    <row r="4" ht="15.75" customFormat="1" customHeight="1" s="18">
      <c r="A4" s="1564">
        <f>+'Data Input'!D4</f>
        <v/>
      </c>
      <c r="B4" s="2613" t="n"/>
      <c r="C4" s="2613" t="n"/>
      <c r="D4" s="2613" t="n"/>
    </row>
    <row r="5" ht="18.75" customFormat="1" customHeight="1" s="18">
      <c r="A5" s="327" t="inlineStr">
        <is>
          <t>µt bs</t>
        </is>
      </c>
      <c r="B5" s="37" t="inlineStr">
        <is>
          <t>welq</t>
        </is>
      </c>
      <c r="C5" s="328" t="inlineStr">
        <is>
          <t>c„ôv bs</t>
        </is>
      </c>
      <c r="D5" s="2617" t="n"/>
    </row>
    <row r="6" ht="12.75" customFormat="1" customHeight="1" s="18">
      <c r="A6" s="2618" t="n"/>
      <c r="B6" s="2618" t="n"/>
      <c r="C6" s="331" t="inlineStr">
        <is>
          <t>nB‡Z</t>
        </is>
      </c>
      <c r="D6" s="331" t="inlineStr">
        <is>
          <t>ch©šÍ</t>
        </is>
      </c>
    </row>
    <row r="7" ht="16.5" customFormat="1" customHeight="1" s="18">
      <c r="A7" s="1565" t="n">
        <v>1</v>
      </c>
      <c r="B7" s="1566" t="inlineStr">
        <is>
          <t>dvBj Kvfvi I m~wPcÎ</t>
        </is>
      </c>
      <c r="C7" s="1567" t="n"/>
      <c r="D7" s="1568" t="n"/>
    </row>
    <row r="8" ht="16.5" customFormat="1" customHeight="1" s="18">
      <c r="A8" s="1569" t="n">
        <v>2</v>
      </c>
      <c r="B8" s="1570" t="inlineStr">
        <is>
          <t>‡bvU kxU</t>
        </is>
      </c>
      <c r="C8" s="1571" t="n"/>
      <c r="D8" s="1572" t="n"/>
    </row>
    <row r="9" ht="16.5" customFormat="1" customHeight="1" s="18">
      <c r="A9" s="1569" t="n">
        <v>3</v>
      </c>
      <c r="B9" s="1570" t="inlineStr">
        <is>
          <t>FY gÄyix c‡Îi Kwc</t>
        </is>
      </c>
      <c r="C9" s="1571" t="n"/>
      <c r="D9" s="1572" t="n"/>
    </row>
    <row r="10" ht="16.5" customFormat="1" customHeight="1" s="18">
      <c r="A10" s="1569" t="n">
        <v>4</v>
      </c>
      <c r="B10" s="1570" t="inlineStr">
        <is>
          <t>eÜKx `wjj (meyR)</t>
        </is>
      </c>
      <c r="C10" s="1571" t="n"/>
      <c r="D10" s="1572" t="n"/>
    </row>
    <row r="11" ht="16.5" customFormat="1" customHeight="1" s="18">
      <c r="A11" s="1569" t="n">
        <v>5</v>
      </c>
      <c r="B11" s="1570" t="inlineStr">
        <is>
          <t>÷v¤ú</t>
        </is>
      </c>
      <c r="C11" s="1571" t="n"/>
      <c r="D11" s="1572" t="n"/>
    </row>
    <row r="12" ht="16.5" customFormat="1" customHeight="1" s="18">
      <c r="A12" s="1569" t="n">
        <v>6</v>
      </c>
      <c r="B12" s="1570" t="inlineStr">
        <is>
          <t>iwOb Qwe I bgybv ¯^vÿi KvW©</t>
        </is>
      </c>
      <c r="C12" s="1571" t="n"/>
      <c r="D12" s="1572" t="n"/>
    </row>
    <row r="13" ht="16.5" customFormat="1" customHeight="1" s="18">
      <c r="A13" s="1569" t="n">
        <v>7</v>
      </c>
      <c r="B13" s="1570" t="inlineStr">
        <is>
          <t>RvZxq cwiPqcÎ I RvZxq cwiPqc‡Îi f¨vwidvBW Kwc / AbjvBb Rb¥ wbeÜb / cvm‡cv‡U©i Kwc</t>
        </is>
      </c>
      <c r="C13" s="1573" t="n"/>
      <c r="D13" s="1572" t="n"/>
    </row>
    <row r="14" ht="16.5" customFormat="1" customHeight="1" s="18">
      <c r="A14" s="1569" t="n">
        <v>8</v>
      </c>
      <c r="B14" s="1570" t="inlineStr">
        <is>
          <t>bvg msµvšÍ mb` mg~n (hw` wfbœ bvg _v‡K)</t>
        </is>
      </c>
      <c r="C14" s="1573" t="n"/>
      <c r="D14" s="1572" t="n"/>
    </row>
    <row r="15" ht="16.5" customFormat="1" customHeight="1" s="18">
      <c r="A15" s="1569" t="n">
        <v>9</v>
      </c>
      <c r="B15" s="1570" t="inlineStr">
        <is>
          <t>nvjm‡bi †UªW jvB‡m‡Ýi d‡UvKwc/ nvjm‡bi WªvM jvB‡m‡Ýi d‡UvKwc</t>
        </is>
      </c>
      <c r="C15" s="1573" t="n"/>
      <c r="D15" s="1572" t="n"/>
    </row>
    <row r="16" ht="16.5" customFormat="1" customHeight="1" s="18">
      <c r="A16" s="1569" t="n">
        <v>10</v>
      </c>
      <c r="B16" s="1570" t="inlineStr">
        <is>
          <t>we`y¨r we‡ji Kwc + †PŠwK`vix U¨v· iwk‡`i Kwc</t>
        </is>
      </c>
      <c r="C16" s="1571" t="n"/>
      <c r="D16" s="1572" t="n"/>
    </row>
    <row r="17" ht="16.5" customFormat="1" customHeight="1" s="18">
      <c r="A17" s="1569" t="n">
        <v>13</v>
      </c>
      <c r="B17" s="1570" t="inlineStr">
        <is>
          <t>wWwc †bvU, wifvBfvj †jUvi, ‡jUvi Ad Kw›UwbDwU, Gj.Gd 42, Gj Gd 46</t>
        </is>
      </c>
      <c r="C17" s="1573" t="n"/>
      <c r="D17" s="1572" t="n"/>
    </row>
    <row r="18" ht="16.5" customFormat="1" customHeight="1" s="18">
      <c r="A18" s="1569" t="n">
        <v>11</v>
      </c>
      <c r="B18" s="1570" t="inlineStr">
        <is>
          <t>Ab¨vb¨ e¨vsK/Avw_©K cÖwZôv‡bi ‡Mvcbxq gZvgZ</t>
        </is>
      </c>
      <c r="C18" s="1573" t="n"/>
      <c r="D18" s="1572" t="n"/>
    </row>
    <row r="19" ht="16.5" customFormat="1" customHeight="1" s="18">
      <c r="A19" s="1569" t="n">
        <v>12</v>
      </c>
      <c r="B19" s="1570" t="inlineStr">
        <is>
          <t>wm, AvB, we (CIB) welqK †cÖwiZ cÎ/ AbyK~j wm,AvB,we (CIB) wi‡cvU©</t>
        </is>
      </c>
      <c r="C19" s="1573" t="n"/>
      <c r="D19" s="1572" t="n"/>
    </row>
    <row r="20" ht="16.5" customFormat="1" customHeight="1" s="18">
      <c r="A20" s="1569" t="n">
        <v>13</v>
      </c>
      <c r="B20" s="1570" t="inlineStr">
        <is>
          <t>FY Av‡e`b cÎ {Gj Gd- 2}|</t>
        </is>
      </c>
      <c r="C20" s="1573" t="n"/>
      <c r="D20" s="1572" t="n"/>
    </row>
    <row r="21" ht="16.5" customFormat="1" customHeight="1" s="18">
      <c r="A21" s="1574" t="n">
        <v>14</v>
      </c>
      <c r="B21" s="1570" t="inlineStr">
        <is>
          <t>nvj `vwLjv mg~n</t>
        </is>
      </c>
      <c r="C21" s="1573" t="n"/>
      <c r="D21" s="1572" t="n"/>
    </row>
    <row r="22" ht="16.5" customFormat="1" customHeight="1" s="18">
      <c r="A22" s="2702" t="n"/>
      <c r="B22" s="1570" t="inlineStr">
        <is>
          <t>cP©v mg~n (Av‡e`bKvixi wbR bv‡g)</t>
        </is>
      </c>
      <c r="C22" s="1573" t="n"/>
      <c r="D22" s="1572" t="n"/>
    </row>
    <row r="23" ht="16.5" customFormat="1" customHeight="1" s="18">
      <c r="A23" s="2703" t="n"/>
      <c r="B23" s="1570" t="inlineStr">
        <is>
          <t>bvg Lvwi‡Ri ‡ÿ‡Î - wWwmAvi, AW©vi kxU, `vZvi cP©v/ Iqvwik mb` / `wjj cÎ</t>
        </is>
      </c>
      <c r="C23" s="1573" t="n"/>
      <c r="D23" s="1572" t="n"/>
    </row>
    <row r="24" ht="16.5" customFormat="1" customHeight="1" s="18">
      <c r="A24" s="1569" t="n">
        <v>15</v>
      </c>
      <c r="B24" s="1570" t="inlineStr">
        <is>
          <t>FY bevq‡bi †¶‡Î FY bevqb dig GjGd - 58</t>
        </is>
      </c>
      <c r="C24" s="1573" t="n"/>
      <c r="D24" s="1572" t="n"/>
    </row>
    <row r="25" ht="16.5" customFormat="1" customHeight="1" s="18">
      <c r="A25" s="1569" t="n">
        <v>16</v>
      </c>
      <c r="B25" s="1570" t="inlineStr">
        <is>
          <t>FY gÄyixi Z_¨mxU (cÎ bs-cÖKv/Ft At-1/(13)/2013-14/511(1250) Zvt 23.01.14 Bs|)</t>
        </is>
      </c>
      <c r="C25" s="1573" t="n"/>
      <c r="D25" s="1572" t="n"/>
    </row>
    <row r="26" ht="16.5" customFormat="1" customHeight="1" s="18">
      <c r="A26" s="1569" t="n">
        <v>17</v>
      </c>
      <c r="B26" s="1570" t="inlineStr">
        <is>
          <t>FY cÖ¯Ív‡ei Av‡e`b cÖwµqvKiY/ m‡iRwg‡b Z_¨ hvPvB KiY</t>
        </is>
      </c>
      <c r="C26" s="1573" t="n"/>
      <c r="D26" s="1572" t="n"/>
    </row>
    <row r="27" ht="16.5" customFormat="1" customHeight="1" s="18">
      <c r="A27" s="1569" t="n">
        <v>18</v>
      </c>
      <c r="B27" s="1570" t="inlineStr">
        <is>
          <t>FY Av‡e`bKvix KZ…©K cÖ`Ë cÖ‡R±/K¨vk †µwWU/wmGgGmGgB F‡Yi ‡cÖvdvBj</t>
        </is>
      </c>
      <c r="C27" s="1573" t="n"/>
      <c r="D27" s="1572" t="n"/>
    </row>
    <row r="28" ht="16.5" customFormat="1" customHeight="1" s="18">
      <c r="A28" s="1569" t="n">
        <v>19</v>
      </c>
      <c r="B28" s="1570" t="inlineStr">
        <is>
          <t>g~j¨vqb cÖwZ‡e`b (Gj Gd-5)</t>
        </is>
      </c>
      <c r="C28" s="1573" t="n"/>
      <c r="D28" s="1572" t="n"/>
    </row>
    <row r="29" ht="16.5" customFormat="1" customHeight="1" s="18">
      <c r="A29" s="1569" t="n">
        <v>20</v>
      </c>
      <c r="B29" s="1570" t="inlineStr">
        <is>
          <t>gyj¨vqb KwgwU KZ„©K RvgvbwZ m¤úwËi ¯’vbxq gyj¨vqb cÖwZ‡e`b</t>
        </is>
      </c>
      <c r="C29" s="1573" t="n"/>
      <c r="D29" s="1572" t="n"/>
    </row>
    <row r="30" ht="16.5" customFormat="1" customHeight="1" s="18">
      <c r="A30" s="1569" t="n">
        <v>21</v>
      </c>
      <c r="B30" s="1570" t="inlineStr">
        <is>
          <t>g~j¨vqb cÖwZ‡e`‡bi mshyw³ mg~n (Zjøv‡ki Kwc, †PŠnwÏ, 25 eQ‡ii gvwjKvbv ¯^‡Z¡i weeiY BZ¨vw`)</t>
        </is>
      </c>
      <c r="C30" s="1573" t="n"/>
      <c r="D30" s="1572" t="n"/>
    </row>
    <row r="31" ht="16.5" customFormat="1" customHeight="1" s="18">
      <c r="A31" s="1569" t="n">
        <v>22</v>
      </c>
      <c r="B31" s="1570" t="inlineStr">
        <is>
          <t>mve-‡iwRwóª Awdm KZ…©K Rwgi g~j¨ ZvwjKv</t>
        </is>
      </c>
      <c r="C31" s="1573" t="n"/>
      <c r="D31" s="1572" t="n"/>
    </row>
    <row r="32" ht="16.5" customFormat="1" customHeight="1" s="18">
      <c r="A32" s="1569" t="n">
        <v>23</v>
      </c>
      <c r="B32" s="1570" t="inlineStr">
        <is>
          <t>cwim¤ú` I `vq msµvšÍ ‡Nvlbv cÎ</t>
        </is>
      </c>
      <c r="C32" s="1573" t="n"/>
      <c r="D32" s="1572" t="n"/>
    </row>
    <row r="33" ht="16.5" customFormat="1" customHeight="1" s="18">
      <c r="A33" s="1569" t="n">
        <v>24</v>
      </c>
      <c r="B33" s="1570" t="inlineStr">
        <is>
          <t>óKjU/ gRy` gv‡ji weeibx + U¨v¯‹‡dvm© cÖwZ‡e`b</t>
        </is>
      </c>
      <c r="C33" s="1573" t="n"/>
      <c r="D33" s="1572" t="n"/>
    </row>
    <row r="34" ht="16.5" customFormat="1" customHeight="1" s="18">
      <c r="A34" s="1569" t="n">
        <v>25</v>
      </c>
      <c r="B34" s="1570" t="inlineStr">
        <is>
          <t>‡jb‡`b kxU</t>
        </is>
      </c>
      <c r="C34" s="1573" t="n"/>
      <c r="D34" s="1572" t="n"/>
    </row>
    <row r="35" ht="16.5" customFormat="1" customHeight="1" s="18">
      <c r="A35" s="1569" t="n">
        <v>26</v>
      </c>
      <c r="B35" s="1570" t="inlineStr">
        <is>
          <t>‡gŠRv g¨vc + e¨emv cÖwZôv‡bi ‡¯‹P g¨vc + e¨emv cÖwZôv‡bi iæU g¨vc</t>
        </is>
      </c>
      <c r="C35" s="1573" t="n"/>
      <c r="D35" s="1572" t="n"/>
    </row>
    <row r="36" ht="16.5" customFormat="1" customHeight="1" s="18">
      <c r="A36" s="1569" t="n">
        <v>27</v>
      </c>
      <c r="B36" s="1570" t="inlineStr">
        <is>
          <t>wewb‡qv‡Mi Dr‡mi †NvlbvcÎ</t>
        </is>
      </c>
      <c r="C36" s="1573" t="n"/>
      <c r="D36" s="1572" t="n"/>
    </row>
    <row r="37" ht="16.5" customFormat="1" customHeight="1" s="18">
      <c r="A37" s="1575" t="n">
        <v>28</v>
      </c>
      <c r="B37" s="1570" t="inlineStr">
        <is>
          <t>e¨emv cÖwZôvb wbR gvwjKvbvaxb n‡j cÖwZôv‡bi `v‡Mi cP©vi d‡UvKwc</t>
        </is>
      </c>
      <c r="C37" s="1573" t="n"/>
      <c r="D37" s="1576" t="n"/>
    </row>
    <row r="38" ht="16.5" customFormat="1" customHeight="1" s="18">
      <c r="A38" s="2703" t="n"/>
      <c r="B38" s="1570" t="inlineStr">
        <is>
          <t>e¨emv cÖwZôvb wbR gvwjKvbvaxb bv n‡j Nifvov Pzw³bvgv I Pzw³K…Z `v‡Mi cP©vi d‡UvKwc</t>
        </is>
      </c>
      <c r="C38" s="1573" t="n"/>
      <c r="D38" s="1576" t="n"/>
    </row>
    <row r="39" ht="16.5" customFormat="1" customHeight="1" s="18">
      <c r="A39" s="1569" t="n">
        <v>29</v>
      </c>
      <c r="B39" s="1570" t="inlineStr">
        <is>
          <t>nvj m‡bi AvqKi cÖZ¨qbcÎ / Zvi evrmwiK Avq AvqKi cÖ`v‡bi AvIZv ewnf©~Z g‡g© †NvlYv cÎ</t>
        </is>
      </c>
      <c r="C39" s="1573" t="n"/>
      <c r="D39" s="1572" t="n"/>
    </row>
    <row r="40" ht="16.5" customFormat="1" customHeight="1" s="18">
      <c r="A40" s="1569" t="n">
        <v>30</v>
      </c>
      <c r="B40" s="1570" t="inlineStr">
        <is>
          <t>RvgvbwZ m¤úwË mg~‡ni wecix‡Z †Kvb ai‡Yi gvgjv  †gvKÏgv bvB g‡g© cÖZ¨qbcÎ</t>
        </is>
      </c>
      <c r="C40" s="1573" t="n"/>
      <c r="D40" s="1572" t="n"/>
    </row>
    <row r="41" ht="16.5" customFormat="1" customHeight="1" s="18">
      <c r="A41" s="1569" t="n">
        <v>31</v>
      </c>
      <c r="B41" s="1570" t="inlineStr">
        <is>
          <t>weMZ eQ‡ii FY gÄyix c‡Îi Kwc (bevq‡bi †ÿ‡Î)</t>
        </is>
      </c>
      <c r="C41" s="1573" t="n"/>
      <c r="D41" s="1572" t="n"/>
    </row>
    <row r="42" ht="16.5" customFormat="1" customHeight="1" s="18">
      <c r="A42" s="1569" t="n">
        <v>32</v>
      </c>
      <c r="B42" s="1570" t="inlineStr">
        <is>
          <t>Av‡e`bKvix, gyj¨vqbKvix I e¨e¯’vcK mn m‡iRwg‡b Z`‡šÍi Qwe</t>
        </is>
      </c>
      <c r="C42" s="1573" t="n"/>
      <c r="D42" s="1572" t="n"/>
    </row>
    <row r="43" ht="16.5" customFormat="1" customHeight="1" s="18">
      <c r="A43" s="1577" t="n">
        <v>33</v>
      </c>
      <c r="B43" s="1578" t="inlineStr">
        <is>
          <t>†fvMK…Z F‡Yi `wjjvqb mwVK i‡q‡Q g‡g© gyL¨ AvÂwjK e¨e¯’vc‡Ki cÖZ¨qb (10 jÿ I Z`y×© FY)</t>
        </is>
      </c>
      <c r="C43" s="1579" t="n"/>
      <c r="D43" s="1580" t="n"/>
    </row>
    <row r="44" ht="18.75" customHeight="1">
      <c r="A44" s="350" t="n"/>
      <c r="B44" s="375" t="n"/>
      <c r="C44" s="354" t="n"/>
      <c r="D44" s="354" t="n"/>
    </row>
    <row r="45" ht="18.75" customHeight="1">
      <c r="A45" s="350" t="n"/>
      <c r="B45" s="375" t="n"/>
      <c r="C45" s="354" t="n"/>
      <c r="D45" s="354" t="n"/>
    </row>
    <row r="46" ht="18.75" customHeight="1">
      <c r="A46" s="350" t="n"/>
      <c r="B46" s="375" t="n"/>
      <c r="C46" s="354" t="n"/>
      <c r="D46" s="354" t="n"/>
    </row>
    <row r="47" ht="18.75" customHeight="1">
      <c r="A47" s="350" t="inlineStr">
        <is>
          <t xml:space="preserve">      g~j¨vqbKvix </t>
        </is>
      </c>
      <c r="C47" s="352" t="inlineStr">
        <is>
          <t>e¨e¯’vcK</t>
        </is>
      </c>
    </row>
  </sheetData>
  <mergeCells count="11">
    <mergeCell ref="A5:A6"/>
    <mergeCell ref="A1:D1"/>
    <mergeCell ref="A21:A23"/>
    <mergeCell ref="C47:D47"/>
    <mergeCell ref="A4:D4"/>
    <mergeCell ref="A3:D3"/>
    <mergeCell ref="C5:D5"/>
    <mergeCell ref="A47:B47"/>
    <mergeCell ref="A37:A38"/>
    <mergeCell ref="A2:D2"/>
    <mergeCell ref="B5:B6"/>
  </mergeCells>
  <pageMargins left="0.7" right="0.7" top="0.75" bottom="0.75" header="0.3" footer="0.3"/>
</worksheet>
</file>

<file path=xl/worksheets/sheet9.xml><?xml version="1.0" encoding="utf-8"?>
<worksheet xmlns="http://schemas.openxmlformats.org/spreadsheetml/2006/main">
  <sheetPr>
    <outlinePr summaryBelow="0"/>
    <pageSetUpPr/>
  </sheetPr>
  <dimension ref="A1:BE125"/>
  <sheetViews>
    <sheetView workbookViewId="0">
      <selection activeCell="A1" sqref="A1"/>
    </sheetView>
  </sheetViews>
  <sheetFormatPr baseColWidth="8" defaultRowHeight="15"/>
  <cols>
    <col width="4.862142857142857" bestFit="1" customWidth="1" style="64" min="1" max="1"/>
    <col width="3.290714285714285" bestFit="1" customWidth="1" style="64" min="2" max="2"/>
    <col width="2.862142857142857" bestFit="1" customWidth="1" style="64" min="3" max="3"/>
    <col width="3.147857142857143" bestFit="1" customWidth="1" style="64" min="4" max="4"/>
    <col width="2.576428571428572" bestFit="1" customWidth="1" style="64" min="5" max="5"/>
    <col width="2.576428571428572" bestFit="1" customWidth="1" style="64" min="6" max="6"/>
    <col width="3.433571428571428" bestFit="1" customWidth="1" style="64" min="7" max="7"/>
    <col width="3.719285714285714" bestFit="1" customWidth="1" style="64" min="8" max="8"/>
    <col width="2.147857142857143" bestFit="1" customWidth="1" style="64" min="9" max="9"/>
    <col width="3.005" bestFit="1" customWidth="1" style="64" min="10" max="10"/>
    <col width="3.862142857142857" bestFit="1" customWidth="1" style="64" min="11" max="11"/>
    <col width="3.147857142857143" bestFit="1" customWidth="1" style="64" min="12" max="12"/>
    <col width="2.290714285714285" bestFit="1" customWidth="1" style="354" min="13" max="13"/>
    <col width="2.433571428571428" bestFit="1" customWidth="1" style="354" min="14" max="14"/>
    <col width="3.147857142857143" bestFit="1" customWidth="1" style="354" min="15" max="15"/>
    <col width="1.862142857142857" bestFit="1" customWidth="1" style="354" min="16" max="16"/>
    <col width="2.290714285714285" bestFit="1" customWidth="1" style="354" min="17" max="17"/>
    <col width="2.719285714285714" bestFit="1" customWidth="1" style="1562" min="18" max="18"/>
    <col width="2.147857142857143" bestFit="1" customWidth="1" style="354" min="19" max="19"/>
    <col width="3.433571428571428" bestFit="1" customWidth="1" style="354" min="20" max="20"/>
    <col width="2.433571428571428" bestFit="1" customWidth="1" style="354" min="21" max="21"/>
    <col width="1.862142857142857" bestFit="1" customWidth="1" style="1562" min="22" max="22"/>
    <col width="3.433571428571428" bestFit="1" customWidth="1" style="1563" min="23" max="23"/>
    <col width="3.005" bestFit="1" customWidth="1" style="354" min="24" max="24"/>
    <col width="3.719285714285714" bestFit="1" customWidth="1" style="354" min="25" max="25"/>
    <col width="3.433571428571428" bestFit="1" customWidth="1" style="354" min="26" max="26"/>
    <col width="1.147857142857143" bestFit="1" customWidth="1" style="663" min="27" max="27"/>
    <col width="1.290714285714286" bestFit="1" customWidth="1" style="64" min="28" max="28"/>
    <col width="2.576428571428572" bestFit="1" customWidth="1" style="64" min="29" max="29"/>
    <col width="2.576428571428572" bestFit="1" customWidth="1" style="64" min="30" max="30"/>
    <col width="3.433571428571428" bestFit="1" customWidth="1" style="136" min="31" max="31"/>
    <col width="2.719285714285714" bestFit="1" customWidth="1" style="136" min="32" max="32"/>
    <col width="2.290714285714285" bestFit="1" customWidth="1" style="64" min="33" max="33"/>
    <col width="3.005" bestFit="1" customWidth="1" style="64" min="34" max="34"/>
    <col width="2.862142857142857" bestFit="1" customWidth="1" style="64" min="35" max="35"/>
    <col width="2.862142857142857" bestFit="1" customWidth="1" style="64" min="36" max="36"/>
    <col width="4.290714285714285" bestFit="1" customWidth="1" style="64" min="37" max="37"/>
    <col width="3.290714285714285" bestFit="1" customWidth="1" style="64" min="38" max="38"/>
    <col width="4.147857142857143" bestFit="1" customWidth="1" style="64" min="39" max="39"/>
    <col width="9.147857142857141" bestFit="1" customWidth="1" style="64" min="40" max="40"/>
    <col width="12.005" bestFit="1" customWidth="1" style="64" min="41" max="41"/>
    <col width="9.147857142857141" bestFit="1" customWidth="1" style="64" min="42" max="42"/>
    <col width="9.147857142857141" bestFit="1" customWidth="1" style="64" min="43" max="43"/>
    <col width="2.147857142857143" bestFit="1" customWidth="1" style="64" min="44" max="44"/>
    <col width="9.147857142857141" bestFit="1" customWidth="1" style="748" min="45" max="45"/>
    <col width="9.147857142857141" bestFit="1" customWidth="1" style="64" min="46" max="46"/>
    <col width="13.57642857142857" bestFit="1" customWidth="1" style="103" min="47" max="47"/>
    <col width="13.57642857142857" bestFit="1" customWidth="1" style="103" min="48" max="48"/>
    <col width="13.57642857142857" bestFit="1" customWidth="1" style="103" min="49" max="49"/>
    <col width="13.57642857142857" bestFit="1" customWidth="1" style="103" min="50" max="50"/>
    <col width="13.57642857142857" bestFit="1" customWidth="1" style="103" min="51" max="51"/>
    <col width="13.57642857142857" bestFit="1" customWidth="1" style="103" min="52" max="52"/>
    <col width="13.57642857142857" bestFit="1" customWidth="1" style="103" min="53" max="53"/>
    <col width="13.57642857142857" bestFit="1" customWidth="1" style="103" min="54" max="54"/>
    <col width="13.57642857142857" bestFit="1" customWidth="1" style="103" min="55" max="55"/>
    <col width="13.57642857142857" bestFit="1" customWidth="1" style="103" min="56" max="56"/>
    <col width="13.57642857142857" bestFit="1" customWidth="1" style="103" min="57" max="57"/>
  </cols>
  <sheetData>
    <row r="1" ht="18.75" customHeight="1">
      <c r="A1" s="64" t="n"/>
      <c r="B1" s="64" t="n"/>
      <c r="C1" s="64" t="n"/>
      <c r="D1" s="64" t="n"/>
      <c r="E1" s="64" t="n"/>
      <c r="F1" s="64" t="n"/>
      <c r="G1" s="64" t="n"/>
      <c r="H1" s="64" t="n"/>
      <c r="I1" s="64" t="n"/>
      <c r="J1" s="64" t="n"/>
      <c r="K1" s="64" t="n"/>
      <c r="L1" s="64" t="n"/>
      <c r="M1" s="354" t="n"/>
      <c r="N1" s="354" t="n"/>
      <c r="O1" s="354" t="n"/>
      <c r="P1" s="354" t="n"/>
      <c r="Q1" s="354" t="n"/>
      <c r="R1" s="1562" t="n"/>
      <c r="S1" s="354" t="n"/>
      <c r="T1" s="354" t="n"/>
      <c r="U1" s="354" t="n"/>
      <c r="V1" s="1562" t="n"/>
      <c r="W1" s="1563" t="n"/>
      <c r="X1" s="354" t="n"/>
      <c r="Y1" s="354" t="n"/>
      <c r="Z1" s="354" t="n"/>
      <c r="AA1" s="663" t="n"/>
      <c r="AB1" s="64" t="n"/>
      <c r="AC1" s="64" t="n"/>
      <c r="AD1" s="64" t="n"/>
      <c r="AE1" s="136" t="n"/>
      <c r="AF1" s="136" t="n"/>
      <c r="AG1" s="64" t="n"/>
      <c r="AH1" s="64" t="n"/>
      <c r="AI1" s="64" t="n"/>
      <c r="AJ1" s="64" t="n"/>
      <c r="AK1" s="64" t="n"/>
      <c r="AL1" s="64" t="n"/>
      <c r="AM1" s="64" t="n"/>
      <c r="AN1" s="64" t="n"/>
      <c r="AO1" s="64" t="n"/>
      <c r="AP1" s="64" t="n"/>
      <c r="AQ1" s="64" t="n"/>
      <c r="AR1" s="64" t="n"/>
      <c r="AS1" s="748" t="n"/>
      <c r="AT1" s="64" t="n"/>
      <c r="AU1" s="103" t="n"/>
      <c r="AV1" s="103" t="n"/>
      <c r="AW1" s="103" t="n"/>
      <c r="AX1" s="103" t="n"/>
      <c r="AY1" s="103" t="n"/>
      <c r="AZ1" s="103" t="n"/>
      <c r="BA1" s="103" t="n"/>
      <c r="BB1" s="103" t="n"/>
      <c r="BC1" s="103" t="n"/>
      <c r="BD1" s="103" t="n"/>
      <c r="BE1" s="103" t="n"/>
    </row>
    <row r="2" ht="20.25" customHeight="1">
      <c r="A2" s="219" t="inlineStr">
        <is>
          <t>Òg~j¨vqb cªwZ‡e`‡bi QKÓ</t>
        </is>
      </c>
      <c r="AN2" s="64" t="n"/>
      <c r="AO2" s="64" t="n"/>
      <c r="AP2" s="64" t="n"/>
      <c r="AQ2" s="64" t="n"/>
      <c r="AR2" s="64" t="n"/>
      <c r="AS2" s="748" t="n"/>
      <c r="AT2" s="64" t="n"/>
      <c r="AU2" s="103" t="n"/>
      <c r="AV2" s="103" t="n"/>
      <c r="AW2" s="103" t="n"/>
      <c r="AX2" s="103" t="n"/>
      <c r="AY2" s="103" t="n"/>
      <c r="AZ2" s="103" t="n"/>
      <c r="BA2" s="103" t="n"/>
      <c r="BB2" s="103" t="n"/>
      <c r="BC2" s="103" t="n"/>
      <c r="BD2" s="103" t="n"/>
      <c r="BE2" s="103" t="n"/>
    </row>
    <row r="3" ht="24.75" customHeight="1">
      <c r="A3" s="546" t="n"/>
      <c r="B3" s="784" t="n"/>
      <c r="C3" s="784" t="n"/>
      <c r="D3" s="124" t="n"/>
      <c r="E3" s="784" t="n"/>
      <c r="F3" s="124" t="n"/>
      <c r="G3" s="124" t="n"/>
      <c r="H3" s="614" t="n"/>
      <c r="I3" s="548" t="n"/>
      <c r="J3" s="548" t="n"/>
      <c r="K3" s="548" t="n"/>
      <c r="L3" s="548" t="n"/>
      <c r="M3" s="564" t="inlineStr">
        <is>
          <t>evsjv‡`k K…wl e¨vsK</t>
        </is>
      </c>
      <c r="Z3" s="1210" t="n"/>
      <c r="AA3" s="1211" t="n"/>
      <c r="AB3" s="1212" t="n"/>
      <c r="AC3" s="551" t="n"/>
      <c r="AN3" s="64" t="n"/>
      <c r="AO3" s="64" t="n"/>
      <c r="AP3" s="64" t="n"/>
      <c r="AQ3" s="64" t="n"/>
      <c r="AR3" s="64" t="n"/>
      <c r="AS3" s="748" t="n"/>
      <c r="AT3" s="64" t="n"/>
      <c r="AU3" s="103" t="n"/>
      <c r="AV3" s="103" t="n"/>
      <c r="AW3" s="103" t="n"/>
      <c r="AX3" s="103" t="n"/>
      <c r="AY3" s="103" t="n"/>
      <c r="AZ3" s="103" t="n"/>
      <c r="BA3" s="103" t="n"/>
      <c r="BB3" s="103" t="n"/>
      <c r="BC3" s="103" t="n"/>
      <c r="BD3" s="103" t="n"/>
      <c r="BE3" s="103" t="n"/>
    </row>
    <row r="4" ht="14.25" customHeight="1">
      <c r="A4" s="546" t="n"/>
      <c r="B4" s="764" t="n"/>
      <c r="C4" s="784" t="n"/>
      <c r="D4" s="199" t="n"/>
      <c r="E4" s="784" t="n"/>
      <c r="F4" s="199" t="n"/>
      <c r="G4" s="199" t="n"/>
      <c r="H4" s="784" t="n"/>
      <c r="I4" s="562" t="n"/>
      <c r="J4" s="562" t="n"/>
      <c r="K4" s="614" t="n"/>
      <c r="L4" s="562" t="n"/>
      <c r="M4" s="2704">
        <f>+'Data Input'!D2</f>
        <v/>
      </c>
      <c r="AA4" s="1217" t="n"/>
      <c r="AB4" s="1218" t="n"/>
      <c r="AC4" s="759" t="n"/>
      <c r="AN4" s="64" t="n"/>
      <c r="AO4" s="64" t="n"/>
      <c r="AP4" s="64" t="n"/>
      <c r="AQ4" s="64" t="n"/>
      <c r="AR4" s="64" t="n"/>
      <c r="AS4" s="748" t="n"/>
      <c r="AT4" s="64" t="n"/>
      <c r="AU4" s="103" t="n"/>
      <c r="AV4" s="103" t="n"/>
      <c r="AW4" s="103" t="n"/>
      <c r="AX4" s="103" t="n"/>
      <c r="AY4" s="103" t="n"/>
      <c r="AZ4" s="103" t="n"/>
      <c r="BA4" s="103" t="n"/>
      <c r="BB4" s="103" t="n"/>
      <c r="BC4" s="103" t="n"/>
      <c r="BD4" s="103" t="n"/>
      <c r="BE4" s="103" t="n"/>
    </row>
    <row r="5" ht="6.75" customHeight="1">
      <c r="A5" s="1220" t="n"/>
      <c r="B5" s="1221" t="n"/>
      <c r="C5" s="1222" t="n"/>
      <c r="D5" s="1222" t="n"/>
      <c r="E5" s="1223" t="n"/>
      <c r="F5" s="1222" t="n"/>
      <c r="G5" s="1222" t="n"/>
      <c r="H5" s="1224" t="n"/>
      <c r="I5" s="1224" t="n"/>
      <c r="J5" s="1224" t="n"/>
      <c r="K5" s="1224" t="n"/>
      <c r="L5" s="1224" t="n"/>
      <c r="M5" s="2705" t="n"/>
      <c r="N5" s="2705" t="n"/>
      <c r="O5" s="2705" t="n"/>
      <c r="P5" s="2705" t="n"/>
      <c r="Q5" s="2705" t="n"/>
      <c r="R5" s="2705" t="n"/>
      <c r="S5" s="2705" t="n"/>
      <c r="T5" s="2705" t="n"/>
      <c r="U5" s="2705" t="n"/>
      <c r="V5" s="2705" t="n"/>
      <c r="W5" s="2705" t="n"/>
      <c r="X5" s="2705" t="n"/>
      <c r="Y5" s="2705" t="n"/>
      <c r="Z5" s="2705" t="n"/>
      <c r="AA5" s="1228" t="n"/>
      <c r="AB5" s="1229" t="n"/>
      <c r="AC5" s="2705" t="n"/>
      <c r="AD5" s="2705" t="n"/>
      <c r="AE5" s="2705" t="n"/>
      <c r="AF5" s="2705" t="n"/>
      <c r="AG5" s="2705" t="n"/>
      <c r="AH5" s="2705" t="n"/>
      <c r="AI5" s="2705" t="n"/>
      <c r="AJ5" s="2705" t="n"/>
      <c r="AK5" s="2705" t="n"/>
      <c r="AL5" s="2705" t="n"/>
      <c r="AM5" s="2705" t="n"/>
      <c r="AN5" s="64" t="n"/>
      <c r="AO5" s="64" t="n"/>
      <c r="AP5" s="64" t="n"/>
      <c r="AQ5" s="64" t="n"/>
      <c r="AR5" s="64" t="n"/>
      <c r="AS5" s="748" t="n"/>
      <c r="AT5" s="64" t="n"/>
      <c r="AU5" s="103" t="n"/>
      <c r="AV5" s="103" t="n"/>
      <c r="AW5" s="103" t="n"/>
      <c r="AX5" s="103" t="n"/>
      <c r="AY5" s="103" t="n"/>
      <c r="AZ5" s="103" t="n"/>
      <c r="BA5" s="103" t="n"/>
      <c r="BB5" s="103" t="n"/>
      <c r="BC5" s="103" t="n"/>
      <c r="BD5" s="103" t="n"/>
      <c r="BE5" s="103" t="n"/>
    </row>
    <row r="6" ht="9" customHeight="1">
      <c r="A6" s="1231" t="inlineStr">
        <is>
          <t>welq t  cÖ¯ÍvweZ RvgvbwZ m¤úwËi g~j¨vqb cªwZ‡e`b |</t>
        </is>
      </c>
      <c r="B6" s="2630" t="n"/>
      <c r="C6" s="2630" t="n"/>
      <c r="D6" s="2630" t="n"/>
      <c r="E6" s="2630" t="n"/>
      <c r="F6" s="2630" t="n"/>
      <c r="G6" s="2630" t="n"/>
      <c r="H6" s="2630" t="n"/>
      <c r="I6" s="2630" t="n"/>
      <c r="J6" s="2630" t="n"/>
      <c r="K6" s="2630" t="n"/>
      <c r="L6" s="2630" t="n"/>
      <c r="M6" s="2630" t="n"/>
      <c r="N6" s="2630" t="n"/>
      <c r="O6" s="2630" t="n"/>
      <c r="P6" s="2630" t="n"/>
      <c r="Q6" s="2630" t="n"/>
      <c r="R6" s="2630" t="n"/>
      <c r="S6" s="2630" t="n"/>
      <c r="T6" s="2630" t="n"/>
      <c r="U6" s="2630" t="n"/>
      <c r="V6" s="2630" t="n"/>
      <c r="W6" s="2630" t="n"/>
      <c r="X6" s="2630" t="n"/>
      <c r="Y6" s="2630" t="n"/>
      <c r="Z6" s="2630" t="n"/>
      <c r="AA6" s="2630" t="n"/>
      <c r="AB6" s="2630" t="n"/>
      <c r="AC6" s="2630" t="n"/>
      <c r="AD6" s="2630" t="n"/>
      <c r="AE6" s="2630" t="n"/>
      <c r="AF6" s="2630" t="n"/>
      <c r="AG6" s="2630" t="n"/>
      <c r="AH6" s="2630" t="n"/>
      <c r="AI6" s="2630" t="n"/>
      <c r="AJ6" s="2630" t="n"/>
      <c r="AK6" s="2630" t="n"/>
      <c r="AL6" s="2630" t="n"/>
      <c r="AM6" s="2630" t="n"/>
      <c r="AN6" s="64" t="n"/>
      <c r="AO6" s="64" t="n"/>
      <c r="AP6" s="64" t="n"/>
      <c r="AQ6" s="64" t="n"/>
      <c r="AR6" s="64" t="n"/>
      <c r="AS6" s="748" t="n"/>
      <c r="AT6" s="64" t="n"/>
      <c r="AU6" s="103" t="n"/>
      <c r="AV6" s="103" t="n"/>
      <c r="AW6" s="103" t="n"/>
      <c r="AX6" s="103" t="n"/>
      <c r="AY6" s="103" t="n"/>
      <c r="AZ6" s="103" t="n"/>
      <c r="BA6" s="103" t="n"/>
      <c r="BB6" s="103" t="n"/>
      <c r="BC6" s="103" t="n"/>
      <c r="BD6" s="103" t="n"/>
      <c r="BE6" s="103" t="n"/>
    </row>
    <row r="7" ht="20.25" customHeight="1">
      <c r="AN7" s="64" t="n"/>
      <c r="AO7" s="64" t="n"/>
      <c r="AP7" s="64" t="n"/>
      <c r="AQ7" s="64" t="n"/>
      <c r="AR7" s="64" t="n"/>
      <c r="AS7" s="748" t="n"/>
      <c r="AT7" s="64" t="n"/>
      <c r="AU7" s="103" t="n"/>
      <c r="AV7" s="103" t="n"/>
      <c r="AW7" s="103" t="n"/>
      <c r="AX7" s="103" t="n"/>
      <c r="AY7" s="103" t="n"/>
      <c r="AZ7" s="103" t="n"/>
      <c r="BA7" s="103" t="n"/>
      <c r="BB7" s="103" t="n"/>
      <c r="BC7" s="103" t="n"/>
      <c r="BD7" s="103" t="n"/>
      <c r="BE7" s="103" t="n"/>
    </row>
    <row r="8" ht="20.25" customHeight="1">
      <c r="A8" s="789">
        <f>"D‡`¨v³v/cÖwZôv‡bi bvg I e¨emvwqK wVKvbv t  "&amp;'Data Input'!D8&amp;",  ‡cÖvcvBUi t "&amp;'Data Input'!D12</f>
        <v/>
      </c>
      <c r="AN8" s="64" t="n"/>
      <c r="AO8" s="1238" t="n"/>
      <c r="AP8" s="64" t="n"/>
      <c r="AQ8" s="64" t="n"/>
      <c r="AR8" s="64" t="n"/>
      <c r="AS8" s="748" t="n"/>
      <c r="AT8" s="64" t="n"/>
      <c r="AU8" s="103" t="n"/>
      <c r="AV8" s="103" t="n"/>
      <c r="AW8" s="103" t="n"/>
      <c r="AX8" s="103" t="n"/>
      <c r="AY8" s="103" t="n"/>
      <c r="AZ8" s="103" t="n"/>
      <c r="BA8" s="103" t="n"/>
      <c r="BB8" s="103" t="n"/>
      <c r="BC8" s="103" t="n"/>
      <c r="BD8" s="103" t="n"/>
      <c r="BE8" s="103" t="n"/>
    </row>
    <row r="9" ht="18.75" customHeight="1">
      <c r="A9" s="2672" t="inlineStr">
        <is>
          <t>01|</t>
        </is>
      </c>
      <c r="B9" s="1240" t="inlineStr">
        <is>
          <t>eÜKZe¨ m¤úwËi gvwj‡Ki bvg I wVKvbv</t>
        </is>
      </c>
      <c r="C9" s="2624" t="n"/>
      <c r="D9" s="2624" t="n"/>
      <c r="E9" s="2624" t="n"/>
      <c r="F9" s="2624" t="n"/>
      <c r="G9" s="2624" t="n"/>
      <c r="H9" s="2624" t="n"/>
      <c r="I9" s="2624" t="n"/>
      <c r="J9" s="2624" t="n"/>
      <c r="K9" s="2624" t="n"/>
      <c r="L9" s="2624" t="n"/>
      <c r="M9" s="1241">
        <f>+'Data Input'!B12</f>
        <v/>
      </c>
      <c r="N9" s="2624" t="n"/>
      <c r="O9" s="2624" t="n"/>
      <c r="P9" s="2624" t="n"/>
      <c r="Q9" s="1242" t="n"/>
      <c r="R9" s="1243" t="inlineStr">
        <is>
          <t>t</t>
        </is>
      </c>
      <c r="S9" s="1447">
        <f>'Data Input'!D12</f>
        <v/>
      </c>
      <c r="T9" s="2624" t="n"/>
      <c r="U9" s="2624" t="n"/>
      <c r="V9" s="2624" t="n"/>
      <c r="W9" s="2624" t="n"/>
      <c r="X9" s="2624" t="n"/>
      <c r="Y9" s="2624" t="n"/>
      <c r="Z9" s="2624" t="n"/>
      <c r="AA9" s="2624" t="n"/>
      <c r="AB9" s="2624" t="n"/>
      <c r="AC9" s="2624" t="n"/>
      <c r="AD9" s="2624" t="n"/>
      <c r="AE9" s="2624" t="n"/>
      <c r="AF9" s="2624" t="n"/>
      <c r="AG9" s="2624" t="n"/>
      <c r="AH9" s="2624" t="n"/>
      <c r="AI9" s="2624" t="n"/>
      <c r="AJ9" s="2624" t="n"/>
      <c r="AK9" s="2624" t="n"/>
      <c r="AL9" s="2624" t="n"/>
      <c r="AM9" s="2642" t="n"/>
      <c r="AN9" s="1245" t="n"/>
      <c r="AO9" s="1246" t="n"/>
      <c r="AP9" s="1246" t="n"/>
      <c r="AQ9" s="1246" t="n"/>
      <c r="AR9" s="1246" t="n"/>
      <c r="AS9" s="1247" t="n"/>
      <c r="AT9" s="1246" t="n"/>
      <c r="AU9" s="103" t="n"/>
      <c r="AV9" s="103" t="n"/>
      <c r="AW9" s="103" t="n"/>
      <c r="AX9" s="103" t="n"/>
      <c r="AY9" s="103" t="n"/>
      <c r="AZ9" s="103" t="n"/>
      <c r="BA9" s="103" t="n"/>
      <c r="BB9" s="103" t="n"/>
      <c r="BC9" s="103" t="n"/>
      <c r="BD9" s="103" t="n"/>
      <c r="BE9" s="103" t="n"/>
    </row>
    <row r="10" ht="18.75" customHeight="1">
      <c r="A10" s="2647" t="n"/>
      <c r="B10" s="2647" t="n"/>
      <c r="M10" s="399">
        <f>+'Data Input'!B13</f>
        <v/>
      </c>
      <c r="Q10" s="354" t="n"/>
      <c r="R10" s="1250" t="inlineStr">
        <is>
          <t>t</t>
        </is>
      </c>
      <c r="S10" s="1046">
        <f>'Data Input'!D13</f>
        <v/>
      </c>
      <c r="AM10" s="2641" t="n"/>
      <c r="AN10" s="1245" t="n"/>
      <c r="AO10" s="1246" t="n"/>
      <c r="AP10" s="1246" t="n"/>
      <c r="AQ10" s="1246" t="n"/>
      <c r="AR10" s="1246" t="n"/>
      <c r="AS10" s="1247" t="n"/>
      <c r="AT10" s="1246" t="n"/>
      <c r="AU10" s="103" t="n"/>
      <c r="AV10" s="103" t="n"/>
      <c r="AW10" s="103" t="n"/>
      <c r="AX10" s="103" t="n"/>
      <c r="AY10" s="103" t="n"/>
      <c r="AZ10" s="103" t="n"/>
      <c r="BA10" s="103" t="n"/>
      <c r="BB10" s="103" t="n"/>
      <c r="BC10" s="103" t="n"/>
      <c r="BD10" s="103" t="n"/>
      <c r="BE10" s="103" t="n"/>
    </row>
    <row r="11" ht="18.75" customHeight="1">
      <c r="A11" s="2647" t="n"/>
      <c r="B11" s="2647" t="n"/>
      <c r="M11" s="399">
        <f>+'Data Input'!B14</f>
        <v/>
      </c>
      <c r="Q11" s="354" t="n"/>
      <c r="R11" s="1250" t="inlineStr">
        <is>
          <t>t</t>
        </is>
      </c>
      <c r="S11" s="1046">
        <f>'Data Input'!D14</f>
        <v/>
      </c>
      <c r="AM11" s="2641" t="n"/>
      <c r="AN11" s="1245" t="n"/>
      <c r="AO11" s="1246" t="n"/>
      <c r="AP11" s="1246" t="n"/>
      <c r="AQ11" s="1246" t="n"/>
      <c r="AR11" s="1246" t="n"/>
      <c r="AS11" s="1247" t="n"/>
      <c r="AT11" s="1246" t="n"/>
      <c r="AU11" s="103" t="n"/>
      <c r="AV11" s="103" t="n"/>
      <c r="AW11" s="103" t="n"/>
      <c r="AX11" s="103" t="n"/>
      <c r="AY11" s="103" t="n"/>
      <c r="AZ11" s="103" t="n"/>
      <c r="BA11" s="103" t="n"/>
      <c r="BB11" s="103" t="n"/>
      <c r="BC11" s="103" t="n"/>
      <c r="BD11" s="103" t="n"/>
      <c r="BE11" s="103" t="n"/>
    </row>
    <row r="12" ht="34.5" customHeight="1">
      <c r="A12" s="2647" t="n"/>
      <c r="B12" s="2706" t="n"/>
      <c r="C12" s="2707" t="n"/>
      <c r="I12" s="64" t="n"/>
      <c r="J12" s="64" t="n"/>
      <c r="K12" s="64" t="n"/>
      <c r="L12" s="64" t="n"/>
      <c r="M12" s="295" t="inlineStr">
        <is>
          <t>K)</t>
        </is>
      </c>
      <c r="N12" s="535" t="inlineStr">
        <is>
          <t>eZ©gvb</t>
        </is>
      </c>
      <c r="Q12" s="354" t="n"/>
      <c r="R12" s="1250" t="inlineStr">
        <is>
          <t>t</t>
        </is>
      </c>
      <c r="S12" s="1257">
        <f>+'Data Input'!D17</f>
        <v/>
      </c>
      <c r="AM12" s="2641" t="n"/>
      <c r="AN12" s="64" t="n"/>
      <c r="AO12" s="64" t="n"/>
      <c r="AP12" s="64" t="n"/>
      <c r="AQ12" s="64" t="n"/>
      <c r="AR12" s="64" t="n"/>
      <c r="AS12" s="748" t="n"/>
      <c r="AT12" s="64" t="n"/>
      <c r="AU12" s="103" t="n"/>
      <c r="AV12" s="103" t="n"/>
      <c r="AW12" s="103" t="n"/>
      <c r="AX12" s="103" t="n"/>
      <c r="AY12" s="103" t="n"/>
      <c r="AZ12" s="103" t="n"/>
      <c r="BA12" s="103" t="n"/>
      <c r="BB12" s="103" t="n"/>
      <c r="BC12" s="103" t="n"/>
      <c r="BD12" s="103" t="n"/>
      <c r="BE12" s="103" t="n"/>
    </row>
    <row r="13" ht="34.5" customHeight="1">
      <c r="A13" s="2648" t="n"/>
      <c r="B13" s="2648" t="n"/>
      <c r="C13" s="2613" t="n"/>
      <c r="D13" s="2613" t="n"/>
      <c r="E13" s="2613" t="n"/>
      <c r="F13" s="2613" t="n"/>
      <c r="G13" s="2613" t="n"/>
      <c r="H13" s="2613" t="n"/>
      <c r="I13" s="1261" t="n"/>
      <c r="J13" s="1261" t="n"/>
      <c r="K13" s="1261" t="n"/>
      <c r="L13" s="1261" t="n"/>
      <c r="M13" s="1471" t="inlineStr">
        <is>
          <t>L)</t>
        </is>
      </c>
      <c r="N13" s="1260" t="inlineStr">
        <is>
          <t xml:space="preserve">¯’vqx </t>
        </is>
      </c>
      <c r="O13" s="2613" t="n"/>
      <c r="P13" s="2613" t="n"/>
      <c r="Q13" s="1261" t="n"/>
      <c r="R13" s="1263" t="inlineStr">
        <is>
          <t>t</t>
        </is>
      </c>
      <c r="S13" s="1269">
        <f>+'Data Input'!D27</f>
        <v/>
      </c>
      <c r="T13" s="2613" t="n"/>
      <c r="U13" s="2613" t="n"/>
      <c r="V13" s="2613" t="n"/>
      <c r="W13" s="2613" t="n"/>
      <c r="X13" s="2613" t="n"/>
      <c r="Y13" s="2613" t="n"/>
      <c r="Z13" s="2613" t="n"/>
      <c r="AA13" s="2613" t="n"/>
      <c r="AB13" s="2613" t="n"/>
      <c r="AC13" s="2613" t="n"/>
      <c r="AD13" s="2613" t="n"/>
      <c r="AE13" s="2613" t="n"/>
      <c r="AF13" s="2613" t="n"/>
      <c r="AG13" s="2613" t="n"/>
      <c r="AH13" s="2613" t="n"/>
      <c r="AI13" s="2613" t="n"/>
      <c r="AJ13" s="2613" t="n"/>
      <c r="AK13" s="2613" t="n"/>
      <c r="AL13" s="2613" t="n"/>
      <c r="AM13" s="2649" t="n"/>
      <c r="AN13" s="64" t="n"/>
      <c r="AO13" s="64" t="n"/>
      <c r="AP13" s="64" t="n"/>
      <c r="AQ13" s="64" t="n"/>
      <c r="AR13" s="64" t="n"/>
      <c r="AS13" s="748" t="n"/>
      <c r="AT13" s="64" t="n"/>
      <c r="AU13" s="103" t="n"/>
      <c r="AV13" s="103" t="n"/>
      <c r="AW13" s="103" t="n"/>
      <c r="AX13" s="103" t="n"/>
      <c r="AY13" s="103" t="n"/>
      <c r="AZ13" s="103" t="n"/>
      <c r="BA13" s="103" t="n"/>
      <c r="BB13" s="103" t="n"/>
      <c r="BC13" s="103" t="n"/>
      <c r="BD13" s="103" t="n"/>
      <c r="BE13" s="103" t="n"/>
    </row>
    <row r="14" ht="36" customFormat="1" customHeight="1" s="18">
      <c r="A14" s="1687" t="inlineStr">
        <is>
          <t>02|</t>
        </is>
      </c>
      <c r="B14" s="267" t="inlineStr">
        <is>
          <t>cÖ¯ÍvweZ RvgvbwZ m¤úwËi eZ©gvb †fvM `LjKvixi bvg I wVKvbv</t>
        </is>
      </c>
      <c r="C14" s="2614" t="n"/>
      <c r="D14" s="2614" t="n"/>
      <c r="E14" s="2614" t="n"/>
      <c r="F14" s="2614" t="n"/>
      <c r="G14" s="2614" t="n"/>
      <c r="H14" s="2614" t="n"/>
      <c r="I14" s="2614" t="n"/>
      <c r="J14" s="2614" t="n"/>
      <c r="K14" s="2614" t="n"/>
      <c r="L14" s="2614" t="n"/>
      <c r="M14" s="2614" t="n"/>
      <c r="N14" s="2614" t="n"/>
      <c r="O14" s="2614" t="n"/>
      <c r="P14" s="2614" t="n"/>
      <c r="Q14" s="2617" t="n"/>
      <c r="R14" s="1273" t="inlineStr">
        <is>
          <t>t</t>
        </is>
      </c>
      <c r="S14" s="263" t="inlineStr">
        <is>
          <t>H</t>
        </is>
      </c>
      <c r="T14" s="2614" t="n"/>
      <c r="U14" s="2614" t="n"/>
      <c r="V14" s="2614" t="n"/>
      <c r="W14" s="2614" t="n"/>
      <c r="X14" s="2614" t="n"/>
      <c r="Y14" s="2614" t="n"/>
      <c r="Z14" s="2614" t="n"/>
      <c r="AA14" s="2614" t="n"/>
      <c r="AB14" s="2614" t="n"/>
      <c r="AC14" s="2614" t="n"/>
      <c r="AD14" s="2614" t="n"/>
      <c r="AE14" s="2614" t="n"/>
      <c r="AF14" s="2614" t="n"/>
      <c r="AG14" s="2614" t="n"/>
      <c r="AH14" s="2614" t="n"/>
      <c r="AI14" s="2614" t="n"/>
      <c r="AJ14" s="2614" t="n"/>
      <c r="AK14" s="2614" t="n"/>
      <c r="AL14" s="2614" t="n"/>
      <c r="AM14" s="2617" t="n"/>
      <c r="AN14" s="103" t="n"/>
      <c r="AO14" s="103" t="n"/>
      <c r="AP14" s="103" t="n"/>
      <c r="AQ14" s="103" t="n"/>
      <c r="AR14" s="103" t="n"/>
      <c r="AS14" s="1278" t="n"/>
      <c r="AT14" s="103" t="n"/>
      <c r="AU14" s="103" t="n"/>
      <c r="AV14" s="103" t="n"/>
      <c r="AW14" s="103" t="n"/>
      <c r="AX14" s="103" t="n"/>
      <c r="AY14" s="103" t="n"/>
      <c r="AZ14" s="103" t="n"/>
      <c r="BA14" s="103" t="n"/>
      <c r="BB14" s="103" t="n"/>
      <c r="BC14" s="103" t="n"/>
      <c r="BD14" s="103" t="n"/>
      <c r="BE14" s="103" t="n"/>
    </row>
    <row r="15" ht="126" customFormat="1" customHeight="1" s="18">
      <c r="A15" s="1687" t="inlineStr">
        <is>
          <t>03|</t>
        </is>
      </c>
      <c r="B15" s="1279" t="inlineStr">
        <is>
          <t>gvwjKvbvi Drm t µq/‰cwÎK, BRviv, e‡›`ve¯Í, IqvK&amp;d, †`‡evËi, ûKyg `LjKvix BZ¨vw`g~‡j cÖvß Rwgi g~j ¯^Ë¡xq `wjjcÎ †hgb g~j `wjj, evqv `wjj, bvgRvix LwZqvb I cP©vi avivevwnK ch©v‡jvPbv</t>
        </is>
      </c>
      <c r="C15" s="2614" t="n"/>
      <c r="D15" s="2614" t="n"/>
      <c r="E15" s="2614" t="n"/>
      <c r="F15" s="2614" t="n"/>
      <c r="G15" s="2614" t="n"/>
      <c r="H15" s="2614" t="n"/>
      <c r="I15" s="2614" t="n"/>
      <c r="J15" s="2614" t="n"/>
      <c r="K15" s="2614" t="n"/>
      <c r="L15" s="2614" t="n"/>
      <c r="M15" s="2614" t="n"/>
      <c r="N15" s="2614" t="n"/>
      <c r="O15" s="2614" t="n"/>
      <c r="P15" s="2614" t="n"/>
      <c r="Q15" s="2614" t="n"/>
      <c r="R15" s="1281" t="inlineStr">
        <is>
          <t>t</t>
        </is>
      </c>
      <c r="S15" s="1282" t="inlineStr">
        <is>
          <t>mshyw³ ÒKÓ †gvZv‡eK</t>
        </is>
      </c>
      <c r="T15" s="2614" t="n"/>
      <c r="U15" s="2614" t="n"/>
      <c r="V15" s="2614" t="n"/>
      <c r="W15" s="2614" t="n"/>
      <c r="X15" s="2614" t="n"/>
      <c r="Y15" s="2614" t="n"/>
      <c r="Z15" s="2614" t="n"/>
      <c r="AA15" s="2614" t="n"/>
      <c r="AB15" s="2614" t="n"/>
      <c r="AC15" s="2614" t="n"/>
      <c r="AD15" s="2614" t="n"/>
      <c r="AE15" s="2614" t="n"/>
      <c r="AF15" s="2614" t="n"/>
      <c r="AG15" s="2614" t="n"/>
      <c r="AH15" s="2614" t="n"/>
      <c r="AI15" s="2614" t="n"/>
      <c r="AJ15" s="2614" t="n"/>
      <c r="AK15" s="2614" t="n"/>
      <c r="AL15" s="2614" t="n"/>
      <c r="AM15" s="2658" t="n"/>
      <c r="AN15" s="103" t="n"/>
      <c r="AO15" s="103" t="n"/>
      <c r="AP15" s="103" t="n"/>
      <c r="AQ15" s="103" t="n"/>
      <c r="AR15" s="103" t="n"/>
      <c r="AS15" s="1278" t="n"/>
      <c r="AT15" s="103" t="n"/>
      <c r="AU15" s="103" t="n"/>
      <c r="AV15" s="103" t="n"/>
      <c r="AW15" s="103" t="n"/>
      <c r="AX15" s="103" t="n"/>
      <c r="AY15" s="103" t="n"/>
      <c r="AZ15" s="103" t="n"/>
      <c r="BA15" s="103" t="n"/>
      <c r="BB15" s="103" t="n"/>
      <c r="BC15" s="103" t="n"/>
      <c r="BD15" s="103" t="n"/>
      <c r="BE15" s="103" t="n"/>
    </row>
    <row r="16" ht="37.5" customFormat="1" customHeight="1" s="18">
      <c r="A16" s="2672" t="inlineStr">
        <is>
          <t>04|</t>
        </is>
      </c>
      <c r="B16" s="267" t="inlineStr">
        <is>
          <t xml:space="preserve"> cÖ¯ÍvweZ RvgvbwZ m¤úwËi Zdwmj t</t>
        </is>
      </c>
      <c r="C16" s="2614" t="n"/>
      <c r="D16" s="2614" t="n"/>
      <c r="E16" s="2614" t="n"/>
      <c r="F16" s="2614" t="n"/>
      <c r="G16" s="2614" t="n"/>
      <c r="H16" s="2614" t="n"/>
      <c r="I16" s="2614" t="n"/>
      <c r="J16" s="2614" t="n"/>
      <c r="K16" s="2614" t="n"/>
      <c r="L16" s="2614" t="n"/>
      <c r="M16" s="2614" t="n"/>
      <c r="N16" s="2614" t="n"/>
      <c r="O16" s="2614" t="n"/>
      <c r="P16" s="2614" t="n"/>
      <c r="Q16" s="2614" t="n"/>
      <c r="R16" s="2614" t="n"/>
      <c r="S16" s="2614" t="n"/>
      <c r="T16" s="2614" t="n"/>
      <c r="U16" s="2614" t="n"/>
      <c r="V16" s="2614" t="n"/>
      <c r="W16" s="2614" t="n"/>
      <c r="X16" s="2614" t="n"/>
      <c r="Y16" s="2614" t="n"/>
      <c r="Z16" s="2614" t="n"/>
      <c r="AA16" s="2614" t="n"/>
      <c r="AB16" s="2614" t="n"/>
      <c r="AC16" s="2614" t="n"/>
      <c r="AD16" s="2614" t="n"/>
      <c r="AE16" s="2614" t="n"/>
      <c r="AF16" s="2614" t="n"/>
      <c r="AG16" s="2614" t="n"/>
      <c r="AH16" s="2614" t="n"/>
      <c r="AI16" s="2614" t="n"/>
      <c r="AJ16" s="2614" t="n"/>
      <c r="AK16" s="2614" t="n"/>
      <c r="AL16" s="2614" t="n"/>
      <c r="AM16" s="2617" t="n"/>
      <c r="AN16" s="103" t="n"/>
      <c r="AO16" s="103" t="n"/>
      <c r="AP16" s="103" t="n"/>
      <c r="AQ16" s="103" t="n"/>
      <c r="AR16" s="103" t="n"/>
      <c r="AS16" s="1278" t="n"/>
      <c r="AT16" s="103" t="n"/>
      <c r="AU16" s="103" t="n"/>
      <c r="AV16" s="103" t="n"/>
      <c r="AW16" s="103" t="n"/>
      <c r="AX16" s="103" t="n"/>
      <c r="AY16" s="103" t="n"/>
      <c r="AZ16" s="103" t="n"/>
      <c r="BA16" s="103" t="n"/>
      <c r="BB16" s="103" t="n"/>
      <c r="BC16" s="103" t="n"/>
      <c r="BD16" s="103" t="n"/>
      <c r="BE16" s="103" t="n"/>
    </row>
    <row r="17" ht="20.25" customFormat="1" customHeight="1" s="18">
      <c r="A17" s="2647" t="n"/>
      <c r="B17" s="1291" t="inlineStr">
        <is>
          <t>‡Rjv</t>
        </is>
      </c>
      <c r="C17" s="2694" t="n"/>
      <c r="D17" s="2708" t="n"/>
      <c r="E17" s="1291" t="inlineStr">
        <is>
          <t>_vbv</t>
        </is>
      </c>
      <c r="F17" s="2694" t="n"/>
      <c r="G17" s="2708" t="n"/>
      <c r="H17" s="1291" t="inlineStr">
        <is>
          <t xml:space="preserve"> †gŠRv</t>
        </is>
      </c>
      <c r="I17" s="2694" t="n"/>
      <c r="J17" s="2708" t="n"/>
      <c r="K17" s="1292" t="inlineStr">
        <is>
          <t xml:space="preserve">LwZqvb bs </t>
        </is>
      </c>
      <c r="L17" s="2614" t="n"/>
      <c r="M17" s="2614" t="n"/>
      <c r="N17" s="2614" t="n"/>
      <c r="O17" s="2614" t="n"/>
      <c r="P17" s="2658" t="n"/>
      <c r="Q17" s="1292" t="inlineStr">
        <is>
          <t>`vM bs</t>
        </is>
      </c>
      <c r="R17" s="2614" t="n"/>
      <c r="S17" s="2614" t="n"/>
      <c r="T17" s="2614" t="n"/>
      <c r="U17" s="2658" t="n"/>
      <c r="V17" s="1296" t="inlineStr">
        <is>
          <t xml:space="preserve">Rwgi cwigvY </t>
        </is>
      </c>
      <c r="W17" s="2614" t="n"/>
      <c r="X17" s="2614" t="n"/>
      <c r="Y17" s="2614" t="n"/>
      <c r="Z17" s="2658" t="n"/>
      <c r="AA17" s="1298" t="inlineStr">
        <is>
          <t>Rwgi cÖK…wZ</t>
        </is>
      </c>
      <c r="AB17" s="2614" t="n"/>
      <c r="AC17" s="2614" t="n"/>
      <c r="AD17" s="2614" t="n"/>
      <c r="AE17" s="2614" t="n"/>
      <c r="AF17" s="2658" t="n"/>
      <c r="AG17" s="1300" t="inlineStr">
        <is>
          <t>gvwjKvbvi aib</t>
        </is>
      </c>
      <c r="AH17" s="2694" t="n"/>
      <c r="AI17" s="2694" t="n"/>
      <c r="AJ17" s="2694" t="n"/>
      <c r="AK17" s="2694" t="n"/>
      <c r="AL17" s="2694" t="n"/>
      <c r="AM17" s="2669" t="n"/>
      <c r="AN17" s="1303" t="n"/>
      <c r="AO17" s="556" t="n"/>
      <c r="AP17" s="556" t="n"/>
      <c r="AQ17" s="556" t="n"/>
      <c r="AR17" s="556" t="n"/>
      <c r="AS17" s="1304" t="n"/>
      <c r="AT17" s="556" t="n"/>
      <c r="AU17" s="103" t="n"/>
      <c r="AV17" s="103" t="n"/>
      <c r="AW17" s="103" t="n"/>
      <c r="AX17" s="103" t="n"/>
      <c r="AY17" s="103" t="n"/>
      <c r="AZ17" s="103" t="n"/>
      <c r="BA17" s="103" t="n"/>
      <c r="BB17" s="103" t="n"/>
      <c r="BC17" s="103" t="n"/>
      <c r="BD17" s="103" t="n"/>
      <c r="BE17" s="103" t="n"/>
    </row>
    <row r="18" ht="32.25" customFormat="1" customHeight="1" s="18">
      <c r="A18" s="2647" t="n"/>
      <c r="B18" s="1306">
        <f>+'Data Input'!D23</f>
        <v/>
      </c>
      <c r="C18" s="2614" t="n"/>
      <c r="D18" s="2617" t="n"/>
      <c r="E18" s="1306">
        <f>'Data Input'!K2</f>
        <v/>
      </c>
      <c r="F18" s="2614" t="n"/>
      <c r="G18" s="2617" t="n"/>
      <c r="H18" s="1307">
        <f>+'LF-5'!E17</f>
        <v/>
      </c>
      <c r="I18" s="2614" t="n"/>
      <c r="J18" s="2617" t="n"/>
      <c r="K18" s="1308">
        <f>+AO18</f>
        <v/>
      </c>
      <c r="L18" s="2614" t="n"/>
      <c r="M18" s="2614" t="n"/>
      <c r="N18" s="2614" t="n"/>
      <c r="O18" s="2614" t="n"/>
      <c r="P18" s="2617" t="n"/>
      <c r="Q18" s="1308">
        <f>AP18</f>
        <v/>
      </c>
      <c r="R18" s="2614" t="n"/>
      <c r="S18" s="2614" t="n"/>
      <c r="T18" s="2614" t="n"/>
      <c r="U18" s="2617" t="n"/>
      <c r="V18" s="1309">
        <f>AS18</f>
        <v/>
      </c>
      <c r="W18" s="2614" t="n"/>
      <c r="X18" s="2614" t="n"/>
      <c r="Y18" s="2614" t="n"/>
      <c r="Z18" s="2617" t="n"/>
      <c r="AA18" s="1310" t="n"/>
      <c r="AB18" s="2614" t="n"/>
      <c r="AC18" s="2614" t="n"/>
      <c r="AD18" s="2614" t="n"/>
      <c r="AE18" s="2614" t="n"/>
      <c r="AF18" s="2617" t="n"/>
      <c r="AG18" s="1311" t="inlineStr">
        <is>
          <t>µqm~‡Î gvwjK</t>
        </is>
      </c>
      <c r="AH18" s="2624" t="n"/>
      <c r="AI18" s="2624" t="n"/>
      <c r="AJ18" s="2624" t="n"/>
      <c r="AK18" s="2624" t="n"/>
      <c r="AL18" s="2624" t="n"/>
      <c r="AM18" s="2709" t="n"/>
      <c r="AN18" s="1303" t="n"/>
      <c r="AO18" s="1314">
        <f>+'LF-5'!I17</f>
        <v/>
      </c>
      <c r="AP18" s="1315">
        <f>+'LF-5'!N17</f>
        <v/>
      </c>
      <c r="AQ18" s="1314">
        <f>+'LF-5'!R17</f>
        <v/>
      </c>
      <c r="AR18" s="1314" t="n"/>
      <c r="AS18" s="1316">
        <f>+'LF-5'!S17</f>
        <v/>
      </c>
      <c r="AT18" s="1317" t="n"/>
      <c r="AU18" s="1317" t="n"/>
      <c r="AV18" s="1317" t="n"/>
      <c r="AW18" s="1317" t="n"/>
      <c r="AX18" s="1317" t="n"/>
      <c r="AY18" s="1317" t="n"/>
      <c r="AZ18" s="1317" t="n"/>
      <c r="BA18" s="1317" t="n"/>
      <c r="BB18" s="1317" t="n"/>
      <c r="BC18" s="1317" t="n"/>
      <c r="BD18" s="1317" t="n"/>
      <c r="BE18" s="1317" t="n"/>
    </row>
    <row r="19" ht="26.25" customFormat="1" customHeight="1" s="18">
      <c r="A19" s="2647" t="n"/>
      <c r="B19" s="1306" t="n"/>
      <c r="C19" s="2614" t="n"/>
      <c r="D19" s="2617" t="n"/>
      <c r="E19" s="1306">
        <f>'Data Input'!K2</f>
        <v/>
      </c>
      <c r="F19" s="2614" t="n"/>
      <c r="G19" s="2617" t="n"/>
      <c r="H19" s="1307">
        <f>+'LF-5'!E20</f>
        <v/>
      </c>
      <c r="I19" s="2614" t="n"/>
      <c r="J19" s="2617" t="n"/>
      <c r="K19" s="1308">
        <f>+AO19</f>
        <v/>
      </c>
      <c r="L19" s="2614" t="n"/>
      <c r="M19" s="2614" t="n"/>
      <c r="N19" s="2614" t="n"/>
      <c r="O19" s="2614" t="n"/>
      <c r="P19" s="2617" t="n"/>
      <c r="Q19" s="1308">
        <f>AP19</f>
        <v/>
      </c>
      <c r="R19" s="2614" t="n"/>
      <c r="S19" s="2614" t="n"/>
      <c r="T19" s="2614" t="n"/>
      <c r="U19" s="2617" t="n"/>
      <c r="V19" s="1309">
        <f>AS19</f>
        <v/>
      </c>
      <c r="W19" s="2614" t="n"/>
      <c r="X19" s="2614" t="n"/>
      <c r="Y19" s="2614" t="n"/>
      <c r="Z19" s="2617" t="n"/>
      <c r="AA19" s="1310" t="n"/>
      <c r="AB19" s="2614" t="n"/>
      <c r="AC19" s="2614" t="n"/>
      <c r="AD19" s="2614" t="n"/>
      <c r="AE19" s="2614" t="n"/>
      <c r="AF19" s="2617" t="n"/>
      <c r="AG19" s="2710" t="n"/>
      <c r="AH19" s="2622" t="n"/>
      <c r="AI19" s="2622" t="n"/>
      <c r="AJ19" s="2622" t="n"/>
      <c r="AK19" s="2622" t="n"/>
      <c r="AL19" s="2622" t="n"/>
      <c r="AM19" s="2623" t="n"/>
      <c r="AN19" s="1303" t="n"/>
      <c r="AO19" s="1314">
        <f>+'LF-5'!I20</f>
        <v/>
      </c>
      <c r="AP19" s="1315">
        <f>+'LF-5'!N20</f>
        <v/>
      </c>
      <c r="AQ19" s="1314">
        <f>+'LF-5'!R20</f>
        <v/>
      </c>
      <c r="AR19" s="1314" t="n"/>
      <c r="AS19" s="1316">
        <f>+'LF-5'!S20</f>
        <v/>
      </c>
      <c r="AT19" s="556" t="n"/>
      <c r="AU19" s="103" t="n"/>
      <c r="AV19" s="103" t="n"/>
      <c r="AW19" s="103" t="n"/>
      <c r="AX19" s="103" t="n"/>
      <c r="AY19" s="103" t="n"/>
      <c r="AZ19" s="103" t="n"/>
      <c r="BA19" s="103" t="n"/>
      <c r="BB19" s="103" t="n"/>
      <c r="BC19" s="103" t="n"/>
      <c r="BD19" s="103" t="n"/>
      <c r="BE19" s="103" t="n"/>
    </row>
    <row r="20" ht="15" customHeight="1">
      <c r="A20" s="2648" t="n"/>
      <c r="B20" s="1687" t="inlineStr">
        <is>
          <t xml:space="preserve">       ‡gvU Rwgi cwigvb</t>
        </is>
      </c>
      <c r="C20" s="2614" t="n"/>
      <c r="D20" s="2614" t="n"/>
      <c r="E20" s="2614" t="n"/>
      <c r="F20" s="2614" t="n"/>
      <c r="G20" s="2614" t="n"/>
      <c r="H20" s="2614" t="n"/>
      <c r="I20" s="2614" t="n"/>
      <c r="J20" s="2614" t="n"/>
      <c r="K20" s="2614" t="n"/>
      <c r="L20" s="2614" t="n"/>
      <c r="M20" s="2614" t="n"/>
      <c r="N20" s="2614" t="n"/>
      <c r="O20" s="2614" t="n"/>
      <c r="P20" s="2614" t="n"/>
      <c r="Q20" s="1321" t="inlineStr">
        <is>
          <t>t</t>
        </is>
      </c>
      <c r="R20" s="1275">
        <f>SUM(AS18:AS19)</f>
        <v/>
      </c>
      <c r="S20" s="2614" t="n"/>
      <c r="T20" s="2614" t="n"/>
      <c r="U20" s="2614" t="n"/>
      <c r="V20" s="2614" t="n"/>
      <c r="W20" s="2614" t="n"/>
      <c r="X20" s="2614" t="n"/>
      <c r="Y20" s="2614" t="n"/>
      <c r="Z20" s="2614" t="n"/>
      <c r="AA20" s="1322" t="inlineStr">
        <is>
          <t>GKi</t>
        </is>
      </c>
      <c r="AB20" s="2624" t="n"/>
      <c r="AC20" s="2624" t="n"/>
      <c r="AD20" s="2624" t="n"/>
      <c r="AE20" s="1323" t="n"/>
      <c r="AF20" s="1323" t="n"/>
      <c r="AG20" s="64" t="n"/>
      <c r="AH20" s="64" t="n"/>
      <c r="AI20" s="64" t="n"/>
      <c r="AJ20" s="64" t="n"/>
      <c r="AK20" s="399" t="n"/>
      <c r="AL20" s="399" t="n"/>
      <c r="AM20" s="1257" t="n"/>
      <c r="AN20" s="64" t="n"/>
      <c r="AO20" s="293">
        <f>+'[2]LF-5'!I29</f>
        <v/>
      </c>
      <c r="AP20" s="1324">
        <f>+'[2]LF-5'!N29</f>
        <v/>
      </c>
      <c r="AQ20" s="293">
        <f>+'[2]LF-5'!Q29</f>
        <v/>
      </c>
      <c r="AR20" s="293" t="n"/>
      <c r="AS20" s="293">
        <f>+'[2]LF-5'!T29</f>
        <v/>
      </c>
      <c r="AT20" s="64" t="n"/>
      <c r="AU20" s="103" t="n"/>
      <c r="AV20" s="103" t="n"/>
      <c r="AW20" s="103" t="n"/>
      <c r="AX20" s="103" t="n"/>
      <c r="AY20" s="103" t="n"/>
      <c r="AZ20" s="103" t="n"/>
      <c r="BA20" s="103" t="n"/>
      <c r="BB20" s="103" t="n"/>
      <c r="BC20" s="103" t="n"/>
      <c r="BD20" s="103" t="n"/>
      <c r="BE20" s="103" t="n"/>
    </row>
    <row r="21" ht="17.25" customHeight="1">
      <c r="A21" s="2711" t="inlineStr">
        <is>
          <t>05|</t>
        </is>
      </c>
      <c r="B21" s="1326" t="inlineStr">
        <is>
          <t>‡PŠnÏxt Rwgi gvwjK I `vM LwZqvbt</t>
        </is>
      </c>
      <c r="C21" s="2694" t="n"/>
      <c r="D21" s="2694" t="n"/>
      <c r="E21" s="2694" t="n"/>
      <c r="F21" s="2694" t="n"/>
      <c r="G21" s="2694" t="n"/>
      <c r="H21" s="2694" t="n"/>
      <c r="I21" s="2694" t="n"/>
      <c r="J21" s="2694" t="n"/>
      <c r="K21" s="2694" t="n"/>
      <c r="L21" s="2694" t="n"/>
      <c r="M21" s="2694" t="n"/>
      <c r="N21" s="2694" t="n"/>
      <c r="O21" s="2694" t="n"/>
      <c r="P21" s="2669" t="n"/>
      <c r="Q21" s="1326" t="inlineStr">
        <is>
          <t>m¤úwËi ‡PŠnÏx</t>
        </is>
      </c>
      <c r="R21" s="2694" t="n"/>
      <c r="S21" s="2694" t="n"/>
      <c r="T21" s="2694" t="n"/>
      <c r="U21" s="2694" t="n"/>
      <c r="V21" s="2694" t="n"/>
      <c r="W21" s="2694" t="n"/>
      <c r="X21" s="2694" t="n"/>
      <c r="Y21" s="2694" t="n"/>
      <c r="Z21" s="2694" t="n"/>
      <c r="AA21" s="2694" t="n"/>
      <c r="AB21" s="2694" t="n"/>
      <c r="AC21" s="2694" t="n"/>
      <c r="AD21" s="2694" t="n"/>
      <c r="AE21" s="2694" t="n"/>
      <c r="AF21" s="2694" t="n"/>
      <c r="AG21" s="2694" t="n"/>
      <c r="AH21" s="2694" t="n"/>
      <c r="AI21" s="2694" t="n"/>
      <c r="AJ21" s="2694" t="n"/>
      <c r="AK21" s="2694" t="n"/>
      <c r="AL21" s="2694" t="n"/>
      <c r="AM21" s="2669" t="n"/>
      <c r="AN21" s="64" t="n"/>
      <c r="AO21" s="293">
        <f>+'[2]LF-5'!I30</f>
        <v/>
      </c>
      <c r="AP21" s="1324">
        <f>+'[2]LF-5'!N30</f>
        <v/>
      </c>
      <c r="AQ21" s="293">
        <f>+'[2]LF-5'!Q30</f>
        <v/>
      </c>
      <c r="AR21" s="293" t="n"/>
      <c r="AS21" s="293">
        <f>+'[2]LF-5'!T30</f>
        <v/>
      </c>
      <c r="AT21" s="64" t="n"/>
      <c r="AU21" s="103" t="n"/>
      <c r="AV21" s="103" t="n"/>
      <c r="AW21" s="103" t="n"/>
      <c r="AX21" s="103" t="n"/>
      <c r="AY21" s="103" t="n"/>
      <c r="AZ21" s="103" t="n"/>
      <c r="BA21" s="103" t="n"/>
      <c r="BB21" s="103" t="n"/>
      <c r="BC21" s="103" t="n"/>
      <c r="BD21" s="103" t="n"/>
      <c r="BE21" s="103" t="n"/>
    </row>
    <row r="22" ht="14.25" customHeight="1">
      <c r="A22" s="2647" t="n"/>
      <c r="B22" s="1333" t="n"/>
      <c r="C22" s="2615" t="n"/>
      <c r="D22" s="2616" t="n"/>
      <c r="E22" s="1334" t="n"/>
      <c r="F22" s="2615" t="n"/>
      <c r="G22" s="2616" t="n"/>
      <c r="H22" s="1334" t="n"/>
      <c r="I22" s="2615" t="n"/>
      <c r="J22" s="2616" t="n"/>
      <c r="K22" s="1334" t="n"/>
      <c r="L22" s="2615" t="n"/>
      <c r="M22" s="2616" t="n"/>
      <c r="N22" s="1334" t="n"/>
      <c r="O22" s="2615" t="n"/>
      <c r="P22" s="2616" t="n"/>
      <c r="Q22" s="1335" t="inlineStr">
        <is>
          <t>DË‡i t</t>
        </is>
      </c>
      <c r="R22" s="2615" t="n"/>
      <c r="S22" s="2615" t="n"/>
      <c r="T22" s="2615" t="n"/>
      <c r="U22" s="2616" t="n"/>
      <c r="V22" s="1337">
        <f>'Data Input'!K51</f>
        <v/>
      </c>
      <c r="W22" s="2615" t="n"/>
      <c r="X22" s="2615" t="n"/>
      <c r="Y22" s="2615" t="n"/>
      <c r="Z22" s="2615" t="n"/>
      <c r="AA22" s="2615" t="n"/>
      <c r="AB22" s="2615" t="n"/>
      <c r="AC22" s="2615" t="n"/>
      <c r="AD22" s="2615" t="n"/>
      <c r="AE22" s="2615" t="n"/>
      <c r="AF22" s="2615" t="n"/>
      <c r="AG22" s="2615" t="n"/>
      <c r="AH22" s="2615" t="n"/>
      <c r="AI22" s="2615" t="n"/>
      <c r="AJ22" s="2615" t="n"/>
      <c r="AK22" s="2615" t="n"/>
      <c r="AL22" s="2615" t="n"/>
      <c r="AM22" s="2616" t="n"/>
      <c r="AN22" s="1245" t="n"/>
      <c r="AO22" s="293">
        <f>+'[2]LF-5'!I31</f>
        <v/>
      </c>
      <c r="AP22" s="1324">
        <f>+'[2]LF-5'!N31</f>
        <v/>
      </c>
      <c r="AQ22" s="293">
        <f>+'[2]LF-5'!Q31</f>
        <v/>
      </c>
      <c r="AR22" s="293" t="n"/>
      <c r="AS22" s="293">
        <f>+'[2]LF-5'!T31</f>
        <v/>
      </c>
      <c r="AT22" s="1246" t="n"/>
      <c r="AU22" s="103" t="n"/>
      <c r="AV22" s="103" t="n"/>
      <c r="AW22" s="103" t="n"/>
      <c r="AX22" s="103" t="n"/>
      <c r="AY22" s="103" t="n"/>
      <c r="AZ22" s="103" t="n"/>
      <c r="BA22" s="103" t="n"/>
      <c r="BB22" s="103" t="n"/>
      <c r="BC22" s="103" t="n"/>
      <c r="BD22" s="103" t="n"/>
      <c r="BE22" s="103" t="n"/>
    </row>
    <row r="23" ht="15.75" customHeight="1">
      <c r="A23" s="2647" t="n"/>
      <c r="B23" s="1333" t="n"/>
      <c r="C23" s="2615" t="n"/>
      <c r="D23" s="2616" t="n"/>
      <c r="E23" s="1334" t="n"/>
      <c r="F23" s="2615" t="n"/>
      <c r="G23" s="2616" t="n"/>
      <c r="H23" s="1342" t="n"/>
      <c r="I23" s="2615" t="n"/>
      <c r="J23" s="2616" t="n"/>
      <c r="K23" s="1343" t="n"/>
      <c r="L23" s="2615" t="n"/>
      <c r="M23" s="2616" t="n"/>
      <c r="N23" s="1344" t="n"/>
      <c r="O23" s="2615" t="n"/>
      <c r="P23" s="2616" t="n"/>
      <c r="Q23" s="1346" t="inlineStr">
        <is>
          <t>`wÿ‡Y t</t>
        </is>
      </c>
      <c r="R23" s="2615" t="n"/>
      <c r="S23" s="2615" t="n"/>
      <c r="T23" s="2615" t="n"/>
      <c r="U23" s="2616" t="n"/>
      <c r="V23" s="1337">
        <f>'Data Input'!K52</f>
        <v/>
      </c>
      <c r="W23" s="2615" t="n"/>
      <c r="X23" s="2615" t="n"/>
      <c r="Y23" s="2615" t="n"/>
      <c r="Z23" s="2615" t="n"/>
      <c r="AA23" s="2615" t="n"/>
      <c r="AB23" s="2615" t="n"/>
      <c r="AC23" s="2615" t="n"/>
      <c r="AD23" s="2615" t="n"/>
      <c r="AE23" s="2615" t="n"/>
      <c r="AF23" s="2615" t="n"/>
      <c r="AG23" s="2615" t="n"/>
      <c r="AH23" s="2615" t="n"/>
      <c r="AI23" s="2615" t="n"/>
      <c r="AJ23" s="2615" t="n"/>
      <c r="AK23" s="2615" t="n"/>
      <c r="AL23" s="2615" t="n"/>
      <c r="AM23" s="2616" t="n"/>
      <c r="AN23" s="1245" t="n"/>
      <c r="AO23" s="293">
        <f>+'[2]LF-5'!I32</f>
        <v/>
      </c>
      <c r="AP23" s="1324">
        <f>+'[2]LF-5'!N32</f>
        <v/>
      </c>
      <c r="AQ23" s="293">
        <f>+'[2]LF-5'!Q32</f>
        <v/>
      </c>
      <c r="AR23" s="293" t="n"/>
      <c r="AS23" s="293">
        <f>+'[2]LF-5'!T32</f>
        <v/>
      </c>
      <c r="AT23" s="1246" t="n"/>
      <c r="AU23" s="103" t="n"/>
      <c r="AV23" s="103" t="n"/>
      <c r="AW23" s="103" t="n"/>
      <c r="AX23" s="103" t="n"/>
      <c r="AY23" s="103" t="n"/>
      <c r="AZ23" s="103" t="n"/>
      <c r="BA23" s="103" t="n"/>
      <c r="BB23" s="103" t="n"/>
      <c r="BC23" s="103" t="n"/>
      <c r="BD23" s="103" t="n"/>
      <c r="BE23" s="103" t="n"/>
    </row>
    <row r="24" ht="14.25" customHeight="1">
      <c r="A24" s="2647" t="n"/>
      <c r="B24" s="1348" t="n"/>
      <c r="C24" s="2615" t="n"/>
      <c r="D24" s="2616" t="n"/>
      <c r="E24" s="1339" t="n"/>
      <c r="F24" s="2615" t="n"/>
      <c r="G24" s="2616" t="n"/>
      <c r="H24" s="1349">
        <f>+'[2]LF-5'!E21</f>
        <v/>
      </c>
      <c r="I24" s="2615" t="n"/>
      <c r="J24" s="2616" t="n"/>
      <c r="K24" s="1350">
        <f>+'[2]LF-5'!I21</f>
        <v/>
      </c>
      <c r="L24" s="2615" t="n"/>
      <c r="M24" s="2616" t="n"/>
      <c r="N24" s="1351">
        <f>+'[2]LF-5'!N21</f>
        <v/>
      </c>
      <c r="O24" s="2615" t="n"/>
      <c r="P24" s="2616" t="n"/>
      <c r="Q24" s="1346" t="inlineStr">
        <is>
          <t>c~‡e© t</t>
        </is>
      </c>
      <c r="R24" s="2615" t="n"/>
      <c r="S24" s="2615" t="n"/>
      <c r="T24" s="2615" t="n"/>
      <c r="U24" s="2616" t="n"/>
      <c r="V24" s="1337">
        <f>'Data Input'!K53</f>
        <v/>
      </c>
      <c r="W24" s="2615" t="n"/>
      <c r="X24" s="2615" t="n"/>
      <c r="Y24" s="2615" t="n"/>
      <c r="Z24" s="2615" t="n"/>
      <c r="AA24" s="2615" t="n"/>
      <c r="AB24" s="2615" t="n"/>
      <c r="AC24" s="2615" t="n"/>
      <c r="AD24" s="2615" t="n"/>
      <c r="AE24" s="2615" t="n"/>
      <c r="AF24" s="2615" t="n"/>
      <c r="AG24" s="2615" t="n"/>
      <c r="AH24" s="2615" t="n"/>
      <c r="AI24" s="2615" t="n"/>
      <c r="AJ24" s="2615" t="n"/>
      <c r="AK24" s="2615" t="n"/>
      <c r="AL24" s="2615" t="n"/>
      <c r="AM24" s="2616" t="n"/>
      <c r="AN24" s="1245" t="n"/>
      <c r="AO24" s="293">
        <f>+'[2]LF-5'!I33</f>
        <v/>
      </c>
      <c r="AP24" s="1324">
        <f>+'[2]LF-5'!N33</f>
        <v/>
      </c>
      <c r="AQ24" s="293">
        <f>+'[2]LF-5'!Q33</f>
        <v/>
      </c>
      <c r="AR24" s="293" t="n"/>
      <c r="AS24" s="293">
        <f>+'[2]LF-5'!T33</f>
        <v/>
      </c>
      <c r="AT24" s="1246" t="n"/>
      <c r="AU24" s="103" t="n"/>
      <c r="AV24" s="103" t="n"/>
      <c r="AW24" s="103" t="n"/>
      <c r="AX24" s="103" t="n"/>
      <c r="AY24" s="103" t="n"/>
      <c r="AZ24" s="103" t="n"/>
      <c r="BA24" s="103" t="n"/>
      <c r="BB24" s="103" t="n"/>
      <c r="BC24" s="103" t="n"/>
      <c r="BD24" s="103" t="n"/>
      <c r="BE24" s="103" t="n"/>
    </row>
    <row r="25" ht="30.75" customHeight="1">
      <c r="A25" s="2648" t="n"/>
      <c r="B25" s="1352" t="n"/>
      <c r="C25" s="2689" t="n"/>
      <c r="D25" s="2670" t="n"/>
      <c r="E25" s="1353" t="n"/>
      <c r="F25" s="2689" t="n"/>
      <c r="G25" s="2670" t="n"/>
      <c r="H25" s="1354">
        <f>+'[2]LF-5'!E22</f>
        <v/>
      </c>
      <c r="I25" s="2689" t="n"/>
      <c r="J25" s="2670" t="n"/>
      <c r="K25" s="1355">
        <f>+'[2]LF-5'!I22</f>
        <v/>
      </c>
      <c r="L25" s="2689" t="n"/>
      <c r="M25" s="2670" t="n"/>
      <c r="N25" s="1356">
        <f>+'[2]LF-5'!N22</f>
        <v/>
      </c>
      <c r="O25" s="2689" t="n"/>
      <c r="P25" s="2670" t="n"/>
      <c r="Q25" s="1357" t="inlineStr">
        <is>
          <t>cwð‡g t</t>
        </is>
      </c>
      <c r="R25" s="2689" t="n"/>
      <c r="S25" s="2689" t="n"/>
      <c r="T25" s="2689" t="n"/>
      <c r="U25" s="2670" t="n"/>
      <c r="V25" s="1359">
        <f>'Data Input'!K54</f>
        <v/>
      </c>
      <c r="W25" s="2689" t="n"/>
      <c r="X25" s="2689" t="n"/>
      <c r="Y25" s="2689" t="n"/>
      <c r="Z25" s="2689" t="n"/>
      <c r="AA25" s="2689" t="n"/>
      <c r="AB25" s="2689" t="n"/>
      <c r="AC25" s="2689" t="n"/>
      <c r="AD25" s="2689" t="n"/>
      <c r="AE25" s="2689" t="n"/>
      <c r="AF25" s="2689" t="n"/>
      <c r="AG25" s="2689" t="n"/>
      <c r="AH25" s="2689" t="n"/>
      <c r="AI25" s="2689" t="n"/>
      <c r="AJ25" s="2689" t="n"/>
      <c r="AK25" s="2689" t="n"/>
      <c r="AL25" s="2689" t="n"/>
      <c r="AM25" s="2670" t="n"/>
      <c r="AN25" s="1245" t="n"/>
      <c r="AO25" s="293">
        <f>+'[2]LF-5'!I34</f>
        <v/>
      </c>
      <c r="AP25" s="1324">
        <f>+'[2]LF-5'!N34</f>
        <v/>
      </c>
      <c r="AQ25" s="293">
        <f>+'[2]LF-5'!Q34</f>
        <v/>
      </c>
      <c r="AR25" s="293" t="n"/>
      <c r="AS25" s="293">
        <f>+'[2]LF-5'!T34</f>
        <v/>
      </c>
      <c r="AT25" s="1246" t="n"/>
      <c r="AU25" s="103" t="n"/>
      <c r="AV25" s="103" t="n"/>
      <c r="AW25" s="103" t="n"/>
      <c r="AX25" s="103" t="n"/>
      <c r="AY25" s="103" t="n"/>
      <c r="AZ25" s="103" t="n"/>
      <c r="BA25" s="103" t="n"/>
      <c r="BB25" s="103" t="n"/>
      <c r="BC25" s="103" t="n"/>
      <c r="BD25" s="103" t="n"/>
      <c r="BE25" s="103" t="n"/>
    </row>
    <row r="26" ht="124.5" customHeight="1">
      <c r="A26" s="276" t="inlineStr">
        <is>
          <t>06|</t>
        </is>
      </c>
      <c r="B26" s="263" t="inlineStr">
        <is>
          <t xml:space="preserve">cÖ¯ÍvweZ m¤úwËi Ae¯’vb t cjøx, kni, kniZjx, K¨v›Ub‡g›U Gwiqv, AvevwmK/evwYwR¨K/cyKzi/‡Wvev/Lvjt
(hvZvqvZ wb‡`©kbv, iæU g¨vc mshy³ Ki‡Z n‡e)
kni
evwYwR¨K, AvevwmK, kniZjx, †gŠRv I †ZŠwR, wmwU K‡c©v‡ikb/‡cŠimfvi †nvwìs bs BZ¨vw`mn
cjøx
dmjx †gŠRv, †ZŠwR BZ¨vw`mn
</t>
        </is>
      </c>
      <c r="C26" s="2614" t="n"/>
      <c r="D26" s="2614" t="n"/>
      <c r="E26" s="2614" t="n"/>
      <c r="F26" s="2614" t="n"/>
      <c r="G26" s="2614" t="n"/>
      <c r="H26" s="2614" t="n"/>
      <c r="I26" s="2614" t="n"/>
      <c r="J26" s="2614" t="n"/>
      <c r="K26" s="2614" t="n"/>
      <c r="L26" s="2614" t="n"/>
      <c r="M26" s="2614" t="n"/>
      <c r="N26" s="2614" t="n"/>
      <c r="O26" s="2614" t="n"/>
      <c r="P26" s="2614" t="n"/>
      <c r="Q26" s="2614" t="n"/>
      <c r="R26" s="2614" t="n"/>
      <c r="S26" s="2614" t="n"/>
      <c r="T26" s="2614" t="n"/>
      <c r="U26" s="2614" t="n"/>
      <c r="V26" s="2614" t="n"/>
      <c r="W26" s="2614" t="n"/>
      <c r="X26" s="2614" t="n"/>
      <c r="Y26" s="2614" t="n"/>
      <c r="Z26" s="2614" t="n"/>
      <c r="AA26" s="2617" t="n"/>
      <c r="AB26" s="1365" t="inlineStr">
        <is>
          <t xml:space="preserve">kvLv †_‡K `wÿb w`‡K Lvj cvi n‡q wnivwSj AvevwmK GjvKvq Zvi RvgvbwZ m¤úwË
‡gŠRv t AvwU
</t>
        </is>
      </c>
      <c r="AC26" s="2614" t="n"/>
      <c r="AD26" s="2614" t="n"/>
      <c r="AE26" s="2614" t="n"/>
      <c r="AF26" s="2614" t="n"/>
      <c r="AG26" s="2614" t="n"/>
      <c r="AH26" s="2614" t="n"/>
      <c r="AI26" s="2614" t="n"/>
      <c r="AJ26" s="2614" t="n"/>
      <c r="AK26" s="2614" t="n"/>
      <c r="AL26" s="2614" t="n"/>
      <c r="AM26" s="2658" t="n"/>
      <c r="AN26" s="64" t="n"/>
      <c r="AO26" s="293">
        <f>+'[2]LF-5'!I39</f>
        <v/>
      </c>
      <c r="AP26" s="1324">
        <f>+'[2]LF-5'!N39</f>
        <v/>
      </c>
      <c r="AQ26" s="293">
        <f>+'[2]LF-5'!Q39</f>
        <v/>
      </c>
      <c r="AR26" s="293" t="n"/>
      <c r="AS26" s="293">
        <f>+'[2]LF-5'!T39</f>
        <v/>
      </c>
      <c r="AT26" s="64" t="n"/>
      <c r="AU26" s="103" t="n"/>
      <c r="AV26" s="103" t="n"/>
      <c r="AW26" s="103" t="n"/>
      <c r="AX26" s="103" t="n"/>
      <c r="AY26" s="103" t="n"/>
      <c r="AZ26" s="103" t="n"/>
      <c r="BA26" s="103" t="n"/>
      <c r="BB26" s="103" t="n"/>
      <c r="BC26" s="103" t="n"/>
      <c r="BD26" s="103" t="n"/>
      <c r="BE26" s="103" t="n"/>
    </row>
    <row r="27" ht="33" customHeight="1">
      <c r="A27" s="1369" t="n"/>
      <c r="B27" s="975" t="n"/>
      <c r="C27" s="1370" t="n"/>
      <c r="D27" s="1370" t="n"/>
      <c r="E27" s="1370" t="n"/>
      <c r="F27" s="1370" t="n"/>
      <c r="G27" s="1370" t="n"/>
      <c r="H27" s="1370" t="n"/>
      <c r="I27" s="1370" t="n"/>
      <c r="J27" s="1370" t="n"/>
      <c r="K27" s="1370" t="n"/>
      <c r="L27" s="1370" t="n"/>
      <c r="M27" s="1370" t="n"/>
      <c r="N27" s="1370" t="n"/>
      <c r="O27" s="1370" t="n"/>
      <c r="P27" s="1370" t="n"/>
      <c r="Q27" s="1370" t="n"/>
      <c r="R27" s="1371" t="n"/>
      <c r="S27" s="1370" t="n"/>
      <c r="T27" s="1370" t="n"/>
      <c r="U27" s="1370" t="n"/>
      <c r="V27" s="1371" t="n"/>
      <c r="W27" s="1372" t="n"/>
      <c r="X27" s="1370" t="n"/>
      <c r="Y27" s="1370" t="n"/>
      <c r="Z27" s="1370" t="n"/>
      <c r="AA27" s="1373" t="n"/>
      <c r="AB27" s="1374" t="n"/>
      <c r="AC27" s="1374" t="n"/>
      <c r="AD27" s="1374" t="n"/>
      <c r="AE27" s="1375" t="n"/>
      <c r="AF27" s="1375" t="n"/>
      <c r="AG27" s="1374" t="n"/>
      <c r="AH27" s="1374" t="n"/>
      <c r="AI27" s="1374" t="n"/>
      <c r="AJ27" s="1374" t="n"/>
      <c r="AK27" s="1374" t="n"/>
      <c r="AL27" s="1374" t="n"/>
      <c r="AM27" s="1374" t="n"/>
      <c r="AN27" s="1376" t="n"/>
      <c r="AO27" s="293" t="n"/>
      <c r="AP27" s="1324" t="n"/>
      <c r="AQ27" s="293" t="n"/>
      <c r="AR27" s="293" t="n"/>
      <c r="AS27" s="293" t="n"/>
      <c r="AT27" s="64" t="n"/>
      <c r="AU27" s="103" t="n"/>
      <c r="AV27" s="103" t="n"/>
      <c r="AW27" s="103" t="n"/>
      <c r="AX27" s="103" t="n"/>
      <c r="AY27" s="103" t="n"/>
      <c r="AZ27" s="103" t="n"/>
      <c r="BA27" s="103" t="n"/>
      <c r="BB27" s="103" t="n"/>
      <c r="BC27" s="103" t="n"/>
      <c r="BD27" s="103" t="n"/>
      <c r="BE27" s="103" t="n"/>
    </row>
    <row r="28" ht="27" customHeight="1">
      <c r="A28" s="1369" t="n"/>
      <c r="B28" s="975" t="n"/>
      <c r="C28" s="1370" t="n"/>
      <c r="D28" s="1370" t="n"/>
      <c r="E28" s="1370" t="n"/>
      <c r="F28" s="1370" t="n"/>
      <c r="G28" s="1370" t="n"/>
      <c r="H28" s="1370" t="n"/>
      <c r="I28" s="1370" t="n"/>
      <c r="J28" s="1370" t="n"/>
      <c r="K28" s="1370" t="n"/>
      <c r="L28" s="1370" t="n"/>
      <c r="M28" s="1370" t="n"/>
      <c r="N28" s="1370" t="n"/>
      <c r="O28" s="1370" t="n"/>
      <c r="P28" s="1370" t="n"/>
      <c r="Q28" s="1370" t="n"/>
      <c r="R28" s="1371" t="n"/>
      <c r="S28" s="1370" t="n"/>
      <c r="T28" s="1370" t="n"/>
      <c r="U28" s="1370" t="n"/>
      <c r="V28" s="1371" t="n"/>
      <c r="W28" s="1372" t="n"/>
      <c r="X28" s="1370" t="n"/>
      <c r="Y28" s="1370" t="n"/>
      <c r="Z28" s="1370" t="n"/>
      <c r="AA28" s="1373" t="n"/>
      <c r="AB28" s="1374" t="n"/>
      <c r="AC28" s="1374" t="n"/>
      <c r="AD28" s="1374" t="n"/>
      <c r="AE28" s="1375" t="n"/>
      <c r="AF28" s="1375" t="n"/>
      <c r="AG28" s="1374" t="n"/>
      <c r="AH28" s="1374" t="n"/>
      <c r="AI28" s="1374" t="n"/>
      <c r="AJ28" s="1374" t="n"/>
      <c r="AK28" s="1374" t="n"/>
      <c r="AL28" s="1374" t="n"/>
      <c r="AM28" s="1374" t="n"/>
      <c r="AN28" s="1376" t="n"/>
      <c r="AO28" s="293" t="n"/>
      <c r="AP28" s="1324" t="n"/>
      <c r="AQ28" s="293" t="n"/>
      <c r="AR28" s="293" t="n"/>
      <c r="AS28" s="293" t="n"/>
      <c r="AT28" s="64" t="n"/>
      <c r="AU28" s="103" t="n"/>
      <c r="AV28" s="103" t="n"/>
      <c r="AW28" s="103" t="n"/>
      <c r="AX28" s="103" t="n"/>
      <c r="AY28" s="103" t="n"/>
      <c r="AZ28" s="103" t="n"/>
      <c r="BA28" s="103" t="n"/>
      <c r="BB28" s="103" t="n"/>
      <c r="BC28" s="103" t="n"/>
      <c r="BD28" s="103" t="n"/>
      <c r="BE28" s="103" t="n"/>
    </row>
    <row r="29" ht="18.75" customHeight="1">
      <c r="A29" s="1369" t="n"/>
      <c r="B29" s="975" t="n"/>
      <c r="C29" s="1370" t="n"/>
      <c r="D29" s="1370" t="n"/>
      <c r="E29" s="1370" t="n"/>
      <c r="F29" s="1370" t="n"/>
      <c r="G29" s="1370" t="n"/>
      <c r="H29" s="1370" t="n"/>
      <c r="I29" s="1370" t="n"/>
      <c r="J29" s="1370" t="n"/>
      <c r="K29" s="1370" t="n"/>
      <c r="L29" s="1370" t="n"/>
      <c r="M29" s="1370" t="n"/>
      <c r="N29" s="1370" t="n"/>
      <c r="O29" s="1370" t="n"/>
      <c r="P29" s="1370" t="n"/>
      <c r="Q29" s="1370" t="n"/>
      <c r="R29" s="1371" t="n"/>
      <c r="S29" s="1370" t="n"/>
      <c r="T29" s="1370" t="n"/>
      <c r="U29" s="1370" t="n"/>
      <c r="V29" s="1371" t="n"/>
      <c r="W29" s="1372" t="n"/>
      <c r="X29" s="1370" t="n"/>
      <c r="Y29" s="1370" t="n"/>
      <c r="Z29" s="1370" t="n"/>
      <c r="AA29" s="1373" t="n"/>
      <c r="AB29" s="1374" t="n"/>
      <c r="AC29" s="1374" t="n"/>
      <c r="AD29" s="1374" t="n"/>
      <c r="AE29" s="1375" t="n"/>
      <c r="AF29" s="1375" t="n"/>
      <c r="AG29" s="1374" t="n"/>
      <c r="AH29" s="1374" t="n"/>
      <c r="AI29" s="1374" t="n"/>
      <c r="AJ29" s="1374" t="n"/>
      <c r="AK29" s="1374" t="n"/>
      <c r="AL29" s="1374" t="n"/>
      <c r="AM29" s="1374" t="n"/>
      <c r="AN29" s="1376" t="n"/>
      <c r="AO29" s="293" t="n"/>
      <c r="AP29" s="1324" t="n"/>
      <c r="AQ29" s="293" t="n"/>
      <c r="AR29" s="293" t="n"/>
      <c r="AS29" s="293" t="n"/>
      <c r="AT29" s="64" t="n"/>
      <c r="AU29" s="103" t="n"/>
      <c r="AV29" s="103" t="n"/>
      <c r="AW29" s="103" t="n"/>
      <c r="AX29" s="103" t="n"/>
      <c r="AY29" s="103" t="n"/>
      <c r="AZ29" s="103" t="n"/>
      <c r="BA29" s="103" t="n"/>
      <c r="BB29" s="103" t="n"/>
      <c r="BC29" s="103" t="n"/>
      <c r="BD29" s="103" t="n"/>
      <c r="BE29" s="103" t="n"/>
    </row>
    <row r="30" ht="18.75" customHeight="1">
      <c r="A30" s="1377" t="inlineStr">
        <is>
          <t>07|</t>
        </is>
      </c>
      <c r="B30" s="2672" t="inlineStr">
        <is>
          <t xml:space="preserve">cÖ¯ÍvweZ m¤úwË‡Z </t>
        </is>
      </c>
      <c r="C30" s="2624" t="n"/>
      <c r="D30" s="2624" t="n"/>
      <c r="E30" s="2624" t="n"/>
      <c r="F30" s="2624" t="n"/>
      <c r="G30" s="1241" t="inlineStr">
        <is>
          <t>K)</t>
        </is>
      </c>
      <c r="H30" s="1447" t="inlineStr">
        <is>
          <t>M¨vm ms‡hvM Av‡Q wK bv?</t>
        </is>
      </c>
      <c r="I30" s="2624" t="n"/>
      <c r="J30" s="2624" t="n"/>
      <c r="K30" s="2624" t="n"/>
      <c r="L30" s="2624" t="n"/>
      <c r="M30" s="2624" t="n"/>
      <c r="N30" s="2624" t="n"/>
      <c r="O30" s="2624" t="n"/>
      <c r="P30" s="2624" t="n"/>
      <c r="Q30" s="2624" t="n"/>
      <c r="R30" s="2624" t="n"/>
      <c r="S30" s="2624" t="n"/>
      <c r="T30" s="2624" t="n"/>
      <c r="U30" s="2624" t="n"/>
      <c r="V30" s="2624" t="n"/>
      <c r="W30" s="2624" t="n"/>
      <c r="X30" s="2624" t="n"/>
      <c r="Y30" s="2624" t="n"/>
      <c r="Z30" s="2624" t="n"/>
      <c r="AA30" s="2642" t="n"/>
      <c r="AB30" s="1379" t="inlineStr">
        <is>
          <t>we`~¨r ms‡hvM Av‡Q</t>
        </is>
      </c>
      <c r="AC30" s="2624" t="n"/>
      <c r="AD30" s="2624" t="n"/>
      <c r="AE30" s="2624" t="n"/>
      <c r="AF30" s="2624" t="n"/>
      <c r="AG30" s="2624" t="n"/>
      <c r="AH30" s="2624" t="n"/>
      <c r="AI30" s="2624" t="n"/>
      <c r="AJ30" s="2624" t="n"/>
      <c r="AK30" s="2624" t="n"/>
      <c r="AL30" s="2624" t="n"/>
      <c r="AM30" s="2709" t="n"/>
      <c r="AN30" s="64" t="n"/>
      <c r="AO30" s="293">
        <f>+'[2]LF-5'!I41</f>
        <v/>
      </c>
      <c r="AP30" s="1324">
        <f>+'[2]LF-5'!N41</f>
        <v/>
      </c>
      <c r="AQ30" s="293">
        <f>+'[2]LF-5'!Q41</f>
        <v/>
      </c>
      <c r="AR30" s="293" t="n"/>
      <c r="AS30" s="293">
        <f>+'[2]LF-5'!T41</f>
        <v/>
      </c>
      <c r="AT30" s="64" t="n"/>
      <c r="AU30" s="103" t="n"/>
      <c r="AV30" s="103" t="n"/>
      <c r="AW30" s="103" t="n"/>
      <c r="AX30" s="103" t="n"/>
      <c r="AY30" s="103" t="n"/>
      <c r="AZ30" s="103" t="n"/>
      <c r="BA30" s="103" t="n"/>
      <c r="BB30" s="103" t="n"/>
      <c r="BC30" s="103" t="n"/>
      <c r="BD30" s="103" t="n"/>
      <c r="BE30" s="103" t="n"/>
    </row>
    <row r="31" ht="18.75" customHeight="1">
      <c r="A31" s="2647" t="n"/>
      <c r="B31" s="2647" t="n"/>
      <c r="G31" s="295" t="inlineStr">
        <is>
          <t>L)</t>
        </is>
      </c>
      <c r="H31" s="1046" t="inlineStr">
        <is>
          <t>we`y¨r ms‡hvM Av‡Q wK bv?</t>
        </is>
      </c>
      <c r="AA31" s="2641" t="n"/>
      <c r="AB31" s="2647" t="n"/>
      <c r="AM31" s="2633" t="n"/>
      <c r="AN31" s="64" t="n"/>
      <c r="AO31" s="293">
        <f>+'[2]LF-5'!I42</f>
        <v/>
      </c>
      <c r="AP31" s="1324">
        <f>+'[2]LF-5'!N42</f>
        <v/>
      </c>
      <c r="AQ31" s="293">
        <f>+'[2]LF-5'!Q42</f>
        <v/>
      </c>
      <c r="AR31" s="293" t="n"/>
      <c r="AS31" s="293">
        <f>+'[2]LF-5'!T42</f>
        <v/>
      </c>
      <c r="AT31" s="64" t="n"/>
      <c r="AU31" s="103" t="n"/>
      <c r="AV31" s="103" t="n"/>
      <c r="AW31" s="103" t="n"/>
      <c r="AX31" s="103" t="n"/>
      <c r="AY31" s="103" t="n"/>
      <c r="AZ31" s="103" t="n"/>
      <c r="BA31" s="103" t="n"/>
      <c r="BB31" s="103" t="n"/>
      <c r="BC31" s="103" t="n"/>
      <c r="BD31" s="103" t="n"/>
      <c r="BE31" s="103" t="n"/>
    </row>
    <row r="32" ht="18.75" customHeight="1">
      <c r="A32" s="2648" t="n"/>
      <c r="B32" s="2648" t="n"/>
      <c r="C32" s="2613" t="n"/>
      <c r="D32" s="2613" t="n"/>
      <c r="E32" s="2613" t="n"/>
      <c r="F32" s="2613" t="n"/>
      <c r="G32" s="1471" t="inlineStr">
        <is>
          <t>M)</t>
        </is>
      </c>
      <c r="H32" s="1472" t="inlineStr">
        <is>
          <t>cvwbi ms‡hvM Av‡Q wK bv?</t>
        </is>
      </c>
      <c r="I32" s="2613" t="n"/>
      <c r="J32" s="2613" t="n"/>
      <c r="K32" s="2613" t="n"/>
      <c r="L32" s="2613" t="n"/>
      <c r="M32" s="2613" t="n"/>
      <c r="N32" s="2613" t="n"/>
      <c r="O32" s="2613" t="n"/>
      <c r="P32" s="2613" t="n"/>
      <c r="Q32" s="2613" t="n"/>
      <c r="R32" s="2613" t="n"/>
      <c r="S32" s="2613" t="n"/>
      <c r="T32" s="2613" t="n"/>
      <c r="U32" s="2613" t="n"/>
      <c r="V32" s="2613" t="n"/>
      <c r="W32" s="2613" t="n"/>
      <c r="X32" s="2613" t="n"/>
      <c r="Y32" s="2613" t="n"/>
      <c r="Z32" s="2613" t="n"/>
      <c r="AA32" s="2649" t="n"/>
      <c r="AB32" s="2710" t="n"/>
      <c r="AC32" s="2622" t="n"/>
      <c r="AD32" s="2622" t="n"/>
      <c r="AE32" s="2622" t="n"/>
      <c r="AF32" s="2622" t="n"/>
      <c r="AG32" s="2622" t="n"/>
      <c r="AH32" s="2622" t="n"/>
      <c r="AI32" s="2622" t="n"/>
      <c r="AJ32" s="2622" t="n"/>
      <c r="AK32" s="2622" t="n"/>
      <c r="AL32" s="2622" t="n"/>
      <c r="AM32" s="2623" t="n"/>
      <c r="AN32" s="64" t="n"/>
      <c r="AO32" s="293">
        <f>+'[2]LF-5'!I43</f>
        <v/>
      </c>
      <c r="AP32" s="1324">
        <f>+'[2]LF-5'!N43</f>
        <v/>
      </c>
      <c r="AQ32" s="293">
        <f>+'[2]LF-5'!Q43</f>
        <v/>
      </c>
      <c r="AR32" s="293" t="n"/>
      <c r="AS32" s="293">
        <f>+'[2]LF-5'!T43</f>
        <v/>
      </c>
      <c r="AT32" s="64" t="n"/>
      <c r="AU32" s="103" t="n"/>
      <c r="AV32" s="103" t="n"/>
      <c r="AW32" s="103" t="n"/>
      <c r="AX32" s="103" t="n"/>
      <c r="AY32" s="103" t="n"/>
      <c r="AZ32" s="103" t="n"/>
      <c r="BA32" s="103" t="n"/>
      <c r="BB32" s="103" t="n"/>
      <c r="BC32" s="103" t="n"/>
      <c r="BD32" s="103" t="n"/>
      <c r="BE32" s="103" t="n"/>
    </row>
    <row r="33" ht="20.25" customHeight="1">
      <c r="A33" s="1377" t="inlineStr">
        <is>
          <t>08|</t>
        </is>
      </c>
      <c r="B33" s="2309" t="inlineStr">
        <is>
          <t>Rwgi cÖK…wZ t DuPz/ga¨g/wbPz/mgZj/‡Wvev Rwg,BgviZmn</t>
        </is>
      </c>
      <c r="C33" s="2624" t="n"/>
      <c r="D33" s="2624" t="n"/>
      <c r="E33" s="2624" t="n"/>
      <c r="F33" s="2624" t="n"/>
      <c r="G33" s="2624" t="n"/>
      <c r="H33" s="2624" t="n"/>
      <c r="I33" s="2624" t="n"/>
      <c r="J33" s="2624" t="n"/>
      <c r="K33" s="2624" t="n"/>
      <c r="L33" s="2624" t="n"/>
      <c r="M33" s="2624" t="n"/>
      <c r="N33" s="2624" t="n"/>
      <c r="O33" s="2624" t="n"/>
      <c r="P33" s="2624" t="n"/>
      <c r="Q33" s="2624" t="n"/>
      <c r="R33" s="2624" t="n"/>
      <c r="S33" s="2624" t="n"/>
      <c r="T33" s="2624" t="n"/>
      <c r="U33" s="2624" t="n"/>
      <c r="V33" s="2624" t="n"/>
      <c r="W33" s="2624" t="n"/>
      <c r="X33" s="2624" t="n"/>
      <c r="Y33" s="2624" t="n"/>
      <c r="Z33" s="2624" t="n"/>
      <c r="AA33" s="2642" t="n"/>
      <c r="AB33" s="1379" t="inlineStr">
        <is>
          <t>evwo</t>
        </is>
      </c>
      <c r="AC33" s="2624" t="n"/>
      <c r="AD33" s="2624" t="n"/>
      <c r="AE33" s="2624" t="n"/>
      <c r="AF33" s="2624" t="n"/>
      <c r="AG33" s="2624" t="n"/>
      <c r="AH33" s="2624" t="n"/>
      <c r="AI33" s="2624" t="n"/>
      <c r="AJ33" s="2624" t="n"/>
      <c r="AK33" s="2624" t="n"/>
      <c r="AL33" s="2624" t="n"/>
      <c r="AM33" s="2709" t="n"/>
      <c r="AN33" s="64" t="n"/>
      <c r="AO33" s="293">
        <f>+'[2]LF-5'!I44</f>
        <v/>
      </c>
      <c r="AP33" s="1324">
        <f>+'[2]LF-5'!N44</f>
        <v/>
      </c>
      <c r="AQ33" s="293">
        <f>+'[2]LF-5'!Q44</f>
        <v/>
      </c>
      <c r="AR33" s="293" t="n"/>
      <c r="AS33" s="293">
        <f>+'[2]LF-5'!T44</f>
        <v/>
      </c>
      <c r="AT33" s="64" t="n"/>
      <c r="AU33" s="103" t="n"/>
      <c r="AV33" s="103" t="n"/>
      <c r="AW33" s="103" t="n"/>
      <c r="AX33" s="103" t="n"/>
      <c r="AY33" s="103" t="n"/>
      <c r="AZ33" s="103" t="n"/>
      <c r="BA33" s="103" t="n"/>
      <c r="BB33" s="103" t="n"/>
      <c r="BC33" s="103" t="n"/>
      <c r="BD33" s="103" t="n"/>
      <c r="BE33" s="103" t="n"/>
    </row>
    <row r="34" ht="20.25" customHeight="1">
      <c r="A34" s="2648" t="n"/>
      <c r="B34" s="1423" t="inlineStr">
        <is>
          <t>(cÖ‡hvR¨ Z_vw` D‡jøL Ki‡Z n‡e)</t>
        </is>
      </c>
      <c r="C34" s="2613" t="n"/>
      <c r="D34" s="2613" t="n"/>
      <c r="E34" s="2613" t="n"/>
      <c r="F34" s="2613" t="n"/>
      <c r="G34" s="2613" t="n"/>
      <c r="H34" s="2613" t="n"/>
      <c r="I34" s="2613" t="n"/>
      <c r="J34" s="2613" t="n"/>
      <c r="K34" s="2613" t="n"/>
      <c r="L34" s="2613" t="n"/>
      <c r="M34" s="2613" t="n"/>
      <c r="N34" s="2613" t="n"/>
      <c r="O34" s="2613" t="n"/>
      <c r="P34" s="2613" t="n"/>
      <c r="Q34" s="2613" t="n"/>
      <c r="R34" s="2613" t="n"/>
      <c r="S34" s="2613" t="n"/>
      <c r="T34" s="2613" t="n"/>
      <c r="U34" s="2613" t="n"/>
      <c r="V34" s="2613" t="n"/>
      <c r="W34" s="2613" t="n"/>
      <c r="X34" s="2613" t="n"/>
      <c r="Y34" s="2613" t="n"/>
      <c r="Z34" s="2613" t="n"/>
      <c r="AA34" s="2649" t="n"/>
      <c r="AB34" s="2710" t="n"/>
      <c r="AC34" s="2622" t="n"/>
      <c r="AD34" s="2622" t="n"/>
      <c r="AE34" s="2622" t="n"/>
      <c r="AF34" s="2622" t="n"/>
      <c r="AG34" s="2622" t="n"/>
      <c r="AH34" s="2622" t="n"/>
      <c r="AI34" s="2622" t="n"/>
      <c r="AJ34" s="2622" t="n"/>
      <c r="AK34" s="2622" t="n"/>
      <c r="AL34" s="2622" t="n"/>
      <c r="AM34" s="2623" t="n"/>
      <c r="AN34" s="64" t="n"/>
      <c r="AO34" s="293">
        <f>+'[2]LF-5'!I45</f>
        <v/>
      </c>
      <c r="AP34" s="1324">
        <f>+'[2]LF-5'!N45</f>
        <v/>
      </c>
      <c r="AQ34" s="293">
        <f>+'[2]LF-5'!Q45</f>
        <v/>
      </c>
      <c r="AR34" s="293" t="n"/>
      <c r="AS34" s="293">
        <f>+'[2]LF-5'!T45</f>
        <v/>
      </c>
      <c r="AT34" s="64" t="n"/>
      <c r="AU34" s="103" t="n"/>
      <c r="AV34" s="103" t="n"/>
      <c r="AW34" s="103" t="n"/>
      <c r="AX34" s="103" t="n"/>
      <c r="AY34" s="103" t="n"/>
      <c r="AZ34" s="103" t="n"/>
      <c r="BA34" s="103" t="n"/>
      <c r="BB34" s="103" t="n"/>
      <c r="BC34" s="103" t="n"/>
      <c r="BD34" s="103" t="n"/>
      <c r="BE34" s="103" t="n"/>
    </row>
    <row r="35" ht="20.25" customHeight="1">
      <c r="A35" s="1395" t="inlineStr">
        <is>
          <t>09|</t>
        </is>
      </c>
      <c r="B35" s="1396" t="inlineStr">
        <is>
          <t xml:space="preserve">m¤úwËi Dci wbwg©Z m¤ú` (hw` _v‡K) t_x000D_
‡hgb KuvPv/ †mwgcvKv/cvKv /N‡ii msL¨v/ Zjvi msL¨v /d¬¨vU  †gvU AvqZb / Aby‡gvw`Z bKkv (c¨vb) BZ¨vw` D‡jøL Ki‡Z n‡e </t>
        </is>
      </c>
      <c r="C35" s="2624" t="n"/>
      <c r="D35" s="2624" t="n"/>
      <c r="E35" s="2624" t="n"/>
      <c r="F35" s="2624" t="n"/>
      <c r="G35" s="2624" t="n"/>
      <c r="H35" s="2624" t="n"/>
      <c r="I35" s="2624" t="n"/>
      <c r="J35" s="2624" t="n"/>
      <c r="K35" s="2624" t="n"/>
      <c r="L35" s="2624" t="n"/>
      <c r="M35" s="2624" t="n"/>
      <c r="N35" s="2624" t="n"/>
      <c r="O35" s="2624" t="n"/>
      <c r="P35" s="2624" t="n"/>
      <c r="Q35" s="2624" t="n"/>
      <c r="R35" s="2624" t="n"/>
      <c r="S35" s="2624" t="n"/>
      <c r="T35" s="2624" t="n"/>
      <c r="U35" s="2624" t="n"/>
      <c r="V35" s="2624" t="n"/>
      <c r="W35" s="2624" t="n"/>
      <c r="X35" s="2624" t="n"/>
      <c r="Y35" s="2624" t="n"/>
      <c r="Z35" s="2624" t="n"/>
      <c r="AA35" s="2642" t="n"/>
      <c r="AB35" s="903" t="inlineStr">
        <is>
          <t>‡mwg cvKv Ni</t>
        </is>
      </c>
      <c r="AC35" s="2624" t="n"/>
      <c r="AD35" s="2624" t="n"/>
      <c r="AE35" s="2624" t="n"/>
      <c r="AF35" s="2624" t="n"/>
      <c r="AG35" s="2624" t="n"/>
      <c r="AH35" s="2624" t="n"/>
      <c r="AI35" s="2624" t="n"/>
      <c r="AJ35" s="2624" t="n"/>
      <c r="AK35" s="2624" t="n"/>
      <c r="AL35" s="2624" t="n"/>
      <c r="AM35" s="2642" t="n"/>
      <c r="AN35" s="64" t="n"/>
      <c r="AO35" s="293">
        <f>+'[2]LF-5'!I46</f>
        <v/>
      </c>
      <c r="AP35" s="1324">
        <f>+'[2]LF-5'!N46</f>
        <v/>
      </c>
      <c r="AQ35" s="293">
        <f>+'[2]LF-5'!Q46</f>
        <v/>
      </c>
      <c r="AR35" s="293" t="n"/>
      <c r="AS35" s="293">
        <f>+'[2]LF-5'!T46</f>
        <v/>
      </c>
      <c r="AT35" s="64" t="n"/>
      <c r="AU35" s="103" t="n"/>
      <c r="AV35" s="103" t="n"/>
      <c r="AW35" s="103" t="n"/>
      <c r="AX35" s="103" t="n"/>
      <c r="AY35" s="103" t="n"/>
      <c r="AZ35" s="103" t="n"/>
      <c r="BA35" s="103" t="n"/>
      <c r="BB35" s="103" t="n"/>
      <c r="BC35" s="103" t="n"/>
      <c r="BD35" s="103" t="n"/>
      <c r="BE35" s="103" t="n"/>
    </row>
    <row r="36" ht="36.75" customHeight="1">
      <c r="A36" s="2618" t="n"/>
      <c r="B36" s="2648" t="n"/>
      <c r="C36" s="2613" t="n"/>
      <c r="D36" s="2613" t="n"/>
      <c r="E36" s="2613" t="n"/>
      <c r="F36" s="2613" t="n"/>
      <c r="G36" s="2613" t="n"/>
      <c r="H36" s="2613" t="n"/>
      <c r="I36" s="2613" t="n"/>
      <c r="J36" s="2613" t="n"/>
      <c r="K36" s="2613" t="n"/>
      <c r="L36" s="2613" t="n"/>
      <c r="M36" s="2613" t="n"/>
      <c r="N36" s="2613" t="n"/>
      <c r="O36" s="2613" t="n"/>
      <c r="P36" s="2613" t="n"/>
      <c r="Q36" s="2613" t="n"/>
      <c r="R36" s="2613" t="n"/>
      <c r="S36" s="2613" t="n"/>
      <c r="T36" s="2613" t="n"/>
      <c r="U36" s="2613" t="n"/>
      <c r="V36" s="2613" t="n"/>
      <c r="W36" s="2613" t="n"/>
      <c r="X36" s="2613" t="n"/>
      <c r="Y36" s="2613" t="n"/>
      <c r="Z36" s="2613" t="n"/>
      <c r="AA36" s="2649" t="n"/>
      <c r="AB36" s="2648" t="n"/>
      <c r="AC36" s="2613" t="n"/>
      <c r="AD36" s="2613" t="n"/>
      <c r="AE36" s="2613" t="n"/>
      <c r="AF36" s="2613" t="n"/>
      <c r="AG36" s="2613" t="n"/>
      <c r="AH36" s="2613" t="n"/>
      <c r="AI36" s="2613" t="n"/>
      <c r="AJ36" s="2613" t="n"/>
      <c r="AK36" s="2613" t="n"/>
      <c r="AL36" s="2613" t="n"/>
      <c r="AM36" s="2649" t="n"/>
      <c r="AN36" s="64" t="n"/>
      <c r="AO36" s="293">
        <f>+'[2]LF-5'!I47</f>
        <v/>
      </c>
      <c r="AP36" s="1324">
        <f>+'[2]LF-5'!N47</f>
        <v/>
      </c>
      <c r="AQ36" s="293">
        <f>+'[2]LF-5'!Q47</f>
        <v/>
      </c>
      <c r="AR36" s="293" t="n"/>
      <c r="AS36" s="293">
        <f>+'[2]LF-5'!T47</f>
        <v/>
      </c>
      <c r="AT36" s="64" t="n"/>
      <c r="AU36" s="103" t="n"/>
      <c r="AV36" s="103" t="n"/>
      <c r="AW36" s="103" t="n"/>
      <c r="AX36" s="103" t="n"/>
      <c r="AY36" s="103" t="n"/>
      <c r="AZ36" s="103" t="n"/>
      <c r="BA36" s="103" t="n"/>
      <c r="BB36" s="103" t="n"/>
      <c r="BC36" s="103" t="n"/>
      <c r="BD36" s="103" t="n"/>
      <c r="BE36" s="103" t="n"/>
    </row>
    <row r="37" ht="44.25" customHeight="1">
      <c r="A37" s="1057" t="inlineStr">
        <is>
          <t>10|</t>
        </is>
      </c>
      <c r="B37" s="267" t="inlineStr">
        <is>
          <t xml:space="preserve">RvgvbwZ m¤úwËi Dci m¤¢e¨ SzwKu t_x000D_
b`x fvsMb, R‡jv”Qvm, N~wY© S‡oi cÖebZv D‡jøL Ki‡Z n‡e </t>
        </is>
      </c>
      <c r="C37" s="2614" t="n"/>
      <c r="D37" s="2614" t="n"/>
      <c r="E37" s="2614" t="n"/>
      <c r="F37" s="2614" t="n"/>
      <c r="G37" s="2614" t="n"/>
      <c r="H37" s="2614" t="n"/>
      <c r="I37" s="2614" t="n"/>
      <c r="J37" s="2614" t="n"/>
      <c r="K37" s="2614" t="n"/>
      <c r="L37" s="2614" t="n"/>
      <c r="M37" s="2614" t="n"/>
      <c r="N37" s="2614" t="n"/>
      <c r="O37" s="2614" t="n"/>
      <c r="P37" s="2614" t="n"/>
      <c r="Q37" s="2614" t="n"/>
      <c r="R37" s="2614" t="n"/>
      <c r="S37" s="2614" t="n"/>
      <c r="T37" s="2614" t="n"/>
      <c r="U37" s="2614" t="n"/>
      <c r="V37" s="2614" t="n"/>
      <c r="W37" s="2614" t="n"/>
      <c r="X37" s="2614" t="n"/>
      <c r="Y37" s="2614" t="n"/>
      <c r="Z37" s="2614" t="n"/>
      <c r="AA37" s="2617" t="n"/>
      <c r="AB37" s="1401" t="inlineStr">
        <is>
          <t>cÖ‡hvR¨ bq</t>
        </is>
      </c>
      <c r="AC37" s="2614" t="n"/>
      <c r="AD37" s="2614" t="n"/>
      <c r="AE37" s="2614" t="n"/>
      <c r="AF37" s="2614" t="n"/>
      <c r="AG37" s="2614" t="n"/>
      <c r="AH37" s="2614" t="n"/>
      <c r="AI37" s="2614" t="n"/>
      <c r="AJ37" s="2614" t="n"/>
      <c r="AK37" s="2614" t="n"/>
      <c r="AL37" s="2614" t="n"/>
      <c r="AM37" s="2658" t="n"/>
      <c r="AN37" s="64" t="n"/>
      <c r="AO37" s="293" t="n"/>
      <c r="AP37" s="1324" t="n"/>
      <c r="AQ37" s="293" t="n"/>
      <c r="AR37" s="293" t="n"/>
      <c r="AS37" s="293" t="n"/>
      <c r="AT37" s="64" t="n"/>
      <c r="AU37" s="103" t="n"/>
      <c r="AV37" s="103" t="n"/>
      <c r="AW37" s="103" t="n"/>
      <c r="AX37" s="103" t="n"/>
      <c r="AY37" s="103" t="n"/>
      <c r="AZ37" s="103" t="n"/>
      <c r="BA37" s="103" t="n"/>
      <c r="BB37" s="103" t="n"/>
      <c r="BC37" s="103" t="n"/>
      <c r="BD37" s="103" t="n"/>
      <c r="BE37" s="103" t="n"/>
    </row>
    <row r="38" ht="22.5" customHeight="1">
      <c r="A38" s="1395" t="inlineStr">
        <is>
          <t>11|</t>
        </is>
      </c>
      <c r="B38" s="1396" t="inlineStr">
        <is>
          <t>`vjvb‡KvVv/ fe‡bi †ÿ‡Î cÖ‡qvRbxq KvMRcÎ I Z_¨vw`t Aby‡gvw`Z bKkv, wbg©vY eQi, fe‡bi cÖK…wZ, evwYwR¨K/AvevwmK, MgbvMg‡bi iv¯Ív (Approach Road) BZ¨vw` D‡jøL Ki‡Z n‡e</t>
        </is>
      </c>
      <c r="C38" s="2624" t="n"/>
      <c r="D38" s="2624" t="n"/>
      <c r="E38" s="2624" t="n"/>
      <c r="F38" s="2624" t="n"/>
      <c r="G38" s="2624" t="n"/>
      <c r="H38" s="2624" t="n"/>
      <c r="I38" s="2624" t="n"/>
      <c r="J38" s="2624" t="n"/>
      <c r="K38" s="2624" t="n"/>
      <c r="L38" s="2624" t="n"/>
      <c r="M38" s="2624" t="n"/>
      <c r="N38" s="2624" t="n"/>
      <c r="O38" s="2624" t="n"/>
      <c r="P38" s="2624" t="n"/>
      <c r="Q38" s="2624" t="n"/>
      <c r="R38" s="2624" t="n"/>
      <c r="S38" s="2624" t="n"/>
      <c r="T38" s="2624" t="n"/>
      <c r="U38" s="2624" t="n"/>
      <c r="V38" s="2624" t="n"/>
      <c r="W38" s="2624" t="n"/>
      <c r="X38" s="2624" t="n"/>
      <c r="Y38" s="2624" t="n"/>
      <c r="Z38" s="2624" t="n"/>
      <c r="AA38" s="2642" t="n"/>
      <c r="AB38" s="903" t="inlineStr">
        <is>
          <t>cÖ‡hvR¨ bq</t>
        </is>
      </c>
      <c r="AC38" s="2624" t="n"/>
      <c r="AD38" s="2624" t="n"/>
      <c r="AE38" s="2624" t="n"/>
      <c r="AF38" s="2624" t="n"/>
      <c r="AG38" s="2624" t="n"/>
      <c r="AH38" s="2624" t="n"/>
      <c r="AI38" s="2624" t="n"/>
      <c r="AJ38" s="2624" t="n"/>
      <c r="AK38" s="2624" t="n"/>
      <c r="AL38" s="2624" t="n"/>
      <c r="AM38" s="2642" t="n"/>
      <c r="AN38" s="64" t="n"/>
      <c r="AO38" s="293" t="n"/>
      <c r="AP38" s="1324" t="n"/>
      <c r="AQ38" s="293" t="n"/>
      <c r="AR38" s="293" t="n"/>
      <c r="AS38" s="293" t="n"/>
      <c r="AT38" s="64" t="n"/>
      <c r="AU38" s="103" t="n"/>
      <c r="AV38" s="103" t="n"/>
      <c r="AW38" s="103" t="n"/>
      <c r="AX38" s="103" t="n"/>
      <c r="AY38" s="103" t="n"/>
      <c r="AZ38" s="103" t="n"/>
      <c r="BA38" s="103" t="n"/>
      <c r="BB38" s="103" t="n"/>
      <c r="BC38" s="103" t="n"/>
      <c r="BD38" s="103" t="n"/>
      <c r="BE38" s="103" t="n"/>
    </row>
    <row r="39" ht="30" customHeight="1">
      <c r="A39" s="2618" t="n"/>
      <c r="B39" s="2648" t="n"/>
      <c r="C39" s="2613" t="n"/>
      <c r="D39" s="2613" t="n"/>
      <c r="E39" s="2613" t="n"/>
      <c r="F39" s="2613" t="n"/>
      <c r="G39" s="2613" t="n"/>
      <c r="H39" s="2613" t="n"/>
      <c r="I39" s="2613" t="n"/>
      <c r="J39" s="2613" t="n"/>
      <c r="K39" s="2613" t="n"/>
      <c r="L39" s="2613" t="n"/>
      <c r="M39" s="2613" t="n"/>
      <c r="N39" s="2613" t="n"/>
      <c r="O39" s="2613" t="n"/>
      <c r="P39" s="2613" t="n"/>
      <c r="Q39" s="2613" t="n"/>
      <c r="R39" s="2613" t="n"/>
      <c r="S39" s="2613" t="n"/>
      <c r="T39" s="2613" t="n"/>
      <c r="U39" s="2613" t="n"/>
      <c r="V39" s="2613" t="n"/>
      <c r="W39" s="2613" t="n"/>
      <c r="X39" s="2613" t="n"/>
      <c r="Y39" s="2613" t="n"/>
      <c r="Z39" s="2613" t="n"/>
      <c r="AA39" s="2649" t="n"/>
      <c r="AB39" s="2648" t="n"/>
      <c r="AC39" s="2613" t="n"/>
      <c r="AD39" s="2613" t="n"/>
      <c r="AE39" s="2613" t="n"/>
      <c r="AF39" s="2613" t="n"/>
      <c r="AG39" s="2613" t="n"/>
      <c r="AH39" s="2613" t="n"/>
      <c r="AI39" s="2613" t="n"/>
      <c r="AJ39" s="2613" t="n"/>
      <c r="AK39" s="2613" t="n"/>
      <c r="AL39" s="2613" t="n"/>
      <c r="AM39" s="2649" t="n"/>
      <c r="AN39" s="64" t="n"/>
      <c r="AO39" s="293" t="n"/>
      <c r="AP39" s="1324" t="n"/>
      <c r="AQ39" s="293" t="n"/>
      <c r="AR39" s="293" t="n"/>
      <c r="AS39" s="293" t="n"/>
      <c r="AT39" s="64" t="n"/>
      <c r="AU39" s="103" t="n"/>
      <c r="AV39" s="103" t="n"/>
      <c r="AW39" s="103" t="n"/>
      <c r="AX39" s="103" t="n"/>
      <c r="AY39" s="103" t="n"/>
      <c r="AZ39" s="103" t="n"/>
      <c r="BA39" s="103" t="n"/>
      <c r="BB39" s="103" t="n"/>
      <c r="BC39" s="103" t="n"/>
      <c r="BD39" s="103" t="n"/>
      <c r="BE39" s="103" t="n"/>
    </row>
    <row r="40" ht="26.25" customHeight="1">
      <c r="A40" s="1377" t="inlineStr">
        <is>
          <t>12|</t>
        </is>
      </c>
      <c r="B40" s="2309" t="inlineStr">
        <is>
          <t>hš¿cvwZi †ÿ‡Î cª‡qvRbxq KvMRcÎ I Z_¨vw`t</t>
        </is>
      </c>
      <c r="C40" s="2624" t="n"/>
      <c r="D40" s="2624" t="n"/>
      <c r="E40" s="2624" t="n"/>
      <c r="F40" s="2624" t="n"/>
      <c r="G40" s="2624" t="n"/>
      <c r="H40" s="2624" t="n"/>
      <c r="I40" s="2624" t="n"/>
      <c r="J40" s="2624" t="n"/>
      <c r="K40" s="2624" t="n"/>
      <c r="L40" s="2624" t="n"/>
      <c r="M40" s="2624" t="n"/>
      <c r="N40" s="2624" t="n"/>
      <c r="O40" s="2624" t="n"/>
      <c r="P40" s="2624" t="n"/>
      <c r="Q40" s="2624" t="n"/>
      <c r="R40" s="2624" t="n"/>
      <c r="S40" s="2624" t="n"/>
      <c r="T40" s="2624" t="n"/>
      <c r="U40" s="2624" t="n"/>
      <c r="V40" s="2624" t="n"/>
      <c r="W40" s="2624" t="n"/>
      <c r="X40" s="2624" t="n"/>
      <c r="Y40" s="2624" t="n"/>
      <c r="Z40" s="2624" t="n"/>
      <c r="AA40" s="2642" t="n"/>
      <c r="AB40" s="903" t="inlineStr">
        <is>
          <t>cÖ‡hvR¨ bq</t>
        </is>
      </c>
      <c r="AC40" s="2624" t="n"/>
      <c r="AD40" s="2624" t="n"/>
      <c r="AE40" s="2624" t="n"/>
      <c r="AF40" s="2624" t="n"/>
      <c r="AG40" s="2624" t="n"/>
      <c r="AH40" s="2624" t="n"/>
      <c r="AI40" s="2624" t="n"/>
      <c r="AJ40" s="2624" t="n"/>
      <c r="AK40" s="2624" t="n"/>
      <c r="AL40" s="2624" t="n"/>
      <c r="AM40" s="2642" t="n"/>
      <c r="AN40" s="64" t="n"/>
      <c r="AO40" s="293" t="n"/>
      <c r="AP40" s="1324" t="n"/>
      <c r="AQ40" s="293" t="n"/>
      <c r="AR40" s="293" t="n"/>
      <c r="AS40" s="293" t="n"/>
      <c r="AT40" s="64" t="n"/>
      <c r="AU40" s="103" t="n"/>
      <c r="AV40" s="103" t="n"/>
      <c r="AW40" s="103" t="n"/>
      <c r="AX40" s="103" t="n"/>
      <c r="AY40" s="103" t="n"/>
      <c r="AZ40" s="103" t="n"/>
      <c r="BA40" s="103" t="n"/>
      <c r="BB40" s="103" t="n"/>
      <c r="BC40" s="103" t="n"/>
      <c r="BD40" s="103" t="n"/>
      <c r="BE40" s="103" t="n"/>
    </row>
    <row r="41" ht="24" customHeight="1">
      <c r="A41" s="2647" t="n"/>
      <c r="B41" s="2712" t="inlineStr">
        <is>
          <t xml:space="preserve">cª¯‘ZKvix †`k, cÖmÍ‡Zi eQi, bZzb /wiKwÛkb, Gj wm  Bbf‡q‡mi Kwc, wej Ae Gw›Uª BZ¨vw`, ¯’vbxq †gwkbvixi †ejvq `icÎ, wej, Pvjvb  BZ¨vw` Kwc MÖnb Ki‡Z n‡e  </t>
        </is>
      </c>
      <c r="AA41" s="2641" t="n"/>
      <c r="AB41" s="2647" t="n"/>
      <c r="AM41" s="2641" t="n"/>
      <c r="AN41" s="64" t="n"/>
      <c r="AO41" s="293" t="n"/>
      <c r="AP41" s="1324" t="n"/>
      <c r="AQ41" s="293" t="n"/>
      <c r="AR41" s="293" t="n"/>
      <c r="AS41" s="293" t="n"/>
      <c r="AT41" s="64" t="n"/>
      <c r="AU41" s="103" t="n"/>
      <c r="AV41" s="103" t="n"/>
      <c r="AW41" s="103" t="n"/>
      <c r="AX41" s="103" t="n"/>
      <c r="AY41" s="103" t="n"/>
      <c r="AZ41" s="103" t="n"/>
      <c r="BA41" s="103" t="n"/>
      <c r="BB41" s="103" t="n"/>
      <c r="BC41" s="103" t="n"/>
      <c r="BD41" s="103" t="n"/>
      <c r="BE41" s="103" t="n"/>
    </row>
    <row r="42" ht="17.25" customHeight="1">
      <c r="A42" s="2648" t="n"/>
      <c r="B42" s="2648" t="n"/>
      <c r="C42" s="2613" t="n"/>
      <c r="D42" s="2613" t="n"/>
      <c r="E42" s="2613" t="n"/>
      <c r="F42" s="2613" t="n"/>
      <c r="G42" s="2613" t="n"/>
      <c r="H42" s="2613" t="n"/>
      <c r="I42" s="2613" t="n"/>
      <c r="J42" s="2613" t="n"/>
      <c r="K42" s="2613" t="n"/>
      <c r="L42" s="2613" t="n"/>
      <c r="M42" s="2613" t="n"/>
      <c r="N42" s="2613" t="n"/>
      <c r="O42" s="2613" t="n"/>
      <c r="P42" s="2613" t="n"/>
      <c r="Q42" s="2613" t="n"/>
      <c r="R42" s="2613" t="n"/>
      <c r="S42" s="2613" t="n"/>
      <c r="T42" s="2613" t="n"/>
      <c r="U42" s="2613" t="n"/>
      <c r="V42" s="2613" t="n"/>
      <c r="W42" s="2613" t="n"/>
      <c r="X42" s="2613" t="n"/>
      <c r="Y42" s="2613" t="n"/>
      <c r="Z42" s="2613" t="n"/>
      <c r="AA42" s="2649" t="n"/>
      <c r="AB42" s="2648" t="n"/>
      <c r="AC42" s="2613" t="n"/>
      <c r="AD42" s="2613" t="n"/>
      <c r="AE42" s="2613" t="n"/>
      <c r="AF42" s="2613" t="n"/>
      <c r="AG42" s="2613" t="n"/>
      <c r="AH42" s="2613" t="n"/>
      <c r="AI42" s="2613" t="n"/>
      <c r="AJ42" s="2613" t="n"/>
      <c r="AK42" s="2613" t="n"/>
      <c r="AL42" s="2613" t="n"/>
      <c r="AM42" s="2649" t="n"/>
      <c r="AN42" s="64" t="n"/>
      <c r="AO42" s="293" t="n"/>
      <c r="AP42" s="1324" t="n"/>
      <c r="AQ42" s="293" t="n"/>
      <c r="AR42" s="293" t="n"/>
      <c r="AS42" s="293" t="n"/>
      <c r="AT42" s="64" t="n"/>
      <c r="AU42" s="103" t="n"/>
      <c r="AV42" s="103" t="n"/>
      <c r="AW42" s="103" t="n"/>
      <c r="AX42" s="103" t="n"/>
      <c r="AY42" s="103" t="n"/>
      <c r="AZ42" s="103" t="n"/>
      <c r="BA42" s="103" t="n"/>
      <c r="BB42" s="103" t="n"/>
      <c r="BC42" s="103" t="n"/>
      <c r="BD42" s="103" t="n"/>
      <c r="BE42" s="103" t="n"/>
    </row>
    <row r="43" ht="20.25" customHeight="1">
      <c r="A43" s="1395" t="inlineStr">
        <is>
          <t>13|</t>
        </is>
      </c>
      <c r="B43" s="1393" t="inlineStr">
        <is>
          <t xml:space="preserve">eZ©gvb evRvi g~j¨/AwfwnZ g~j¨ t </t>
        </is>
      </c>
      <c r="C43" s="2624" t="n"/>
      <c r="D43" s="2624" t="n"/>
      <c r="E43" s="2624" t="n"/>
      <c r="F43" s="2624" t="n"/>
      <c r="G43" s="2624" t="n"/>
      <c r="H43" s="2624" t="n"/>
      <c r="I43" s="2624" t="n"/>
      <c r="J43" s="2624" t="n"/>
      <c r="K43" s="603" t="inlineStr">
        <is>
          <t xml:space="preserve">cÖwZ kZvsk </t>
        </is>
      </c>
      <c r="N43" s="1415" t="n"/>
      <c r="O43" s="2694" t="n"/>
      <c r="P43" s="2669" t="n"/>
      <c r="Q43" s="1241" t="inlineStr">
        <is>
          <t>jÿ UvKv wnmv‡e</t>
        </is>
      </c>
      <c r="R43" s="1243" t="n"/>
      <c r="S43" s="1241" t="n"/>
      <c r="T43" s="1241" t="n"/>
      <c r="U43" s="1241" t="n"/>
      <c r="V43" s="1243" t="n"/>
      <c r="W43" s="1416" t="inlineStr">
        <is>
          <t>K)</t>
        </is>
      </c>
      <c r="X43" s="1241" t="inlineStr">
        <is>
          <t>Rwgi g~j¨</t>
        </is>
      </c>
      <c r="Y43" s="2624" t="n"/>
      <c r="Z43" s="2624" t="n"/>
      <c r="AA43" s="2624" t="n"/>
      <c r="AB43" s="2624" t="n"/>
      <c r="AC43" s="2624" t="n"/>
      <c r="AD43" s="2624" t="n"/>
      <c r="AE43" s="777" t="inlineStr">
        <is>
          <t>=</t>
        </is>
      </c>
      <c r="AF43" s="1418">
        <f>R20*N43*100000*100</f>
        <v/>
      </c>
      <c r="AG43" s="2624" t="n"/>
      <c r="AH43" s="2624" t="n"/>
      <c r="AI43" s="2624" t="n"/>
      <c r="AJ43" s="2624" t="n"/>
      <c r="AK43" s="2624" t="n"/>
      <c r="AL43" s="908">
        <f>IF(AF43&gt;0,"UvKv","")</f>
        <v/>
      </c>
      <c r="AM43" s="2642" t="n"/>
      <c r="AN43" s="64" t="n"/>
      <c r="AO43" s="293" t="n"/>
      <c r="AP43" s="1324" t="n"/>
      <c r="AQ43" s="293" t="n"/>
      <c r="AR43" s="293" t="n"/>
      <c r="AS43" s="293" t="n"/>
      <c r="AT43" s="64" t="n"/>
      <c r="AU43" s="103" t="n"/>
      <c r="AV43" s="103" t="n"/>
      <c r="AW43" s="103" t="n"/>
      <c r="AX43" s="103" t="n"/>
      <c r="AY43" s="103" t="n"/>
      <c r="AZ43" s="103" t="n"/>
      <c r="BA43" s="103" t="n"/>
      <c r="BB43" s="103" t="n"/>
      <c r="BC43" s="103" t="n"/>
      <c r="BD43" s="103" t="n"/>
      <c r="BE43" s="103" t="n"/>
    </row>
    <row r="44" ht="20.25" customHeight="1">
      <c r="A44" s="2673" t="n"/>
      <c r="B44" s="1252" t="inlineStr">
        <is>
          <t>( Face Value )</t>
        </is>
      </c>
      <c r="C44" s="295" t="n"/>
      <c r="D44" s="295" t="n"/>
      <c r="E44" s="295" t="n"/>
      <c r="F44" s="295" t="n"/>
      <c r="G44" s="295" t="n"/>
      <c r="H44" s="295" t="n"/>
      <c r="I44" s="295" t="n"/>
      <c r="J44" s="295" t="n"/>
      <c r="K44" s="295" t="n"/>
      <c r="L44" s="295" t="n"/>
      <c r="M44" s="295" t="n"/>
      <c r="N44" s="295" t="n"/>
      <c r="O44" s="295" t="n"/>
      <c r="P44" s="295" t="n"/>
      <c r="Q44" s="295" t="n"/>
      <c r="R44" s="1250" t="n"/>
      <c r="S44" s="295" t="n"/>
      <c r="T44" s="295" t="n"/>
      <c r="U44" s="295" t="n"/>
      <c r="V44" s="1250" t="n"/>
      <c r="W44" s="1420" t="inlineStr">
        <is>
          <t>L)</t>
        </is>
      </c>
      <c r="X44" s="295" t="inlineStr">
        <is>
          <t>BgviZ /d¬¨vU</t>
        </is>
      </c>
      <c r="AE44" s="803" t="inlineStr">
        <is>
          <t>=</t>
        </is>
      </c>
      <c r="AF44" s="899">
        <f>IF(AF48&gt;1,+AF48*2,0)</f>
        <v/>
      </c>
      <c r="AL44" s="1412">
        <f>IF(AF44&gt;0,"UvKv","")</f>
        <v/>
      </c>
      <c r="AM44" s="2641" t="n"/>
      <c r="AN44" s="64" t="n"/>
      <c r="AO44" s="293" t="n"/>
      <c r="AP44" s="1324" t="n"/>
      <c r="AQ44" s="293" t="n"/>
      <c r="AR44" s="293" t="n"/>
      <c r="AS44" s="293" t="n"/>
      <c r="AT44" s="64" t="n"/>
      <c r="AU44" s="103" t="n"/>
      <c r="AV44" s="103" t="n"/>
      <c r="AW44" s="103" t="n"/>
      <c r="AX44" s="103" t="n"/>
      <c r="AY44" s="103" t="n"/>
      <c r="AZ44" s="103" t="n"/>
      <c r="BA44" s="103" t="n"/>
      <c r="BB44" s="103" t="n"/>
      <c r="BC44" s="103" t="n"/>
      <c r="BD44" s="103" t="n"/>
      <c r="BE44" s="103" t="n"/>
    </row>
    <row r="45" ht="20.25" customHeight="1">
      <c r="A45" s="2673" t="n"/>
      <c r="B45" s="1410" t="n"/>
      <c r="C45" s="295" t="n"/>
      <c r="D45" s="295" t="n"/>
      <c r="E45" s="295" t="n"/>
      <c r="F45" s="295" t="n"/>
      <c r="G45" s="295" t="n"/>
      <c r="H45" s="295" t="n"/>
      <c r="I45" s="295" t="n"/>
      <c r="J45" s="295" t="n"/>
      <c r="K45" s="295" t="n"/>
      <c r="L45" s="295" t="n"/>
      <c r="M45" s="295" t="n"/>
      <c r="N45" s="295" t="n"/>
      <c r="O45" s="295" t="n"/>
      <c r="P45" s="295" t="n"/>
      <c r="Q45" s="295" t="n"/>
      <c r="R45" s="1250" t="n"/>
      <c r="S45" s="295" t="n"/>
      <c r="T45" s="295" t="n"/>
      <c r="U45" s="295" t="n"/>
      <c r="V45" s="1250" t="n"/>
      <c r="W45" s="1420" t="inlineStr">
        <is>
          <t>M)</t>
        </is>
      </c>
      <c r="X45" s="295" t="inlineStr">
        <is>
          <t>hš¿cvwZ</t>
        </is>
      </c>
      <c r="AE45" s="803" t="inlineStr">
        <is>
          <t>=</t>
        </is>
      </c>
      <c r="AF45" s="1422">
        <f>IF(AF49&gt;1,+AF49*2,0)</f>
        <v/>
      </c>
      <c r="AG45" s="2613" t="n"/>
      <c r="AH45" s="2613" t="n"/>
      <c r="AI45" s="2613" t="n"/>
      <c r="AJ45" s="2613" t="n"/>
      <c r="AK45" s="2613" t="n"/>
      <c r="AL45" s="1412">
        <f>IF(AF45&gt;0,"UvKv","")</f>
        <v/>
      </c>
      <c r="AM45" s="2641" t="n"/>
      <c r="AN45" s="64" t="n"/>
      <c r="AO45" s="293" t="n"/>
      <c r="AP45" s="1324" t="n"/>
      <c r="AQ45" s="64" t="n"/>
      <c r="AR45" s="64" t="n"/>
      <c r="AS45" s="748" t="n"/>
      <c r="AT45" s="64" t="n"/>
      <c r="AU45" s="103" t="n"/>
      <c r="AV45" s="103" t="n"/>
      <c r="AW45" s="103" t="n"/>
      <c r="AX45" s="103" t="n"/>
      <c r="AY45" s="103" t="n"/>
      <c r="AZ45" s="103" t="n"/>
      <c r="BA45" s="103" t="n"/>
      <c r="BB45" s="103" t="n"/>
      <c r="BC45" s="103" t="n"/>
      <c r="BD45" s="103" t="n"/>
      <c r="BE45" s="103" t="n"/>
    </row>
    <row r="46" ht="20.25" customHeight="1">
      <c r="A46" s="2618" t="n"/>
      <c r="B46" s="1394" t="n"/>
      <c r="C46" s="1471" t="n"/>
      <c r="D46" s="1471" t="n"/>
      <c r="E46" s="1471" t="n"/>
      <c r="F46" s="1471" t="n"/>
      <c r="G46" s="1471" t="n"/>
      <c r="H46" s="1471" t="n"/>
      <c r="I46" s="1471" t="n"/>
      <c r="J46" s="1471" t="n"/>
      <c r="K46" s="1471" t="n"/>
      <c r="L46" s="1471" t="n"/>
      <c r="M46" s="1471" t="n"/>
      <c r="N46" s="1471" t="n"/>
      <c r="O46" s="1471" t="n"/>
      <c r="P46" s="1471" t="n"/>
      <c r="Q46" s="1471" t="n"/>
      <c r="R46" s="1263" t="n"/>
      <c r="S46" s="1471" t="n"/>
      <c r="T46" s="1471" t="n"/>
      <c r="U46" s="1471" t="n"/>
      <c r="V46" s="1263" t="n"/>
      <c r="W46" s="1424" t="inlineStr">
        <is>
          <t>‡gvU g~j¨</t>
        </is>
      </c>
      <c r="X46" s="2614" t="n"/>
      <c r="Y46" s="2614" t="n"/>
      <c r="Z46" s="2614" t="n"/>
      <c r="AA46" s="2614" t="n"/>
      <c r="AB46" s="2614" t="n"/>
      <c r="AC46" s="2614" t="n"/>
      <c r="AD46" s="2614" t="n"/>
      <c r="AE46" s="1176" t="inlineStr">
        <is>
          <t>=</t>
        </is>
      </c>
      <c r="AF46" s="1427">
        <f>SUM(AF43:AK45)</f>
        <v/>
      </c>
      <c r="AG46" s="2614" t="n"/>
      <c r="AH46" s="2614" t="n"/>
      <c r="AI46" s="2614" t="n"/>
      <c r="AJ46" s="2614" t="n"/>
      <c r="AK46" s="2614" t="n"/>
      <c r="AL46" s="872" t="inlineStr">
        <is>
          <t>UvKv</t>
        </is>
      </c>
      <c r="AM46" s="2617" t="n"/>
      <c r="AN46" s="64" t="n"/>
      <c r="AO46" s="293" t="n"/>
      <c r="AP46" s="1324" t="n"/>
      <c r="AQ46" s="64" t="n"/>
      <c r="AR46" s="64" t="n"/>
      <c r="AS46" s="748" t="n"/>
      <c r="AT46" s="64" t="n"/>
      <c r="AU46" s="103" t="n"/>
      <c r="AV46" s="103" t="n"/>
      <c r="AW46" s="103" t="n"/>
      <c r="AX46" s="103" t="n"/>
      <c r="AY46" s="103" t="n"/>
      <c r="AZ46" s="103" t="n"/>
      <c r="BA46" s="103" t="n"/>
      <c r="BB46" s="103" t="n"/>
      <c r="BC46" s="103" t="n"/>
      <c r="BD46" s="103" t="n"/>
      <c r="BE46" s="103" t="n"/>
    </row>
    <row r="47" ht="20.25" customHeight="1">
      <c r="A47" s="1395" t="inlineStr">
        <is>
          <t>14|</t>
        </is>
      </c>
      <c r="B47" s="1393" t="inlineStr">
        <is>
          <t>‡gŠRvi weµq g~j¨(‡gŠRv †iU)</t>
        </is>
      </c>
      <c r="C47" s="2624" t="n"/>
      <c r="D47" s="2624" t="n"/>
      <c r="E47" s="2624" t="n"/>
      <c r="F47" s="2624" t="n"/>
      <c r="G47" s="2624" t="n"/>
      <c r="H47" s="2624" t="n"/>
      <c r="I47" s="2624" t="n"/>
      <c r="J47" s="2624" t="n"/>
      <c r="K47" s="603" t="inlineStr">
        <is>
          <t xml:space="preserve">cÖwZ kZvsk </t>
        </is>
      </c>
      <c r="N47" s="1428" t="n"/>
      <c r="O47" s="2615" t="n"/>
      <c r="P47" s="2616" t="n"/>
      <c r="Q47" s="600" t="inlineStr">
        <is>
          <t>jÿ UvKv wnmv‡e</t>
        </is>
      </c>
      <c r="R47" s="1429" t="n"/>
      <c r="S47" s="600" t="n"/>
      <c r="T47" s="600" t="n"/>
      <c r="U47" s="600" t="n"/>
      <c r="V47" s="1430" t="n"/>
      <c r="W47" s="1416" t="inlineStr">
        <is>
          <t>K)</t>
        </is>
      </c>
      <c r="X47" s="1241" t="inlineStr">
        <is>
          <t>Rwgi g~j¨</t>
        </is>
      </c>
      <c r="Y47" s="2624" t="n"/>
      <c r="Z47" s="2624" t="n"/>
      <c r="AA47" s="2624" t="n"/>
      <c r="AB47" s="2624" t="n"/>
      <c r="AC47" s="2624" t="n"/>
      <c r="AD47" s="2624" t="n"/>
      <c r="AE47" s="777" t="inlineStr">
        <is>
          <t>=</t>
        </is>
      </c>
      <c r="AF47" s="1418">
        <f>R20*N47*100000*100</f>
        <v/>
      </c>
      <c r="AG47" s="2624" t="n"/>
      <c r="AH47" s="2624" t="n"/>
      <c r="AI47" s="2624" t="n"/>
      <c r="AJ47" s="2624" t="n"/>
      <c r="AK47" s="2624" t="n"/>
      <c r="AL47" s="908">
        <f>IF(AF47&gt;0,"UvKv","")</f>
        <v/>
      </c>
      <c r="AM47" s="2642" t="n"/>
      <c r="AN47" s="64" t="n"/>
      <c r="AO47" s="293" t="n"/>
      <c r="AP47" s="1324" t="n"/>
      <c r="AQ47" s="64" t="n"/>
      <c r="AR47" s="64" t="n"/>
      <c r="AS47" s="748" t="n"/>
      <c r="AT47" s="64" t="n"/>
      <c r="AU47" s="103" t="n"/>
      <c r="AV47" s="103" t="n"/>
      <c r="AW47" s="103" t="n"/>
      <c r="AX47" s="103" t="n"/>
      <c r="AY47" s="103" t="n"/>
      <c r="AZ47" s="103" t="n"/>
      <c r="BA47" s="103" t="n"/>
      <c r="BB47" s="103" t="n"/>
      <c r="BC47" s="103" t="n"/>
      <c r="BD47" s="103" t="n"/>
      <c r="BE47" s="103" t="n"/>
    </row>
    <row r="48" ht="20.25" customHeight="1">
      <c r="A48" s="2673" t="n"/>
      <c r="B48" s="1410" t="inlineStr">
        <is>
          <t>(Mouja Sale Value)</t>
        </is>
      </c>
      <c r="C48" s="295" t="n"/>
      <c r="D48" s="295" t="n"/>
      <c r="E48" s="295" t="n"/>
      <c r="F48" s="295" t="n"/>
      <c r="G48" s="295" t="n"/>
      <c r="H48" s="295" t="n"/>
      <c r="I48" s="295" t="inlineStr">
        <is>
          <t>(1264069 x 4.00)</t>
        </is>
      </c>
      <c r="J48" s="295" t="n"/>
      <c r="K48" s="295" t="n"/>
      <c r="L48" s="295" t="n"/>
      <c r="M48" s="295" t="n"/>
      <c r="N48" s="295" t="n"/>
      <c r="O48" s="295" t="n"/>
      <c r="P48" s="295" t="n"/>
      <c r="Q48" s="295" t="n"/>
      <c r="R48" s="1250" t="n"/>
      <c r="S48" s="295" t="n"/>
      <c r="T48" s="295" t="n"/>
      <c r="U48" s="295" t="n"/>
      <c r="V48" s="1431" t="n"/>
      <c r="W48" s="1420" t="inlineStr">
        <is>
          <t>L)</t>
        </is>
      </c>
      <c r="X48" s="295" t="inlineStr">
        <is>
          <t>BgviZ /d¬¨vU</t>
        </is>
      </c>
      <c r="AE48" s="803" t="inlineStr">
        <is>
          <t>=</t>
        </is>
      </c>
      <c r="AF48" s="899">
        <f>'LF-5'!AB75</f>
        <v/>
      </c>
      <c r="AL48" s="1412">
        <f>IF(AF48&gt;0,"UvKv","")</f>
        <v/>
      </c>
      <c r="AM48" s="2641" t="n"/>
      <c r="AN48" s="64" t="n"/>
      <c r="AO48" s="293" t="n"/>
      <c r="AP48" s="1324" t="n"/>
      <c r="AQ48" s="64" t="n"/>
      <c r="AR48" s="64" t="n"/>
      <c r="AS48" s="748" t="n"/>
      <c r="AT48" s="64" t="n"/>
      <c r="AU48" s="103" t="n"/>
      <c r="AV48" s="103" t="n"/>
      <c r="AW48" s="103" t="n"/>
      <c r="AX48" s="103" t="n"/>
      <c r="AY48" s="103" t="n"/>
      <c r="AZ48" s="103" t="n"/>
      <c r="BA48" s="103" t="n"/>
      <c r="BB48" s="103" t="n"/>
      <c r="BC48" s="103" t="n"/>
      <c r="BD48" s="103" t="n"/>
      <c r="BE48" s="103" t="n"/>
    </row>
    <row r="49" ht="20.25" customHeight="1">
      <c r="A49" s="2673" t="n"/>
      <c r="B49" s="1410" t="n"/>
      <c r="C49" s="295" t="n"/>
      <c r="D49" s="295" t="n"/>
      <c r="E49" s="295" t="n"/>
      <c r="F49" s="295" t="n"/>
      <c r="G49" s="295" t="n"/>
      <c r="H49" s="295" t="n"/>
      <c r="I49" s="295" t="n"/>
      <c r="J49" s="295" t="n"/>
      <c r="K49" s="64" t="n"/>
      <c r="L49" s="64" t="n"/>
      <c r="M49" s="354" t="n"/>
      <c r="N49" s="354" t="n"/>
      <c r="O49" s="354" t="n"/>
      <c r="P49" s="354" t="n"/>
      <c r="Q49" s="354" t="n"/>
      <c r="R49" s="1562" t="n"/>
      <c r="S49" s="354" t="n"/>
      <c r="T49" s="354" t="n"/>
      <c r="U49" s="354" t="n"/>
      <c r="V49" s="1431" t="n"/>
      <c r="W49" s="1420" t="inlineStr">
        <is>
          <t>M)</t>
        </is>
      </c>
      <c r="X49" s="295" t="inlineStr">
        <is>
          <t>hš¿cvwZ</t>
        </is>
      </c>
      <c r="AE49" s="803" t="inlineStr">
        <is>
          <t>=</t>
        </is>
      </c>
      <c r="AF49" s="899" t="n"/>
      <c r="AL49" s="1412">
        <f>IF(AF49&gt;0,"UvKv","")</f>
        <v/>
      </c>
      <c r="AM49" s="2641" t="n"/>
      <c r="AN49" s="64" t="n"/>
      <c r="AO49" s="293" t="n"/>
      <c r="AP49" s="1324" t="n"/>
      <c r="AQ49" s="64" t="n"/>
      <c r="AR49" s="64" t="n"/>
      <c r="AS49" s="748" t="n"/>
      <c r="AT49" s="64" t="n"/>
      <c r="AU49" s="103" t="n"/>
      <c r="AV49" s="103" t="n"/>
      <c r="AW49" s="103" t="n"/>
      <c r="AX49" s="103" t="n"/>
      <c r="AY49" s="103" t="n"/>
      <c r="AZ49" s="103" t="n"/>
      <c r="BA49" s="103" t="n"/>
      <c r="BB49" s="103" t="n"/>
      <c r="BC49" s="103" t="n"/>
      <c r="BD49" s="103" t="n"/>
      <c r="BE49" s="103" t="n"/>
    </row>
    <row r="50" ht="20.25" customHeight="1">
      <c r="A50" s="2618" t="n"/>
      <c r="B50" s="1394" t="n"/>
      <c r="C50" s="1471" t="n"/>
      <c r="D50" s="1471" t="n"/>
      <c r="E50" s="1471" t="n"/>
      <c r="F50" s="1471" t="n"/>
      <c r="G50" s="1471" t="n"/>
      <c r="H50" s="1471" t="n"/>
      <c r="I50" s="1471" t="n"/>
      <c r="J50" s="1471" t="n"/>
      <c r="K50" s="1471" t="n"/>
      <c r="L50" s="1471" t="n"/>
      <c r="M50" s="1471" t="n"/>
      <c r="N50" s="1471" t="n"/>
      <c r="O50" s="1471" t="n"/>
      <c r="P50" s="1471" t="n"/>
      <c r="Q50" s="1471" t="n"/>
      <c r="R50" s="1263" t="n"/>
      <c r="S50" s="1471" t="n"/>
      <c r="T50" s="1471" t="n"/>
      <c r="U50" s="1471" t="n"/>
      <c r="V50" s="1432" t="n"/>
      <c r="W50" s="1424" t="inlineStr">
        <is>
          <t>‡gvU g~j¨</t>
        </is>
      </c>
      <c r="X50" s="2614" t="n"/>
      <c r="Y50" s="2614" t="n"/>
      <c r="Z50" s="2614" t="n"/>
      <c r="AA50" s="2614" t="n"/>
      <c r="AB50" s="2614" t="n"/>
      <c r="AC50" s="2614" t="n"/>
      <c r="AD50" s="2614" t="n"/>
      <c r="AE50" s="1176" t="inlineStr">
        <is>
          <t>=</t>
        </is>
      </c>
      <c r="AF50" s="1427">
        <f>SUM(AF47:AK49)</f>
        <v/>
      </c>
      <c r="AG50" s="2614" t="n"/>
      <c r="AH50" s="2614" t="n"/>
      <c r="AI50" s="2614" t="n"/>
      <c r="AJ50" s="2614" t="n"/>
      <c r="AK50" s="2614" t="n"/>
      <c r="AL50" s="908" t="inlineStr">
        <is>
          <t>UvKv</t>
        </is>
      </c>
      <c r="AM50" s="2642" t="n"/>
      <c r="AN50" s="64" t="n"/>
      <c r="AO50" s="293" t="n"/>
      <c r="AP50" s="1324" t="n"/>
      <c r="AQ50" s="64" t="n"/>
      <c r="AR50" s="64" t="n"/>
      <c r="AS50" s="748" t="n"/>
      <c r="AT50" s="64" t="n"/>
      <c r="AU50" s="103" t="n"/>
      <c r="AV50" s="103" t="n"/>
      <c r="AW50" s="103" t="n"/>
      <c r="AX50" s="103" t="n"/>
      <c r="AY50" s="103" t="n"/>
      <c r="AZ50" s="103" t="n"/>
      <c r="BA50" s="103" t="n"/>
      <c r="BB50" s="103" t="n"/>
      <c r="BC50" s="103" t="n"/>
      <c r="BD50" s="103" t="n"/>
      <c r="BE50" s="103" t="n"/>
    </row>
    <row r="51" ht="20.25" customHeight="1">
      <c r="A51" s="1395" t="inlineStr">
        <is>
          <t>15|</t>
        </is>
      </c>
      <c r="B51" s="2309" t="inlineStr">
        <is>
          <t xml:space="preserve">mv‡f©qvi †Kv¤úvbx KZ©„K wbiæwcZ g~j¨ </t>
        </is>
      </c>
      <c r="C51" s="2624" t="n"/>
      <c r="D51" s="2624" t="n"/>
      <c r="E51" s="2624" t="n"/>
      <c r="F51" s="2624" t="n"/>
      <c r="G51" s="2624" t="n"/>
      <c r="H51" s="2624" t="n"/>
      <c r="I51" s="2624" t="n"/>
      <c r="J51" s="2624" t="n"/>
      <c r="K51" s="2624" t="n"/>
      <c r="L51" s="2624" t="n"/>
      <c r="M51" s="2624" t="n"/>
      <c r="N51" s="2624" t="n"/>
      <c r="O51" s="2624" t="n"/>
      <c r="P51" s="2624" t="n"/>
      <c r="Q51" s="2624" t="n"/>
      <c r="R51" s="2624" t="n"/>
      <c r="S51" s="2624" t="n"/>
      <c r="T51" s="2624" t="n"/>
      <c r="U51" s="2624" t="n"/>
      <c r="V51" s="2642" t="n"/>
      <c r="W51" s="1416" t="inlineStr">
        <is>
          <t>K)</t>
        </is>
      </c>
      <c r="X51" s="1241" t="inlineStr">
        <is>
          <t>Rwgi g~j¨</t>
        </is>
      </c>
      <c r="Y51" s="2624" t="n"/>
      <c r="Z51" s="2624" t="n"/>
      <c r="AA51" s="2624" t="n"/>
      <c r="AB51" s="2624" t="n"/>
      <c r="AC51" s="2624" t="n"/>
      <c r="AD51" s="2624" t="n"/>
      <c r="AE51" s="777" t="inlineStr">
        <is>
          <t>=</t>
        </is>
      </c>
      <c r="AF51" s="1418" t="n"/>
      <c r="AG51" s="2624" t="n"/>
      <c r="AH51" s="2624" t="n"/>
      <c r="AI51" s="2624" t="n"/>
      <c r="AJ51" s="2624" t="n"/>
      <c r="AK51" s="2624" t="n"/>
      <c r="AL51" s="1419" t="inlineStr">
        <is>
          <t>UvKv</t>
        </is>
      </c>
      <c r="AM51" s="2624" t="n"/>
      <c r="AN51" s="64" t="n"/>
      <c r="AO51" s="293" t="n"/>
      <c r="AP51" s="1324" t="n"/>
      <c r="AQ51" s="64" t="n"/>
      <c r="AR51" s="64" t="n"/>
      <c r="AS51" s="748" t="n"/>
      <c r="AT51" s="64" t="n"/>
      <c r="AU51" s="103" t="n"/>
      <c r="AV51" s="103" t="n"/>
      <c r="AW51" s="103" t="n"/>
      <c r="AX51" s="103" t="n"/>
      <c r="AY51" s="103" t="n"/>
      <c r="AZ51" s="103" t="n"/>
      <c r="BA51" s="103" t="n"/>
      <c r="BB51" s="103" t="n"/>
      <c r="BC51" s="103" t="n"/>
      <c r="BD51" s="103" t="n"/>
      <c r="BE51" s="103" t="n"/>
    </row>
    <row r="52" ht="20.25" customHeight="1">
      <c r="A52" s="2673" t="n"/>
      <c r="B52" s="2713" t="inlineStr">
        <is>
          <t>(With Enclosure)</t>
        </is>
      </c>
      <c r="V52" s="2641" t="n"/>
      <c r="W52" s="1420" t="inlineStr">
        <is>
          <t>L)</t>
        </is>
      </c>
      <c r="X52" s="295" t="inlineStr">
        <is>
          <t>BgviZ /d¬¨vU</t>
        </is>
      </c>
      <c r="AE52" s="803" t="inlineStr">
        <is>
          <t>=</t>
        </is>
      </c>
      <c r="AF52" s="899">
        <f>'LF-5'!AB79</f>
        <v/>
      </c>
      <c r="AL52" s="789" t="inlineStr">
        <is>
          <t>UvKv</t>
        </is>
      </c>
      <c r="AN52" s="64" t="n"/>
      <c r="AO52" s="293" t="n"/>
      <c r="AP52" s="1324" t="n"/>
      <c r="AQ52" s="64" t="n"/>
      <c r="AR52" s="64" t="n"/>
      <c r="AS52" s="748" t="n"/>
      <c r="AT52" s="64" t="n"/>
      <c r="AU52" s="103" t="n"/>
      <c r="AV52" s="103" t="n"/>
      <c r="AW52" s="103" t="n"/>
      <c r="AX52" s="103" t="n"/>
      <c r="AY52" s="103" t="n"/>
      <c r="AZ52" s="103" t="n"/>
      <c r="BA52" s="103" t="n"/>
      <c r="BB52" s="103" t="n"/>
      <c r="BC52" s="103" t="n"/>
      <c r="BD52" s="103" t="n"/>
      <c r="BE52" s="103" t="n"/>
    </row>
    <row r="53" ht="20.25" customHeight="1">
      <c r="A53" s="2673" t="n"/>
      <c r="B53" s="1410" t="n"/>
      <c r="C53" s="295" t="n"/>
      <c r="D53" s="295" t="n"/>
      <c r="E53" s="295" t="n"/>
      <c r="F53" s="295" t="n"/>
      <c r="G53" s="295" t="n"/>
      <c r="H53" s="295" t="n"/>
      <c r="I53" s="295" t="n"/>
      <c r="J53" s="295" t="n"/>
      <c r="K53" s="295" t="n"/>
      <c r="L53" s="295" t="n"/>
      <c r="M53" s="295" t="n"/>
      <c r="N53" s="295" t="n"/>
      <c r="O53" s="295" t="n"/>
      <c r="P53" s="295" t="n"/>
      <c r="Q53" s="295" t="n"/>
      <c r="R53" s="1250" t="n"/>
      <c r="S53" s="295" t="n"/>
      <c r="T53" s="295" t="n"/>
      <c r="U53" s="295" t="n"/>
      <c r="V53" s="1431" t="n"/>
      <c r="W53" s="1420" t="inlineStr">
        <is>
          <t>M)</t>
        </is>
      </c>
      <c r="X53" s="295" t="inlineStr">
        <is>
          <t>hš¿cvwZ</t>
        </is>
      </c>
      <c r="AE53" s="803" t="inlineStr">
        <is>
          <t>=</t>
        </is>
      </c>
      <c r="AF53" s="899" t="n"/>
      <c r="AL53" s="874" t="inlineStr">
        <is>
          <t>UvKv</t>
        </is>
      </c>
      <c r="AM53" s="2613" t="n"/>
      <c r="AN53" s="64" t="n"/>
      <c r="AO53" s="293" t="n"/>
      <c r="AP53" s="1324" t="n"/>
      <c r="AQ53" s="64" t="n"/>
      <c r="AR53" s="64" t="n"/>
      <c r="AS53" s="748" t="n"/>
      <c r="AT53" s="64" t="n"/>
      <c r="AU53" s="103" t="n"/>
      <c r="AV53" s="103" t="n"/>
      <c r="AW53" s="103" t="n"/>
      <c r="AX53" s="103" t="n"/>
      <c r="AY53" s="103" t="n"/>
      <c r="AZ53" s="103" t="n"/>
      <c r="BA53" s="103" t="n"/>
      <c r="BB53" s="103" t="n"/>
      <c r="BC53" s="103" t="n"/>
      <c r="BD53" s="103" t="n"/>
      <c r="BE53" s="103" t="n"/>
    </row>
    <row r="54" ht="20.25" customHeight="1">
      <c r="A54" s="2618" t="n"/>
      <c r="B54" s="1394" t="n"/>
      <c r="C54" s="1471" t="n"/>
      <c r="D54" s="1471" t="n"/>
      <c r="E54" s="1471" t="n"/>
      <c r="F54" s="1471" t="n"/>
      <c r="G54" s="1471" t="n"/>
      <c r="H54" s="1471" t="n"/>
      <c r="I54" s="1471" t="n"/>
      <c r="J54" s="1471" t="n"/>
      <c r="K54" s="1471" t="n"/>
      <c r="L54" s="1471" t="n"/>
      <c r="M54" s="1471" t="n"/>
      <c r="N54" s="1471" t="n"/>
      <c r="O54" s="1471" t="n"/>
      <c r="P54" s="1471" t="n"/>
      <c r="Q54" s="1471" t="n"/>
      <c r="R54" s="1263" t="n"/>
      <c r="S54" s="1471" t="n"/>
      <c r="T54" s="1471" t="n"/>
      <c r="U54" s="1471" t="n"/>
      <c r="V54" s="1432" t="n"/>
      <c r="W54" s="1424" t="inlineStr">
        <is>
          <t>‡gvU g~j¨</t>
        </is>
      </c>
      <c r="X54" s="2614" t="n"/>
      <c r="Y54" s="2614" t="n"/>
      <c r="Z54" s="2614" t="n"/>
      <c r="AA54" s="2614" t="n"/>
      <c r="AB54" s="2614" t="n"/>
      <c r="AC54" s="2614" t="n"/>
      <c r="AD54" s="2614" t="n"/>
      <c r="AE54" s="1176" t="inlineStr">
        <is>
          <t>=</t>
        </is>
      </c>
      <c r="AF54" s="1427">
        <f>SUM(AF51:AK53)</f>
        <v/>
      </c>
      <c r="AG54" s="2614" t="n"/>
      <c r="AH54" s="2614" t="n"/>
      <c r="AI54" s="2614" t="n"/>
      <c r="AJ54" s="2614" t="n"/>
      <c r="AK54" s="2614" t="n"/>
      <c r="AL54" s="889" t="inlineStr">
        <is>
          <t>UvKv</t>
        </is>
      </c>
      <c r="AM54" s="2649" t="n"/>
      <c r="AN54" s="64" t="n"/>
      <c r="AO54" s="293" t="n"/>
      <c r="AP54" s="1324" t="n"/>
      <c r="AQ54" s="64" t="n"/>
      <c r="AR54" s="64" t="n"/>
      <c r="AS54" s="748" t="n"/>
      <c r="AT54" s="64" t="n"/>
      <c r="AU54" s="103" t="n"/>
      <c r="AV54" s="103" t="n"/>
      <c r="AW54" s="103" t="n"/>
      <c r="AX54" s="103" t="n"/>
      <c r="AY54" s="103" t="n"/>
      <c r="AZ54" s="103" t="n"/>
      <c r="BA54" s="103" t="n"/>
      <c r="BB54" s="103" t="n"/>
      <c r="BC54" s="103" t="n"/>
      <c r="BD54" s="103" t="n"/>
      <c r="BE54" s="103" t="n"/>
    </row>
    <row r="55" ht="20.25" customHeight="1">
      <c r="A55" s="2711" t="inlineStr">
        <is>
          <t>16|</t>
        </is>
      </c>
      <c r="B55" s="2309" t="inlineStr">
        <is>
          <t>c~‡e©i g~j¨vqbt  cÖ_g g~j¨vqb/2025</t>
        </is>
      </c>
      <c r="C55" s="2624" t="n"/>
      <c r="D55" s="2624" t="n"/>
      <c r="E55" s="2624" t="n"/>
      <c r="F55" s="2624" t="n"/>
      <c r="G55" s="2624" t="n"/>
      <c r="H55" s="2624" t="n"/>
      <c r="I55" s="2624" t="n"/>
      <c r="J55" s="2624" t="n"/>
      <c r="K55" s="2624" t="n"/>
      <c r="L55" s="2624" t="n"/>
      <c r="M55" s="2624" t="n"/>
      <c r="N55" s="2624" t="n"/>
      <c r="O55" s="2624" t="n"/>
      <c r="P55" s="2624" t="n"/>
      <c r="Q55" s="2624" t="n"/>
      <c r="R55" s="2624" t="n"/>
      <c r="S55" s="2624" t="n"/>
      <c r="T55" s="2624" t="n"/>
      <c r="U55" s="2624" t="n"/>
      <c r="V55" s="2642" t="n"/>
      <c r="W55" s="1436" t="inlineStr">
        <is>
          <t>g~j¨vq‡bi ZvwiL</t>
        </is>
      </c>
      <c r="X55" s="2614" t="n"/>
      <c r="Y55" s="2614" t="n"/>
      <c r="Z55" s="2614" t="n"/>
      <c r="AA55" s="2614" t="n"/>
      <c r="AB55" s="2614" t="n"/>
      <c r="AC55" s="2614" t="n"/>
      <c r="AD55" s="2617" t="n"/>
      <c r="AE55" s="905" t="inlineStr">
        <is>
          <t>g~j¨</t>
        </is>
      </c>
      <c r="AF55" s="2614" t="n"/>
      <c r="AG55" s="2614" t="n"/>
      <c r="AH55" s="2614" t="n"/>
      <c r="AI55" s="2614" t="n"/>
      <c r="AJ55" s="2614" t="n"/>
      <c r="AK55" s="2614" t="n"/>
      <c r="AL55" s="2614" t="n"/>
      <c r="AM55" s="2617" t="n"/>
      <c r="AN55" s="64" t="n"/>
      <c r="AO55" s="293" t="n"/>
      <c r="AP55" s="1324" t="n"/>
      <c r="AQ55" s="64" t="n"/>
      <c r="AR55" s="64" t="n"/>
      <c r="AS55" s="748" t="n"/>
      <c r="AT55" s="64" t="n"/>
      <c r="AU55" s="103" t="n"/>
      <c r="AV55" s="103" t="n"/>
      <c r="AW55" s="103" t="n"/>
      <c r="AX55" s="103" t="n"/>
      <c r="AY55" s="103" t="n"/>
      <c r="AZ55" s="103" t="n"/>
      <c r="BA55" s="103" t="n"/>
      <c r="BB55" s="103" t="n"/>
      <c r="BC55" s="103" t="n"/>
      <c r="BD55" s="103" t="n"/>
      <c r="BE55" s="103" t="n"/>
    </row>
    <row r="56" ht="20.25" customHeight="1">
      <c r="A56" s="2647" t="n"/>
      <c r="B56" s="1028" t="inlineStr">
        <is>
          <t>KZZg g~j¨vqb I g~j¨ (eQi wfwËK) Ges g~j¨vqb eQi t (wØZxq evi/</t>
        </is>
      </c>
      <c r="V56" s="2641" t="n"/>
      <c r="W56" s="1438" t="n">
        <v>45666</v>
      </c>
      <c r="X56" s="2694" t="n"/>
      <c r="Y56" s="2694" t="n"/>
      <c r="Z56" s="2694" t="n"/>
      <c r="AA56" s="2694" t="n"/>
      <c r="AB56" s="2694" t="n"/>
      <c r="AC56" s="2694" t="n"/>
      <c r="AD56" s="2708" t="n"/>
      <c r="AE56" s="1441">
        <f>W60</f>
        <v/>
      </c>
      <c r="AF56" s="2614" t="n"/>
      <c r="AG56" s="2614" t="n"/>
      <c r="AH56" s="2614" t="n"/>
      <c r="AI56" s="2614" t="n"/>
      <c r="AJ56" s="2614" t="n"/>
      <c r="AK56" s="2614" t="n"/>
      <c r="AL56" s="2614" t="n"/>
      <c r="AM56" s="2658" t="n"/>
      <c r="AN56" s="64" t="n"/>
      <c r="AO56" s="293" t="n"/>
      <c r="AP56" s="1324" t="n"/>
      <c r="AQ56" s="64" t="n"/>
      <c r="AR56" s="64" t="n"/>
      <c r="AS56" s="748" t="n"/>
      <c r="AT56" s="64" t="n"/>
      <c r="AU56" s="103" t="n"/>
      <c r="AV56" s="103" t="n"/>
      <c r="AW56" s="103" t="n"/>
      <c r="AX56" s="103" t="n"/>
      <c r="AY56" s="103" t="n"/>
      <c r="AZ56" s="103" t="n"/>
      <c r="BA56" s="103" t="n"/>
      <c r="BB56" s="103" t="n"/>
      <c r="BC56" s="103" t="n"/>
      <c r="BD56" s="103" t="n"/>
      <c r="BE56" s="103" t="n"/>
    </row>
    <row r="57" ht="20.25" customHeight="1">
      <c r="A57" s="2648" t="n"/>
      <c r="B57" s="1423" t="inlineStr">
        <is>
          <t>Z„Zxq evi ZrcieZx© I mswkøó eQi)</t>
        </is>
      </c>
      <c r="C57" s="2613" t="n"/>
      <c r="D57" s="2613" t="n"/>
      <c r="E57" s="2613" t="n"/>
      <c r="F57" s="2613" t="n"/>
      <c r="G57" s="2613" t="n"/>
      <c r="H57" s="2613" t="n"/>
      <c r="I57" s="2613" t="n"/>
      <c r="J57" s="2613" t="n"/>
      <c r="K57" s="2613" t="n"/>
      <c r="L57" s="2613" t="n"/>
      <c r="M57" s="2613" t="n"/>
      <c r="N57" s="2613" t="n"/>
      <c r="O57" s="2613" t="n"/>
      <c r="P57" s="2613" t="n"/>
      <c r="Q57" s="2613" t="n"/>
      <c r="R57" s="2613" t="n"/>
      <c r="S57" s="2613" t="n"/>
      <c r="T57" s="2613" t="n"/>
      <c r="U57" s="2613" t="n"/>
      <c r="V57" s="2649" t="n"/>
      <c r="W57" s="1445" t="inlineStr">
        <is>
          <t xml:space="preserve">   </t>
        </is>
      </c>
      <c r="X57" s="2614" t="n"/>
      <c r="Y57" s="2614" t="n"/>
      <c r="Z57" s="2614" t="n"/>
      <c r="AA57" s="2614" t="n"/>
      <c r="AB57" s="2614" t="n"/>
      <c r="AC57" s="2614" t="n"/>
      <c r="AD57" s="2617" t="n"/>
      <c r="AE57" s="905" t="n"/>
      <c r="AF57" s="2614" t="n"/>
      <c r="AG57" s="2614" t="n"/>
      <c r="AH57" s="2614" t="n"/>
      <c r="AI57" s="2614" t="n"/>
      <c r="AJ57" s="2614" t="n"/>
      <c r="AK57" s="2614" t="n"/>
      <c r="AL57" s="2614" t="n"/>
      <c r="AM57" s="2617" t="n"/>
      <c r="AN57" s="64" t="n"/>
      <c r="AO57" s="293" t="n"/>
      <c r="AP57" s="1324" t="n"/>
      <c r="AQ57" s="64" t="n"/>
      <c r="AR57" s="64" t="n"/>
      <c r="AS57" s="748" t="n"/>
      <c r="AT57" s="64" t="n"/>
      <c r="AU57" s="103" t="n"/>
      <c r="AV57" s="103" t="n"/>
      <c r="AW57" s="103" t="n"/>
      <c r="AX57" s="103" t="n"/>
      <c r="AY57" s="103" t="n"/>
      <c r="AZ57" s="103" t="n"/>
      <c r="BA57" s="103" t="n"/>
      <c r="BB57" s="103" t="n"/>
      <c r="BC57" s="103" t="n"/>
      <c r="BD57" s="103" t="n"/>
      <c r="BE57" s="103" t="n"/>
    </row>
    <row r="58" ht="20.25" customHeight="1">
      <c r="A58" s="903" t="inlineStr">
        <is>
          <t>17|</t>
        </is>
      </c>
      <c r="B58" s="2309" t="inlineStr">
        <is>
          <t>wbiƒwcZ g~j¨</t>
        </is>
      </c>
      <c r="C58" s="2624" t="n"/>
      <c r="D58" s="2624" t="n"/>
      <c r="E58" s="2624" t="n"/>
      <c r="F58" s="2624" t="n"/>
      <c r="G58" s="2624" t="n"/>
      <c r="H58" s="2624" t="n"/>
      <c r="I58" s="2624" t="n"/>
      <c r="J58" s="2624" t="n"/>
      <c r="K58" s="2624" t="n"/>
      <c r="L58" s="2624" t="n"/>
      <c r="M58" s="2624" t="n"/>
      <c r="N58" s="2624" t="n"/>
      <c r="O58" s="2624" t="n"/>
      <c r="P58" s="2624" t="n"/>
      <c r="Q58" s="2624" t="n"/>
      <c r="R58" s="2624" t="n"/>
      <c r="S58" s="2624" t="n"/>
      <c r="T58" s="2624" t="n"/>
      <c r="U58" s="2624" t="n"/>
      <c r="V58" s="2642" t="n"/>
      <c r="W58" s="1416" t="inlineStr">
        <is>
          <t>K) wbiƒwcZ g~j¨</t>
        </is>
      </c>
      <c r="X58" s="1241" t="n"/>
      <c r="Y58" s="1241" t="n"/>
      <c r="Z58" s="1447" t="n"/>
      <c r="AA58" s="1186" t="inlineStr">
        <is>
          <t>L) MÖnb †hvM¨ g~j¨ (GgwmGj)</t>
        </is>
      </c>
      <c r="AB58" s="2614" t="n"/>
      <c r="AC58" s="2614" t="n"/>
      <c r="AD58" s="2614" t="n"/>
      <c r="AE58" s="2614" t="n"/>
      <c r="AF58" s="2614" t="n"/>
      <c r="AG58" s="2614" t="n"/>
      <c r="AH58" s="2614" t="n"/>
      <c r="AI58" s="2614" t="n"/>
      <c r="AJ58" s="2614" t="n"/>
      <c r="AK58" s="2614" t="n"/>
      <c r="AL58" s="2614" t="n"/>
      <c r="AM58" s="2617" t="n"/>
      <c r="AN58" s="64" t="n"/>
      <c r="AO58" s="293" t="n"/>
      <c r="AP58" s="1324" t="n"/>
      <c r="AQ58" s="64" t="n"/>
      <c r="AR58" s="64" t="n"/>
      <c r="AS58" s="748" t="n"/>
      <c r="AT58" s="64" t="n"/>
      <c r="AU58" s="103" t="n"/>
      <c r="AV58" s="103" t="n"/>
      <c r="AW58" s="103" t="n"/>
      <c r="AX58" s="103" t="n"/>
      <c r="AY58" s="103" t="n"/>
      <c r="AZ58" s="103" t="n"/>
      <c r="BA58" s="103" t="n"/>
      <c r="BB58" s="103" t="n"/>
      <c r="BC58" s="103" t="n"/>
      <c r="BD58" s="103" t="n"/>
      <c r="BE58" s="103" t="n"/>
    </row>
    <row r="59" ht="20.25" customHeight="1">
      <c r="A59" s="2673" t="n"/>
      <c r="B59" s="2326" t="inlineStr">
        <is>
          <t>( Projected Value )</t>
        </is>
      </c>
      <c r="C59" s="2613" t="n"/>
      <c r="D59" s="2613" t="n"/>
      <c r="E59" s="2613" t="n"/>
      <c r="F59" s="2613" t="n"/>
      <c r="G59" s="2613" t="n"/>
      <c r="H59" s="2613" t="n"/>
      <c r="I59" s="2613" t="n"/>
      <c r="J59" s="2613" t="n"/>
      <c r="K59" s="2613" t="n"/>
      <c r="L59" s="2613" t="n"/>
      <c r="M59" s="2613" t="n"/>
      <c r="N59" s="2613" t="n"/>
      <c r="O59" s="2613" t="n"/>
      <c r="P59" s="2613" t="n"/>
      <c r="Q59" s="2613" t="n"/>
      <c r="R59" s="2613" t="n"/>
      <c r="S59" s="2613" t="n"/>
      <c r="T59" s="2613" t="n"/>
      <c r="U59" s="2613" t="n"/>
      <c r="V59" s="2649" t="n"/>
      <c r="W59" s="2714" t="inlineStr">
        <is>
          <t>Projected Value</t>
        </is>
      </c>
      <c r="X59" s="2613" t="n"/>
      <c r="Y59" s="2613" t="n"/>
      <c r="Z59" s="2649" t="n"/>
      <c r="AA59" s="1455" t="inlineStr">
        <is>
          <t>MCL%</t>
        </is>
      </c>
      <c r="AB59" s="2624" t="n"/>
      <c r="AC59" s="2624" t="n"/>
      <c r="AD59" s="2624" t="n"/>
      <c r="AE59" s="2642" t="n"/>
      <c r="AF59" s="1457" t="inlineStr">
        <is>
          <t>MCL g~j¨</t>
        </is>
      </c>
      <c r="AG59" s="2624" t="n"/>
      <c r="AH59" s="2624" t="n"/>
      <c r="AI59" s="2624" t="n"/>
      <c r="AJ59" s="2624" t="n"/>
      <c r="AK59" s="2624" t="n"/>
      <c r="AL59" s="2624" t="n"/>
      <c r="AM59" s="2642" t="n"/>
      <c r="AN59" s="64" t="n"/>
      <c r="AO59" s="293" t="n"/>
      <c r="AP59" s="1324" t="n"/>
      <c r="AQ59" s="64" t="n"/>
      <c r="AR59" s="64" t="n"/>
      <c r="AS59" s="748" t="n"/>
      <c r="AT59" s="64" t="n"/>
      <c r="AU59" s="103" t="n"/>
      <c r="AV59" s="103" t="n"/>
      <c r="AW59" s="103" t="n"/>
      <c r="AX59" s="103" t="n"/>
      <c r="AY59" s="103" t="n"/>
      <c r="AZ59" s="103" t="n"/>
      <c r="BA59" s="103" t="n"/>
      <c r="BB59" s="103" t="n"/>
      <c r="BC59" s="103" t="n"/>
      <c r="BD59" s="103" t="n"/>
      <c r="BE59" s="103" t="n"/>
    </row>
    <row r="60" ht="20.25" customHeight="1">
      <c r="A60" s="2673" t="n"/>
      <c r="B60" s="1461" t="n"/>
      <c r="C60" s="1462" t="n"/>
      <c r="D60" s="1241" t="n"/>
      <c r="E60" s="1241" t="n"/>
      <c r="F60" s="1463" t="n"/>
      <c r="G60" s="1463" t="n"/>
      <c r="H60" s="1463" t="n"/>
      <c r="I60" s="1463" t="n"/>
      <c r="J60" s="1463" t="n"/>
      <c r="K60" s="1241" t="n"/>
      <c r="L60" s="1241" t="n"/>
      <c r="M60" s="1241" t="n"/>
      <c r="N60" s="1241" t="n"/>
      <c r="O60" s="1241" t="n"/>
      <c r="P60" s="1241" t="inlineStr">
        <is>
          <t>K)</t>
        </is>
      </c>
      <c r="Q60" s="1241" t="inlineStr">
        <is>
          <t>Rwgi g~j¨</t>
        </is>
      </c>
      <c r="R60" s="1243" t="n"/>
      <c r="S60" s="1241" t="n"/>
      <c r="T60" s="1241" t="n"/>
      <c r="U60" s="1241" t="n"/>
      <c r="V60" s="1430" t="inlineStr">
        <is>
          <t>=</t>
        </is>
      </c>
      <c r="W60" s="868">
        <f>AF64</f>
        <v/>
      </c>
      <c r="X60" s="2624" t="n"/>
      <c r="Y60" s="2624" t="n"/>
      <c r="Z60" s="2624" t="n"/>
      <c r="AA60" s="2715" t="n">
        <v>0.75</v>
      </c>
      <c r="AB60" s="2624" t="n"/>
      <c r="AC60" s="2624" t="n"/>
      <c r="AD60" s="2624" t="n"/>
      <c r="AE60" s="2642" t="n"/>
      <c r="AF60" s="1418">
        <f>W60*AA60</f>
        <v/>
      </c>
      <c r="AG60" s="2624" t="n"/>
      <c r="AH60" s="2624" t="n"/>
      <c r="AI60" s="2624" t="n"/>
      <c r="AJ60" s="2624" t="n"/>
      <c r="AK60" s="2624" t="n"/>
      <c r="AL60" s="1447">
        <f>IF(AF60&gt;0,"UvKv","")</f>
        <v/>
      </c>
      <c r="AM60" s="2642" t="n"/>
      <c r="AN60" s="64" t="n"/>
      <c r="AO60" s="293" t="n"/>
      <c r="AP60" s="1324" t="n"/>
      <c r="AQ60" s="64" t="n"/>
      <c r="AR60" s="64" t="n"/>
      <c r="AS60" s="748" t="n"/>
      <c r="AT60" s="64" t="n"/>
      <c r="AU60" s="103" t="n"/>
      <c r="AV60" s="103" t="n"/>
      <c r="AW60" s="103" t="n"/>
      <c r="AX60" s="103" t="n"/>
      <c r="AY60" s="103" t="n"/>
      <c r="AZ60" s="103" t="n"/>
      <c r="BA60" s="103" t="n"/>
      <c r="BB60" s="103" t="n"/>
      <c r="BC60" s="103" t="n"/>
      <c r="BD60" s="103" t="n"/>
      <c r="BE60" s="103" t="n"/>
    </row>
    <row r="61" ht="20.25" customHeight="1">
      <c r="A61" s="2673" t="n"/>
      <c r="B61" s="1252" t="n"/>
      <c r="C61" s="1467" t="n"/>
      <c r="D61" s="295" t="n"/>
      <c r="E61" s="295" t="n"/>
      <c r="F61" s="64" t="n"/>
      <c r="G61" s="64" t="n"/>
      <c r="H61" s="64" t="n"/>
      <c r="I61" s="64" t="n"/>
      <c r="J61" s="64" t="n"/>
      <c r="K61" s="295" t="n"/>
      <c r="L61" s="295" t="n"/>
      <c r="M61" s="295" t="n"/>
      <c r="N61" s="295" t="n"/>
      <c r="O61" s="295" t="n"/>
      <c r="P61" s="295" t="inlineStr">
        <is>
          <t>L)</t>
        </is>
      </c>
      <c r="Q61" s="295" t="inlineStr">
        <is>
          <t>BgviZ /d¬¨vU</t>
        </is>
      </c>
      <c r="R61" s="1250" t="n"/>
      <c r="S61" s="295" t="n"/>
      <c r="T61" s="295" t="n"/>
      <c r="U61" s="295" t="n"/>
      <c r="V61" s="1431" t="inlineStr">
        <is>
          <t>=</t>
        </is>
      </c>
      <c r="W61" s="790" t="n"/>
      <c r="AA61" s="2716" t="n"/>
      <c r="AE61" s="2641" t="n"/>
      <c r="AF61" s="899" t="n"/>
      <c r="AL61" s="1046">
        <f>IF(AF61&gt;0,"UvKv","")</f>
        <v/>
      </c>
      <c r="AM61" s="2641" t="n"/>
      <c r="AN61" s="64" t="n"/>
      <c r="AO61" s="293" t="n"/>
      <c r="AP61" s="1324" t="n"/>
      <c r="AQ61" s="64" t="n"/>
      <c r="AR61" s="64" t="n"/>
      <c r="AS61" s="748" t="n"/>
      <c r="AT61" s="64" t="n"/>
      <c r="AU61" s="103" t="n"/>
      <c r="AV61" s="103" t="n"/>
      <c r="AW61" s="103" t="n"/>
      <c r="AX61" s="103" t="n"/>
      <c r="AY61" s="103" t="n"/>
      <c r="AZ61" s="103" t="n"/>
      <c r="BA61" s="103" t="n"/>
      <c r="BB61" s="103" t="n"/>
      <c r="BC61" s="103" t="n"/>
      <c r="BD61" s="103" t="n"/>
      <c r="BE61" s="103" t="n"/>
    </row>
    <row r="62" ht="20.25" customHeight="1">
      <c r="A62" s="2673" t="n"/>
      <c r="B62" s="1258" t="n"/>
      <c r="C62" s="1449" t="n"/>
      <c r="D62" s="1471" t="n"/>
      <c r="E62" s="1471" t="n"/>
      <c r="F62" s="1261" t="n"/>
      <c r="G62" s="1261" t="n"/>
      <c r="H62" s="1261" t="n"/>
      <c r="I62" s="1261" t="n"/>
      <c r="J62" s="1261" t="n"/>
      <c r="K62" s="1471" t="n"/>
      <c r="L62" s="1471" t="n"/>
      <c r="M62" s="1471" t="n"/>
      <c r="N62" s="1471" t="n"/>
      <c r="O62" s="1471" t="n"/>
      <c r="P62" s="1471" t="inlineStr">
        <is>
          <t>M)</t>
        </is>
      </c>
      <c r="Q62" s="1471" t="inlineStr">
        <is>
          <t>hš¿cvwZ</t>
        </is>
      </c>
      <c r="R62" s="1263" t="n"/>
      <c r="S62" s="1471" t="n"/>
      <c r="T62" s="1471" t="n"/>
      <c r="U62" s="1471" t="n"/>
      <c r="V62" s="1432" t="inlineStr">
        <is>
          <t>=</t>
        </is>
      </c>
      <c r="W62" s="790" t="n"/>
      <c r="AA62" s="2716" t="n"/>
      <c r="AE62" s="2641" t="n"/>
      <c r="AF62" s="899" t="n"/>
      <c r="AL62" s="1472">
        <f>IF(AF62&gt;0,"UvKv","")</f>
        <v/>
      </c>
      <c r="AM62" s="2649" t="n"/>
      <c r="AN62" s="64" t="n"/>
      <c r="AO62" s="293" t="n"/>
      <c r="AP62" s="1324" t="n"/>
      <c r="AQ62" s="64" t="n"/>
      <c r="AR62" s="64" t="n"/>
      <c r="AS62" s="748" t="n"/>
      <c r="AT62" s="64" t="n"/>
      <c r="AU62" s="103" t="n"/>
      <c r="AV62" s="103" t="n"/>
      <c r="AW62" s="103" t="n"/>
      <c r="AX62" s="103" t="n"/>
      <c r="AY62" s="103" t="n"/>
      <c r="AZ62" s="103" t="n"/>
      <c r="BA62" s="103" t="n"/>
      <c r="BB62" s="103" t="n"/>
      <c r="BC62" s="103" t="n"/>
      <c r="BD62" s="103" t="n"/>
      <c r="BE62" s="103" t="n"/>
    </row>
    <row r="63" ht="20.25" customHeight="1">
      <c r="A63" s="2618" t="n"/>
      <c r="B63" s="869" t="inlineStr">
        <is>
          <t>‡gvU g~j¨</t>
        </is>
      </c>
      <c r="C63" s="2614" t="n"/>
      <c r="D63" s="2614" t="n"/>
      <c r="E63" s="2614" t="n"/>
      <c r="F63" s="2614" t="n"/>
      <c r="G63" s="2614" t="n"/>
      <c r="H63" s="2614" t="n"/>
      <c r="I63" s="2614" t="n"/>
      <c r="J63" s="2614" t="n"/>
      <c r="K63" s="2614" t="n"/>
      <c r="L63" s="2614" t="n"/>
      <c r="M63" s="2614" t="n"/>
      <c r="N63" s="2614" t="n"/>
      <c r="O63" s="2614" t="n"/>
      <c r="P63" s="2614" t="n"/>
      <c r="Q63" s="2614" t="n"/>
      <c r="R63" s="2614" t="n"/>
      <c r="S63" s="2614" t="n"/>
      <c r="T63" s="2614" t="n"/>
      <c r="U63" s="2614" t="n"/>
      <c r="V63" s="1432" t="inlineStr">
        <is>
          <t>=</t>
        </is>
      </c>
      <c r="W63" s="1064">
        <f>SUM(W60:X62)</f>
        <v/>
      </c>
      <c r="X63" s="2614" t="n"/>
      <c r="Y63" s="2614" t="n"/>
      <c r="Z63" s="2614" t="n"/>
      <c r="AA63" s="1074" t="n"/>
      <c r="AB63" s="2614" t="n"/>
      <c r="AC63" s="2614" t="n"/>
      <c r="AD63" s="2614" t="n"/>
      <c r="AE63" s="2617" t="n"/>
      <c r="AF63" s="1424">
        <f>SUM(AF60:AK62)</f>
        <v/>
      </c>
      <c r="AG63" s="2614" t="n"/>
      <c r="AH63" s="2614" t="n"/>
      <c r="AI63" s="2614" t="n"/>
      <c r="AJ63" s="2614" t="n"/>
      <c r="AK63" s="2614" t="n"/>
      <c r="AL63" s="277">
        <f>IF(AF63&gt;0,"UvKv","")</f>
        <v/>
      </c>
      <c r="AM63" s="2617" t="n"/>
      <c r="AN63" s="64" t="n"/>
      <c r="AO63" s="293" t="n"/>
      <c r="AP63" s="1324" t="n"/>
      <c r="AQ63" s="64" t="n"/>
      <c r="AR63" s="64" t="n"/>
      <c r="AS63" s="748" t="n"/>
      <c r="AT63" s="64" t="n"/>
      <c r="AU63" s="103" t="n"/>
      <c r="AV63" s="103" t="n"/>
      <c r="AW63" s="103" t="n"/>
      <c r="AX63" s="103" t="n"/>
      <c r="AY63" s="103" t="n"/>
      <c r="AZ63" s="103" t="n"/>
      <c r="BA63" s="103" t="n"/>
      <c r="BB63" s="103" t="n"/>
      <c r="BC63" s="103" t="n"/>
      <c r="BD63" s="103" t="n"/>
      <c r="BE63" s="103" t="n"/>
    </row>
    <row r="64" ht="20.25" customHeight="1">
      <c r="A64" s="1475" t="inlineStr">
        <is>
          <t>18|</t>
        </is>
      </c>
      <c r="B64" s="1476" t="inlineStr">
        <is>
          <t>ZvrÿwYK weµq g~j¨</t>
        </is>
      </c>
      <c r="C64" s="2624" t="n"/>
      <c r="D64" s="2624" t="n"/>
      <c r="E64" s="2624" t="n"/>
      <c r="F64" s="2624" t="n"/>
      <c r="G64" s="2624" t="n"/>
      <c r="H64" s="603" t="inlineStr">
        <is>
          <t xml:space="preserve">cÖwZ kZvsk </t>
        </is>
      </c>
      <c r="K64" s="1478" t="n"/>
      <c r="L64" s="2694" t="n"/>
      <c r="M64" s="2694" t="n"/>
      <c r="N64" s="2669" t="n"/>
      <c r="O64" s="1477" t="inlineStr">
        <is>
          <t>jÿ UvKv wnmv‡e</t>
        </is>
      </c>
      <c r="P64" s="1477" t="n"/>
      <c r="Q64" s="1477" t="n"/>
      <c r="R64" s="1479" t="n"/>
      <c r="S64" s="1480" t="n"/>
      <c r="T64" s="354" t="n"/>
      <c r="U64" s="354" t="n"/>
      <c r="V64" s="1562" t="n"/>
      <c r="W64" s="1481" t="inlineStr">
        <is>
          <t>K)</t>
        </is>
      </c>
      <c r="X64" s="1477" t="inlineStr">
        <is>
          <t>Rwgi g~j¨</t>
        </is>
      </c>
      <c r="Y64" s="2624" t="n"/>
      <c r="Z64" s="2624" t="n"/>
      <c r="AA64" s="2624" t="n"/>
      <c r="AB64" s="2624" t="n"/>
      <c r="AC64" s="2624" t="n"/>
      <c r="AD64" s="2624" t="n"/>
      <c r="AE64" s="1483" t="inlineStr">
        <is>
          <t>=</t>
        </is>
      </c>
      <c r="AF64" s="1418">
        <f>R20*K64*100000*100</f>
        <v/>
      </c>
      <c r="AG64" s="2624" t="n"/>
      <c r="AH64" s="2624" t="n"/>
      <c r="AI64" s="2624" t="n"/>
      <c r="AJ64" s="2624" t="n"/>
      <c r="AK64" s="2624" t="n"/>
      <c r="AL64" s="1485">
        <f>IF(AF64&gt;0,"UvKv","")</f>
        <v/>
      </c>
      <c r="AM64" s="2642" t="n"/>
      <c r="AN64" s="64" t="n"/>
      <c r="AO64" s="293" t="n"/>
      <c r="AP64" s="1324" t="n"/>
      <c r="AQ64" s="64" t="n"/>
      <c r="AR64" s="64" t="n"/>
      <c r="AS64" s="748" t="n"/>
      <c r="AT64" s="64" t="n"/>
      <c r="AU64" s="103" t="n"/>
      <c r="AV64" s="103" t="n"/>
      <c r="AW64" s="103" t="n"/>
      <c r="AX64" s="103" t="n"/>
      <c r="AY64" s="103" t="n"/>
      <c r="AZ64" s="103" t="n"/>
      <c r="BA64" s="103" t="n"/>
      <c r="BB64" s="103" t="n"/>
      <c r="BC64" s="103" t="n"/>
      <c r="BD64" s="103" t="n"/>
      <c r="BE64" s="103" t="n"/>
    </row>
    <row r="65" ht="20.25" customHeight="1">
      <c r="A65" s="2673" t="n"/>
      <c r="B65" s="1487" t="inlineStr">
        <is>
          <t>(Forced Sale Value)</t>
        </is>
      </c>
      <c r="C65" s="1488" t="n"/>
      <c r="D65" s="1488" t="n"/>
      <c r="E65" s="1488" t="n"/>
      <c r="F65" s="1488" t="n"/>
      <c r="G65" s="1488" t="n"/>
      <c r="H65" s="1488" t="n"/>
      <c r="I65" s="295" t="inlineStr">
        <is>
          <t>(3000000 x 4.00)</t>
        </is>
      </c>
      <c r="J65" s="1488" t="n"/>
      <c r="K65" s="1488" t="n"/>
      <c r="L65" s="1488" t="n"/>
      <c r="M65" s="1488" t="n"/>
      <c r="N65" s="1488" t="n"/>
      <c r="O65" s="1488" t="n"/>
      <c r="P65" s="1488" t="n"/>
      <c r="Q65" s="1488" t="n"/>
      <c r="R65" s="1489" t="n"/>
      <c r="S65" s="1488" t="n"/>
      <c r="T65" s="1488" t="n"/>
      <c r="U65" s="1488" t="n"/>
      <c r="V65" s="1490" t="n"/>
      <c r="W65" s="1491" t="inlineStr">
        <is>
          <t>L)</t>
        </is>
      </c>
      <c r="X65" s="1488" t="inlineStr">
        <is>
          <t>BgviZ /d¬¨vU</t>
        </is>
      </c>
      <c r="AE65" s="982" t="inlineStr">
        <is>
          <t>=</t>
        </is>
      </c>
      <c r="AF65" s="1493">
        <f>IF(AF48&gt;1,+AF48*1.5,0)</f>
        <v/>
      </c>
      <c r="AL65" s="1495">
        <f>IF(AF65&gt;0,"UvKv","")</f>
        <v/>
      </c>
      <c r="AM65" s="2641" t="n"/>
      <c r="AN65" s="64" t="n"/>
      <c r="AO65" s="293" t="n"/>
      <c r="AP65" s="1324" t="n"/>
      <c r="AQ65" s="64" t="n"/>
      <c r="AR65" s="64" t="n"/>
      <c r="AS65" s="748" t="n"/>
      <c r="AT65" s="64" t="n"/>
      <c r="AU65" s="103" t="n"/>
      <c r="AV65" s="103" t="n"/>
      <c r="AW65" s="103" t="n"/>
      <c r="AX65" s="103" t="n"/>
      <c r="AY65" s="103" t="n"/>
      <c r="AZ65" s="103" t="n"/>
      <c r="BA65" s="103" t="n"/>
      <c r="BB65" s="103" t="n"/>
      <c r="BC65" s="103" t="n"/>
      <c r="BD65" s="103" t="n"/>
      <c r="BE65" s="103" t="n"/>
    </row>
    <row r="66" ht="20.25" customHeight="1">
      <c r="A66" s="2673" t="n"/>
      <c r="B66" s="1496" t="n"/>
      <c r="C66" s="1488" t="n"/>
      <c r="D66" s="1488" t="n"/>
      <c r="E66" s="1488" t="n"/>
      <c r="F66" s="1488" t="n"/>
      <c r="G66" s="1488" t="n"/>
      <c r="H66" s="1488" t="n"/>
      <c r="I66" s="1488" t="n"/>
      <c r="J66" s="1488" t="n"/>
      <c r="K66" s="1488" t="n"/>
      <c r="L66" s="1488" t="n"/>
      <c r="M66" s="1488" t="n"/>
      <c r="N66" s="1488" t="n"/>
      <c r="O66" s="1488" t="n"/>
      <c r="P66" s="1488" t="n"/>
      <c r="Q66" s="1488" t="n"/>
      <c r="R66" s="1489" t="n"/>
      <c r="S66" s="1488" t="n"/>
      <c r="T66" s="1488" t="n"/>
      <c r="U66" s="1488" t="n"/>
      <c r="V66" s="1490" t="n"/>
      <c r="W66" s="1491" t="inlineStr">
        <is>
          <t>M)</t>
        </is>
      </c>
      <c r="X66" s="1488" t="inlineStr">
        <is>
          <t>hš¿cvwZ</t>
        </is>
      </c>
      <c r="AE66" s="982" t="inlineStr">
        <is>
          <t>=</t>
        </is>
      </c>
      <c r="AF66" s="1497">
        <f>IF(AF49&gt;1,+AF49*1.5,0)</f>
        <v/>
      </c>
      <c r="AG66" s="2613" t="n"/>
      <c r="AH66" s="2613" t="n"/>
      <c r="AI66" s="2613" t="n"/>
      <c r="AJ66" s="2613" t="n"/>
      <c r="AK66" s="2613" t="n"/>
      <c r="AL66" s="1495">
        <f>IF(AF66&gt;0,"UvKv","")</f>
        <v/>
      </c>
      <c r="AM66" s="2641" t="n"/>
      <c r="AN66" s="64" t="n"/>
      <c r="AO66" s="293" t="n"/>
      <c r="AP66" s="1324" t="n"/>
      <c r="AQ66" s="64" t="n"/>
      <c r="AR66" s="64" t="n"/>
      <c r="AS66" s="748" t="n"/>
      <c r="AT66" s="64" t="n"/>
      <c r="AU66" s="103" t="n"/>
      <c r="AV66" s="103" t="n"/>
      <c r="AW66" s="103" t="n"/>
      <c r="AX66" s="103" t="n"/>
      <c r="AY66" s="103" t="n"/>
      <c r="AZ66" s="103" t="n"/>
      <c r="BA66" s="103" t="n"/>
      <c r="BB66" s="103" t="n"/>
      <c r="BC66" s="103" t="n"/>
      <c r="BD66" s="103" t="n"/>
      <c r="BE66" s="103" t="n"/>
    </row>
    <row r="67" ht="20.25" customHeight="1">
      <c r="A67" s="2673" t="n"/>
      <c r="B67" s="1496" t="n"/>
      <c r="C67" s="1488" t="n"/>
      <c r="D67" s="1488" t="n"/>
      <c r="E67" s="1488" t="n"/>
      <c r="F67" s="1488" t="n"/>
      <c r="G67" s="1488" t="n"/>
      <c r="H67" s="1488" t="n"/>
      <c r="I67" s="1488" t="n"/>
      <c r="J67" s="1488" t="n"/>
      <c r="K67" s="1488" t="n"/>
      <c r="L67" s="1488" t="n"/>
      <c r="M67" s="1488" t="n"/>
      <c r="N67" s="1488" t="n"/>
      <c r="O67" s="1488" t="n"/>
      <c r="P67" s="1488" t="n"/>
      <c r="Q67" s="1488" t="n"/>
      <c r="R67" s="1489" t="n"/>
      <c r="S67" s="1488" t="n"/>
      <c r="T67" s="1488" t="n"/>
      <c r="U67" s="1488" t="n"/>
      <c r="V67" s="1490" t="n"/>
      <c r="W67" s="1498" t="inlineStr">
        <is>
          <t>‡gvU g~j¨</t>
        </is>
      </c>
      <c r="X67" s="2624" t="n"/>
      <c r="Y67" s="2624" t="n"/>
      <c r="Z67" s="2624" t="n"/>
      <c r="AA67" s="2624" t="n"/>
      <c r="AB67" s="2624" t="n"/>
      <c r="AC67" s="2624" t="n"/>
      <c r="AD67" s="2624" t="n"/>
      <c r="AE67" s="1483" t="inlineStr">
        <is>
          <t>=</t>
        </is>
      </c>
      <c r="AF67" s="1501">
        <f>SUM(AF64:AK66)</f>
        <v/>
      </c>
      <c r="AG67" s="2624" t="n"/>
      <c r="AH67" s="2624" t="n"/>
      <c r="AI67" s="2624" t="n"/>
      <c r="AJ67" s="2624" t="n"/>
      <c r="AK67" s="2624" t="n"/>
      <c r="AL67" s="1485" t="inlineStr">
        <is>
          <t>UvKv</t>
        </is>
      </c>
      <c r="AM67" s="2642" t="n"/>
      <c r="AN67" s="64" t="n"/>
      <c r="AO67" s="293" t="n"/>
      <c r="AP67" s="1324" t="n"/>
      <c r="AQ67" s="64" t="n"/>
      <c r="AR67" s="64" t="n"/>
      <c r="AS67" s="748" t="n"/>
      <c r="AT67" s="64" t="n"/>
      <c r="AU67" s="103" t="n"/>
      <c r="AV67" s="103" t="n"/>
      <c r="AW67" s="103" t="n"/>
      <c r="AX67" s="103" t="n"/>
      <c r="AY67" s="103" t="n"/>
      <c r="AZ67" s="103" t="n"/>
      <c r="BA67" s="103" t="n"/>
      <c r="BB67" s="103" t="n"/>
      <c r="BC67" s="103" t="n"/>
      <c r="BD67" s="103" t="n"/>
      <c r="BE67" s="103" t="n"/>
    </row>
    <row r="68" ht="20.25" customHeight="1">
      <c r="A68" s="1477" t="n"/>
      <c r="B68" s="1477" t="n"/>
      <c r="C68" s="1477" t="n"/>
      <c r="D68" s="1477" t="n"/>
      <c r="E68" s="1477" t="n"/>
      <c r="F68" s="1477" t="n"/>
      <c r="G68" s="1477" t="n"/>
      <c r="H68" s="1477" t="n"/>
      <c r="I68" s="1477" t="n"/>
      <c r="J68" s="1477" t="n"/>
      <c r="K68" s="1477" t="n"/>
      <c r="L68" s="1477" t="n"/>
      <c r="M68" s="1477" t="n"/>
      <c r="N68" s="1477" t="n"/>
      <c r="O68" s="1477" t="n"/>
      <c r="P68" s="1477" t="n"/>
      <c r="Q68" s="1477" t="n"/>
      <c r="R68" s="1479" t="n"/>
      <c r="S68" s="1477" t="n"/>
      <c r="T68" s="1477" t="n"/>
      <c r="U68" s="1477" t="n"/>
      <c r="V68" s="1479" t="n"/>
      <c r="W68" s="1501" t="n"/>
      <c r="X68" s="1499" t="n"/>
      <c r="Y68" s="1499" t="n"/>
      <c r="Z68" s="1499" t="n"/>
      <c r="AA68" s="1500" t="n"/>
      <c r="AB68" s="1499" t="n"/>
      <c r="AC68" s="1499" t="n"/>
      <c r="AD68" s="1499" t="n"/>
      <c r="AE68" s="1483" t="n"/>
      <c r="AF68" s="1501" t="n"/>
      <c r="AG68" s="1477" t="n"/>
      <c r="AH68" s="1477" t="n"/>
      <c r="AI68" s="1477" t="n"/>
      <c r="AJ68" s="1477" t="n"/>
      <c r="AK68" s="1477" t="n"/>
      <c r="AL68" s="1502" t="n"/>
      <c r="AM68" s="1502" t="n"/>
      <c r="AN68" s="64" t="n"/>
      <c r="AO68" s="293" t="n"/>
      <c r="AP68" s="1324" t="n"/>
      <c r="AQ68" s="64" t="n"/>
      <c r="AR68" s="64" t="n"/>
      <c r="AS68" s="748" t="n"/>
      <c r="AT68" s="64" t="n"/>
      <c r="AU68" s="103" t="n"/>
      <c r="AV68" s="103" t="n"/>
      <c r="AW68" s="103" t="n"/>
      <c r="AX68" s="103" t="n"/>
      <c r="AY68" s="103" t="n"/>
      <c r="AZ68" s="103" t="n"/>
      <c r="BA68" s="103" t="n"/>
      <c r="BB68" s="103" t="n"/>
      <c r="BC68" s="103" t="n"/>
      <c r="BD68" s="103" t="n"/>
      <c r="BE68" s="103" t="n"/>
    </row>
    <row r="69" ht="20.25" customHeight="1">
      <c r="A69" s="1488" t="n"/>
      <c r="B69" s="1488" t="n"/>
      <c r="C69" s="1488" t="n"/>
      <c r="D69" s="1488" t="n"/>
      <c r="E69" s="1488" t="n"/>
      <c r="F69" s="1488" t="n"/>
      <c r="G69" s="1488" t="n"/>
      <c r="H69" s="1488" t="n"/>
      <c r="I69" s="1488" t="n"/>
      <c r="J69" s="1488" t="n"/>
      <c r="K69" s="1488" t="n"/>
      <c r="L69" s="1488" t="n"/>
      <c r="M69" s="1488" t="n"/>
      <c r="N69" s="1488" t="n"/>
      <c r="O69" s="1488" t="n"/>
      <c r="P69" s="1488" t="n"/>
      <c r="Q69" s="1488" t="n"/>
      <c r="R69" s="1489" t="n"/>
      <c r="S69" s="1488" t="n"/>
      <c r="T69" s="1488" t="n"/>
      <c r="U69" s="1488" t="n"/>
      <c r="V69" s="1489" t="n"/>
      <c r="W69" s="1493" t="n"/>
      <c r="X69" s="1503" t="n"/>
      <c r="Y69" s="1503" t="n"/>
      <c r="Z69" s="1503" t="n"/>
      <c r="AA69" s="1504" t="n"/>
      <c r="AB69" s="1503" t="n"/>
      <c r="AC69" s="1503" t="n"/>
      <c r="AD69" s="1503" t="n"/>
      <c r="AE69" s="982" t="n"/>
      <c r="AF69" s="1493" t="n"/>
      <c r="AG69" s="1488" t="n"/>
      <c r="AH69" s="1488" t="n"/>
      <c r="AI69" s="1488" t="n"/>
      <c r="AJ69" s="1488" t="n"/>
      <c r="AK69" s="1488" t="n"/>
      <c r="AL69" s="1505" t="n"/>
      <c r="AM69" s="1505" t="n"/>
      <c r="AN69" s="64" t="n"/>
      <c r="AO69" s="293" t="n"/>
      <c r="AP69" s="1324" t="n"/>
      <c r="AQ69" s="64" t="n"/>
      <c r="AR69" s="64" t="n"/>
      <c r="AS69" s="748" t="n"/>
      <c r="AT69" s="64" t="n"/>
      <c r="AU69" s="103" t="n"/>
      <c r="AV69" s="103" t="n"/>
      <c r="AW69" s="103" t="n"/>
      <c r="AX69" s="103" t="n"/>
      <c r="AY69" s="103" t="n"/>
      <c r="AZ69" s="103" t="n"/>
      <c r="BA69" s="103" t="n"/>
      <c r="BB69" s="103" t="n"/>
      <c r="BC69" s="103" t="n"/>
      <c r="BD69" s="103" t="n"/>
      <c r="BE69" s="103" t="n"/>
    </row>
    <row r="70" ht="20.25" customHeight="1">
      <c r="A70" s="1488" t="n"/>
      <c r="B70" s="1488" t="n"/>
      <c r="C70" s="1488" t="n"/>
      <c r="D70" s="1488" t="n"/>
      <c r="E70" s="1488" t="n"/>
      <c r="F70" s="1488" t="n"/>
      <c r="G70" s="1488" t="n"/>
      <c r="H70" s="1488" t="n"/>
      <c r="I70" s="1488" t="n"/>
      <c r="J70" s="1488" t="n"/>
      <c r="K70" s="1488" t="n"/>
      <c r="L70" s="1488" t="n"/>
      <c r="M70" s="1488" t="n"/>
      <c r="N70" s="1488" t="n"/>
      <c r="O70" s="1488" t="n"/>
      <c r="P70" s="1488" t="n"/>
      <c r="Q70" s="1488" t="n"/>
      <c r="R70" s="1489" t="n"/>
      <c r="S70" s="1488" t="n"/>
      <c r="T70" s="1488" t="n"/>
      <c r="U70" s="1488" t="n"/>
      <c r="V70" s="1489" t="n"/>
      <c r="W70" s="1493" t="n"/>
      <c r="X70" s="1503" t="n"/>
      <c r="Y70" s="1503" t="n"/>
      <c r="Z70" s="1503" t="n"/>
      <c r="AA70" s="1504" t="n"/>
      <c r="AB70" s="1503" t="n"/>
      <c r="AC70" s="1503" t="n"/>
      <c r="AD70" s="1503" t="n"/>
      <c r="AE70" s="982" t="n"/>
      <c r="AF70" s="1493" t="n"/>
      <c r="AG70" s="1488" t="n"/>
      <c r="AH70" s="1488" t="n"/>
      <c r="AI70" s="1488" t="n"/>
      <c r="AJ70" s="1488" t="n"/>
      <c r="AK70" s="1488" t="n"/>
      <c r="AL70" s="1505" t="n"/>
      <c r="AM70" s="1505" t="n"/>
      <c r="AN70" s="64" t="n"/>
      <c r="AO70" s="293" t="n"/>
      <c r="AP70" s="1324" t="n"/>
      <c r="AQ70" s="64" t="n"/>
      <c r="AR70" s="64" t="n"/>
      <c r="AS70" s="748" t="n"/>
      <c r="AT70" s="64" t="n"/>
      <c r="AU70" s="103" t="n"/>
      <c r="AV70" s="103" t="n"/>
      <c r="AW70" s="103" t="n"/>
      <c r="AX70" s="103" t="n"/>
      <c r="AY70" s="103" t="n"/>
      <c r="AZ70" s="103" t="n"/>
      <c r="BA70" s="103" t="n"/>
      <c r="BB70" s="103" t="n"/>
      <c r="BC70" s="103" t="n"/>
      <c r="BD70" s="103" t="n"/>
      <c r="BE70" s="103" t="n"/>
    </row>
    <row r="71" ht="20.25" customHeight="1">
      <c r="A71" s="1488" t="n"/>
      <c r="B71" s="1488" t="n"/>
      <c r="C71" s="1488" t="n"/>
      <c r="D71" s="1488" t="n"/>
      <c r="E71" s="1488" t="n"/>
      <c r="F71" s="1488" t="n"/>
      <c r="G71" s="1488" t="n"/>
      <c r="H71" s="1488" t="n"/>
      <c r="I71" s="1488" t="n"/>
      <c r="J71" s="1488" t="n"/>
      <c r="K71" s="1488" t="n"/>
      <c r="L71" s="1488" t="n"/>
      <c r="M71" s="1488" t="n"/>
      <c r="N71" s="1488" t="n"/>
      <c r="O71" s="1488" t="n"/>
      <c r="P71" s="1488" t="n"/>
      <c r="Q71" s="1488" t="n"/>
      <c r="R71" s="1489" t="n"/>
      <c r="S71" s="1488" t="n"/>
      <c r="T71" s="1488" t="n"/>
      <c r="U71" s="1488" t="n"/>
      <c r="V71" s="1489" t="n"/>
      <c r="W71" s="1493" t="n"/>
      <c r="X71" s="1503" t="n"/>
      <c r="Y71" s="1503" t="n"/>
      <c r="Z71" s="1503" t="n"/>
      <c r="AA71" s="1504" t="n"/>
      <c r="AB71" s="1503" t="n"/>
      <c r="AC71" s="1503" t="n"/>
      <c r="AD71" s="1503" t="n"/>
      <c r="AE71" s="982" t="n"/>
      <c r="AF71" s="1493" t="n"/>
      <c r="AG71" s="1488" t="n"/>
      <c r="AH71" s="1488" t="n"/>
      <c r="AI71" s="1488" t="n"/>
      <c r="AJ71" s="1488" t="n"/>
      <c r="AK71" s="1488" t="n"/>
      <c r="AL71" s="1505" t="n"/>
      <c r="AM71" s="1505" t="n"/>
      <c r="AN71" s="64" t="n"/>
      <c r="AO71" s="293" t="n"/>
      <c r="AP71" s="1324" t="n"/>
      <c r="AQ71" s="64" t="n"/>
      <c r="AR71" s="64" t="n"/>
      <c r="AS71" s="748" t="n"/>
      <c r="AT71" s="64" t="n"/>
      <c r="AU71" s="103" t="n"/>
      <c r="AV71" s="103" t="n"/>
      <c r="AW71" s="103" t="n"/>
      <c r="AX71" s="103" t="n"/>
      <c r="AY71" s="103" t="n"/>
      <c r="AZ71" s="103" t="n"/>
      <c r="BA71" s="103" t="n"/>
      <c r="BB71" s="103" t="n"/>
      <c r="BC71" s="103" t="n"/>
      <c r="BD71" s="103" t="n"/>
      <c r="BE71" s="103" t="n"/>
    </row>
    <row r="72" ht="20.25" customHeight="1">
      <c r="A72" s="1488" t="n"/>
      <c r="B72" s="1488" t="n"/>
      <c r="C72" s="1488" t="n"/>
      <c r="D72" s="1488" t="n"/>
      <c r="E72" s="1488" t="n"/>
      <c r="F72" s="1488" t="n"/>
      <c r="G72" s="1488" t="n"/>
      <c r="H72" s="1488" t="n"/>
      <c r="I72" s="1488" t="n"/>
      <c r="J72" s="1488" t="n"/>
      <c r="K72" s="1488" t="n"/>
      <c r="L72" s="1488" t="n"/>
      <c r="M72" s="1488" t="n"/>
      <c r="N72" s="1488" t="n"/>
      <c r="O72" s="1488" t="n"/>
      <c r="P72" s="1488" t="n"/>
      <c r="Q72" s="1488" t="n"/>
      <c r="R72" s="1489" t="n"/>
      <c r="S72" s="1488" t="n"/>
      <c r="T72" s="1488" t="n"/>
      <c r="U72" s="1488" t="n"/>
      <c r="V72" s="1489" t="n"/>
      <c r="W72" s="1493" t="n"/>
      <c r="X72" s="1503" t="n"/>
      <c r="Y72" s="1503" t="n"/>
      <c r="Z72" s="1503" t="n"/>
      <c r="AA72" s="1504" t="n"/>
      <c r="AB72" s="1503" t="n"/>
      <c r="AC72" s="1503" t="n"/>
      <c r="AD72" s="1503" t="n"/>
      <c r="AE72" s="982" t="n"/>
      <c r="AF72" s="1493" t="n"/>
      <c r="AG72" s="1488" t="n"/>
      <c r="AH72" s="1488" t="n"/>
      <c r="AI72" s="1488" t="n"/>
      <c r="AJ72" s="1488" t="n"/>
      <c r="AK72" s="1488" t="n"/>
      <c r="AL72" s="1505" t="n"/>
      <c r="AM72" s="1505" t="n"/>
      <c r="AN72" s="64" t="n"/>
      <c r="AO72" s="293" t="n"/>
      <c r="AP72" s="1324" t="n"/>
      <c r="AQ72" s="64" t="n"/>
      <c r="AR72" s="64" t="n"/>
      <c r="AS72" s="748" t="n"/>
      <c r="AT72" s="64" t="n"/>
      <c r="AU72" s="103" t="n"/>
      <c r="AV72" s="103" t="n"/>
      <c r="AW72" s="103" t="n"/>
      <c r="AX72" s="103" t="n"/>
      <c r="AY72" s="103" t="n"/>
      <c r="AZ72" s="103" t="n"/>
      <c r="BA72" s="103" t="n"/>
      <c r="BB72" s="103" t="n"/>
      <c r="BC72" s="103" t="n"/>
      <c r="BD72" s="103" t="n"/>
      <c r="BE72" s="103" t="n"/>
    </row>
    <row r="73" ht="20.25" customHeight="1">
      <c r="A73" s="1488" t="n"/>
      <c r="B73" s="1488" t="n"/>
      <c r="C73" s="1488" t="n"/>
      <c r="D73" s="1488" t="n"/>
      <c r="E73" s="1488" t="n"/>
      <c r="F73" s="1488" t="n"/>
      <c r="G73" s="1488" t="n"/>
      <c r="H73" s="1488" t="n"/>
      <c r="I73" s="1488" t="n"/>
      <c r="J73" s="1488" t="n"/>
      <c r="K73" s="1488" t="n"/>
      <c r="L73" s="1488" t="n"/>
      <c r="M73" s="1488" t="n"/>
      <c r="N73" s="1488" t="n"/>
      <c r="O73" s="1488" t="n"/>
      <c r="P73" s="1488" t="n"/>
      <c r="Q73" s="1488" t="n"/>
      <c r="R73" s="1489" t="n"/>
      <c r="S73" s="1488" t="n"/>
      <c r="T73" s="1488" t="n"/>
      <c r="U73" s="1488" t="n"/>
      <c r="V73" s="1489" t="n"/>
      <c r="W73" s="1493" t="n"/>
      <c r="X73" s="1503" t="n"/>
      <c r="Y73" s="1503" t="n"/>
      <c r="Z73" s="1503" t="n"/>
      <c r="AA73" s="1504" t="n"/>
      <c r="AB73" s="1503" t="n"/>
      <c r="AC73" s="1503" t="n"/>
      <c r="AD73" s="1503" t="n"/>
      <c r="AE73" s="982" t="n"/>
      <c r="AF73" s="1493" t="n"/>
      <c r="AG73" s="1488" t="n"/>
      <c r="AH73" s="1488" t="n"/>
      <c r="AI73" s="1488" t="n"/>
      <c r="AJ73" s="1488" t="n"/>
      <c r="AK73" s="1488" t="n"/>
      <c r="AL73" s="1505" t="n"/>
      <c r="AM73" s="1505" t="n"/>
      <c r="AN73" s="64" t="n"/>
      <c r="AO73" s="293" t="n"/>
      <c r="AP73" s="1324" t="n"/>
      <c r="AQ73" s="64" t="n"/>
      <c r="AR73" s="64" t="n"/>
      <c r="AS73" s="748" t="n"/>
      <c r="AT73" s="64" t="n"/>
      <c r="AU73" s="103" t="n"/>
      <c r="AV73" s="103" t="n"/>
      <c r="AW73" s="103" t="n"/>
      <c r="AX73" s="103" t="n"/>
      <c r="AY73" s="103" t="n"/>
      <c r="AZ73" s="103" t="n"/>
      <c r="BA73" s="103" t="n"/>
      <c r="BB73" s="103" t="n"/>
      <c r="BC73" s="103" t="n"/>
      <c r="BD73" s="103" t="n"/>
      <c r="BE73" s="103" t="n"/>
    </row>
    <row r="74" ht="27" customHeight="1">
      <c r="A74" s="1395" t="inlineStr">
        <is>
          <t>19|</t>
        </is>
      </c>
      <c r="B74" s="1393" t="inlineStr">
        <is>
          <t>g~j¨q‡bi wfwË t</t>
        </is>
      </c>
      <c r="C74" s="2624" t="n"/>
      <c r="D74" s="2624" t="n"/>
      <c r="E74" s="2624" t="n"/>
      <c r="F74" s="2624" t="n"/>
      <c r="G74" s="2624" t="n"/>
      <c r="H74" s="2624" t="n"/>
      <c r="I74" s="2624" t="n"/>
      <c r="J74" s="2624" t="n"/>
      <c r="K74" s="2624" t="n"/>
      <c r="L74" s="2624" t="n"/>
      <c r="M74" s="2624" t="n"/>
      <c r="N74" s="2624" t="n"/>
      <c r="O74" s="2624" t="n"/>
      <c r="P74" s="2624" t="n"/>
      <c r="Q74" s="2624" t="n"/>
      <c r="R74" s="2624" t="n"/>
      <c r="S74" s="2624" t="n"/>
      <c r="T74" s="2624" t="n"/>
      <c r="U74" s="1241" t="n"/>
      <c r="V74" s="1430" t="n"/>
      <c r="W74" s="1506" t="inlineStr">
        <is>
          <t>bvivqYMÄ †Rjvi m`i mve-‡iwRw÷ª Awd‡mi 2023-2024 mv‡ji †gŠRv wfwËK g~j¨ ZvwjKv Ges m`i Dc‡Rjvi AvwU †gŠRvi bvj Rwgi eZ©gvb ev¯ÍewfwËK cÖK…Z evRvi g~j¨ I ZvrÿwYK weµqg~j¨ we‡ePbvq K‡i we‡Kwe, †µwWU wefvM, cÖavb Kvhv©jq, XvKv-Gi cwiKíbv I cwiPjb cwicÎ bs-19/2023, ZvwiLt 22/10/2023Bs ‡gvZv‡eK eZ©gvb ÒZvrÿwYK weµqg~j¨Ó-‡K wfwË a‡i gyj¨vqb Kiv n‡q‡Q|</t>
        </is>
      </c>
      <c r="X74" s="2624" t="n"/>
      <c r="Y74" s="2624" t="n"/>
      <c r="Z74" s="2624" t="n"/>
      <c r="AA74" s="2624" t="n"/>
      <c r="AB74" s="2624" t="n"/>
      <c r="AC74" s="2624" t="n"/>
      <c r="AD74" s="2624" t="n"/>
      <c r="AE74" s="2624" t="n"/>
      <c r="AF74" s="2624" t="n"/>
      <c r="AG74" s="2624" t="n"/>
      <c r="AH74" s="2624" t="n"/>
      <c r="AI74" s="2624" t="n"/>
      <c r="AJ74" s="2624" t="n"/>
      <c r="AK74" s="2624" t="n"/>
      <c r="AL74" s="2624" t="n"/>
      <c r="AM74" s="2709" t="n"/>
      <c r="AN74" s="64" t="n"/>
      <c r="AO74" s="293" t="n"/>
      <c r="AP74" s="1324" t="n"/>
      <c r="AQ74" s="64" t="n"/>
      <c r="AR74" s="64" t="n"/>
      <c r="AS74" s="748" t="n"/>
      <c r="AT74" s="64" t="n"/>
      <c r="AU74" s="103" t="n"/>
      <c r="AV74" s="103" t="n"/>
      <c r="AW74" s="103" t="n"/>
      <c r="AX74" s="103" t="n"/>
      <c r="AY74" s="103" t="n"/>
      <c r="AZ74" s="103" t="n"/>
      <c r="BA74" s="103" t="n"/>
      <c r="BB74" s="103" t="n"/>
      <c r="BC74" s="103" t="n"/>
      <c r="BD74" s="103" t="n"/>
      <c r="BE74" s="103" t="n"/>
    </row>
    <row r="75" ht="27.75" customHeight="1">
      <c r="A75" s="2673" t="n"/>
      <c r="B75" s="1511" t="n"/>
      <c r="C75" s="295" t="inlineStr">
        <is>
          <t>K)</t>
        </is>
      </c>
      <c r="D75" s="1046" t="inlineStr">
        <is>
          <t>evRvi g~j¨ (ZvrÿwYK weµqg~j¨) aiv n‡q‡Q|</t>
        </is>
      </c>
      <c r="V75" s="2641" t="n"/>
      <c r="W75" s="2647" t="n"/>
      <c r="AM75" s="2633" t="n"/>
      <c r="AN75" s="64" t="n"/>
      <c r="AO75" s="293" t="n"/>
      <c r="AP75" s="1324" t="n"/>
      <c r="AQ75" s="64" t="n"/>
      <c r="AR75" s="64" t="n"/>
      <c r="AS75" s="748" t="n"/>
      <c r="AT75" s="64" t="n"/>
      <c r="AU75" s="103" t="n"/>
      <c r="AV75" s="103" t="n"/>
      <c r="AW75" s="103" t="n"/>
      <c r="AX75" s="103" t="n"/>
      <c r="AY75" s="103" t="n"/>
      <c r="AZ75" s="103" t="n"/>
      <c r="BA75" s="103" t="n"/>
      <c r="BB75" s="103" t="n"/>
      <c r="BC75" s="103" t="n"/>
      <c r="BD75" s="103" t="n"/>
      <c r="BE75" s="103" t="n"/>
    </row>
    <row r="76" ht="27.75" customHeight="1">
      <c r="A76" s="2673" t="n"/>
      <c r="B76" s="1511" t="n"/>
      <c r="C76" s="295" t="inlineStr">
        <is>
          <t>L)</t>
        </is>
      </c>
      <c r="D76" s="1046" t="inlineStr">
        <is>
          <t>mve-‡iwRwóª Awd‡m iwÿZ me©wb¤œ †gŠRv †iU|</t>
        </is>
      </c>
      <c r="V76" s="2641" t="n"/>
      <c r="W76" s="2647" t="n"/>
      <c r="AM76" s="2633" t="n"/>
      <c r="AN76" s="64" t="n"/>
      <c r="AO76" s="293" t="n"/>
      <c r="AP76" s="1324" t="n"/>
      <c r="AQ76" s="64" t="n"/>
      <c r="AR76" s="64" t="n"/>
      <c r="AS76" s="748" t="n"/>
      <c r="AT76" s="64" t="n"/>
      <c r="AU76" s="103" t="n"/>
      <c r="AV76" s="103" t="n"/>
      <c r="AW76" s="103" t="n"/>
      <c r="AX76" s="103" t="n"/>
      <c r="AY76" s="103" t="n"/>
      <c r="AZ76" s="103" t="n"/>
      <c r="BA76" s="103" t="n"/>
      <c r="BB76" s="103" t="n"/>
      <c r="BC76" s="103" t="n"/>
      <c r="BD76" s="103" t="n"/>
      <c r="BE76" s="103" t="n"/>
    </row>
    <row r="77" ht="32.25" customHeight="1">
      <c r="A77" s="2618" t="n"/>
      <c r="B77" s="1517" t="n"/>
      <c r="C77" s="1471" t="inlineStr">
        <is>
          <t>M)</t>
        </is>
      </c>
      <c r="D77" s="1471" t="inlineStr">
        <is>
          <t xml:space="preserve"> wewea</t>
        </is>
      </c>
      <c r="E77" s="1471" t="n"/>
      <c r="F77" s="1471" t="n"/>
      <c r="G77" s="1471" t="n"/>
      <c r="H77" s="1471" t="n"/>
      <c r="I77" s="1471" t="n"/>
      <c r="J77" s="1471" t="n"/>
      <c r="K77" s="1471" t="n"/>
      <c r="L77" s="1471" t="n"/>
      <c r="M77" s="1471" t="n"/>
      <c r="N77" s="1471" t="n"/>
      <c r="O77" s="1471" t="n"/>
      <c r="P77" s="1471" t="n"/>
      <c r="Q77" s="1471" t="n"/>
      <c r="R77" s="1263" t="n"/>
      <c r="S77" s="1471" t="n"/>
      <c r="T77" s="1471" t="n"/>
      <c r="U77" s="1471" t="n"/>
      <c r="V77" s="1432" t="n"/>
      <c r="W77" s="2710" t="n"/>
      <c r="X77" s="2622" t="n"/>
      <c r="Y77" s="2622" t="n"/>
      <c r="Z77" s="2622" t="n"/>
      <c r="AA77" s="2622" t="n"/>
      <c r="AB77" s="2622" t="n"/>
      <c r="AC77" s="2622" t="n"/>
      <c r="AD77" s="2622" t="n"/>
      <c r="AE77" s="2622" t="n"/>
      <c r="AF77" s="2622" t="n"/>
      <c r="AG77" s="2622" t="n"/>
      <c r="AH77" s="2622" t="n"/>
      <c r="AI77" s="2622" t="n"/>
      <c r="AJ77" s="2622" t="n"/>
      <c r="AK77" s="2622" t="n"/>
      <c r="AL77" s="2622" t="n"/>
      <c r="AM77" s="2623" t="n"/>
      <c r="AN77" s="64" t="n"/>
      <c r="AO77" s="293" t="n"/>
      <c r="AP77" s="1324" t="n"/>
      <c r="AQ77" s="64" t="n"/>
      <c r="AR77" s="64" t="n"/>
      <c r="AS77" s="748" t="n"/>
      <c r="AT77" s="64" t="n"/>
      <c r="AU77" s="103" t="n"/>
      <c r="AV77" s="103" t="n"/>
      <c r="AW77" s="103" t="n"/>
      <c r="AX77" s="103" t="n"/>
      <c r="AY77" s="103" t="n"/>
      <c r="AZ77" s="103" t="n"/>
      <c r="BA77" s="103" t="n"/>
      <c r="BB77" s="103" t="n"/>
      <c r="BC77" s="103" t="n"/>
      <c r="BD77" s="103" t="n"/>
      <c r="BE77" s="103" t="n"/>
    </row>
    <row r="78" ht="43.5" customHeight="1">
      <c r="A78" s="1057" t="inlineStr">
        <is>
          <t>20|</t>
        </is>
      </c>
      <c r="B78" s="1671" t="inlineStr">
        <is>
          <t>eÜK Ae¯’v t_x000D_
wK ai‡bi eÜK ‡bqv n‡q‡Q Zvi c~b© weeiY</t>
        </is>
      </c>
      <c r="C78" s="2613" t="n"/>
      <c r="D78" s="2613" t="n"/>
      <c r="E78" s="2613" t="n"/>
      <c r="F78" s="2613" t="n"/>
      <c r="G78" s="2613" t="n"/>
      <c r="H78" s="2613" t="n"/>
      <c r="I78" s="2613" t="n"/>
      <c r="J78" s="2613" t="n"/>
      <c r="K78" s="2613" t="n"/>
      <c r="L78" s="2613" t="n"/>
      <c r="M78" s="2613" t="n"/>
      <c r="N78" s="2613" t="n"/>
      <c r="O78" s="2613" t="n"/>
      <c r="P78" s="2613" t="n"/>
      <c r="Q78" s="2613" t="n"/>
      <c r="R78" s="2613" t="n"/>
      <c r="S78" s="2613" t="n"/>
      <c r="T78" s="2613" t="n"/>
      <c r="U78" s="2613" t="n"/>
      <c r="V78" s="2649" t="n"/>
      <c r="W78" s="1059" t="inlineStr">
        <is>
          <t>cÖ‡hvR¨ b‡n|</t>
        </is>
      </c>
      <c r="X78" s="2614" t="n"/>
      <c r="Y78" s="2614" t="n"/>
      <c r="Z78" s="2614" t="n"/>
      <c r="AA78" s="2614" t="n"/>
      <c r="AB78" s="2614" t="n"/>
      <c r="AC78" s="2614" t="n"/>
      <c r="AD78" s="2614" t="n"/>
      <c r="AE78" s="2614" t="n"/>
      <c r="AF78" s="2614" t="n"/>
      <c r="AG78" s="2614" t="n"/>
      <c r="AH78" s="2614" t="n"/>
      <c r="AI78" s="2614" t="n"/>
      <c r="AJ78" s="2614" t="n"/>
      <c r="AK78" s="2614" t="n"/>
      <c r="AL78" s="2614" t="n"/>
      <c r="AM78" s="2617" t="n"/>
      <c r="AN78" s="64" t="n"/>
      <c r="AO78" s="64" t="n"/>
      <c r="AP78" s="64" t="n"/>
      <c r="AQ78" s="64" t="n"/>
      <c r="AR78" s="64" t="n"/>
      <c r="AS78" s="748" t="n"/>
      <c r="AT78" s="64" t="n"/>
      <c r="AU78" s="103" t="n"/>
      <c r="AV78" s="103" t="n"/>
      <c r="AW78" s="103" t="n"/>
      <c r="AX78" s="103" t="n"/>
      <c r="AY78" s="103" t="n"/>
      <c r="AZ78" s="103" t="n"/>
      <c r="BA78" s="103" t="n"/>
      <c r="BB78" s="103" t="n"/>
      <c r="BC78" s="103" t="n"/>
      <c r="BD78" s="103" t="n"/>
      <c r="BE78" s="103" t="n"/>
    </row>
    <row r="79" ht="31.5" customHeight="1">
      <c r="A79" s="1057" t="inlineStr">
        <is>
          <t>21|</t>
        </is>
      </c>
      <c r="B79" s="1057" t="inlineStr">
        <is>
          <t>m¤úwËi gvwjKvbv m¯ú‡K© e¨vs‡Ki ZvwjKvf~³ AvBbRxexi gZvgZ t</t>
        </is>
      </c>
      <c r="C79" s="2614" t="n"/>
      <c r="D79" s="2614" t="n"/>
      <c r="E79" s="2614" t="n"/>
      <c r="F79" s="2614" t="n"/>
      <c r="G79" s="2614" t="n"/>
      <c r="H79" s="2614" t="n"/>
      <c r="I79" s="2614" t="n"/>
      <c r="J79" s="2614" t="n"/>
      <c r="K79" s="2614" t="n"/>
      <c r="L79" s="2614" t="n"/>
      <c r="M79" s="2614" t="n"/>
      <c r="N79" s="2614" t="n"/>
      <c r="O79" s="2614" t="n"/>
      <c r="P79" s="2614" t="n"/>
      <c r="Q79" s="2614" t="n"/>
      <c r="R79" s="2614" t="n"/>
      <c r="S79" s="2614" t="n"/>
      <c r="T79" s="2614" t="n"/>
      <c r="U79" s="2614" t="n"/>
      <c r="V79" s="2617" t="n"/>
      <c r="W79" s="1059" t="inlineStr">
        <is>
          <t>BwZevPK gšÍe¨ bw_f~³</t>
        </is>
      </c>
      <c r="X79" s="2614" t="n"/>
      <c r="Y79" s="2614" t="n"/>
      <c r="Z79" s="2614" t="n"/>
      <c r="AA79" s="2614" t="n"/>
      <c r="AB79" s="2614" t="n"/>
      <c r="AC79" s="2614" t="n"/>
      <c r="AD79" s="2614" t="n"/>
      <c r="AE79" s="2614" t="n"/>
      <c r="AF79" s="2614" t="n"/>
      <c r="AG79" s="2614" t="n"/>
      <c r="AH79" s="2614" t="n"/>
      <c r="AI79" s="2614" t="n"/>
      <c r="AJ79" s="2614" t="n"/>
      <c r="AK79" s="2614" t="n"/>
      <c r="AL79" s="2614" t="n"/>
      <c r="AM79" s="2617" t="n"/>
      <c r="AN79" s="64" t="n"/>
      <c r="AO79" s="64" t="n"/>
      <c r="AP79" s="64" t="n"/>
      <c r="AQ79" s="64" t="n"/>
      <c r="AR79" s="64" t="n"/>
      <c r="AS79" s="748" t="n"/>
      <c r="AT79" s="64" t="n"/>
      <c r="AU79" s="103" t="n"/>
      <c r="AV79" s="103" t="n"/>
      <c r="AW79" s="103" t="n"/>
      <c r="AX79" s="103" t="n"/>
      <c r="AY79" s="103" t="n"/>
      <c r="AZ79" s="103" t="n"/>
      <c r="BA79" s="103" t="n"/>
      <c r="BB79" s="103" t="n"/>
      <c r="BC79" s="103" t="n"/>
      <c r="BD79" s="103" t="n"/>
      <c r="BE79" s="103" t="n"/>
    </row>
    <row r="80" ht="20.25" customHeight="1">
      <c r="A80" s="1395" t="inlineStr">
        <is>
          <t>22|</t>
        </is>
      </c>
      <c r="B80" s="1396" t="inlineStr">
        <is>
          <t>mshy³ `wjjc‡Îi ZvwjKvt g~j `wjj/cP©v/LwZqvb/evqv `wjj/ Zjøvkx mb`/ nvjm‡bi LvRbvi iwk`/ †cŠiKi iwk` BZ¨vw` t</t>
        </is>
      </c>
      <c r="C80" s="2624" t="n"/>
      <c r="D80" s="2624" t="n"/>
      <c r="E80" s="2624" t="n"/>
      <c r="F80" s="2624" t="n"/>
      <c r="G80" s="2624" t="n"/>
      <c r="H80" s="2624" t="n"/>
      <c r="I80" s="2624" t="n"/>
      <c r="J80" s="2624" t="n"/>
      <c r="K80" s="2624" t="n"/>
      <c r="L80" s="2624" t="n"/>
      <c r="M80" s="2624" t="n"/>
      <c r="N80" s="2624" t="n"/>
      <c r="O80" s="2624" t="n"/>
      <c r="P80" s="2624" t="n"/>
      <c r="Q80" s="2624" t="n"/>
      <c r="R80" s="2624" t="n"/>
      <c r="S80" s="2624" t="n"/>
      <c r="T80" s="2624" t="n"/>
      <c r="U80" s="2624" t="n"/>
      <c r="V80" s="2642" t="n"/>
      <c r="W80" s="2717" t="inlineStr">
        <is>
          <t>g~j iwk`mn AweKj bKj `wjj, evqv `wj‡ji d‡Uv Kwcmg~n, GmG I AviGm cP©vi mvwU©dvBW Kwc, wWwmAvi, bvgRvix LwZqvb, nvjm‡bi LvRbvi iwk` FY bw_‡Z Av‡Q|</t>
        </is>
      </c>
      <c r="X80" s="2624" t="n"/>
      <c r="Y80" s="2624" t="n"/>
      <c r="Z80" s="2624" t="n"/>
      <c r="AA80" s="2624" t="n"/>
      <c r="AB80" s="2624" t="n"/>
      <c r="AC80" s="2624" t="n"/>
      <c r="AD80" s="2624" t="n"/>
      <c r="AE80" s="2624" t="n"/>
      <c r="AF80" s="2624" t="n"/>
      <c r="AG80" s="2624" t="n"/>
      <c r="AH80" s="2624" t="n"/>
      <c r="AI80" s="2624" t="n"/>
      <c r="AJ80" s="2624" t="n"/>
      <c r="AK80" s="2624" t="n"/>
      <c r="AL80" s="2624" t="n"/>
      <c r="AM80" s="2642" t="n"/>
      <c r="AN80" s="64" t="n"/>
      <c r="AO80" s="64" t="n"/>
      <c r="AP80" s="64" t="n"/>
      <c r="AQ80" s="64" t="n"/>
      <c r="AR80" s="64" t="n"/>
      <c r="AS80" s="748" t="n"/>
      <c r="AT80" s="64" t="n"/>
      <c r="AU80" s="103" t="n"/>
      <c r="AV80" s="103" t="n"/>
      <c r="AW80" s="103" t="n"/>
      <c r="AX80" s="103" t="n"/>
      <c r="AY80" s="103" t="n"/>
      <c r="AZ80" s="103" t="n"/>
      <c r="BA80" s="103" t="n"/>
      <c r="BB80" s="103" t="n"/>
      <c r="BC80" s="103" t="n"/>
      <c r="BD80" s="103" t="n"/>
      <c r="BE80" s="103" t="n"/>
    </row>
    <row r="81" ht="33.75" customHeight="1">
      <c r="A81" s="2618" t="n"/>
      <c r="B81" s="2648" t="n"/>
      <c r="C81" s="2613" t="n"/>
      <c r="D81" s="2613" t="n"/>
      <c r="E81" s="2613" t="n"/>
      <c r="F81" s="2613" t="n"/>
      <c r="G81" s="2613" t="n"/>
      <c r="H81" s="2613" t="n"/>
      <c r="I81" s="2613" t="n"/>
      <c r="J81" s="2613" t="n"/>
      <c r="K81" s="2613" t="n"/>
      <c r="L81" s="2613" t="n"/>
      <c r="M81" s="2613" t="n"/>
      <c r="N81" s="2613" t="n"/>
      <c r="O81" s="2613" t="n"/>
      <c r="P81" s="2613" t="n"/>
      <c r="Q81" s="2613" t="n"/>
      <c r="R81" s="2613" t="n"/>
      <c r="S81" s="2613" t="n"/>
      <c r="T81" s="2613" t="n"/>
      <c r="U81" s="2613" t="n"/>
      <c r="V81" s="2649" t="n"/>
      <c r="W81" s="2648" t="n"/>
      <c r="X81" s="2613" t="n"/>
      <c r="Y81" s="2613" t="n"/>
      <c r="Z81" s="2613" t="n"/>
      <c r="AA81" s="2613" t="n"/>
      <c r="AB81" s="2613" t="n"/>
      <c r="AC81" s="2613" t="n"/>
      <c r="AD81" s="2613" t="n"/>
      <c r="AE81" s="2613" t="n"/>
      <c r="AF81" s="2613" t="n"/>
      <c r="AG81" s="2613" t="n"/>
      <c r="AH81" s="2613" t="n"/>
      <c r="AI81" s="2613" t="n"/>
      <c r="AJ81" s="2613" t="n"/>
      <c r="AK81" s="2613" t="n"/>
      <c r="AL81" s="2613" t="n"/>
      <c r="AM81" s="2649" t="n"/>
      <c r="AN81" s="64" t="n"/>
      <c r="AO81" s="64" t="n"/>
      <c r="AP81" s="64" t="n"/>
      <c r="AQ81" s="64" t="n"/>
      <c r="AR81" s="64" t="n"/>
      <c r="AS81" s="748" t="n"/>
      <c r="AT81" s="64" t="n"/>
      <c r="AU81" s="103" t="n"/>
      <c r="AV81" s="103" t="n"/>
      <c r="AW81" s="103" t="n"/>
      <c r="AX81" s="103" t="n"/>
      <c r="AY81" s="103" t="n"/>
      <c r="AZ81" s="103" t="n"/>
      <c r="BA81" s="103" t="n"/>
      <c r="BB81" s="103" t="n"/>
      <c r="BC81" s="103" t="n"/>
      <c r="BD81" s="103" t="n"/>
      <c r="BE81" s="103" t="n"/>
    </row>
    <row r="82" ht="20.25" customHeight="1">
      <c r="A82" s="1395" t="inlineStr">
        <is>
          <t>23|</t>
        </is>
      </c>
      <c r="B82" s="1396" t="inlineStr">
        <is>
          <t>wb`©vq mb` (Non Encumbrance Certificate) m¤ú` eÜK MÖn‡Yi c~‡e© Znwkj Awdm I †iwRwóª Awdm n‡Z Zjøvkx K‡i `wjjvw`i ï×Zvi wel‡q gZvgZt</t>
        </is>
      </c>
      <c r="C82" s="2624" t="n"/>
      <c r="D82" s="2624" t="n"/>
      <c r="E82" s="2624" t="n"/>
      <c r="F82" s="2624" t="n"/>
      <c r="G82" s="2624" t="n"/>
      <c r="H82" s="2624" t="n"/>
      <c r="I82" s="2624" t="n"/>
      <c r="J82" s="2624" t="n"/>
      <c r="K82" s="2624" t="n"/>
      <c r="L82" s="2624" t="n"/>
      <c r="M82" s="2624" t="n"/>
      <c r="N82" s="2624" t="n"/>
      <c r="O82" s="2624" t="n"/>
      <c r="P82" s="2624" t="n"/>
      <c r="Q82" s="2624" t="n"/>
      <c r="R82" s="2624" t="n"/>
      <c r="S82" s="2624" t="n"/>
      <c r="T82" s="2624" t="n"/>
      <c r="U82" s="2624" t="n"/>
      <c r="V82" s="2642" t="n"/>
      <c r="W82" s="2718" t="inlineStr">
        <is>
          <t xml:space="preserve">FYwU gÄyixi ci wb`©vq mb` MÖnb Kiv n‡e| </t>
        </is>
      </c>
      <c r="X82" s="2624" t="n"/>
      <c r="Y82" s="2624" t="n"/>
      <c r="Z82" s="2624" t="n"/>
      <c r="AA82" s="2624" t="n"/>
      <c r="AB82" s="2624" t="n"/>
      <c r="AC82" s="2624" t="n"/>
      <c r="AD82" s="2624" t="n"/>
      <c r="AE82" s="2624" t="n"/>
      <c r="AF82" s="2624" t="n"/>
      <c r="AG82" s="2624" t="n"/>
      <c r="AH82" s="2624" t="n"/>
      <c r="AI82" s="2624" t="n"/>
      <c r="AJ82" s="2624" t="n"/>
      <c r="AK82" s="2624" t="n"/>
      <c r="AL82" s="2624" t="n"/>
      <c r="AM82" s="2642" t="n"/>
      <c r="AN82" s="64" t="n"/>
      <c r="AO82" s="64" t="n"/>
      <c r="AP82" s="64" t="n"/>
      <c r="AQ82" s="64" t="n"/>
      <c r="AR82" s="64" t="n"/>
      <c r="AS82" s="748" t="n"/>
      <c r="AT82" s="64" t="n"/>
      <c r="AU82" s="103" t="n"/>
      <c r="AV82" s="103" t="n"/>
      <c r="AW82" s="103" t="n"/>
      <c r="AX82" s="103" t="n"/>
      <c r="AY82" s="103" t="n"/>
      <c r="AZ82" s="103" t="n"/>
      <c r="BA82" s="103" t="n"/>
      <c r="BB82" s="103" t="n"/>
      <c r="BC82" s="103" t="n"/>
      <c r="BD82" s="103" t="n"/>
      <c r="BE82" s="103" t="n"/>
    </row>
    <row r="83" ht="31.5" customHeight="1">
      <c r="A83" s="2618" t="n"/>
      <c r="B83" s="2648" t="n"/>
      <c r="C83" s="2613" t="n"/>
      <c r="D83" s="2613" t="n"/>
      <c r="E83" s="2613" t="n"/>
      <c r="F83" s="2613" t="n"/>
      <c r="G83" s="2613" t="n"/>
      <c r="H83" s="2613" t="n"/>
      <c r="I83" s="2613" t="n"/>
      <c r="J83" s="2613" t="n"/>
      <c r="K83" s="2613" t="n"/>
      <c r="L83" s="2613" t="n"/>
      <c r="M83" s="2613" t="n"/>
      <c r="N83" s="2613" t="n"/>
      <c r="O83" s="2613" t="n"/>
      <c r="P83" s="2613" t="n"/>
      <c r="Q83" s="2613" t="n"/>
      <c r="R83" s="2613" t="n"/>
      <c r="S83" s="2613" t="n"/>
      <c r="T83" s="2613" t="n"/>
      <c r="U83" s="2613" t="n"/>
      <c r="V83" s="2649" t="n"/>
      <c r="W83" s="2648" t="n"/>
      <c r="X83" s="2613" t="n"/>
      <c r="Y83" s="2613" t="n"/>
      <c r="Z83" s="2613" t="n"/>
      <c r="AA83" s="2613" t="n"/>
      <c r="AB83" s="2613" t="n"/>
      <c r="AC83" s="2613" t="n"/>
      <c r="AD83" s="2613" t="n"/>
      <c r="AE83" s="2613" t="n"/>
      <c r="AF83" s="2613" t="n"/>
      <c r="AG83" s="2613" t="n"/>
      <c r="AH83" s="2613" t="n"/>
      <c r="AI83" s="2613" t="n"/>
      <c r="AJ83" s="2613" t="n"/>
      <c r="AK83" s="2613" t="n"/>
      <c r="AL83" s="2613" t="n"/>
      <c r="AM83" s="2649" t="n"/>
      <c r="AN83" s="64" t="n"/>
      <c r="AO83" s="64" t="n"/>
      <c r="AP83" s="64" t="n"/>
      <c r="AQ83" s="64" t="n"/>
      <c r="AR83" s="64" t="n"/>
      <c r="AS83" s="748" t="n"/>
      <c r="AT83" s="64" t="n"/>
      <c r="AU83" s="103" t="n"/>
      <c r="AV83" s="103" t="n"/>
      <c r="AW83" s="103" t="n"/>
      <c r="AX83" s="103" t="n"/>
      <c r="AY83" s="103" t="n"/>
      <c r="AZ83" s="103" t="n"/>
      <c r="BA83" s="103" t="n"/>
      <c r="BB83" s="103" t="n"/>
      <c r="BC83" s="103" t="n"/>
      <c r="BD83" s="103" t="n"/>
      <c r="BE83" s="103" t="n"/>
    </row>
    <row r="84" ht="44.25" customHeight="1">
      <c r="A84" s="1057" t="inlineStr">
        <is>
          <t>24|</t>
        </is>
      </c>
      <c r="B84" s="1057" t="inlineStr">
        <is>
          <t>mvwe©K gšÍe¨ t</t>
        </is>
      </c>
      <c r="C84" s="2614" t="n"/>
      <c r="D84" s="2614" t="n"/>
      <c r="E84" s="2614" t="n"/>
      <c r="F84" s="2614" t="n"/>
      <c r="G84" s="2614" t="n"/>
      <c r="H84" s="2614" t="n"/>
      <c r="I84" s="2614" t="n"/>
      <c r="J84" s="2614" t="n"/>
      <c r="K84" s="2614" t="n"/>
      <c r="L84" s="2614" t="n"/>
      <c r="M84" s="2614" t="n"/>
      <c r="N84" s="2614" t="n"/>
      <c r="O84" s="2614" t="n"/>
      <c r="P84" s="2614" t="n"/>
      <c r="Q84" s="2614" t="n"/>
      <c r="R84" s="2614" t="n"/>
      <c r="S84" s="2614" t="n"/>
      <c r="T84" s="2614" t="n"/>
      <c r="U84" s="2614" t="n"/>
      <c r="V84" s="2617" t="n"/>
      <c r="W84" s="290" t="inlineStr">
        <is>
          <t xml:space="preserve">ewY©Z f~wg RvgvbZ wnmv‡e eÜK †bqv †h‡Z cv‡i </t>
        </is>
      </c>
      <c r="X84" s="2614" t="n"/>
      <c r="Y84" s="2614" t="n"/>
      <c r="Z84" s="2614" t="n"/>
      <c r="AA84" s="2614" t="n"/>
      <c r="AB84" s="2614" t="n"/>
      <c r="AC84" s="2614" t="n"/>
      <c r="AD84" s="2614" t="n"/>
      <c r="AE84" s="2614" t="n"/>
      <c r="AF84" s="2614" t="n"/>
      <c r="AG84" s="2614" t="n"/>
      <c r="AH84" s="2614" t="n"/>
      <c r="AI84" s="2614" t="n"/>
      <c r="AJ84" s="2614" t="n"/>
      <c r="AK84" s="2614" t="n"/>
      <c r="AL84" s="2614" t="n"/>
      <c r="AM84" s="2617" t="n"/>
      <c r="AN84" s="64" t="n"/>
      <c r="AO84" s="64" t="n"/>
      <c r="AP84" s="64" t="n"/>
      <c r="AQ84" s="64" t="n"/>
      <c r="AR84" s="64" t="n"/>
      <c r="AS84" s="748" t="n"/>
      <c r="AT84" s="64" t="n"/>
      <c r="AU84" s="103" t="n"/>
      <c r="AV84" s="103" t="n"/>
      <c r="AW84" s="103" t="n"/>
      <c r="AX84" s="103" t="n"/>
      <c r="AY84" s="103" t="n"/>
      <c r="AZ84" s="103" t="n"/>
      <c r="BA84" s="103" t="n"/>
      <c r="BB84" s="103" t="n"/>
      <c r="BC84" s="103" t="n"/>
      <c r="BD84" s="103" t="n"/>
      <c r="BE84" s="103" t="n"/>
    </row>
    <row r="85" ht="20.25" customHeight="1">
      <c r="A85" s="1395" t="inlineStr">
        <is>
          <t>25|</t>
        </is>
      </c>
      <c r="B85" s="1057" t="inlineStr">
        <is>
          <t>g~j¨vqb KwgwUi cÖZ¨qb t</t>
        </is>
      </c>
      <c r="C85" s="2614" t="n"/>
      <c r="D85" s="2614" t="n"/>
      <c r="E85" s="2614" t="n"/>
      <c r="F85" s="2614" t="n"/>
      <c r="G85" s="2614" t="n"/>
      <c r="H85" s="2614" t="n"/>
      <c r="I85" s="2614" t="n"/>
      <c r="J85" s="2614" t="n"/>
      <c r="K85" s="2614" t="n"/>
      <c r="L85" s="2614" t="n"/>
      <c r="M85" s="2614" t="n"/>
      <c r="N85" s="2614" t="n"/>
      <c r="O85" s="2614" t="n"/>
      <c r="P85" s="2614" t="n"/>
      <c r="Q85" s="2614" t="n"/>
      <c r="R85" s="2614" t="n"/>
      <c r="S85" s="2614" t="n"/>
      <c r="T85" s="2614" t="n"/>
      <c r="U85" s="2614" t="n"/>
      <c r="V85" s="2614" t="n"/>
      <c r="W85" s="2614" t="n"/>
      <c r="X85" s="2614" t="n"/>
      <c r="Y85" s="2614" t="n"/>
      <c r="Z85" s="2614" t="n"/>
      <c r="AA85" s="2614" t="n"/>
      <c r="AB85" s="2614" t="n"/>
      <c r="AC85" s="2614" t="n"/>
      <c r="AD85" s="2614" t="n"/>
      <c r="AE85" s="2614" t="n"/>
      <c r="AF85" s="2614" t="n"/>
      <c r="AG85" s="2614" t="n"/>
      <c r="AH85" s="2614" t="n"/>
      <c r="AI85" s="2614" t="n"/>
      <c r="AJ85" s="2614" t="n"/>
      <c r="AK85" s="2614" t="n"/>
      <c r="AL85" s="2614" t="n"/>
      <c r="AM85" s="2617" t="n"/>
      <c r="AN85" s="64" t="n"/>
      <c r="AO85" s="64" t="n"/>
      <c r="AP85" s="64" t="n"/>
      <c r="AQ85" s="64" t="n"/>
      <c r="AR85" s="64" t="n"/>
      <c r="AS85" s="748" t="n"/>
      <c r="AT85" s="64" t="n"/>
      <c r="AU85" s="103" t="n"/>
      <c r="AV85" s="103" t="n"/>
      <c r="AW85" s="103" t="n"/>
      <c r="AX85" s="103" t="n"/>
      <c r="AY85" s="103" t="n"/>
      <c r="AZ85" s="103" t="n"/>
      <c r="BA85" s="103" t="n"/>
      <c r="BB85" s="103" t="n"/>
      <c r="BC85" s="103" t="n"/>
      <c r="BD85" s="103" t="n"/>
      <c r="BE85" s="103" t="n"/>
    </row>
    <row r="86" ht="18" customHeight="1">
      <c r="A86" s="2673" t="n"/>
      <c r="B86" s="2674" t="inlineStr">
        <is>
          <t>Avgiv †hŠ_fv‡e Q‡K ewY©Z Rwg Ges mswkøó `wjj I KvMRcÎvw` h_vh_fv‡e m‡iRwg‡b cwi`k©b I cixÿv K‡iwQ Ges mKj Z_¨vw` mwVK I mZ¨ e‡j cÖZ¨qb KiwQ|</t>
        </is>
      </c>
      <c r="C86" s="2624" t="n"/>
      <c r="D86" s="2624" t="n"/>
      <c r="E86" s="2624" t="n"/>
      <c r="F86" s="2624" t="n"/>
      <c r="G86" s="2624" t="n"/>
      <c r="H86" s="2624" t="n"/>
      <c r="I86" s="2624" t="n"/>
      <c r="J86" s="2624" t="n"/>
      <c r="K86" s="2624" t="n"/>
      <c r="L86" s="2624" t="n"/>
      <c r="M86" s="2624" t="n"/>
      <c r="N86" s="2624" t="n"/>
      <c r="O86" s="2624" t="n"/>
      <c r="P86" s="2624" t="n"/>
      <c r="Q86" s="2624" t="n"/>
      <c r="R86" s="2624" t="n"/>
      <c r="S86" s="2624" t="n"/>
      <c r="T86" s="2624" t="n"/>
      <c r="U86" s="2624" t="n"/>
      <c r="V86" s="2624" t="n"/>
      <c r="W86" s="2624" t="n"/>
      <c r="X86" s="2624" t="n"/>
      <c r="Y86" s="2624" t="n"/>
      <c r="Z86" s="2624" t="n"/>
      <c r="AA86" s="2624" t="n"/>
      <c r="AB86" s="2624" t="n"/>
      <c r="AC86" s="2624" t="n"/>
      <c r="AD86" s="2624" t="n"/>
      <c r="AE86" s="2624" t="n"/>
      <c r="AF86" s="2624" t="n"/>
      <c r="AG86" s="2624" t="n"/>
      <c r="AH86" s="2624" t="n"/>
      <c r="AI86" s="2624" t="n"/>
      <c r="AJ86" s="2624" t="n"/>
      <c r="AK86" s="2624" t="n"/>
      <c r="AL86" s="2624" t="n"/>
      <c r="AM86" s="2642" t="n"/>
      <c r="AN86" s="64" t="n"/>
      <c r="AO86" s="64" t="n"/>
      <c r="AP86" s="64" t="n"/>
      <c r="AQ86" s="64" t="n"/>
      <c r="AR86" s="64" t="n"/>
      <c r="AS86" s="748" t="n"/>
      <c r="AT86" s="64" t="n"/>
      <c r="AU86" s="103" t="n"/>
      <c r="AV86" s="103" t="n"/>
      <c r="AW86" s="103" t="n"/>
      <c r="AX86" s="103" t="n"/>
      <c r="AY86" s="103" t="n"/>
      <c r="AZ86" s="103" t="n"/>
      <c r="BA86" s="103" t="n"/>
      <c r="BB86" s="103" t="n"/>
      <c r="BC86" s="103" t="n"/>
      <c r="BD86" s="103" t="n"/>
      <c r="BE86" s="103" t="n"/>
    </row>
    <row r="87" ht="18" customHeight="1">
      <c r="A87" s="2673" t="n"/>
      <c r="B87" s="2647" t="n"/>
      <c r="AM87" s="2641" t="n"/>
      <c r="AN87" s="64" t="n"/>
      <c r="AO87" s="64" t="n"/>
      <c r="AP87" s="64" t="n"/>
      <c r="AQ87" s="64" t="n"/>
      <c r="AR87" s="64" t="n"/>
      <c r="AS87" s="748" t="n"/>
      <c r="AT87" s="64" t="n"/>
      <c r="AU87" s="103" t="n"/>
      <c r="AV87" s="103" t="n"/>
      <c r="AW87" s="103" t="n"/>
      <c r="AX87" s="103" t="n"/>
      <c r="AY87" s="103" t="n"/>
      <c r="AZ87" s="103" t="n"/>
      <c r="BA87" s="103" t="n"/>
      <c r="BB87" s="103" t="n"/>
      <c r="BC87" s="103" t="n"/>
      <c r="BD87" s="103" t="n"/>
      <c r="BE87" s="103" t="n"/>
    </row>
    <row r="88" ht="18" customHeight="1">
      <c r="A88" s="2618" t="n"/>
      <c r="B88" s="2648" t="n"/>
      <c r="C88" s="2613" t="n"/>
      <c r="D88" s="2613" t="n"/>
      <c r="E88" s="2613" t="n"/>
      <c r="F88" s="2613" t="n"/>
      <c r="G88" s="2613" t="n"/>
      <c r="H88" s="2613" t="n"/>
      <c r="I88" s="2613" t="n"/>
      <c r="J88" s="2613" t="n"/>
      <c r="K88" s="2613" t="n"/>
      <c r="L88" s="2613" t="n"/>
      <c r="M88" s="2613" t="n"/>
      <c r="N88" s="2613" t="n"/>
      <c r="O88" s="2613" t="n"/>
      <c r="P88" s="2613" t="n"/>
      <c r="Q88" s="2613" t="n"/>
      <c r="R88" s="2613" t="n"/>
      <c r="S88" s="2613" t="n"/>
      <c r="T88" s="2613" t="n"/>
      <c r="U88" s="2613" t="n"/>
      <c r="V88" s="2613" t="n"/>
      <c r="W88" s="2613" t="n"/>
      <c r="X88" s="2613" t="n"/>
      <c r="Y88" s="2613" t="n"/>
      <c r="Z88" s="2613" t="n"/>
      <c r="AA88" s="2613" t="n"/>
      <c r="AB88" s="2613" t="n"/>
      <c r="AC88" s="2613" t="n"/>
      <c r="AD88" s="2613" t="n"/>
      <c r="AE88" s="2613" t="n"/>
      <c r="AF88" s="2613" t="n"/>
      <c r="AG88" s="2613" t="n"/>
      <c r="AH88" s="2613" t="n"/>
      <c r="AI88" s="2613" t="n"/>
      <c r="AJ88" s="2613" t="n"/>
      <c r="AK88" s="2613" t="n"/>
      <c r="AL88" s="2613" t="n"/>
      <c r="AM88" s="2649" t="n"/>
      <c r="AN88" s="64" t="n"/>
      <c r="AO88" s="64" t="n"/>
      <c r="AP88" s="64" t="n"/>
      <c r="AQ88" s="64" t="n"/>
      <c r="AR88" s="64" t="n"/>
      <c r="AS88" s="748" t="n"/>
      <c r="AT88" s="64" t="n"/>
      <c r="AU88" s="103" t="n"/>
      <c r="AV88" s="103" t="n"/>
      <c r="AW88" s="103" t="n"/>
      <c r="AX88" s="103" t="n"/>
      <c r="AY88" s="103" t="n"/>
      <c r="AZ88" s="103" t="n"/>
      <c r="BA88" s="103" t="n"/>
      <c r="BB88" s="103" t="n"/>
      <c r="BC88" s="103" t="n"/>
      <c r="BD88" s="103" t="n"/>
      <c r="BE88" s="103" t="n"/>
    </row>
    <row r="89" ht="18" customHeight="1">
      <c r="A89" s="1467" t="n"/>
      <c r="B89" s="1467" t="n"/>
      <c r="C89" s="1467" t="n"/>
      <c r="D89" s="1467" t="n"/>
      <c r="E89" s="1467" t="n"/>
      <c r="F89" s="1467" t="n"/>
      <c r="G89" s="1467" t="n"/>
      <c r="H89" s="1467" t="n"/>
      <c r="I89" s="1467" t="n"/>
      <c r="J89" s="1467" t="n"/>
      <c r="K89" s="1467" t="n"/>
      <c r="L89" s="1467" t="n"/>
      <c r="M89" s="1467" t="n"/>
      <c r="N89" s="1467" t="n"/>
      <c r="O89" s="1467" t="n"/>
      <c r="P89" s="1467" t="n"/>
      <c r="Q89" s="1467" t="n"/>
      <c r="R89" s="1557" t="n"/>
      <c r="S89" s="1467" t="n"/>
      <c r="T89" s="1467" t="n"/>
      <c r="U89" s="1467" t="n"/>
      <c r="V89" s="1557" t="n"/>
      <c r="W89" s="1558" t="n"/>
      <c r="X89" s="1467" t="n"/>
      <c r="Y89" s="1467" t="n"/>
      <c r="Z89" s="1467" t="n"/>
      <c r="AA89" s="1559" t="n"/>
      <c r="AB89" s="1467" t="n"/>
      <c r="AC89" s="1467" t="n"/>
      <c r="AD89" s="1467" t="n"/>
      <c r="AE89" s="1558" t="n"/>
      <c r="AF89" s="1558" t="n"/>
      <c r="AG89" s="1467" t="n"/>
      <c r="AH89" s="1467" t="n"/>
      <c r="AI89" s="1467" t="n"/>
      <c r="AJ89" s="1467" t="n"/>
      <c r="AK89" s="1467" t="n"/>
      <c r="AL89" s="1467" t="n"/>
      <c r="AM89" s="1467" t="n"/>
      <c r="AN89" s="64" t="n"/>
      <c r="AO89" s="64" t="n"/>
      <c r="AP89" s="64" t="n"/>
      <c r="AQ89" s="64" t="n"/>
      <c r="AR89" s="64" t="n"/>
      <c r="AS89" s="748" t="n"/>
      <c r="AT89" s="64" t="n"/>
      <c r="AU89" s="103" t="n"/>
      <c r="AV89" s="103" t="n"/>
      <c r="AW89" s="103" t="n"/>
      <c r="AX89" s="103" t="n"/>
      <c r="AY89" s="103" t="n"/>
      <c r="AZ89" s="103" t="n"/>
      <c r="BA89" s="103" t="n"/>
      <c r="BB89" s="103" t="n"/>
      <c r="BC89" s="103" t="n"/>
      <c r="BD89" s="103" t="n"/>
      <c r="BE89" s="103" t="n"/>
    </row>
    <row r="90" ht="21.75" customHeight="1">
      <c r="A90" s="295" t="inlineStr">
        <is>
          <t>cwi`k©bKvix Kg©KZ©ve„›` t</t>
        </is>
      </c>
      <c r="AN90" s="64" t="n"/>
      <c r="AO90" s="64" t="n"/>
      <c r="AP90" s="64" t="n"/>
      <c r="AQ90" s="64" t="n"/>
      <c r="AR90" s="64" t="n"/>
      <c r="AS90" s="748" t="n"/>
      <c r="AT90" s="64" t="n"/>
      <c r="AU90" s="103" t="n"/>
      <c r="AV90" s="103" t="n"/>
      <c r="AW90" s="103" t="n"/>
      <c r="AX90" s="103" t="n"/>
      <c r="AY90" s="103" t="n"/>
      <c r="AZ90" s="103" t="n"/>
      <c r="BA90" s="103" t="n"/>
      <c r="BB90" s="103" t="n"/>
      <c r="BC90" s="103" t="n"/>
      <c r="BD90" s="103" t="n"/>
      <c r="BE90" s="103" t="n"/>
    </row>
    <row r="91" ht="18" customHeight="1">
      <c r="A91" s="789" t="inlineStr">
        <is>
          <t xml:space="preserve">                                                                                                                     </t>
        </is>
      </c>
      <c r="B91" s="789" t="n"/>
      <c r="C91" s="789" t="n"/>
      <c r="D91" s="789" t="n"/>
      <c r="E91" s="789" t="n"/>
      <c r="F91" s="789" t="n"/>
      <c r="G91" s="789" t="n"/>
      <c r="H91" s="789" t="n"/>
      <c r="I91" s="789" t="n"/>
      <c r="J91" s="789" t="n"/>
      <c r="K91" s="789" t="n"/>
      <c r="L91" s="789" t="n"/>
      <c r="M91" s="789" t="n"/>
      <c r="N91" s="789" t="n"/>
      <c r="O91" s="789" t="n"/>
      <c r="P91" s="789" t="n"/>
      <c r="Q91" s="789" t="n"/>
      <c r="R91" s="1236" t="n"/>
      <c r="S91" s="789" t="n"/>
      <c r="T91" s="789" t="n"/>
      <c r="U91" s="789" t="n"/>
      <c r="V91" s="1236" t="n"/>
      <c r="W91" s="790" t="n"/>
      <c r="X91" s="789" t="n"/>
      <c r="Y91" s="789" t="n"/>
      <c r="Z91" s="789" t="n"/>
      <c r="AA91" s="1237" t="n"/>
      <c r="AB91" s="789" t="n"/>
      <c r="AC91" s="789" t="n"/>
      <c r="AD91" s="789" t="n"/>
      <c r="AE91" s="790" t="n"/>
      <c r="AF91" s="790" t="n"/>
      <c r="AG91" s="789" t="n"/>
      <c r="AH91" s="789" t="n"/>
      <c r="AI91" s="789" t="n"/>
      <c r="AJ91" s="789" t="n"/>
      <c r="AK91" s="789" t="n"/>
      <c r="AL91" s="789" t="n"/>
      <c r="AM91" s="789" t="n"/>
      <c r="AN91" s="64" t="n"/>
      <c r="AO91" s="64" t="n"/>
      <c r="AP91" s="64" t="n"/>
      <c r="AQ91" s="64" t="n"/>
      <c r="AR91" s="64" t="n"/>
      <c r="AS91" s="748" t="n"/>
      <c r="AT91" s="64" t="n"/>
      <c r="AU91" s="103" t="n"/>
      <c r="AV91" s="103" t="n"/>
      <c r="AW91" s="103" t="n"/>
      <c r="AX91" s="103" t="n"/>
      <c r="AY91" s="103" t="n"/>
      <c r="AZ91" s="103" t="n"/>
      <c r="BA91" s="103" t="n"/>
      <c r="BB91" s="103" t="n"/>
      <c r="BC91" s="103" t="n"/>
      <c r="BD91" s="103" t="n"/>
      <c r="BE91" s="103" t="n"/>
    </row>
    <row r="92" ht="18.75" customHeight="1">
      <c r="A92" s="789" t="n"/>
      <c r="B92" s="789" t="n"/>
      <c r="C92" s="259" t="n"/>
      <c r="D92" s="259" t="n"/>
      <c r="E92" s="259" t="n"/>
      <c r="F92" s="259" t="n"/>
      <c r="G92" s="259" t="n"/>
      <c r="H92" s="259" t="n"/>
      <c r="I92" s="259" t="n"/>
      <c r="J92" s="259" t="n"/>
      <c r="K92" s="789" t="n"/>
      <c r="L92" s="789" t="n"/>
      <c r="M92" s="789" t="n"/>
      <c r="N92" s="789" t="n"/>
      <c r="O92" s="789" t="n"/>
      <c r="P92" s="789" t="n"/>
      <c r="Q92" s="789" t="n"/>
      <c r="R92" s="1236" t="n"/>
      <c r="S92" s="789" t="n"/>
      <c r="T92" s="789" t="n"/>
      <c r="U92" s="789" t="n"/>
      <c r="V92" s="1236" t="n"/>
      <c r="W92" s="790" t="n"/>
      <c r="X92" s="789" t="n"/>
      <c r="Y92" s="789" t="n"/>
      <c r="Z92" s="789" t="n"/>
      <c r="AA92" s="1237" t="n"/>
      <c r="AB92" s="789" t="n"/>
      <c r="AC92" s="789" t="n"/>
      <c r="AD92" s="789" t="n"/>
      <c r="AE92" s="790" t="n"/>
      <c r="AF92" s="790" t="n"/>
      <c r="AG92" s="789" t="n"/>
      <c r="AH92" s="789" t="n"/>
      <c r="AI92" s="789" t="n"/>
      <c r="AJ92" s="1560" t="n"/>
      <c r="AK92" s="1560" t="n"/>
      <c r="AL92" s="1560" t="n"/>
      <c r="AM92" s="1560" t="n"/>
      <c r="AN92" s="64" t="n"/>
      <c r="AO92" s="64" t="n"/>
      <c r="AP92" s="64" t="n"/>
      <c r="AQ92" s="64" t="n"/>
      <c r="AR92" s="64" t="n"/>
      <c r="AS92" s="748" t="n"/>
      <c r="AT92" s="64" t="n"/>
      <c r="AU92" s="103" t="n"/>
      <c r="AV92" s="103" t="n"/>
      <c r="AW92" s="103" t="n"/>
      <c r="AX92" s="103" t="n"/>
      <c r="AY92" s="103" t="n"/>
      <c r="AZ92" s="103" t="n"/>
      <c r="BA92" s="103" t="n"/>
      <c r="BB92" s="103" t="n"/>
      <c r="BC92" s="103" t="n"/>
      <c r="BD92" s="103" t="n"/>
      <c r="BE92" s="103" t="n"/>
    </row>
    <row r="93" ht="18.75" customHeight="1">
      <c r="A93" s="789" t="n"/>
      <c r="B93" s="789" t="n"/>
      <c r="C93" s="789" t="n"/>
      <c r="D93" s="789" t="n"/>
      <c r="E93" s="789" t="n"/>
      <c r="F93" s="789" t="n"/>
      <c r="G93" s="789" t="n"/>
      <c r="H93" s="789" t="n"/>
      <c r="I93" s="789" t="n"/>
      <c r="J93" s="789" t="n"/>
      <c r="K93" s="789" t="n"/>
      <c r="L93" s="789" t="n"/>
      <c r="M93" s="789" t="n"/>
      <c r="N93" s="789" t="n"/>
      <c r="O93" s="789" t="n"/>
      <c r="P93" s="789" t="n"/>
      <c r="Q93" s="789" t="n"/>
      <c r="R93" s="1236" t="n"/>
      <c r="S93" s="789" t="n"/>
      <c r="T93" s="789" t="n"/>
      <c r="U93" s="789" t="n"/>
      <c r="V93" s="1236" t="n"/>
      <c r="W93" s="790" t="n"/>
      <c r="X93" s="789" t="n"/>
      <c r="Y93" s="789" t="n"/>
      <c r="Z93" s="789" t="n"/>
      <c r="AA93" s="1237" t="n"/>
      <c r="AB93" s="789" t="n"/>
      <c r="AC93" s="789" t="n"/>
      <c r="AD93" s="789" t="n"/>
      <c r="AE93" s="790" t="n"/>
      <c r="AF93" s="790" t="n"/>
      <c r="AG93" s="789" t="n"/>
      <c r="AH93" s="789" t="n"/>
      <c r="AI93" s="789" t="n"/>
      <c r="AJ93" s="1560" t="n"/>
      <c r="AK93" s="1560" t="n"/>
      <c r="AL93" s="1560" t="n"/>
      <c r="AM93" s="1560" t="n"/>
      <c r="AN93" s="64" t="n"/>
      <c r="AO93" s="64" t="n"/>
      <c r="AP93" s="64" t="n"/>
      <c r="AQ93" s="64" t="n"/>
      <c r="AR93" s="64" t="n"/>
      <c r="AS93" s="748" t="n"/>
      <c r="AT93" s="64" t="n"/>
      <c r="AU93" s="103" t="n"/>
      <c r="AV93" s="103" t="n"/>
      <c r="AW93" s="103" t="n"/>
      <c r="AX93" s="103" t="n"/>
      <c r="AY93" s="103" t="n"/>
      <c r="AZ93" s="103" t="n"/>
      <c r="BA93" s="103" t="n"/>
      <c r="BB93" s="103" t="n"/>
      <c r="BC93" s="103" t="n"/>
      <c r="BD93" s="103" t="n"/>
      <c r="BE93" s="103" t="n"/>
    </row>
    <row r="94" ht="18.75" customHeight="1">
      <c r="A94" s="789" t="n"/>
      <c r="B94" s="789" t="n"/>
      <c r="C94" s="789" t="n"/>
      <c r="D94" s="789" t="n"/>
      <c r="E94" s="789" t="n"/>
      <c r="F94" s="789" t="n"/>
      <c r="G94" s="789" t="n"/>
      <c r="H94" s="789" t="n"/>
      <c r="I94" s="789" t="n"/>
      <c r="J94" s="789" t="n"/>
      <c r="K94" s="789" t="n"/>
      <c r="L94" s="789" t="n"/>
      <c r="M94" s="789" t="n"/>
      <c r="N94" s="789" t="n"/>
      <c r="O94" s="789" t="n"/>
      <c r="P94" s="789" t="n"/>
      <c r="Q94" s="789" t="n"/>
      <c r="R94" s="1236" t="n"/>
      <c r="S94" s="789" t="n"/>
      <c r="T94" s="789" t="n"/>
      <c r="U94" s="789" t="n"/>
      <c r="V94" s="1236" t="n"/>
      <c r="W94" s="790" t="n"/>
      <c r="X94" s="789" t="n"/>
      <c r="Y94" s="789" t="n"/>
      <c r="Z94" s="789" t="n"/>
      <c r="AA94" s="1237" t="n"/>
      <c r="AB94" s="789" t="n"/>
      <c r="AC94" s="789" t="n"/>
      <c r="AD94" s="789" t="n"/>
      <c r="AE94" s="790" t="n"/>
      <c r="AF94" s="790" t="n"/>
      <c r="AG94" s="789" t="n"/>
      <c r="AH94" s="789" t="n"/>
      <c r="AI94" s="789" t="n"/>
      <c r="AJ94" s="1560" t="n"/>
      <c r="AK94" s="1560" t="n"/>
      <c r="AL94" s="1560" t="n"/>
      <c r="AM94" s="1560" t="n"/>
      <c r="AN94" s="64" t="n"/>
      <c r="AO94" s="64" t="n"/>
      <c r="AP94" s="64" t="n"/>
      <c r="AQ94" s="64" t="n"/>
      <c r="AR94" s="64" t="n"/>
      <c r="AS94" s="748" t="n"/>
      <c r="AT94" s="64" t="n"/>
      <c r="AU94" s="103" t="n"/>
      <c r="AV94" s="103" t="n"/>
      <c r="AW94" s="103" t="n"/>
      <c r="AX94" s="103" t="n"/>
      <c r="AY94" s="103" t="n"/>
      <c r="AZ94" s="103" t="n"/>
      <c r="BA94" s="103" t="n"/>
      <c r="BB94" s="103" t="n"/>
      <c r="BC94" s="103" t="n"/>
      <c r="BD94" s="103" t="n"/>
      <c r="BE94" s="103" t="n"/>
    </row>
    <row r="95" ht="18.75" customHeight="1">
      <c r="A95" s="219">
        <f>'Information Sheet'!B173</f>
        <v/>
      </c>
      <c r="M95" s="219" t="inlineStr">
        <is>
          <t>e¨e¯’vcK</t>
        </is>
      </c>
      <c r="Z95" s="219" t="n"/>
      <c r="AN95" s="64" t="n"/>
      <c r="AO95" s="64" t="n"/>
      <c r="AP95" s="64" t="n"/>
      <c r="AQ95" s="64" t="n"/>
      <c r="AR95" s="64" t="n"/>
      <c r="AS95" s="748" t="n"/>
      <c r="AT95" s="64" t="n"/>
      <c r="AU95" s="103" t="n"/>
      <c r="AV95" s="103" t="n"/>
      <c r="AW95" s="103" t="n"/>
      <c r="AX95" s="103" t="n"/>
      <c r="AY95" s="103" t="n"/>
      <c r="AZ95" s="103" t="n"/>
      <c r="BA95" s="103" t="n"/>
      <c r="BB95" s="103" t="n"/>
      <c r="BC95" s="103" t="n"/>
      <c r="BD95" s="103" t="n"/>
      <c r="BE95" s="103" t="n"/>
    </row>
    <row r="96" ht="18.75" customHeight="1">
      <c r="A96" s="219" t="n"/>
      <c r="M96" s="219" t="n"/>
      <c r="Z96" s="219" t="n"/>
      <c r="AN96" s="64" t="n"/>
      <c r="AO96" s="64" t="n"/>
      <c r="AP96" s="64" t="n"/>
      <c r="AQ96" s="64" t="n"/>
      <c r="AR96" s="64" t="n"/>
      <c r="AS96" s="748" t="n"/>
      <c r="AT96" s="64" t="n"/>
      <c r="AU96" s="103" t="n"/>
      <c r="AV96" s="103" t="n"/>
      <c r="AW96" s="103" t="n"/>
      <c r="AX96" s="103" t="n"/>
      <c r="AY96" s="103" t="n"/>
      <c r="AZ96" s="103" t="n"/>
      <c r="BA96" s="103" t="n"/>
      <c r="BB96" s="103" t="n"/>
      <c r="BC96" s="103" t="n"/>
      <c r="BD96" s="103" t="n"/>
      <c r="BE96" s="103" t="n"/>
    </row>
    <row r="97" ht="18.75" customHeight="1">
      <c r="A97" s="219" t="n"/>
      <c r="M97" s="219" t="n"/>
      <c r="Z97" s="219" t="n"/>
      <c r="AN97" s="64" t="n"/>
      <c r="AO97" s="64" t="n"/>
      <c r="AP97" s="64" t="n"/>
      <c r="AQ97" s="64" t="n"/>
      <c r="AR97" s="64" t="n"/>
      <c r="AS97" s="748" t="n"/>
      <c r="AT97" s="64" t="n"/>
      <c r="AU97" s="103" t="n"/>
      <c r="AV97" s="103" t="n"/>
      <c r="AW97" s="103" t="n"/>
      <c r="AX97" s="103" t="n"/>
      <c r="AY97" s="103" t="n"/>
      <c r="AZ97" s="103" t="n"/>
      <c r="BA97" s="103" t="n"/>
      <c r="BB97" s="103" t="n"/>
      <c r="BC97" s="103" t="n"/>
      <c r="BD97" s="103" t="n"/>
      <c r="BE97" s="103" t="n"/>
    </row>
    <row r="98" ht="18.75" customHeight="1">
      <c r="A98" s="219" t="n"/>
      <c r="M98" s="219" t="n"/>
      <c r="Z98" s="219" t="n"/>
      <c r="AN98" s="64" t="n"/>
      <c r="AO98" s="64" t="n"/>
      <c r="AP98" s="64" t="n"/>
      <c r="AQ98" s="64" t="n"/>
      <c r="AR98" s="64" t="n"/>
      <c r="AS98" s="748" t="n"/>
      <c r="AT98" s="64" t="n"/>
      <c r="AU98" s="103" t="n"/>
      <c r="AV98" s="103" t="n"/>
      <c r="AW98" s="103" t="n"/>
      <c r="AX98" s="103" t="n"/>
      <c r="AY98" s="103" t="n"/>
      <c r="AZ98" s="103" t="n"/>
      <c r="BA98" s="103" t="n"/>
      <c r="BB98" s="103" t="n"/>
      <c r="BC98" s="103" t="n"/>
      <c r="BD98" s="103" t="n"/>
      <c r="BE98" s="103" t="n"/>
    </row>
    <row r="99" ht="18.75" customHeight="1">
      <c r="A99" s="219" t="n"/>
      <c r="M99" s="219" t="n"/>
      <c r="Z99" s="219" t="n"/>
      <c r="AN99" s="64" t="n"/>
      <c r="AO99" s="64" t="n"/>
      <c r="AP99" s="64" t="n"/>
      <c r="AQ99" s="64" t="n"/>
      <c r="AR99" s="64" t="n"/>
      <c r="AS99" s="748" t="n"/>
      <c r="AT99" s="64" t="n"/>
      <c r="AU99" s="103" t="n"/>
      <c r="AV99" s="103" t="n"/>
      <c r="AW99" s="103" t="n"/>
      <c r="AX99" s="103" t="n"/>
      <c r="AY99" s="103" t="n"/>
      <c r="AZ99" s="103" t="n"/>
      <c r="BA99" s="103" t="n"/>
      <c r="BB99" s="103" t="n"/>
      <c r="BC99" s="103" t="n"/>
      <c r="BD99" s="103" t="n"/>
      <c r="BE99" s="103" t="n"/>
    </row>
    <row r="100" ht="18.75" customHeight="1">
      <c r="A100" s="219" t="n"/>
      <c r="M100" s="219" t="n"/>
      <c r="Z100" s="219" t="n"/>
      <c r="AN100" s="64" t="n"/>
      <c r="AO100" s="64" t="n"/>
      <c r="AP100" s="64" t="n"/>
      <c r="AQ100" s="64" t="n"/>
      <c r="AR100" s="64" t="n"/>
      <c r="AS100" s="748" t="n"/>
      <c r="AT100" s="64" t="n"/>
      <c r="AU100" s="103" t="n"/>
      <c r="AV100" s="103" t="n"/>
      <c r="AW100" s="103" t="n"/>
      <c r="AX100" s="103" t="n"/>
      <c r="AY100" s="103" t="n"/>
      <c r="AZ100" s="103" t="n"/>
      <c r="BA100" s="103" t="n"/>
      <c r="BB100" s="103" t="n"/>
      <c r="BC100" s="103" t="n"/>
      <c r="BD100" s="103" t="n"/>
      <c r="BE100" s="103" t="n"/>
    </row>
    <row r="101" ht="18.75" customHeight="1">
      <c r="A101" s="219" t="n"/>
      <c r="M101" s="219" t="n"/>
      <c r="Z101" s="219" t="n"/>
      <c r="AN101" s="64" t="n"/>
      <c r="AO101" s="64" t="n"/>
      <c r="AP101" s="64" t="n"/>
      <c r="AQ101" s="64" t="n"/>
      <c r="AR101" s="64" t="n"/>
      <c r="AS101" s="748" t="n"/>
      <c r="AT101" s="64" t="n"/>
      <c r="AU101" s="103" t="n"/>
      <c r="AV101" s="103" t="n"/>
      <c r="AW101" s="103" t="n"/>
      <c r="AX101" s="103" t="n"/>
      <c r="AY101" s="103" t="n"/>
      <c r="AZ101" s="103" t="n"/>
      <c r="BA101" s="103" t="n"/>
      <c r="BB101" s="103" t="n"/>
      <c r="BC101" s="103" t="n"/>
      <c r="BD101" s="103" t="n"/>
      <c r="BE101" s="103" t="n"/>
    </row>
    <row r="102" ht="18.75" customHeight="1">
      <c r="A102" s="219" t="n"/>
      <c r="M102" s="219" t="n"/>
      <c r="Z102" s="219" t="n"/>
      <c r="AN102" s="64" t="n"/>
      <c r="AO102" s="64" t="n"/>
      <c r="AP102" s="64" t="n"/>
      <c r="AQ102" s="64" t="n"/>
      <c r="AR102" s="64" t="n"/>
      <c r="AS102" s="748" t="n"/>
      <c r="AT102" s="64" t="n"/>
      <c r="AU102" s="103" t="n"/>
      <c r="AV102" s="103" t="n"/>
      <c r="AW102" s="103" t="n"/>
      <c r="AX102" s="103" t="n"/>
      <c r="AY102" s="103" t="n"/>
      <c r="AZ102" s="103" t="n"/>
      <c r="BA102" s="103" t="n"/>
      <c r="BB102" s="103" t="n"/>
      <c r="BC102" s="103" t="n"/>
      <c r="BD102" s="103" t="n"/>
      <c r="BE102" s="103" t="n"/>
    </row>
    <row r="103" ht="18.75" customHeight="1">
      <c r="A103" s="219" t="n"/>
      <c r="M103" s="219" t="n"/>
      <c r="Z103" s="219" t="n"/>
      <c r="AN103" s="64" t="n"/>
      <c r="AO103" s="64" t="n"/>
      <c r="AP103" s="64" t="n"/>
      <c r="AQ103" s="64" t="n"/>
      <c r="AR103" s="64" t="n"/>
      <c r="AS103" s="748" t="n"/>
      <c r="AT103" s="64" t="n"/>
      <c r="AU103" s="103" t="n"/>
      <c r="AV103" s="103" t="n"/>
      <c r="AW103" s="103" t="n"/>
      <c r="AX103" s="103" t="n"/>
      <c r="AY103" s="103" t="n"/>
      <c r="AZ103" s="103" t="n"/>
      <c r="BA103" s="103" t="n"/>
      <c r="BB103" s="103" t="n"/>
      <c r="BC103" s="103" t="n"/>
      <c r="BD103" s="103" t="n"/>
      <c r="BE103" s="103" t="n"/>
    </row>
    <row r="104" ht="18.75" customHeight="1">
      <c r="A104" s="219" t="n"/>
      <c r="M104" s="219" t="n"/>
      <c r="Z104" s="219" t="n"/>
      <c r="AN104" s="64" t="n"/>
      <c r="AO104" s="64" t="n"/>
      <c r="AP104" s="64" t="n"/>
      <c r="AQ104" s="64" t="n"/>
      <c r="AR104" s="64" t="n"/>
      <c r="AS104" s="748" t="n"/>
      <c r="AT104" s="64" t="n"/>
      <c r="AU104" s="103" t="n"/>
      <c r="AV104" s="103" t="n"/>
      <c r="AW104" s="103" t="n"/>
      <c r="AX104" s="103" t="n"/>
      <c r="AY104" s="103" t="n"/>
      <c r="AZ104" s="103" t="n"/>
      <c r="BA104" s="103" t="n"/>
      <c r="BB104" s="103" t="n"/>
      <c r="BC104" s="103" t="n"/>
      <c r="BD104" s="103" t="n"/>
      <c r="BE104" s="103" t="n"/>
    </row>
    <row r="105" ht="18.75" customHeight="1">
      <c r="A105" s="219" t="n"/>
      <c r="M105" s="219" t="n"/>
      <c r="Z105" s="219" t="n"/>
      <c r="AN105" s="64" t="n"/>
      <c r="AO105" s="64" t="n"/>
      <c r="AP105" s="64" t="n"/>
      <c r="AQ105" s="64" t="n"/>
      <c r="AR105" s="64" t="n"/>
      <c r="AS105" s="748" t="n"/>
      <c r="AT105" s="64" t="n"/>
      <c r="AU105" s="103" t="n"/>
      <c r="AV105" s="103" t="n"/>
      <c r="AW105" s="103" t="n"/>
      <c r="AX105" s="103" t="n"/>
      <c r="AY105" s="103" t="n"/>
      <c r="AZ105" s="103" t="n"/>
      <c r="BA105" s="103" t="n"/>
      <c r="BB105" s="103" t="n"/>
      <c r="BC105" s="103" t="n"/>
      <c r="BD105" s="103" t="n"/>
      <c r="BE105" s="103" t="n"/>
    </row>
    <row r="106" ht="18.75" customHeight="1">
      <c r="A106" s="219" t="n"/>
      <c r="M106" s="219" t="n"/>
      <c r="Z106" s="219" t="n"/>
      <c r="AN106" s="64" t="n"/>
      <c r="AO106" s="64" t="n"/>
      <c r="AP106" s="64" t="n"/>
      <c r="AQ106" s="64" t="n"/>
      <c r="AR106" s="64" t="n"/>
      <c r="AS106" s="748" t="n"/>
      <c r="AT106" s="64" t="n"/>
      <c r="AU106" s="103" t="n"/>
      <c r="AV106" s="103" t="n"/>
      <c r="AW106" s="103" t="n"/>
      <c r="AX106" s="103" t="n"/>
      <c r="AY106" s="103" t="n"/>
      <c r="AZ106" s="103" t="n"/>
      <c r="BA106" s="103" t="n"/>
      <c r="BB106" s="103" t="n"/>
      <c r="BC106" s="103" t="n"/>
      <c r="BD106" s="103" t="n"/>
      <c r="BE106" s="103" t="n"/>
    </row>
    <row r="107" ht="18.75" customHeight="1">
      <c r="A107" s="219" t="n"/>
      <c r="M107" s="219" t="n"/>
      <c r="Z107" s="219" t="n"/>
      <c r="AN107" s="64" t="n"/>
      <c r="AO107" s="64" t="n"/>
      <c r="AP107" s="64" t="n"/>
      <c r="AQ107" s="64" t="n"/>
      <c r="AR107" s="64" t="n"/>
      <c r="AS107" s="748" t="n"/>
      <c r="AT107" s="64" t="n"/>
      <c r="AU107" s="103" t="n"/>
      <c r="AV107" s="103" t="n"/>
      <c r="AW107" s="103" t="n"/>
      <c r="AX107" s="103" t="n"/>
      <c r="AY107" s="103" t="n"/>
      <c r="AZ107" s="103" t="n"/>
      <c r="BA107" s="103" t="n"/>
      <c r="BB107" s="103" t="n"/>
      <c r="BC107" s="103" t="n"/>
      <c r="BD107" s="103" t="n"/>
      <c r="BE107" s="103" t="n"/>
    </row>
    <row r="108" ht="18.75" customHeight="1">
      <c r="A108" s="219" t="n"/>
      <c r="M108" s="219" t="n"/>
      <c r="Z108" s="219" t="n"/>
      <c r="AN108" s="64" t="n"/>
      <c r="AO108" s="64" t="n"/>
      <c r="AP108" s="64" t="n"/>
      <c r="AQ108" s="64" t="n"/>
      <c r="AR108" s="64" t="n"/>
      <c r="AS108" s="748" t="n"/>
      <c r="AT108" s="64" t="n"/>
      <c r="AU108" s="103" t="n"/>
      <c r="AV108" s="103" t="n"/>
      <c r="AW108" s="103" t="n"/>
      <c r="AX108" s="103" t="n"/>
      <c r="AY108" s="103" t="n"/>
      <c r="AZ108" s="103" t="n"/>
      <c r="BA108" s="103" t="n"/>
      <c r="BB108" s="103" t="n"/>
      <c r="BC108" s="103" t="n"/>
      <c r="BD108" s="103" t="n"/>
      <c r="BE108" s="103" t="n"/>
    </row>
    <row r="109" ht="18.75" customHeight="1">
      <c r="A109" s="219" t="n"/>
      <c r="M109" s="219" t="n"/>
      <c r="Z109" s="219" t="n"/>
      <c r="AN109" s="64" t="n"/>
      <c r="AO109" s="64" t="n"/>
      <c r="AP109" s="64" t="n"/>
      <c r="AQ109" s="64" t="n"/>
      <c r="AR109" s="64" t="n"/>
      <c r="AS109" s="748" t="n"/>
      <c r="AT109" s="64" t="n"/>
      <c r="AU109" s="103" t="n"/>
      <c r="AV109" s="103" t="n"/>
      <c r="AW109" s="103" t="n"/>
      <c r="AX109" s="103" t="n"/>
      <c r="AY109" s="103" t="n"/>
      <c r="AZ109" s="103" t="n"/>
      <c r="BA109" s="103" t="n"/>
      <c r="BB109" s="103" t="n"/>
      <c r="BC109" s="103" t="n"/>
      <c r="BD109" s="103" t="n"/>
      <c r="BE109" s="103" t="n"/>
    </row>
    <row r="110" ht="18.75" customHeight="1">
      <c r="A110" s="219" t="n"/>
      <c r="M110" s="219" t="n"/>
      <c r="Z110" s="219" t="n"/>
      <c r="AN110" s="64" t="n"/>
      <c r="AO110" s="64" t="n"/>
      <c r="AP110" s="64" t="n"/>
      <c r="AQ110" s="64" t="n"/>
      <c r="AR110" s="64" t="n"/>
      <c r="AS110" s="748" t="n"/>
      <c r="AT110" s="64" t="n"/>
      <c r="AU110" s="103" t="n"/>
      <c r="AV110" s="103" t="n"/>
      <c r="AW110" s="103" t="n"/>
      <c r="AX110" s="103" t="n"/>
      <c r="AY110" s="103" t="n"/>
      <c r="AZ110" s="103" t="n"/>
      <c r="BA110" s="103" t="n"/>
      <c r="BB110" s="103" t="n"/>
      <c r="BC110" s="103" t="n"/>
      <c r="BD110" s="103" t="n"/>
      <c r="BE110" s="103" t="n"/>
    </row>
    <row r="111" ht="18.75" customHeight="1">
      <c r="A111" s="219" t="n"/>
      <c r="M111" s="219" t="n"/>
      <c r="Z111" s="219" t="n"/>
      <c r="AN111" s="64" t="n"/>
      <c r="AO111" s="64" t="n"/>
      <c r="AP111" s="64" t="n"/>
      <c r="AQ111" s="64" t="n"/>
      <c r="AR111" s="64" t="n"/>
      <c r="AS111" s="748" t="n"/>
      <c r="AT111" s="64" t="n"/>
      <c r="AU111" s="103" t="n"/>
      <c r="AV111" s="103" t="n"/>
      <c r="AW111" s="103" t="n"/>
      <c r="AX111" s="103" t="n"/>
      <c r="AY111" s="103" t="n"/>
      <c r="AZ111" s="103" t="n"/>
      <c r="BA111" s="103" t="n"/>
      <c r="BB111" s="103" t="n"/>
      <c r="BC111" s="103" t="n"/>
      <c r="BD111" s="103" t="n"/>
      <c r="BE111" s="103" t="n"/>
    </row>
    <row r="112" ht="18.75" customHeight="1">
      <c r="A112" s="219" t="n"/>
      <c r="M112" s="219" t="n"/>
      <c r="Z112" s="219" t="n"/>
      <c r="AN112" s="64" t="n"/>
      <c r="AO112" s="64" t="n"/>
      <c r="AP112" s="64" t="n"/>
      <c r="AQ112" s="64" t="n"/>
      <c r="AR112" s="64" t="n"/>
      <c r="AS112" s="748" t="n"/>
      <c r="AT112" s="64" t="n"/>
      <c r="AU112" s="103" t="n"/>
      <c r="AV112" s="103" t="n"/>
      <c r="AW112" s="103" t="n"/>
      <c r="AX112" s="103" t="n"/>
      <c r="AY112" s="103" t="n"/>
      <c r="AZ112" s="103" t="n"/>
      <c r="BA112" s="103" t="n"/>
      <c r="BB112" s="103" t="n"/>
      <c r="BC112" s="103" t="n"/>
      <c r="BD112" s="103" t="n"/>
      <c r="BE112" s="103" t="n"/>
    </row>
    <row r="113" ht="18.75" customHeight="1">
      <c r="A113" s="219" t="n"/>
      <c r="M113" s="219" t="n"/>
      <c r="Z113" s="219" t="n"/>
      <c r="AN113" s="64" t="n"/>
      <c r="AO113" s="64" t="n"/>
      <c r="AP113" s="64" t="n"/>
      <c r="AQ113" s="64" t="n"/>
      <c r="AR113" s="64" t="n"/>
      <c r="AS113" s="748" t="n"/>
      <c r="AT113" s="64" t="n"/>
      <c r="AU113" s="103" t="n"/>
      <c r="AV113" s="103" t="n"/>
      <c r="AW113" s="103" t="n"/>
      <c r="AX113" s="103" t="n"/>
      <c r="AY113" s="103" t="n"/>
      <c r="AZ113" s="103" t="n"/>
      <c r="BA113" s="103" t="n"/>
      <c r="BB113" s="103" t="n"/>
      <c r="BC113" s="103" t="n"/>
      <c r="BD113" s="103" t="n"/>
      <c r="BE113" s="103" t="n"/>
    </row>
    <row r="114" ht="18.75" customHeight="1">
      <c r="A114" s="219" t="n"/>
      <c r="M114" s="219" t="n"/>
      <c r="Z114" s="219" t="n"/>
      <c r="AN114" s="64" t="n"/>
      <c r="AO114" s="64" t="n"/>
      <c r="AP114" s="64" t="n"/>
      <c r="AQ114" s="64" t="n"/>
      <c r="AR114" s="64" t="n"/>
      <c r="AS114" s="748" t="n"/>
      <c r="AT114" s="64" t="n"/>
      <c r="AU114" s="103" t="n"/>
      <c r="AV114" s="103" t="n"/>
      <c r="AW114" s="103" t="n"/>
      <c r="AX114" s="103" t="n"/>
      <c r="AY114" s="103" t="n"/>
      <c r="AZ114" s="103" t="n"/>
      <c r="BA114" s="103" t="n"/>
      <c r="BB114" s="103" t="n"/>
      <c r="BC114" s="103" t="n"/>
      <c r="BD114" s="103" t="n"/>
      <c r="BE114" s="103" t="n"/>
    </row>
    <row r="115" ht="18.75" customHeight="1">
      <c r="A115" s="219" t="n"/>
      <c r="M115" s="219" t="n"/>
      <c r="Z115" s="219" t="n"/>
      <c r="AN115" s="64" t="n"/>
      <c r="AO115" s="64" t="n"/>
      <c r="AP115" s="64" t="n"/>
      <c r="AQ115" s="64" t="n"/>
      <c r="AR115" s="64" t="n"/>
      <c r="AS115" s="748" t="n"/>
      <c r="AT115" s="64" t="n"/>
      <c r="AU115" s="103" t="n"/>
      <c r="AV115" s="103" t="n"/>
      <c r="AW115" s="103" t="n"/>
      <c r="AX115" s="103" t="n"/>
      <c r="AY115" s="103" t="n"/>
      <c r="AZ115" s="103" t="n"/>
      <c r="BA115" s="103" t="n"/>
      <c r="BB115" s="103" t="n"/>
      <c r="BC115" s="103" t="n"/>
      <c r="BD115" s="103" t="n"/>
      <c r="BE115" s="103" t="n"/>
    </row>
    <row r="116" ht="12" customHeight="1">
      <c r="A116" s="219" t="n"/>
      <c r="M116" s="219" t="n"/>
      <c r="Z116" s="219" t="n"/>
      <c r="AN116" s="64" t="n"/>
      <c r="AO116" s="64" t="n"/>
      <c r="AP116" s="64" t="n"/>
      <c r="AQ116" s="64" t="n"/>
      <c r="AR116" s="64" t="n"/>
      <c r="AS116" s="748" t="n"/>
      <c r="AT116" s="64" t="n"/>
      <c r="AU116" s="103" t="n"/>
      <c r="AV116" s="103" t="n"/>
      <c r="AW116" s="103" t="n"/>
      <c r="AX116" s="103" t="n"/>
      <c r="AY116" s="103" t="n"/>
      <c r="AZ116" s="103" t="n"/>
      <c r="BA116" s="103" t="n"/>
      <c r="BB116" s="103" t="n"/>
      <c r="BC116" s="103" t="n"/>
      <c r="BD116" s="103" t="n"/>
      <c r="BE116" s="103" t="n"/>
    </row>
    <row r="117" ht="12.75" customHeight="1">
      <c r="A117" s="219" t="n"/>
      <c r="M117" s="219" t="n"/>
      <c r="Z117" s="219" t="n"/>
      <c r="AN117" s="64" t="n"/>
      <c r="AO117" s="64" t="n"/>
      <c r="AP117" s="64" t="n"/>
      <c r="AQ117" s="64" t="n"/>
      <c r="AR117" s="64" t="n"/>
      <c r="AS117" s="748" t="n"/>
      <c r="AT117" s="64" t="n"/>
      <c r="AU117" s="103" t="n"/>
      <c r="AV117" s="103" t="n"/>
      <c r="AW117" s="103" t="n"/>
      <c r="AX117" s="103" t="n"/>
      <c r="AY117" s="103" t="n"/>
      <c r="AZ117" s="103" t="n"/>
      <c r="BA117" s="103" t="n"/>
      <c r="BB117" s="103" t="n"/>
      <c r="BC117" s="103" t="n"/>
      <c r="BD117" s="103" t="n"/>
      <c r="BE117" s="103" t="n"/>
    </row>
    <row r="118" ht="12.75" customHeight="1">
      <c r="A118" s="219" t="n"/>
      <c r="M118" s="219" t="n"/>
      <c r="Z118" s="219" t="n"/>
      <c r="AN118" s="64" t="n"/>
      <c r="AO118" s="64" t="n"/>
      <c r="AP118" s="64" t="n"/>
      <c r="AQ118" s="64" t="n"/>
      <c r="AR118" s="64" t="n"/>
      <c r="AS118" s="748" t="n"/>
      <c r="AT118" s="64" t="n"/>
      <c r="AU118" s="103" t="n"/>
      <c r="AV118" s="103" t="n"/>
      <c r="AW118" s="103" t="n"/>
      <c r="AX118" s="103" t="n"/>
      <c r="AY118" s="103" t="n"/>
      <c r="AZ118" s="103" t="n"/>
      <c r="BA118" s="103" t="n"/>
      <c r="BB118" s="103" t="n"/>
      <c r="BC118" s="103" t="n"/>
      <c r="BD118" s="103" t="n"/>
      <c r="BE118" s="103" t="n"/>
    </row>
    <row r="119" ht="18.75" customHeight="1">
      <c r="A119" s="219" t="n"/>
      <c r="M119" s="219" t="n"/>
      <c r="Z119" s="219" t="n"/>
      <c r="AN119" s="64" t="n"/>
      <c r="AO119" s="64" t="n"/>
      <c r="AP119" s="64" t="n"/>
      <c r="AQ119" s="64" t="n"/>
      <c r="AR119" s="64" t="n"/>
      <c r="AS119" s="748" t="n"/>
      <c r="AT119" s="64" t="n"/>
      <c r="AU119" s="103" t="n"/>
      <c r="AV119" s="103" t="n"/>
      <c r="AW119" s="103" t="n"/>
      <c r="AX119" s="103" t="n"/>
      <c r="AY119" s="103" t="n"/>
      <c r="AZ119" s="103" t="n"/>
      <c r="BA119" s="103" t="n"/>
      <c r="BB119" s="103" t="n"/>
      <c r="BC119" s="103" t="n"/>
      <c r="BD119" s="103" t="n"/>
      <c r="BE119" s="103" t="n"/>
    </row>
    <row r="120" ht="18.75" customHeight="1">
      <c r="A120" s="219" t="n"/>
      <c r="M120" s="219" t="n"/>
      <c r="Z120" s="219" t="n"/>
      <c r="AN120" s="64" t="n"/>
      <c r="AO120" s="64" t="n"/>
      <c r="AP120" s="64" t="n"/>
      <c r="AQ120" s="64" t="n"/>
      <c r="AR120" s="64" t="n"/>
      <c r="AS120" s="748" t="n"/>
      <c r="AT120" s="64" t="n"/>
      <c r="AU120" s="103" t="n"/>
      <c r="AV120" s="103" t="n"/>
      <c r="AW120" s="103" t="n"/>
      <c r="AX120" s="103" t="n"/>
      <c r="AY120" s="103" t="n"/>
      <c r="AZ120" s="103" t="n"/>
      <c r="BA120" s="103" t="n"/>
      <c r="BB120" s="103" t="n"/>
      <c r="BC120" s="103" t="n"/>
      <c r="BD120" s="103" t="n"/>
      <c r="BE120" s="103" t="n"/>
    </row>
    <row r="121" ht="18.75" customHeight="1">
      <c r="A121" s="219" t="n"/>
      <c r="M121" s="219" t="n"/>
      <c r="Z121" s="219" t="n"/>
      <c r="AN121" s="64" t="n"/>
      <c r="AO121" s="64" t="n"/>
      <c r="AP121" s="64" t="n"/>
      <c r="AQ121" s="64" t="n"/>
      <c r="AR121" s="64" t="n"/>
      <c r="AS121" s="748" t="n"/>
      <c r="AT121" s="64" t="n"/>
      <c r="AU121" s="103" t="n"/>
      <c r="AV121" s="103" t="n"/>
      <c r="AW121" s="103" t="n"/>
      <c r="AX121" s="103" t="n"/>
      <c r="AY121" s="103" t="n"/>
      <c r="AZ121" s="103" t="n"/>
      <c r="BA121" s="103" t="n"/>
      <c r="BB121" s="103" t="n"/>
      <c r="BC121" s="103" t="n"/>
      <c r="BD121" s="103" t="n"/>
      <c r="BE121" s="103" t="n"/>
    </row>
    <row r="122" ht="9.75" customHeight="1">
      <c r="A122" s="219" t="n"/>
      <c r="M122" s="219" t="n"/>
      <c r="Z122" s="219" t="n"/>
      <c r="AN122" s="64" t="n"/>
      <c r="AO122" s="64" t="n"/>
      <c r="AP122" s="64" t="n"/>
      <c r="AQ122" s="64" t="n"/>
      <c r="AR122" s="64" t="n"/>
      <c r="AS122" s="748" t="n"/>
      <c r="AT122" s="64" t="n"/>
      <c r="AU122" s="103" t="n"/>
      <c r="AV122" s="103" t="n"/>
      <c r="AW122" s="103" t="n"/>
      <c r="AX122" s="103" t="n"/>
      <c r="AY122" s="103" t="n"/>
      <c r="AZ122" s="103" t="n"/>
      <c r="BA122" s="103" t="n"/>
      <c r="BB122" s="103" t="n"/>
      <c r="BC122" s="103" t="n"/>
      <c r="BD122" s="103" t="n"/>
      <c r="BE122" s="103" t="n"/>
    </row>
    <row r="123" ht="9" customHeight="1">
      <c r="A123" s="219" t="n"/>
      <c r="M123" s="219" t="n"/>
      <c r="Z123" s="219" t="n"/>
      <c r="AN123" s="64" t="n"/>
      <c r="AO123" s="64" t="n"/>
      <c r="AP123" s="64" t="n"/>
      <c r="AQ123" s="64" t="n"/>
      <c r="AR123" s="64" t="n"/>
      <c r="AS123" s="748" t="n"/>
      <c r="AT123" s="64" t="n"/>
      <c r="AU123" s="103" t="n"/>
      <c r="AV123" s="103" t="n"/>
      <c r="AW123" s="103" t="n"/>
      <c r="AX123" s="103" t="n"/>
      <c r="AY123" s="103" t="n"/>
      <c r="AZ123" s="103" t="n"/>
      <c r="BA123" s="103" t="n"/>
      <c r="BB123" s="103" t="n"/>
      <c r="BC123" s="103" t="n"/>
      <c r="BD123" s="103" t="n"/>
      <c r="BE123" s="103" t="n"/>
    </row>
    <row r="124" ht="18.75" customHeight="1">
      <c r="A124" s="219" t="n"/>
      <c r="M124" s="219" t="n"/>
      <c r="Z124" s="219" t="n"/>
      <c r="AN124" s="64" t="n"/>
      <c r="AO124" s="64" t="n"/>
      <c r="AP124" s="64" t="n"/>
      <c r="AQ124" s="64" t="n"/>
      <c r="AR124" s="64" t="n"/>
      <c r="AS124" s="748" t="n"/>
      <c r="AT124" s="64" t="n"/>
      <c r="AU124" s="103" t="n"/>
      <c r="AV124" s="103" t="n"/>
      <c r="AW124" s="103" t="n"/>
      <c r="AX124" s="103" t="n"/>
      <c r="AY124" s="103" t="n"/>
      <c r="AZ124" s="103" t="n"/>
      <c r="BA124" s="103" t="n"/>
      <c r="BB124" s="103" t="n"/>
      <c r="BC124" s="103" t="n"/>
      <c r="BD124" s="103" t="n"/>
      <c r="BE124" s="103" t="n"/>
    </row>
    <row r="125" ht="18.75" customHeight="1">
      <c r="A125" s="1964" t="n"/>
      <c r="B125" s="1964" t="n"/>
      <c r="C125" s="1964" t="n"/>
      <c r="D125" s="1964" t="n"/>
      <c r="E125" s="1964" t="n"/>
      <c r="F125" s="1964" t="n"/>
      <c r="G125" s="1964" t="n"/>
      <c r="H125" s="1964" t="n"/>
      <c r="I125" s="1964" t="n"/>
      <c r="J125" s="1964" t="n"/>
      <c r="K125" s="1964" t="n"/>
      <c r="L125" s="1964" t="n"/>
      <c r="M125" s="219" t="n"/>
      <c r="AA125" s="1561" t="n"/>
      <c r="AB125" s="1964" t="n"/>
      <c r="AC125" s="1964" t="n"/>
      <c r="AD125" s="1964" t="n"/>
      <c r="AE125" s="135" t="n"/>
      <c r="AF125" s="135" t="n"/>
      <c r="AG125" s="1964" t="n"/>
      <c r="AH125" s="1964" t="n"/>
      <c r="AI125" s="1964" t="n"/>
      <c r="AJ125" s="1964" t="n"/>
      <c r="AK125" s="1964" t="n"/>
      <c r="AL125" s="1964" t="n"/>
      <c r="AM125" s="1964" t="n"/>
      <c r="AN125" s="64" t="n"/>
      <c r="AO125" s="64" t="n"/>
      <c r="AP125" s="64" t="n"/>
      <c r="AQ125" s="64" t="n"/>
      <c r="AR125" s="64" t="n"/>
      <c r="AS125" s="748" t="n"/>
      <c r="AT125" s="64" t="n"/>
      <c r="AU125" s="103" t="n"/>
      <c r="AV125" s="103" t="n"/>
      <c r="AW125" s="103" t="n"/>
      <c r="AX125" s="103" t="n"/>
      <c r="AY125" s="103" t="n"/>
      <c r="AZ125" s="103" t="n"/>
      <c r="BA125" s="103" t="n"/>
      <c r="BB125" s="103" t="n"/>
      <c r="BC125" s="103" t="n"/>
      <c r="BD125" s="103" t="n"/>
      <c r="BE125" s="103" t="n"/>
    </row>
  </sheetData>
  <mergeCells count="318">
    <mergeCell ref="M95:Y95"/>
    <mergeCell ref="AF65:AK65"/>
    <mergeCell ref="B38:AA39"/>
    <mergeCell ref="W61:Z61"/>
    <mergeCell ref="B85:AM85"/>
    <mergeCell ref="M97:Y97"/>
    <mergeCell ref="H17:J17"/>
    <mergeCell ref="S13:AM13"/>
    <mergeCell ref="A90:AM90"/>
    <mergeCell ref="A113:L113"/>
    <mergeCell ref="H22:J22"/>
    <mergeCell ref="H19:J19"/>
    <mergeCell ref="S15:AM15"/>
    <mergeCell ref="V19:Z19"/>
    <mergeCell ref="Q23:U23"/>
    <mergeCell ref="B84:V84"/>
    <mergeCell ref="M113:Y113"/>
    <mergeCell ref="E18:G18"/>
    <mergeCell ref="W46:AD46"/>
    <mergeCell ref="B79:V79"/>
    <mergeCell ref="K25:M25"/>
    <mergeCell ref="B34:AA34"/>
    <mergeCell ref="B41:AA42"/>
    <mergeCell ref="B35:AA36"/>
    <mergeCell ref="Z110:AM110"/>
    <mergeCell ref="W80:AM81"/>
    <mergeCell ref="AB30:AM32"/>
    <mergeCell ref="M108:Y108"/>
    <mergeCell ref="Z103:AM103"/>
    <mergeCell ref="Z118:AM118"/>
    <mergeCell ref="M3:Y3"/>
    <mergeCell ref="B15:Q15"/>
    <mergeCell ref="M103:Y103"/>
    <mergeCell ref="Q19:U19"/>
    <mergeCell ref="M118:Y118"/>
    <mergeCell ref="AA18:AF18"/>
    <mergeCell ref="M111:Y111"/>
    <mergeCell ref="AF59:AM59"/>
    <mergeCell ref="E24:G24"/>
    <mergeCell ref="N47:P47"/>
    <mergeCell ref="N22:P22"/>
    <mergeCell ref="E17:G17"/>
    <mergeCell ref="A124:L124"/>
    <mergeCell ref="E19:G19"/>
    <mergeCell ref="B23:D23"/>
    <mergeCell ref="M116:Y116"/>
    <mergeCell ref="M9:P9"/>
    <mergeCell ref="M11:P11"/>
    <mergeCell ref="V22:AM22"/>
    <mergeCell ref="AA17:AF17"/>
    <mergeCell ref="AL43:AM43"/>
    <mergeCell ref="AF43:AK43"/>
    <mergeCell ref="AA19:AF19"/>
    <mergeCell ref="A43:A46"/>
    <mergeCell ref="W74:AM77"/>
    <mergeCell ref="M125:Z125"/>
    <mergeCell ref="A51:A54"/>
    <mergeCell ref="Z99:AM99"/>
    <mergeCell ref="M104:Y104"/>
    <mergeCell ref="B26:AA26"/>
    <mergeCell ref="A99:L99"/>
    <mergeCell ref="AL46:AM46"/>
    <mergeCell ref="M106:Y106"/>
    <mergeCell ref="A101:L101"/>
    <mergeCell ref="AL61:AM61"/>
    <mergeCell ref="AA60:AE60"/>
    <mergeCell ref="A2:AM2"/>
    <mergeCell ref="S9:AM9"/>
    <mergeCell ref="B24:D24"/>
    <mergeCell ref="E25:G25"/>
    <mergeCell ref="M117:Y117"/>
    <mergeCell ref="H23:J23"/>
    <mergeCell ref="M119:Y119"/>
    <mergeCell ref="B37:AA37"/>
    <mergeCell ref="D76:V76"/>
    <mergeCell ref="S12:AM12"/>
    <mergeCell ref="N43:P43"/>
    <mergeCell ref="Z105:AM105"/>
    <mergeCell ref="AL49:AM49"/>
    <mergeCell ref="A105:L105"/>
    <mergeCell ref="Z120:AM120"/>
    <mergeCell ref="M112:Y112"/>
    <mergeCell ref="AB33:AM34"/>
    <mergeCell ref="Z113:AM113"/>
    <mergeCell ref="M122:Y122"/>
    <mergeCell ref="AF50:AK50"/>
    <mergeCell ref="M114:Y114"/>
    <mergeCell ref="AB35:AM36"/>
    <mergeCell ref="A100:L100"/>
    <mergeCell ref="Z115:AM115"/>
    <mergeCell ref="M107:Y107"/>
    <mergeCell ref="A8:AM8"/>
    <mergeCell ref="AF52:AK52"/>
    <mergeCell ref="AA58:AM58"/>
    <mergeCell ref="A115:L115"/>
    <mergeCell ref="A102:L102"/>
    <mergeCell ref="AL62:AM62"/>
    <mergeCell ref="AL64:AM64"/>
    <mergeCell ref="A16:A20"/>
    <mergeCell ref="AF49:AK49"/>
    <mergeCell ref="B63:U63"/>
    <mergeCell ref="B58:V58"/>
    <mergeCell ref="X45:AD45"/>
    <mergeCell ref="B52:V52"/>
    <mergeCell ref="Z108:AM108"/>
    <mergeCell ref="AF44:AK44"/>
    <mergeCell ref="Z95:AM95"/>
    <mergeCell ref="S14:AM14"/>
    <mergeCell ref="AB40:AM42"/>
    <mergeCell ref="A120:L120"/>
    <mergeCell ref="A95:L95"/>
    <mergeCell ref="Z97:AM97"/>
    <mergeCell ref="K23:M23"/>
    <mergeCell ref="A97:L97"/>
    <mergeCell ref="X48:AD48"/>
    <mergeCell ref="A96:L96"/>
    <mergeCell ref="K64:N64"/>
    <mergeCell ref="Z121:AM121"/>
    <mergeCell ref="AA59:AE59"/>
    <mergeCell ref="AL52:AM52"/>
    <mergeCell ref="C12:H13"/>
    <mergeCell ref="Z123:AM123"/>
    <mergeCell ref="B59:V59"/>
    <mergeCell ref="A123:L123"/>
    <mergeCell ref="A55:A57"/>
    <mergeCell ref="AF66:AK66"/>
    <mergeCell ref="A110:L110"/>
    <mergeCell ref="B43:J43"/>
    <mergeCell ref="N12:P12"/>
    <mergeCell ref="AF53:AK53"/>
    <mergeCell ref="B80:V81"/>
    <mergeCell ref="A108:L108"/>
    <mergeCell ref="X51:AD51"/>
    <mergeCell ref="A118:L118"/>
    <mergeCell ref="Q24:U24"/>
    <mergeCell ref="Q18:U18"/>
    <mergeCell ref="AL65:AM65"/>
    <mergeCell ref="A9:A13"/>
    <mergeCell ref="Z116:AM116"/>
    <mergeCell ref="W54:AD54"/>
    <mergeCell ref="Z109:AM109"/>
    <mergeCell ref="Z96:AM96"/>
    <mergeCell ref="W56:AD56"/>
    <mergeCell ref="AC4:AM4"/>
    <mergeCell ref="A121:L121"/>
    <mergeCell ref="Z111:AM111"/>
    <mergeCell ref="Z98:AM98"/>
    <mergeCell ref="K24:M24"/>
    <mergeCell ref="N25:P25"/>
    <mergeCell ref="A38:A39"/>
    <mergeCell ref="A98:L98"/>
    <mergeCell ref="W67:AD67"/>
    <mergeCell ref="X64:AD64"/>
    <mergeCell ref="AA61:AE61"/>
    <mergeCell ref="AL60:AM60"/>
    <mergeCell ref="A58:A63"/>
    <mergeCell ref="AF63:AK63"/>
    <mergeCell ref="Z124:AM124"/>
    <mergeCell ref="S10:AM10"/>
    <mergeCell ref="A116:L116"/>
    <mergeCell ref="N13:P13"/>
    <mergeCell ref="A109:L109"/>
    <mergeCell ref="V25:AM25"/>
    <mergeCell ref="A117:L117"/>
    <mergeCell ref="B51:V51"/>
    <mergeCell ref="A111:L111"/>
    <mergeCell ref="K18:P18"/>
    <mergeCell ref="M109:Y109"/>
    <mergeCell ref="B18:D18"/>
    <mergeCell ref="W62:Z62"/>
    <mergeCell ref="Z119:AM119"/>
    <mergeCell ref="A82:A83"/>
    <mergeCell ref="H25:J25"/>
    <mergeCell ref="AE56:AM56"/>
    <mergeCell ref="W57:AD57"/>
    <mergeCell ref="B12:B13"/>
    <mergeCell ref="Z117:AM117"/>
    <mergeCell ref="M10:P10"/>
    <mergeCell ref="W63:Z63"/>
    <mergeCell ref="M99:Y99"/>
    <mergeCell ref="A119:L119"/>
    <mergeCell ref="AL54:AM54"/>
    <mergeCell ref="B21:P21"/>
    <mergeCell ref="Q25:U25"/>
    <mergeCell ref="K47:M47"/>
    <mergeCell ref="AB38:AM39"/>
    <mergeCell ref="K22:M22"/>
    <mergeCell ref="A64:A67"/>
    <mergeCell ref="B17:D17"/>
    <mergeCell ref="B74:T74"/>
    <mergeCell ref="B19:D19"/>
    <mergeCell ref="AE57:AM57"/>
    <mergeCell ref="B64:G64"/>
    <mergeCell ref="V23:AM23"/>
    <mergeCell ref="M105:Y105"/>
    <mergeCell ref="AL44:AM44"/>
    <mergeCell ref="V17:Z17"/>
    <mergeCell ref="M120:Y120"/>
    <mergeCell ref="W78:AM78"/>
    <mergeCell ref="M101:Y101"/>
    <mergeCell ref="V24:AM24"/>
    <mergeCell ref="W60:Z60"/>
    <mergeCell ref="M100:Y100"/>
    <mergeCell ref="AF45:AK45"/>
    <mergeCell ref="A80:A81"/>
    <mergeCell ref="R20:Z20"/>
    <mergeCell ref="AC3:AM3"/>
    <mergeCell ref="M115:Y115"/>
    <mergeCell ref="M102:Y102"/>
    <mergeCell ref="A122:L122"/>
    <mergeCell ref="H24:J24"/>
    <mergeCell ref="H18:J18"/>
    <mergeCell ref="B9:L11"/>
    <mergeCell ref="B25:D25"/>
    <mergeCell ref="AG18:AM19"/>
    <mergeCell ref="B40:AA40"/>
    <mergeCell ref="B22:D22"/>
    <mergeCell ref="E23:G23"/>
    <mergeCell ref="AB5:AM5"/>
    <mergeCell ref="B33:AA33"/>
    <mergeCell ref="H30:AA30"/>
    <mergeCell ref="K43:M43"/>
    <mergeCell ref="W84:AM84"/>
    <mergeCell ref="H31:AA31"/>
    <mergeCell ref="AL45:AM45"/>
    <mergeCell ref="W79:AM79"/>
    <mergeCell ref="AL47:AM47"/>
    <mergeCell ref="AF47:AK47"/>
    <mergeCell ref="B20:P20"/>
    <mergeCell ref="M123:Y123"/>
    <mergeCell ref="AF46:AK46"/>
    <mergeCell ref="M110:Y110"/>
    <mergeCell ref="AE55:AM55"/>
    <mergeCell ref="AF61:AK61"/>
    <mergeCell ref="AF48:AK48"/>
    <mergeCell ref="Q17:U17"/>
    <mergeCell ref="AA20:AD20"/>
    <mergeCell ref="AG17:AM17"/>
    <mergeCell ref="AL63:AM63"/>
    <mergeCell ref="AL50:AM50"/>
    <mergeCell ref="M121:Y121"/>
    <mergeCell ref="A74:A77"/>
    <mergeCell ref="M96:Y96"/>
    <mergeCell ref="X43:AD43"/>
    <mergeCell ref="Z106:AM106"/>
    <mergeCell ref="M98:Y98"/>
    <mergeCell ref="A33:A34"/>
    <mergeCell ref="Z122:AM122"/>
    <mergeCell ref="H32:AA32"/>
    <mergeCell ref="A35:A36"/>
    <mergeCell ref="AF67:AK67"/>
    <mergeCell ref="AL48:AM48"/>
    <mergeCell ref="B56:V56"/>
    <mergeCell ref="AB26:AM26"/>
    <mergeCell ref="H64:J64"/>
    <mergeCell ref="M124:Y124"/>
    <mergeCell ref="AF62:AK62"/>
    <mergeCell ref="Z104:AM104"/>
    <mergeCell ref="B57:V57"/>
    <mergeCell ref="X44:AD44"/>
    <mergeCell ref="AF64:AK64"/>
    <mergeCell ref="A104:L104"/>
    <mergeCell ref="AF51:AK51"/>
    <mergeCell ref="A106:L106"/>
    <mergeCell ref="AL66:AM66"/>
    <mergeCell ref="A40:A42"/>
    <mergeCell ref="AL53:AM53"/>
    <mergeCell ref="M4:Z5"/>
    <mergeCell ref="AB37:AM37"/>
    <mergeCell ref="B86:AM88"/>
    <mergeCell ref="AL67:AM67"/>
    <mergeCell ref="Z114:AM114"/>
    <mergeCell ref="X49:AD49"/>
    <mergeCell ref="Z107:AM107"/>
    <mergeCell ref="X65:AD65"/>
    <mergeCell ref="AA62:AE62"/>
    <mergeCell ref="S11:AM11"/>
    <mergeCell ref="Z101:AM101"/>
    <mergeCell ref="N23:P23"/>
    <mergeCell ref="B16:AM16"/>
    <mergeCell ref="K17:P17"/>
    <mergeCell ref="Z112:AM112"/>
    <mergeCell ref="W82:AM83"/>
    <mergeCell ref="W50:AD50"/>
    <mergeCell ref="X52:AD52"/>
    <mergeCell ref="A30:A32"/>
    <mergeCell ref="E22:G22"/>
    <mergeCell ref="A112:L112"/>
    <mergeCell ref="K19:P19"/>
    <mergeCell ref="B82:V83"/>
    <mergeCell ref="Q22:U22"/>
    <mergeCell ref="A114:L114"/>
    <mergeCell ref="B47:J47"/>
    <mergeCell ref="X53:AD53"/>
    <mergeCell ref="X47:AD47"/>
    <mergeCell ref="A107:L107"/>
    <mergeCell ref="V18:Z18"/>
    <mergeCell ref="A21:A25"/>
    <mergeCell ref="AF54:AK54"/>
    <mergeCell ref="Q21:AM21"/>
    <mergeCell ref="B78:V78"/>
    <mergeCell ref="Z100:AM100"/>
    <mergeCell ref="W55:AD55"/>
    <mergeCell ref="AF60:AK60"/>
    <mergeCell ref="A85:A88"/>
    <mergeCell ref="Z102:AM102"/>
    <mergeCell ref="B55:V55"/>
    <mergeCell ref="N24:P24"/>
    <mergeCell ref="X66:AD66"/>
    <mergeCell ref="AA63:AE63"/>
    <mergeCell ref="A6:AM7"/>
    <mergeCell ref="B30:F32"/>
    <mergeCell ref="B14:Q14"/>
    <mergeCell ref="A47:A50"/>
    <mergeCell ref="AL51:AM51"/>
    <mergeCell ref="A103:L103"/>
    <mergeCell ref="D75:V75"/>
    <mergeCell ref="W59:Z59"/>
  </mergeCells>
  <pageMargins left="0.7" right="0.7" top="0.75" bottom="0.75" header="0.3" footer="0.3"/>
</worksheet>
</file>

<file path=xl/worksheets/sheet10.xml><?xml version="1.0" encoding="utf-8"?>
<worksheet xmlns="http://schemas.openxmlformats.org/spreadsheetml/2006/main">
  <sheetPr>
    <outlinePr summaryBelow="0"/>
    <pageSetUpPr/>
  </sheetPr>
  <dimension ref="A1:AN233"/>
  <sheetViews>
    <sheetView workbookViewId="0">
      <selection activeCell="A1" sqref="A1"/>
    </sheetView>
  </sheetViews>
  <sheetFormatPr baseColWidth="8" defaultRowHeight="15"/>
  <cols>
    <col width="4.433571428571429" bestFit="1" customWidth="1" style="63" min="1" max="1"/>
    <col width="4.862142857142857" bestFit="1" customWidth="1" style="64" min="2" max="2"/>
    <col width="3.719285714285714" bestFit="1" customWidth="1" style="308" min="3" max="3"/>
    <col width="3.290714285714285" bestFit="1" customWidth="1" style="64" min="4" max="4"/>
    <col width="3.147857142857143" bestFit="1" customWidth="1" style="64" min="5" max="5"/>
    <col width="2.576428571428572" bestFit="1" customWidth="1" style="64" min="6" max="6"/>
    <col width="2.719285714285714" bestFit="1" customWidth="1" style="308" min="7" max="7"/>
    <col width="4.005" bestFit="1" customWidth="1" style="136" min="8" max="8"/>
    <col width="2.433571428571428" bestFit="1" customWidth="1" style="307" min="9" max="9"/>
    <col width="2.862142857142857" bestFit="1" customWidth="1" style="308" min="10" max="10"/>
    <col width="3.005" bestFit="1" customWidth="1" style="308" min="11" max="11"/>
    <col width="3.005" bestFit="1" customWidth="1" style="308" min="12" max="12"/>
    <col width="2.576428571428572" bestFit="1" customWidth="1" style="308" min="13" max="13"/>
    <col width="2.576428571428572" bestFit="1" customWidth="1" style="136" min="14" max="14"/>
    <col width="2.719285714285714" bestFit="1" customWidth="1" style="308" min="15" max="15"/>
    <col width="1.576428571428571" bestFit="1" customWidth="1" style="308" min="16" max="16"/>
    <col width="2.147857142857143" bestFit="1" customWidth="1" style="136" min="17" max="17"/>
    <col width="6.005" bestFit="1" customWidth="1" style="136" min="18" max="18"/>
    <col width="3.862142857142857" bestFit="1" customWidth="1" style="308" min="19" max="19"/>
    <col width="4.147857142857143" bestFit="1" customWidth="1" style="64" min="20" max="20"/>
    <col width="4.719285714285714" bestFit="1" customWidth="1" style="308" min="21" max="21"/>
    <col width="4.433571428571429" bestFit="1" customWidth="1" style="64" min="22" max="22"/>
    <col width="4.719285714285714" bestFit="1" customWidth="1" style="308" min="23" max="23"/>
    <col width="2.576428571428572" bestFit="1" customWidth="1" style="308" min="24" max="24"/>
    <col width="3.290714285714285" bestFit="1" customWidth="1" style="308" min="25" max="25"/>
    <col width="5.862142857142857" bestFit="1" customWidth="1" style="308" min="26" max="26"/>
    <col width="3.719285714285714" bestFit="1" customWidth="1" style="1204" min="27" max="27"/>
    <col width="3.290714285714285" bestFit="1" customWidth="1" style="64" min="28" max="28"/>
    <col width="1.719285714285714" bestFit="1" customWidth="1" style="64" min="29" max="29"/>
    <col width="8.147857142857141" bestFit="1" customWidth="1" style="308" min="30" max="30"/>
    <col width="11.29071428571429" bestFit="1" customWidth="1" style="136" min="31" max="31"/>
    <col width="5.862142857142857" bestFit="1" customWidth="1" style="136" min="32" max="32"/>
    <col width="23.005" bestFit="1" customWidth="1" style="136" min="33" max="33"/>
    <col width="3.290714285714285" bestFit="1" customWidth="1" style="136" min="34" max="34"/>
    <col width="3.290714285714285" bestFit="1" customWidth="1" style="136" min="35" max="35"/>
    <col width="4.290714285714285" bestFit="1" customWidth="1" style="136" min="36" max="36"/>
    <col width="13.57642857142857" bestFit="1" customWidth="1" style="136" min="37" max="37"/>
    <col width="13.57642857142857" bestFit="1" customWidth="1" style="64" min="38" max="38"/>
    <col width="13.57642857142857" bestFit="1" customWidth="1" style="64" min="39" max="39"/>
    <col width="13.57642857142857" bestFit="1" customWidth="1" style="64" min="40" max="40"/>
  </cols>
  <sheetData>
    <row r="1" ht="17.25" customHeight="1">
      <c r="A1" s="546" t="n"/>
      <c r="B1" s="64" t="n"/>
      <c r="C1" s="308" t="n"/>
      <c r="D1" s="124" t="n"/>
      <c r="E1" s="64" t="n"/>
      <c r="F1" s="124" t="n"/>
      <c r="G1" s="547" t="n"/>
      <c r="H1" s="607" t="n"/>
      <c r="I1" s="749" t="n"/>
      <c r="J1" s="750" t="inlineStr">
        <is>
          <t>evsjv‡`k K…wl e¨vsK</t>
        </is>
      </c>
      <c r="U1" s="754" t="n"/>
      <c r="V1" s="551" t="n"/>
      <c r="AC1" s="64" t="n"/>
      <c r="AD1" s="756" t="n"/>
      <c r="AE1" s="757" t="n"/>
      <c r="AF1" s="757" t="n"/>
      <c r="AG1" s="757" t="n"/>
      <c r="AH1" s="757" t="n"/>
      <c r="AI1" s="757" t="n"/>
      <c r="AJ1" s="757" t="n"/>
      <c r="AK1" s="757" t="n"/>
      <c r="AL1" s="167" t="n"/>
      <c r="AM1" s="167" t="n"/>
      <c r="AN1" s="64" t="n"/>
    </row>
    <row r="2" ht="15" customFormat="1" customHeight="1" s="18">
      <c r="A2" s="546" t="n"/>
      <c r="B2" s="103" t="n"/>
      <c r="C2" s="547" t="n"/>
      <c r="D2" s="124" t="n"/>
      <c r="E2" s="103" t="n"/>
      <c r="F2" s="124" t="n"/>
      <c r="G2" s="547" t="n"/>
      <c r="H2" s="758" t="n"/>
      <c r="I2" s="749" t="n"/>
      <c r="U2" s="754" t="n"/>
      <c r="V2" s="759" t="n"/>
      <c r="AC2" s="103" t="n"/>
      <c r="AD2" s="762" t="n"/>
      <c r="AE2" s="763" t="n"/>
      <c r="AF2" s="763" t="n"/>
      <c r="AG2" s="763" t="n"/>
      <c r="AH2" s="763" t="n"/>
      <c r="AI2" s="763" t="n"/>
      <c r="AJ2" s="763" t="n"/>
      <c r="AK2" s="763" t="n"/>
      <c r="AL2" s="764" t="n"/>
      <c r="AM2" s="764" t="n"/>
      <c r="AN2" s="103" t="n"/>
    </row>
    <row r="3" ht="14.25" customFormat="1" customHeight="1" s="18">
      <c r="A3" s="546" t="n"/>
      <c r="B3" s="764" t="n"/>
      <c r="C3" s="555" t="n"/>
      <c r="D3" s="199" t="n"/>
      <c r="E3" s="103" t="n"/>
      <c r="F3" s="199" t="n"/>
      <c r="G3" s="561" t="n"/>
      <c r="H3" s="225" t="n"/>
      <c r="I3" s="765" t="n"/>
      <c r="J3" s="766">
        <f>+'Data Input'!D2</f>
        <v/>
      </c>
      <c r="U3" s="769" t="n"/>
      <c r="V3" s="759" t="n"/>
      <c r="AC3" s="103" t="n"/>
      <c r="AD3" s="762" t="n"/>
      <c r="AE3" s="225" t="n"/>
      <c r="AF3" s="225" t="n"/>
      <c r="AG3" s="225" t="n"/>
      <c r="AH3" s="225" t="n"/>
      <c r="AI3" s="225" t="n"/>
      <c r="AJ3" s="225" t="n"/>
      <c r="AK3" s="225" t="n"/>
      <c r="AL3" s="103" t="n"/>
      <c r="AM3" s="103" t="n"/>
      <c r="AN3" s="103" t="n"/>
    </row>
    <row r="4" ht="13.5" customHeight="1">
      <c r="A4" s="546" t="n"/>
      <c r="B4" s="764" t="n"/>
      <c r="C4" s="561" t="n"/>
      <c r="D4" s="199" t="n"/>
      <c r="E4" s="64" t="n"/>
      <c r="F4" s="199" t="n"/>
      <c r="G4" s="561" t="n"/>
      <c r="H4" s="770" t="n"/>
      <c r="I4" s="765" t="n"/>
      <c r="U4" s="771" t="n"/>
      <c r="AC4" s="64" t="n"/>
      <c r="AD4" s="774" t="n"/>
      <c r="AE4" s="136" t="n"/>
      <c r="AF4" s="136" t="n"/>
      <c r="AG4" s="136" t="n"/>
      <c r="AH4" s="136" t="n"/>
      <c r="AI4" s="136" t="n"/>
      <c r="AJ4" s="136" t="n"/>
      <c r="AK4" s="136" t="n"/>
      <c r="AL4" s="64" t="n"/>
      <c r="AM4" s="64" t="n"/>
      <c r="AN4" s="64" t="n"/>
    </row>
    <row r="5" ht="17.25" customHeight="1">
      <c r="A5" s="1241" t="n"/>
      <c r="B5" s="2624" t="n"/>
      <c r="C5" s="2624" t="n"/>
      <c r="D5" s="2624" t="n"/>
      <c r="E5" s="2624" t="n"/>
      <c r="F5" s="2624" t="n"/>
      <c r="G5" s="2624" t="n"/>
      <c r="H5" s="2624" t="n"/>
      <c r="I5" s="2624" t="n"/>
      <c r="J5" s="2624" t="n"/>
      <c r="K5" s="2624" t="n"/>
      <c r="L5" s="2624" t="n"/>
      <c r="M5" s="2624" t="n"/>
      <c r="N5" s="2624" t="n"/>
      <c r="O5" s="2624" t="n"/>
      <c r="P5" s="2624" t="n"/>
      <c r="Q5" s="2624" t="n"/>
      <c r="R5" s="2624" t="n"/>
      <c r="S5" s="2624" t="n"/>
      <c r="T5" s="2624" t="n"/>
      <c r="U5" s="2624" t="n"/>
      <c r="V5" s="779" t="n"/>
      <c r="W5" s="2624" t="n"/>
      <c r="X5" s="781" t="n"/>
      <c r="Y5" s="2624" t="n"/>
      <c r="Z5" s="2624" t="n"/>
      <c r="AA5" s="2624" t="n"/>
      <c r="AB5" s="782" t="n"/>
      <c r="AC5" s="1241" t="n"/>
      <c r="AD5" s="308" t="n"/>
      <c r="AE5" s="783" t="n"/>
      <c r="AF5" s="783" t="n"/>
      <c r="AG5" s="783" t="n"/>
      <c r="AH5" s="783" t="n"/>
      <c r="AI5" s="783" t="n"/>
      <c r="AJ5" s="783" t="n"/>
      <c r="AK5" s="783" t="n"/>
      <c r="AL5" s="784" t="n"/>
      <c r="AM5" s="784" t="n"/>
      <c r="AN5" s="784" t="n"/>
    </row>
    <row r="6" ht="9.75" customHeight="1">
      <c r="A6" s="239" t="n"/>
      <c r="B6" s="295" t="n"/>
      <c r="C6" s="308" t="n"/>
      <c r="D6" s="295" t="n"/>
      <c r="E6" s="64" t="n"/>
      <c r="F6" s="64" t="n"/>
      <c r="G6" s="308" t="n"/>
      <c r="H6" s="136" t="n"/>
      <c r="I6" s="307" t="n"/>
      <c r="J6" s="308" t="n"/>
      <c r="K6" s="297" t="n"/>
      <c r="L6" s="785" t="n"/>
      <c r="M6" s="785" t="n"/>
      <c r="N6" s="136" t="n"/>
      <c r="O6" s="308" t="n"/>
      <c r="P6" s="308" t="n"/>
      <c r="Q6" s="136" t="n"/>
      <c r="R6" s="136" t="n"/>
      <c r="S6" s="308" t="n"/>
      <c r="T6" s="64" t="n"/>
      <c r="U6" s="308" t="n"/>
      <c r="V6" s="64" t="n"/>
      <c r="W6" s="308" t="n"/>
      <c r="X6" s="308" t="n"/>
      <c r="Y6" s="308" t="n"/>
      <c r="Z6" s="308" t="n"/>
      <c r="AA6" s="1204" t="n"/>
      <c r="AB6" s="64" t="n"/>
      <c r="AC6" s="64" t="n"/>
      <c r="AD6" s="308" t="n"/>
      <c r="AE6" s="783" t="n"/>
      <c r="AF6" s="783" t="n"/>
      <c r="AG6" s="783" t="n"/>
      <c r="AH6" s="783" t="n"/>
      <c r="AI6" s="783" t="n"/>
      <c r="AJ6" s="783" t="n"/>
      <c r="AK6" s="783" t="n"/>
      <c r="AL6" s="784" t="n"/>
      <c r="AM6" s="784" t="n"/>
      <c r="AN6" s="784" t="n"/>
    </row>
    <row r="7" ht="17.25" customHeight="1">
      <c r="A7" s="239" t="n"/>
      <c r="B7" s="789">
        <f>" welq t Ò"&amp;'Data Input'!D8&amp;"Ó Gi AbyK~‡j bM` cuywR FY bevqb / gÄyixi cÖ¯Íve †cÖiY msµvšÍ Z_¨wmU|"</f>
        <v/>
      </c>
      <c r="AD7" s="308" t="n"/>
      <c r="AE7" s="136" t="n"/>
      <c r="AF7" s="136" t="n"/>
      <c r="AG7" s="136" t="n"/>
      <c r="AH7" s="136" t="n"/>
      <c r="AI7" s="136" t="n"/>
      <c r="AJ7" s="136" t="n"/>
      <c r="AK7" s="136" t="n"/>
      <c r="AL7" s="64" t="n"/>
      <c r="AM7" s="64" t="n"/>
      <c r="AN7" s="64" t="n"/>
    </row>
    <row r="8" ht="10.5" customHeight="1">
      <c r="A8" s="239" t="n"/>
      <c r="B8" s="64" t="n"/>
      <c r="C8" s="308" t="n"/>
      <c r="D8" s="64" t="n"/>
      <c r="E8" s="64" t="n"/>
      <c r="F8" s="64" t="n"/>
      <c r="G8" s="308" t="n"/>
      <c r="H8" s="136" t="n"/>
      <c r="I8" s="307" t="n"/>
      <c r="J8" s="308" t="n"/>
      <c r="K8" s="308" t="n"/>
      <c r="L8" s="308" t="n"/>
      <c r="M8" s="308" t="n"/>
      <c r="N8" s="136" t="n"/>
      <c r="O8" s="308" t="n"/>
      <c r="P8" s="308" t="n"/>
      <c r="Q8" s="136" t="n"/>
      <c r="R8" s="136" t="n"/>
      <c r="S8" s="308" t="n"/>
      <c r="T8" s="64" t="n"/>
      <c r="U8" s="308" t="n"/>
      <c r="V8" s="64" t="n"/>
      <c r="W8" s="308" t="n"/>
      <c r="X8" s="308" t="n"/>
      <c r="Y8" s="308" t="n"/>
      <c r="Z8" s="308" t="n"/>
      <c r="AA8" s="1204" t="n"/>
      <c r="AB8" s="64" t="n"/>
      <c r="AC8" s="64" t="n"/>
      <c r="AD8" s="308" t="n"/>
      <c r="AE8" s="136" t="n"/>
      <c r="AF8" s="136" t="n"/>
      <c r="AG8" s="136" t="n"/>
      <c r="AH8" s="136" t="n"/>
      <c r="AI8" s="136" t="n"/>
      <c r="AJ8" s="136" t="n"/>
      <c r="AK8" s="136" t="n"/>
      <c r="AL8" s="64" t="n"/>
      <c r="AM8" s="64" t="n"/>
      <c r="AN8" s="64" t="n"/>
    </row>
    <row r="9" ht="17.25" customHeight="1">
      <c r="A9" s="793" t="inlineStr">
        <is>
          <t xml:space="preserve">1| </t>
        </is>
      </c>
      <c r="B9" s="794" t="inlineStr">
        <is>
          <t>cÖKí/ e¨emv cÖwZôvb msµvšÍ Z_¨vw`t</t>
        </is>
      </c>
      <c r="AC9" s="64" t="n"/>
      <c r="AD9" s="308" t="n"/>
      <c r="AE9" s="136" t="n"/>
      <c r="AF9" s="136" t="n"/>
      <c r="AG9" s="136" t="n"/>
      <c r="AH9" s="136" t="n"/>
      <c r="AI9" s="136" t="n"/>
      <c r="AJ9" s="136" t="n"/>
      <c r="AK9" s="136" t="n"/>
      <c r="AL9" s="64" t="n"/>
      <c r="AM9" s="64" t="n"/>
      <c r="AN9" s="64" t="n"/>
    </row>
    <row r="10" ht="17.25" customHeight="1">
      <c r="B10" s="799" t="inlineStr">
        <is>
          <t>(K)</t>
        </is>
      </c>
      <c r="C10" s="800" t="inlineStr">
        <is>
          <t xml:space="preserve">cÖKí I_x000D_
‡cÖvcvBUi Gi bvg_x000D_
</t>
        </is>
      </c>
      <c r="M10" s="308" t="n"/>
      <c r="N10" s="136" t="n"/>
      <c r="O10" s="297" t="n"/>
      <c r="P10" s="297" t="n"/>
      <c r="Q10" s="803" t="inlineStr">
        <is>
          <t>t</t>
        </is>
      </c>
      <c r="R10" s="803">
        <f>+'Data Input'!D8</f>
        <v/>
      </c>
      <c r="AC10" s="64" t="n"/>
      <c r="AD10" s="308" t="n"/>
      <c r="AE10" s="136" t="n"/>
      <c r="AF10" s="136" t="n"/>
      <c r="AG10" s="136" t="n"/>
      <c r="AH10" s="136" t="n"/>
      <c r="AI10" s="136" t="n"/>
      <c r="AJ10" s="136" t="n"/>
      <c r="AK10" s="136" t="n"/>
      <c r="AL10" s="64" t="n"/>
      <c r="AM10" s="64" t="n"/>
      <c r="AN10" s="64" t="n"/>
    </row>
    <row r="11" ht="17.25" customHeight="1">
      <c r="M11" s="308" t="n"/>
      <c r="N11" s="136" t="n"/>
      <c r="O11" s="297" t="n"/>
      <c r="P11" s="297" t="n"/>
      <c r="Q11" s="803" t="n"/>
      <c r="R11" s="803">
        <f>+'Data Input'!D12</f>
        <v/>
      </c>
      <c r="AC11" s="64" t="n"/>
      <c r="AD11" s="308" t="n"/>
      <c r="AE11" s="136" t="n"/>
      <c r="AF11" s="136" t="n"/>
      <c r="AG11" s="136" t="n"/>
      <c r="AH11" s="136" t="n"/>
      <c r="AI11" s="136" t="n"/>
      <c r="AJ11" s="136" t="n"/>
      <c r="AK11" s="136" t="n"/>
      <c r="AL11" s="64" t="n"/>
      <c r="AM11" s="64" t="n"/>
      <c r="AN11" s="64" t="n"/>
    </row>
    <row r="12" ht="17.25" customHeight="1">
      <c r="B12" s="295" t="n"/>
      <c r="M12" s="308" t="n"/>
      <c r="N12" s="136" t="n"/>
      <c r="O12" s="578" t="n"/>
      <c r="P12" s="578" t="n"/>
      <c r="Q12" s="803" t="n"/>
      <c r="R12" s="111">
        <f>"wcZv/¯^vgxt "&amp;+'Data Input'!D13</f>
        <v/>
      </c>
      <c r="AC12" s="64" t="n"/>
      <c r="AD12" s="308" t="n"/>
      <c r="AE12" s="136" t="n"/>
      <c r="AF12" s="136" t="n"/>
      <c r="AG12" s="136" t="n"/>
      <c r="AH12" s="136" t="n"/>
      <c r="AI12" s="136" t="n"/>
      <c r="AJ12" s="136" t="n"/>
      <c r="AK12" s="136" t="n"/>
      <c r="AL12" s="64" t="n"/>
      <c r="AM12" s="64" t="n"/>
      <c r="AN12" s="64" t="n"/>
    </row>
    <row r="13" ht="54" customHeight="1">
      <c r="B13" s="295" t="inlineStr">
        <is>
          <t>(L)</t>
        </is>
      </c>
      <c r="C13" s="297" t="inlineStr">
        <is>
          <t xml:space="preserve">Ae¯’vb  </t>
        </is>
      </c>
      <c r="M13" s="308" t="n"/>
      <c r="N13" s="136" t="n"/>
      <c r="O13" s="801" t="n"/>
      <c r="P13" s="801" t="n"/>
      <c r="Q13" s="803" t="inlineStr">
        <is>
          <t>t</t>
        </is>
      </c>
      <c r="R13" s="475">
        <f>J1&amp;", "&amp;J3&amp;" Gi wbKUeZ©x "&amp;'Data Input'!D9&amp;" G Aew¯’Z|"</f>
        <v/>
      </c>
      <c r="AC13" s="64" t="n"/>
      <c r="AD13" s="308" t="n"/>
      <c r="AE13" s="803" t="n"/>
      <c r="AF13" s="136" t="n"/>
      <c r="AG13" s="136" t="n"/>
      <c r="AH13" s="136" t="n"/>
      <c r="AI13" s="136" t="n"/>
      <c r="AJ13" s="136" t="n"/>
      <c r="AK13" s="136" t="n"/>
      <c r="AL13" s="64" t="n"/>
      <c r="AM13" s="64" t="n"/>
      <c r="AN13" s="64" t="n"/>
    </row>
    <row r="14" ht="18" customHeight="1">
      <c r="B14" s="295" t="inlineStr">
        <is>
          <t>(M)</t>
        </is>
      </c>
      <c r="C14" s="297" t="inlineStr">
        <is>
          <t>Awd‡mi wVKvbv</t>
        </is>
      </c>
      <c r="M14" s="308" t="n"/>
      <c r="N14" s="136" t="n"/>
      <c r="O14" s="297" t="n"/>
      <c r="P14" s="297" t="n"/>
      <c r="Q14" s="803" t="inlineStr">
        <is>
          <t>t</t>
        </is>
      </c>
      <c r="R14" s="475" t="inlineStr">
        <is>
          <t>H</t>
        </is>
      </c>
      <c r="AC14" s="64" t="n"/>
      <c r="AD14" s="308" t="n"/>
      <c r="AE14" s="136" t="n"/>
      <c r="AF14" s="136" t="n"/>
      <c r="AG14" s="136" t="n"/>
      <c r="AH14" s="136" t="n"/>
      <c r="AI14" s="136" t="n"/>
      <c r="AJ14" s="136" t="n"/>
      <c r="AK14" s="136" t="n"/>
      <c r="AL14" s="64" t="n"/>
      <c r="AM14" s="64" t="n"/>
      <c r="AN14" s="64" t="n"/>
    </row>
    <row r="15" ht="17.25" customHeight="1">
      <c r="B15" s="295" t="inlineStr">
        <is>
          <t>(N)</t>
        </is>
      </c>
      <c r="C15" s="297" t="inlineStr">
        <is>
          <t>cÖKí cÖwZôv/ e¨emv ïii ZvwiL I A‡_©i Drm</t>
        </is>
      </c>
      <c r="Q15" s="803" t="inlineStr">
        <is>
          <t>t</t>
        </is>
      </c>
      <c r="R15" s="807" t="inlineStr">
        <is>
          <t>13/07/2023, wbR¯^ Znwej|</t>
        </is>
      </c>
      <c r="S15" s="2615" t="n"/>
      <c r="T15" s="2615" t="n"/>
      <c r="U15" s="2615" t="n"/>
      <c r="V15" s="2615" t="n"/>
      <c r="W15" s="2615" t="n"/>
      <c r="X15" s="2615" t="n"/>
      <c r="Y15" s="2615" t="n"/>
      <c r="Z15" s="2615" t="n"/>
      <c r="AA15" s="2615" t="n"/>
      <c r="AB15" s="2616" t="n"/>
      <c r="AC15" s="64" t="n"/>
      <c r="AD15" s="308" t="n"/>
      <c r="AE15" s="136" t="n"/>
      <c r="AF15" s="136" t="n"/>
      <c r="AG15" s="136" t="n"/>
      <c r="AH15" s="136" t="n"/>
      <c r="AI15" s="136" t="n"/>
      <c r="AJ15" s="136" t="n"/>
      <c r="AK15" s="136" t="n"/>
      <c r="AL15" s="64" t="n"/>
      <c r="AM15" s="64" t="n"/>
      <c r="AN15" s="64" t="n"/>
    </row>
    <row r="16" ht="17.25" customHeight="1">
      <c r="B16" s="295" t="inlineStr">
        <is>
          <t>(O)</t>
        </is>
      </c>
      <c r="C16" s="297" t="inlineStr">
        <is>
          <t>AÎ e¨vs‡Ki mv‡_ e¨emv ïiæi ZvwiL</t>
        </is>
      </c>
      <c r="Q16" s="803" t="inlineStr">
        <is>
          <t>t</t>
        </is>
      </c>
      <c r="R16" s="811">
        <f>'Data Input'!D25&amp;" I "&amp;'Data Input'!D24</f>
        <v/>
      </c>
      <c r="S16" s="2615" t="n"/>
      <c r="T16" s="2615" t="n"/>
      <c r="U16" s="2615" t="n"/>
      <c r="V16" s="2615" t="n"/>
      <c r="W16" s="2615" t="n"/>
      <c r="X16" s="2615" t="n"/>
      <c r="Y16" s="2615" t="n"/>
      <c r="Z16" s="2615" t="n"/>
      <c r="AA16" s="2615" t="n"/>
      <c r="AB16" s="2616" t="n"/>
      <c r="AC16" s="64" t="n"/>
      <c r="AD16" s="308" t="n"/>
      <c r="AE16" s="136" t="n"/>
      <c r="AF16" s="136" t="n"/>
      <c r="AG16" s="136" t="n"/>
      <c r="AH16" s="136" t="n"/>
      <c r="AI16" s="136" t="n"/>
      <c r="AJ16" s="136" t="n"/>
      <c r="AK16" s="136" t="n"/>
      <c r="AL16" s="64" t="n"/>
      <c r="AM16" s="64" t="n"/>
      <c r="AN16" s="64" t="n"/>
    </row>
    <row r="17" ht="17.25" customHeight="1">
      <c r="B17" s="295" t="inlineStr">
        <is>
          <t>(P)</t>
        </is>
      </c>
      <c r="C17" s="297" t="inlineStr">
        <is>
          <t>‡fvMiZ F‡bi me©‡kl gÄywii ZvwiL</t>
        </is>
      </c>
      <c r="Q17" s="803" t="inlineStr">
        <is>
          <t>t</t>
        </is>
      </c>
      <c r="R17" s="815" t="n"/>
      <c r="S17" s="2615" t="n"/>
      <c r="T17" s="2616" t="n"/>
      <c r="U17" s="788" t="n"/>
      <c r="W17" s="807" t="n"/>
      <c r="X17" s="2615" t="n"/>
      <c r="Y17" s="2615" t="n"/>
      <c r="Z17" s="2615" t="n"/>
      <c r="AA17" s="2615" t="n"/>
      <c r="AB17" s="2616" t="n"/>
      <c r="AC17" s="64" t="n"/>
      <c r="AD17" s="308" t="n"/>
      <c r="AE17" s="136" t="n"/>
      <c r="AF17" s="136" t="n"/>
      <c r="AG17" s="816" t="n"/>
      <c r="AH17" s="136" t="n"/>
      <c r="AI17" s="136" t="n"/>
      <c r="AJ17" s="136" t="n"/>
      <c r="AK17" s="136" t="n"/>
      <c r="AL17" s="64" t="n"/>
      <c r="AM17" s="64" t="n"/>
      <c r="AN17" s="64" t="n"/>
    </row>
    <row r="18" ht="17.25" customHeight="1">
      <c r="B18" s="295" t="inlineStr">
        <is>
          <t>(Q)</t>
        </is>
      </c>
      <c r="C18" s="297" t="inlineStr">
        <is>
          <t>MVbZš¿</t>
        </is>
      </c>
      <c r="Q18" s="803" t="inlineStr">
        <is>
          <t>t</t>
        </is>
      </c>
      <c r="R18" s="803" t="inlineStr">
        <is>
          <t xml:space="preserve">e¨w³ gvwjKvbvaxb    </t>
        </is>
      </c>
      <c r="AC18" s="64" t="n"/>
      <c r="AD18" s="308" t="n"/>
      <c r="AE18" s="136" t="n"/>
      <c r="AF18" s="136" t="n"/>
      <c r="AG18" s="297" t="n"/>
      <c r="AH18" s="136" t="n"/>
      <c r="AI18" s="136" t="n"/>
      <c r="AJ18" s="136" t="n"/>
      <c r="AK18" s="136" t="n"/>
      <c r="AL18" s="64" t="n"/>
      <c r="AM18" s="64" t="n"/>
      <c r="AN18" s="64" t="n"/>
    </row>
    <row r="19" ht="17.25" customHeight="1">
      <c r="B19" s="799" t="inlineStr">
        <is>
          <t>(R)</t>
        </is>
      </c>
      <c r="C19" s="297" t="inlineStr">
        <is>
          <t>g~jab KvVv‡gv (wjwg‡UW †Kv¤úvwbi †¶‡Î)</t>
        </is>
      </c>
      <c r="X19" s="817" t="inlineStr">
        <is>
          <t>(j¶ UvKvq)</t>
        </is>
      </c>
      <c r="AC19" s="64" t="n"/>
      <c r="AD19" s="308" t="n"/>
      <c r="AE19" s="136" t="n"/>
      <c r="AF19" s="136" t="n"/>
      <c r="AG19" s="136" t="n"/>
      <c r="AH19" s="136" t="n"/>
      <c r="AI19" s="136" t="n"/>
      <c r="AJ19" s="136" t="n"/>
      <c r="AK19" s="136" t="n"/>
      <c r="AL19" s="64" t="n"/>
      <c r="AM19" s="64" t="n"/>
      <c r="AN19" s="64" t="n"/>
    </row>
    <row r="20" ht="18.75" customHeight="1">
      <c r="C20" s="820" t="inlineStr">
        <is>
          <t>µt</t>
        </is>
      </c>
      <c r="D20" s="2719" t="inlineStr">
        <is>
          <t>Aby‡gvw`Z gyjab</t>
        </is>
      </c>
      <c r="E20" s="2624" t="n"/>
      <c r="F20" s="2624" t="n"/>
      <c r="G20" s="2624" t="n"/>
      <c r="H20" s="2642" t="n"/>
      <c r="I20" s="825" t="inlineStr">
        <is>
          <t>cwi‡kvwaZ gyjab</t>
        </is>
      </c>
      <c r="J20" s="2624" t="n"/>
      <c r="K20" s="2624" t="n"/>
      <c r="L20" s="2624" t="n"/>
      <c r="M20" s="2624" t="n"/>
      <c r="N20" s="1992" t="inlineStr">
        <is>
          <t>wiRvf©</t>
        </is>
      </c>
      <c r="O20" s="2624" t="n"/>
      <c r="P20" s="2642" t="n"/>
      <c r="Q20" s="2720" t="inlineStr">
        <is>
          <t>‡kqvi msL¨v</t>
        </is>
      </c>
      <c r="R20" s="2624" t="n"/>
      <c r="S20" s="2642" t="n"/>
      <c r="T20" s="330" t="inlineStr">
        <is>
          <t>cÖwZ †kqv‡ii</t>
        </is>
      </c>
      <c r="U20" s="2624" t="n"/>
      <c r="V20" s="2624" t="n"/>
      <c r="W20" s="2642" t="n"/>
      <c r="X20" s="2721" t="inlineStr">
        <is>
          <t>‡Kv¤úvbx wbeÜ‡bi</t>
        </is>
      </c>
      <c r="Y20" s="2624" t="n"/>
      <c r="Z20" s="2624" t="n"/>
      <c r="AA20" s="2624" t="n"/>
      <c r="AB20" s="2642" t="n"/>
      <c r="AC20" s="64" t="n"/>
      <c r="AD20" s="308" t="n"/>
      <c r="AE20" s="136" t="n"/>
      <c r="AF20" s="136" t="n"/>
      <c r="AG20" s="136" t="n"/>
      <c r="AH20" s="136" t="n"/>
      <c r="AI20" s="136" t="n"/>
      <c r="AJ20" s="136" t="n"/>
      <c r="AK20" s="136" t="n"/>
      <c r="AL20" s="64" t="n"/>
      <c r="AM20" s="64" t="n"/>
      <c r="AN20" s="64" t="n"/>
    </row>
    <row r="21" ht="18.75" customHeight="1">
      <c r="C21" s="836" t="inlineStr">
        <is>
          <t>bs</t>
        </is>
      </c>
      <c r="D21" s="2722" t="n"/>
      <c r="H21" s="2641" t="n"/>
      <c r="I21" s="839" t="n"/>
      <c r="N21" s="2723" t="n"/>
      <c r="O21" s="2613" t="n"/>
      <c r="P21" s="2649" t="n"/>
      <c r="Q21" s="2724" t="n"/>
      <c r="R21" s="2613" t="n"/>
      <c r="S21" s="2649" t="n"/>
      <c r="T21" s="2725" t="inlineStr">
        <is>
          <t>AwfwnZ gyj¨</t>
        </is>
      </c>
      <c r="U21" s="2613" t="n"/>
      <c r="V21" s="2613" t="n"/>
      <c r="W21" s="2649" t="n"/>
      <c r="X21" s="2726" t="inlineStr">
        <is>
          <t>ZvwiL</t>
        </is>
      </c>
      <c r="Y21" s="2613" t="n"/>
      <c r="Z21" s="2613" t="n"/>
      <c r="AA21" s="2613" t="n"/>
      <c r="AB21" s="2649" t="n"/>
      <c r="AC21" s="64" t="n"/>
      <c r="AD21" s="308" t="n"/>
      <c r="AE21" s="136" t="n"/>
      <c r="AF21" s="136" t="n"/>
      <c r="AG21" s="136" t="n"/>
      <c r="AH21" s="136" t="n"/>
      <c r="AI21" s="136" t="n"/>
      <c r="AJ21" s="136" t="n"/>
      <c r="AK21" s="136" t="n"/>
      <c r="AL21" s="64" t="n"/>
      <c r="AM21" s="64" t="n"/>
      <c r="AN21" s="64" t="n"/>
    </row>
    <row r="22" ht="18" customHeight="1">
      <c r="C22" s="651" t="inlineStr">
        <is>
          <t>cÖ‡hvR¨ bq</t>
        </is>
      </c>
      <c r="D22" s="2614" t="n"/>
      <c r="E22" s="2614" t="n"/>
      <c r="F22" s="2614" t="n"/>
      <c r="G22" s="2614" t="n"/>
      <c r="H22" s="2614" t="n"/>
      <c r="I22" s="2614" t="n"/>
      <c r="J22" s="2614" t="n"/>
      <c r="K22" s="2614" t="n"/>
      <c r="L22" s="2614" t="n"/>
      <c r="M22" s="2614" t="n"/>
      <c r="N22" s="2614" t="n"/>
      <c r="O22" s="2614" t="n"/>
      <c r="P22" s="2614" t="n"/>
      <c r="Q22" s="2614" t="n"/>
      <c r="R22" s="2614" t="n"/>
      <c r="S22" s="2614" t="n"/>
      <c r="T22" s="2614" t="n"/>
      <c r="U22" s="2614" t="n"/>
      <c r="V22" s="2614" t="n"/>
      <c r="W22" s="2614" t="n"/>
      <c r="X22" s="2614" t="n"/>
      <c r="Y22" s="2614" t="n"/>
      <c r="Z22" s="2614" t="n"/>
      <c r="AA22" s="2614" t="n"/>
      <c r="AB22" s="2617" t="n"/>
      <c r="AC22" s="64" t="n"/>
      <c r="AD22" s="308" t="n"/>
      <c r="AE22" s="136" t="n"/>
      <c r="AF22" s="136" t="n"/>
      <c r="AG22" s="136" t="n"/>
      <c r="AH22" s="136" t="n"/>
      <c r="AI22" s="136" t="n"/>
      <c r="AJ22" s="136" t="n"/>
      <c r="AK22" s="136" t="n"/>
      <c r="AL22" s="64" t="n"/>
      <c r="AM22" s="64" t="n"/>
      <c r="AN22" s="64" t="n"/>
    </row>
    <row r="23" ht="11.25" customHeight="1">
      <c r="B23" s="784" t="n"/>
      <c r="C23" s="855" t="n"/>
      <c r="D23" s="784" t="n"/>
      <c r="E23" s="784" t="n"/>
      <c r="F23" s="784" t="n"/>
      <c r="G23" s="855" t="n"/>
      <c r="H23" s="783" t="n"/>
      <c r="I23" s="856" t="n"/>
      <c r="J23" s="855" t="n"/>
      <c r="K23" s="855" t="n"/>
      <c r="L23" s="855" t="n"/>
      <c r="M23" s="855" t="n"/>
      <c r="N23" s="783" t="n"/>
      <c r="O23" s="855" t="n"/>
      <c r="P23" s="855" t="n"/>
      <c r="Q23" s="783" t="n"/>
      <c r="R23" s="783" t="n"/>
      <c r="S23" s="855" t="n"/>
      <c r="T23" s="784" t="n"/>
      <c r="U23" s="855" t="n"/>
      <c r="V23" s="784" t="n"/>
      <c r="W23" s="855" t="n"/>
      <c r="X23" s="855" t="n"/>
      <c r="Y23" s="855" t="n"/>
      <c r="Z23" s="855" t="n"/>
      <c r="AA23" s="857" t="n"/>
      <c r="AB23" s="784" t="n"/>
      <c r="AC23" s="784" t="n"/>
      <c r="AD23" s="855" t="n"/>
      <c r="AE23" s="783" t="n"/>
      <c r="AF23" s="783" t="n"/>
      <c r="AG23" s="783" t="n"/>
      <c r="AH23" s="783" t="n"/>
      <c r="AI23" s="136" t="n"/>
      <c r="AJ23" s="136" t="n"/>
      <c r="AK23" s="136" t="n"/>
      <c r="AL23" s="64" t="n"/>
      <c r="AM23" s="64" t="n"/>
      <c r="AN23" s="64" t="n"/>
    </row>
    <row r="24" ht="17.25" customHeight="1">
      <c r="B24" s="295" t="inlineStr">
        <is>
          <t>(S)</t>
        </is>
      </c>
      <c r="C24" s="297" t="inlineStr">
        <is>
          <t>Av‡e`bK…Z F‡Yi cwigvb</t>
        </is>
      </c>
      <c r="Q24" s="803" t="inlineStr">
        <is>
          <t>t</t>
        </is>
      </c>
      <c r="R24" s="803">
        <f>'Data Input'!D11</f>
        <v/>
      </c>
      <c r="AC24" s="64" t="n"/>
      <c r="AD24" s="308" t="n"/>
      <c r="AE24" s="136" t="n"/>
      <c r="AF24" s="136" t="n"/>
      <c r="AG24" s="136" t="n"/>
      <c r="AH24" s="136" t="n"/>
      <c r="AI24" s="136" t="n"/>
      <c r="AJ24" s="136" t="n"/>
      <c r="AK24" s="136" t="n"/>
      <c r="AL24" s="64" t="n"/>
      <c r="AM24" s="64" t="n"/>
      <c r="AN24" s="64" t="n"/>
    </row>
    <row r="25" ht="17.25" customHeight="1">
      <c r="B25" s="295" t="inlineStr">
        <is>
          <t>(T)</t>
        </is>
      </c>
      <c r="C25" s="297" t="inlineStr">
        <is>
          <t>cÖKí/e¨emvi aib/ D‡Ïk¨</t>
        </is>
      </c>
      <c r="Q25" s="803" t="inlineStr">
        <is>
          <t>t</t>
        </is>
      </c>
      <c r="R25" s="803">
        <f>'LF-5'!B122</f>
        <v/>
      </c>
      <c r="AC25" s="64" t="n"/>
      <c r="AD25" s="308" t="n"/>
      <c r="AE25" s="136" t="n"/>
      <c r="AF25" s="136" t="n"/>
      <c r="AG25" s="136" t="n"/>
      <c r="AH25" s="136" t="n"/>
      <c r="AI25" s="136" t="n"/>
      <c r="AJ25" s="136" t="n"/>
      <c r="AK25" s="136" t="n"/>
      <c r="AL25" s="64" t="n"/>
      <c r="AM25" s="64" t="n"/>
      <c r="AN25" s="64" t="n"/>
    </row>
    <row r="26" ht="17.25" customHeight="1">
      <c r="B26" s="295" t="inlineStr">
        <is>
          <t>(U)</t>
        </is>
      </c>
      <c r="C26" s="297" t="inlineStr">
        <is>
          <t xml:space="preserve">Drcvw`Z cb¨ I Drcv`b ÿgZv  </t>
        </is>
      </c>
      <c r="Q26" s="803" t="inlineStr">
        <is>
          <t>t</t>
        </is>
      </c>
      <c r="R26" s="803" t="inlineStr">
        <is>
          <t xml:space="preserve">†cÖvdvB‡j we¯ÍvwiZ Av‡Q| </t>
        </is>
      </c>
      <c r="AC26" s="64" t="n"/>
      <c r="AD26" s="308" t="n"/>
      <c r="AE26" s="136" t="n"/>
      <c r="AF26" s="136" t="n"/>
      <c r="AG26" s="136" t="n"/>
      <c r="AH26" s="136" t="n"/>
      <c r="AI26" s="136" t="n"/>
      <c r="AJ26" s="136" t="n"/>
      <c r="AK26" s="136" t="n"/>
      <c r="AL26" s="64" t="n"/>
      <c r="AM26" s="64" t="n"/>
      <c r="AN26" s="64" t="n"/>
    </row>
    <row r="27" ht="6.75" customHeight="1">
      <c r="B27" s="784" t="n"/>
      <c r="C27" s="855" t="n"/>
      <c r="D27" s="784" t="n"/>
      <c r="E27" s="784" t="n"/>
      <c r="F27" s="784" t="n"/>
      <c r="G27" s="855" t="n"/>
      <c r="H27" s="783" t="n"/>
      <c r="I27" s="856" t="n"/>
      <c r="J27" s="855" t="n"/>
      <c r="K27" s="855" t="n"/>
      <c r="L27" s="855" t="n"/>
      <c r="M27" s="855" t="n"/>
      <c r="N27" s="783" t="n"/>
      <c r="O27" s="855" t="n"/>
      <c r="P27" s="855" t="n"/>
      <c r="Q27" s="783" t="n"/>
      <c r="R27" s="783" t="n"/>
      <c r="S27" s="855" t="n"/>
      <c r="T27" s="784" t="n"/>
      <c r="U27" s="855" t="n"/>
      <c r="V27" s="784" t="n"/>
      <c r="W27" s="855" t="n"/>
      <c r="X27" s="855" t="n"/>
      <c r="Y27" s="855" t="n"/>
      <c r="Z27" s="855" t="n"/>
      <c r="AA27" s="857" t="n"/>
      <c r="AB27" s="784" t="n"/>
      <c r="AC27" s="784" t="n"/>
      <c r="AD27" s="855" t="n"/>
      <c r="AE27" s="783" t="n"/>
      <c r="AF27" s="783" t="n"/>
      <c r="AG27" s="783" t="n"/>
      <c r="AH27" s="783" t="n"/>
      <c r="AI27" s="136" t="n"/>
      <c r="AJ27" s="136" t="n"/>
      <c r="AK27" s="136" t="n"/>
      <c r="AL27" s="64" t="n"/>
      <c r="AM27" s="64" t="n"/>
      <c r="AN27" s="64" t="n"/>
    </row>
    <row r="28" ht="17.25" customHeight="1">
      <c r="B28" s="799" t="inlineStr">
        <is>
          <t>(V)</t>
        </is>
      </c>
      <c r="C28" s="297" t="inlineStr">
        <is>
          <t>¸`v‡gi weeib (cª‡hvR¨ †ÿ‡Î)  t</t>
        </is>
      </c>
      <c r="Y28" s="817" t="inlineStr">
        <is>
          <t>(jÿ UvKvq)</t>
        </is>
      </c>
      <c r="AC28" s="64" t="n"/>
      <c r="AD28" s="308" t="n"/>
      <c r="AE28" s="136" t="n"/>
      <c r="AF28" s="136" t="n"/>
      <c r="AG28" s="136" t="n"/>
      <c r="AH28" s="136" t="n"/>
      <c r="AI28" s="136" t="n"/>
      <c r="AJ28" s="136" t="n"/>
      <c r="AK28" s="136" t="n"/>
      <c r="AL28" s="64" t="n"/>
      <c r="AM28" s="64" t="n"/>
      <c r="AN28" s="64" t="n"/>
    </row>
    <row r="29" ht="17.25" customHeight="1">
      <c r="C29" s="2727" t="inlineStr">
        <is>
          <t>gvwjKvbv</t>
        </is>
      </c>
      <c r="D29" s="2624" t="n"/>
      <c r="E29" s="2624" t="n"/>
      <c r="F29" s="2624" t="n"/>
      <c r="G29" s="2642" t="n"/>
      <c r="H29" s="2304" t="inlineStr">
        <is>
          <t>‡gvU AvqZb</t>
        </is>
      </c>
      <c r="I29" s="2624" t="n"/>
      <c r="J29" s="2624" t="n"/>
      <c r="K29" s="2642" t="n"/>
      <c r="L29" s="2728" t="inlineStr">
        <is>
          <t>100% aviY ¶gZvq</t>
        </is>
      </c>
      <c r="M29" s="2624" t="n"/>
      <c r="N29" s="2624" t="n"/>
      <c r="O29" s="2624" t="n"/>
      <c r="P29" s="2642" t="n"/>
      <c r="Q29" s="2304" t="inlineStr">
        <is>
          <t>80% aviY ¶gZvq</t>
        </is>
      </c>
      <c r="R29" s="2624" t="n"/>
      <c r="S29" s="2624" t="n"/>
      <c r="T29" s="2624" t="n"/>
      <c r="U29" s="2642" t="n"/>
      <c r="V29" s="286" t="inlineStr">
        <is>
          <t>80% avib ¶gZvq gRy`‡hvM¨ gvj</t>
        </is>
      </c>
      <c r="W29" s="2614" t="n"/>
      <c r="X29" s="2614" t="n"/>
      <c r="Y29" s="2614" t="n"/>
      <c r="Z29" s="2614" t="n"/>
      <c r="AA29" s="2614" t="n"/>
      <c r="AB29" s="2617" t="n"/>
      <c r="AC29" s="64" t="n"/>
      <c r="AD29" s="308" t="n"/>
      <c r="AE29" s="136" t="n"/>
      <c r="AF29" s="136" t="n"/>
      <c r="AG29" s="136" t="n"/>
      <c r="AH29" s="136" t="n"/>
      <c r="AI29" s="136" t="n"/>
      <c r="AJ29" s="136" t="n"/>
      <c r="AK29" s="136" t="n"/>
      <c r="AL29" s="64" t="n"/>
      <c r="AM29" s="64" t="n"/>
      <c r="AN29" s="64" t="n"/>
    </row>
    <row r="30" ht="17.25" customHeight="1">
      <c r="C30" s="1047" t="inlineStr">
        <is>
          <t>(wbR¯^/fvov)</t>
        </is>
      </c>
      <c r="D30" s="2613" t="n"/>
      <c r="E30" s="2613" t="n"/>
      <c r="F30" s="2613" t="n"/>
      <c r="G30" s="2649" t="n"/>
      <c r="H30" s="2729" t="n"/>
      <c r="I30" s="2613" t="n"/>
      <c r="J30" s="2613" t="n"/>
      <c r="K30" s="2649" t="n"/>
      <c r="L30" s="2730" t="inlineStr">
        <is>
          <t>AvqZb (Nb dzU)</t>
        </is>
      </c>
      <c r="M30" s="2613" t="n"/>
      <c r="N30" s="2613" t="n"/>
      <c r="O30" s="2613" t="n"/>
      <c r="P30" s="2649" t="n"/>
      <c r="Q30" s="1049" t="inlineStr">
        <is>
          <t>AvqZb (Nb dzU)</t>
        </is>
      </c>
      <c r="R30" s="2613" t="n"/>
      <c r="S30" s="2613" t="n"/>
      <c r="T30" s="2613" t="n"/>
      <c r="U30" s="2649" t="n"/>
      <c r="V30" s="887" t="inlineStr">
        <is>
          <t>cwigvb</t>
        </is>
      </c>
      <c r="W30" s="2613" t="n"/>
      <c r="X30" s="2613" t="n"/>
      <c r="Y30" s="2613" t="n"/>
      <c r="Z30" s="875" t="inlineStr">
        <is>
          <t>gyj¨</t>
        </is>
      </c>
      <c r="AA30" s="2613" t="n"/>
      <c r="AB30" s="2649" t="n"/>
      <c r="AC30" s="64" t="n"/>
      <c r="AD30" s="308" t="n"/>
      <c r="AE30" s="136" t="n"/>
      <c r="AF30" s="136" t="n"/>
      <c r="AG30" s="136" t="n"/>
      <c r="AH30" s="136" t="n"/>
      <c r="AI30" s="136" t="n"/>
      <c r="AJ30" s="136" t="n"/>
      <c r="AK30" s="136" t="n"/>
      <c r="AL30" s="64" t="n"/>
      <c r="AM30" s="64" t="n"/>
      <c r="AN30" s="64" t="n"/>
    </row>
    <row r="31" ht="30.75" customHeight="1">
      <c r="C31" s="890" t="inlineStr">
        <is>
          <t>ভাড়াকৃত</t>
        </is>
      </c>
      <c r="D31" s="2614" t="n"/>
      <c r="E31" s="2614" t="n"/>
      <c r="F31" s="2614" t="n"/>
      <c r="G31" s="2617" t="n"/>
      <c r="H31" s="892" t="n">
        <v>260</v>
      </c>
      <c r="I31" s="2614" t="n"/>
      <c r="J31" s="2614" t="n"/>
      <c r="K31" s="2617" t="n"/>
      <c r="L31" s="892">
        <f>H31*10</f>
        <v/>
      </c>
      <c r="M31" s="2614" t="n"/>
      <c r="N31" s="2614" t="n"/>
      <c r="O31" s="2614" t="n"/>
      <c r="P31" s="2617" t="n"/>
      <c r="Q31" s="892">
        <f>L31*80%</f>
        <v/>
      </c>
      <c r="R31" s="2614" t="n"/>
      <c r="S31" s="2614" t="n"/>
      <c r="T31" s="2614" t="n"/>
      <c r="U31" s="2617" t="n"/>
      <c r="V31" s="896" t="n"/>
      <c r="W31" s="2614" t="n"/>
      <c r="X31" s="2614" t="n"/>
      <c r="Y31" s="2617" t="n"/>
      <c r="Z31" s="898" t="n"/>
      <c r="AA31" s="2614" t="n"/>
      <c r="AB31" s="2617" t="n"/>
      <c r="AC31" s="64" t="n"/>
      <c r="AD31" s="308" t="n"/>
      <c r="AE31" s="136" t="n"/>
      <c r="AF31" s="136" t="n"/>
      <c r="AG31" s="136" t="n"/>
      <c r="AH31" s="136" t="n"/>
      <c r="AI31" s="136" t="n"/>
      <c r="AJ31" s="136" t="n"/>
      <c r="AK31" s="136" t="n"/>
      <c r="AL31" s="64" t="n"/>
      <c r="AM31" s="64" t="n"/>
      <c r="AN31" s="64" t="n"/>
    </row>
    <row r="32" ht="8.25" customHeight="1">
      <c r="A32" s="63" t="n"/>
      <c r="B32" s="64" t="n"/>
      <c r="C32" s="308" t="n"/>
      <c r="D32" s="64" t="n"/>
      <c r="E32" s="64" t="n"/>
      <c r="F32" s="64" t="n"/>
      <c r="G32" s="308" t="n"/>
      <c r="H32" s="136" t="n"/>
      <c r="I32" s="307" t="n"/>
      <c r="J32" s="308" t="n"/>
      <c r="K32" s="308" t="n"/>
      <c r="L32" s="308" t="n"/>
      <c r="M32" s="308" t="n"/>
      <c r="N32" s="136" t="n"/>
      <c r="O32" s="308" t="n"/>
      <c r="P32" s="308" t="n"/>
      <c r="Q32" s="136" t="n"/>
      <c r="R32" s="136" t="n"/>
      <c r="S32" s="308" t="n"/>
      <c r="T32" s="64" t="n"/>
      <c r="U32" s="308" t="n"/>
      <c r="V32" s="64" t="n"/>
      <c r="W32" s="308" t="n"/>
      <c r="X32" s="308" t="n"/>
      <c r="Y32" s="308" t="n"/>
      <c r="Z32" s="308" t="n"/>
      <c r="AA32" s="1204" t="n"/>
      <c r="AB32" s="64" t="n"/>
      <c r="AC32" s="64" t="n"/>
      <c r="AD32" s="308" t="n"/>
      <c r="AE32" s="136" t="n"/>
      <c r="AF32" s="136" t="n"/>
      <c r="AG32" s="136" t="n"/>
      <c r="AH32" s="136" t="n"/>
      <c r="AI32" s="136" t="n"/>
      <c r="AJ32" s="136" t="n"/>
      <c r="AK32" s="136" t="n"/>
      <c r="AL32" s="64" t="n"/>
      <c r="AM32" s="64" t="n"/>
      <c r="AN32" s="64" t="n"/>
    </row>
    <row r="33" ht="17.25" customHeight="1">
      <c r="A33" s="793" t="inlineStr">
        <is>
          <t>2|</t>
        </is>
      </c>
      <c r="B33" s="794" t="inlineStr">
        <is>
          <t>D‡`¨v³v/ D‡`¨v³vM‡bi cwiwPwZ t</t>
        </is>
      </c>
      <c r="Q33" s="899" t="inlineStr">
        <is>
          <t xml:space="preserve">(Askx`vixMb I †Kv¤úvwbi cwiPvjKe„›`mn) </t>
        </is>
      </c>
      <c r="AC33" s="64" t="n"/>
      <c r="AD33" s="308" t="n"/>
      <c r="AE33" s="136" t="n"/>
      <c r="AF33" s="136" t="n"/>
      <c r="AG33" s="136" t="n"/>
      <c r="AH33" s="136" t="n"/>
      <c r="AI33" s="136" t="n"/>
      <c r="AJ33" s="136" t="n"/>
      <c r="AK33" s="136" t="n"/>
      <c r="AL33" s="64" t="n"/>
      <c r="AM33" s="64" t="n"/>
      <c r="AN33" s="64" t="n"/>
    </row>
    <row r="34" ht="18.75" customHeight="1">
      <c r="B34" s="799" t="inlineStr">
        <is>
          <t>(K)</t>
        </is>
      </c>
      <c r="C34" s="902" t="inlineStr">
        <is>
          <t>µt</t>
        </is>
      </c>
      <c r="D34" s="903" t="inlineStr">
        <is>
          <t>bvg I wcZv/¯^vgxi bvg</t>
        </is>
      </c>
      <c r="E34" s="2624" t="n"/>
      <c r="F34" s="2624" t="n"/>
      <c r="G34" s="2624" t="n"/>
      <c r="H34" s="2624" t="n"/>
      <c r="I34" s="2624" t="n"/>
      <c r="J34" s="2642" t="n"/>
      <c r="K34" s="1111" t="inlineStr">
        <is>
          <t>eqm_x000D_ (eQi)</t>
        </is>
      </c>
      <c r="L34" s="2642" t="n"/>
      <c r="M34" s="1011" t="inlineStr">
        <is>
          <t>wVKvbv</t>
        </is>
      </c>
      <c r="N34" s="2624" t="n"/>
      <c r="O34" s="2624" t="n"/>
      <c r="P34" s="2624" t="n"/>
      <c r="Q34" s="2624" t="n"/>
      <c r="R34" s="2624" t="n"/>
      <c r="S34" s="2624" t="n"/>
      <c r="T34" s="2642" t="n"/>
      <c r="U34" s="1007" t="inlineStr">
        <is>
          <t>wk¶vMZ †hvM¨Zv</t>
        </is>
      </c>
      <c r="V34" s="2642" t="n"/>
      <c r="W34" s="1007" t="inlineStr">
        <is>
          <t>‡kqvi msL¨v I nvi/ gvwjKvbvi Ask</t>
        </is>
      </c>
      <c r="X34" s="2624" t="n"/>
      <c r="Y34" s="2624" t="n"/>
      <c r="Z34" s="2642" t="n"/>
      <c r="AA34" s="2731" t="inlineStr">
        <is>
          <t xml:space="preserve">c`ex / </t>
        </is>
      </c>
      <c r="AB34" s="2642" t="n"/>
      <c r="AC34" s="64" t="n"/>
      <c r="AD34" s="308" t="n"/>
      <c r="AE34" s="136" t="n"/>
      <c r="AF34" s="136" t="n"/>
      <c r="AG34" s="136" t="n"/>
      <c r="AH34" s="136" t="n"/>
      <c r="AI34" s="136" t="n"/>
      <c r="AJ34" s="136" t="n"/>
      <c r="AK34" s="136" t="n"/>
      <c r="AL34" s="64" t="n"/>
      <c r="AM34" s="64" t="n"/>
      <c r="AN34" s="64" t="n"/>
    </row>
    <row r="35" ht="18.75" customHeight="1">
      <c r="C35" s="914" t="inlineStr">
        <is>
          <t>bs</t>
        </is>
      </c>
      <c r="D35" s="2648" t="n"/>
      <c r="E35" s="2613" t="n"/>
      <c r="F35" s="2613" t="n"/>
      <c r="G35" s="2613" t="n"/>
      <c r="H35" s="2613" t="n"/>
      <c r="I35" s="2613" t="n"/>
      <c r="J35" s="2649" t="n"/>
      <c r="K35" s="2648" t="n"/>
      <c r="L35" s="2649" t="n"/>
      <c r="M35" s="2648" t="n"/>
      <c r="N35" s="2613" t="n"/>
      <c r="O35" s="2613" t="n"/>
      <c r="P35" s="2613" t="n"/>
      <c r="Q35" s="2613" t="n"/>
      <c r="R35" s="2613" t="n"/>
      <c r="S35" s="2613" t="n"/>
      <c r="T35" s="2649" t="n"/>
      <c r="U35" s="2648" t="n"/>
      <c r="V35" s="2649" t="n"/>
      <c r="W35" s="2648" t="n"/>
      <c r="X35" s="2613" t="n"/>
      <c r="Y35" s="2613" t="n"/>
      <c r="Z35" s="2649" t="n"/>
      <c r="AA35" s="1051" t="inlineStr">
        <is>
          <t>gh©v`v</t>
        </is>
      </c>
      <c r="AB35" s="2649" t="n"/>
      <c r="AC35" s="64" t="n"/>
      <c r="AD35" s="308" t="n"/>
      <c r="AE35" s="136" t="n"/>
      <c r="AF35" s="136" t="n"/>
      <c r="AG35" s="136" t="n"/>
      <c r="AH35" s="136" t="n"/>
      <c r="AI35" s="136" t="n"/>
      <c r="AJ35" s="136" t="n"/>
      <c r="AK35" s="136" t="n"/>
      <c r="AL35" s="64" t="n"/>
      <c r="AM35" s="64" t="n"/>
      <c r="AN35" s="64" t="n"/>
    </row>
    <row r="36" ht="30.75" customFormat="1" customHeight="1" s="18">
      <c r="C36" s="922" t="n">
        <v>1</v>
      </c>
      <c r="D36" s="2732">
        <f>+'Data Input'!D12</f>
        <v/>
      </c>
      <c r="E36" s="2624" t="n"/>
      <c r="F36" s="2624" t="n"/>
      <c r="G36" s="2624" t="n"/>
      <c r="H36" s="2624" t="n"/>
      <c r="I36" s="2624" t="n"/>
      <c r="J36" s="2642" t="n"/>
      <c r="K36" s="928">
        <f>Profile!E46</f>
        <v/>
      </c>
      <c r="L36" s="2709" t="n"/>
      <c r="M36" s="2733">
        <f>+'Data Input'!D17</f>
        <v/>
      </c>
      <c r="N36" s="2624" t="n"/>
      <c r="O36" s="2624" t="n"/>
      <c r="P36" s="2624" t="n"/>
      <c r="Q36" s="2624" t="n"/>
      <c r="R36" s="2624" t="n"/>
      <c r="S36" s="2624" t="n"/>
      <c r="T36" s="2642" t="n"/>
      <c r="U36" s="932" t="inlineStr">
        <is>
          <t>GBP Gm wm</t>
        </is>
      </c>
      <c r="V36" s="2709" t="n"/>
      <c r="W36" s="934" t="n">
        <v>100</v>
      </c>
      <c r="X36" s="2624" t="n"/>
      <c r="Y36" s="2624" t="n"/>
      <c r="Z36" s="2709" t="n"/>
      <c r="AA36" s="937" t="inlineStr">
        <is>
          <t>gvwjK</t>
        </is>
      </c>
      <c r="AB36" s="2709" t="n"/>
      <c r="AC36" s="103" t="n"/>
      <c r="AD36" s="555" t="n"/>
      <c r="AE36" s="225" t="n"/>
      <c r="AF36" s="225" t="n"/>
      <c r="AG36" s="225" t="n"/>
      <c r="AH36" s="225" t="n"/>
      <c r="AI36" s="225" t="n"/>
      <c r="AJ36" s="225" t="n"/>
      <c r="AK36" s="225" t="n"/>
      <c r="AL36" s="103" t="n"/>
      <c r="AM36" s="103" t="n"/>
      <c r="AN36" s="103" t="n"/>
    </row>
    <row r="37" ht="38.25" customFormat="1" customHeight="1" s="18">
      <c r="C37" s="2618" t="n"/>
      <c r="D37" s="2734">
        <f>"wcZv/¯^vgxi bvg t "&amp;" "&amp;'Data Input'!D13</f>
        <v/>
      </c>
      <c r="J37" s="2641" t="n"/>
      <c r="K37" s="2710" t="n"/>
      <c r="L37" s="2623" t="n"/>
      <c r="M37" s="2647" t="n"/>
      <c r="T37" s="2641" t="n"/>
      <c r="U37" s="2710" t="n"/>
      <c r="V37" s="2623" t="n"/>
      <c r="W37" s="2710" t="n"/>
      <c r="X37" s="2622" t="n"/>
      <c r="Y37" s="2622" t="n"/>
      <c r="Z37" s="2623" t="n"/>
      <c r="AA37" s="2710" t="n"/>
      <c r="AB37" s="2623" t="n"/>
      <c r="AC37" s="103" t="n"/>
      <c r="AD37" s="555" t="n"/>
      <c r="AE37" s="225" t="n"/>
      <c r="AF37" s="225" t="n"/>
      <c r="AG37" s="225" t="n"/>
      <c r="AH37" s="225" t="n"/>
      <c r="AI37" s="225" t="n"/>
      <c r="AJ37" s="225" t="n"/>
      <c r="AK37" s="225" t="n"/>
      <c r="AL37" s="103" t="n"/>
      <c r="AM37" s="103" t="n"/>
      <c r="AN37" s="103" t="n"/>
    </row>
    <row r="38" ht="19.5" customFormat="1" customHeight="1" s="18">
      <c r="C38" s="955" t="n"/>
      <c r="D38" s="833" t="n"/>
      <c r="E38" s="2624" t="n"/>
      <c r="F38" s="2624" t="n"/>
      <c r="G38" s="2624" t="n"/>
      <c r="H38" s="2624" t="n"/>
      <c r="I38" s="2624" t="n"/>
      <c r="J38" s="2624" t="n"/>
      <c r="K38" s="958" t="n"/>
      <c r="L38" s="2709" t="n"/>
      <c r="M38" s="960" t="n"/>
      <c r="N38" s="2624" t="n"/>
      <c r="O38" s="2624" t="n"/>
      <c r="P38" s="2624" t="n"/>
      <c r="Q38" s="2624" t="n"/>
      <c r="R38" s="2624" t="n"/>
      <c r="S38" s="2624" t="n"/>
      <c r="T38" s="2624" t="n"/>
      <c r="U38" s="961" t="n"/>
      <c r="V38" s="2709" t="n"/>
      <c r="W38" s="963" t="n"/>
      <c r="X38" s="2624" t="n"/>
      <c r="Y38" s="2624" t="n"/>
      <c r="Z38" s="2709" t="n"/>
      <c r="AA38" s="965" t="n"/>
      <c r="AB38" s="2709" t="n"/>
      <c r="AC38" s="103" t="n"/>
      <c r="AD38" s="555" t="n"/>
      <c r="AE38" s="225" t="n"/>
      <c r="AF38" s="225" t="n"/>
      <c r="AG38" s="225" t="n"/>
      <c r="AH38" s="225" t="n"/>
      <c r="AI38" s="225" t="n"/>
      <c r="AJ38" s="225" t="n"/>
      <c r="AK38" s="225" t="n"/>
      <c r="AL38" s="103" t="n"/>
      <c r="AM38" s="103" t="n"/>
      <c r="AN38" s="103" t="n"/>
    </row>
    <row r="39" ht="25.5" customFormat="1" customHeight="1" s="18">
      <c r="D39" s="535" t="n"/>
      <c r="K39" s="2621" t="n"/>
      <c r="L39" s="2623" t="n"/>
      <c r="U39" s="2621" t="n"/>
      <c r="V39" s="2623" t="n"/>
      <c r="W39" s="2621" t="n"/>
      <c r="X39" s="2622" t="n"/>
      <c r="Y39" s="2622" t="n"/>
      <c r="Z39" s="2623" t="n"/>
      <c r="AA39" s="2621" t="n"/>
      <c r="AB39" s="2623" t="n"/>
      <c r="AC39" s="103" t="n"/>
      <c r="AD39" s="555" t="n"/>
      <c r="AE39" s="225" t="n"/>
      <c r="AF39" s="225" t="n"/>
      <c r="AG39" s="225" t="n"/>
      <c r="AH39" s="225" t="n"/>
      <c r="AI39" s="225" t="n"/>
      <c r="AJ39" s="225" t="n"/>
      <c r="AK39" s="225" t="n"/>
      <c r="AL39" s="103" t="n"/>
      <c r="AM39" s="103" t="n"/>
      <c r="AN39" s="103" t="n"/>
    </row>
    <row r="40" ht="6.75" customHeight="1">
      <c r="B40" s="784" t="n"/>
      <c r="C40" s="855" t="n"/>
      <c r="D40" s="784" t="n"/>
      <c r="E40" s="784" t="n"/>
      <c r="F40" s="784" t="n"/>
      <c r="G40" s="855" t="n"/>
      <c r="H40" s="783" t="n"/>
      <c r="I40" s="856" t="n"/>
      <c r="J40" s="855" t="n"/>
      <c r="K40" s="855" t="n"/>
      <c r="L40" s="855" t="n"/>
      <c r="M40" s="855" t="n"/>
      <c r="N40" s="783" t="n"/>
      <c r="O40" s="855" t="n"/>
      <c r="P40" s="855" t="n"/>
      <c r="Q40" s="783" t="n"/>
      <c r="R40" s="783" t="n"/>
      <c r="S40" s="855" t="n"/>
      <c r="T40" s="784" t="n"/>
      <c r="U40" s="855" t="n"/>
      <c r="V40" s="784" t="n"/>
      <c r="W40" s="855" t="n"/>
      <c r="X40" s="855" t="n"/>
      <c r="Y40" s="855" t="n"/>
      <c r="Z40" s="855" t="n"/>
      <c r="AA40" s="857" t="n"/>
      <c r="AB40" s="784" t="n"/>
      <c r="AC40" s="784" t="n"/>
      <c r="AD40" s="855" t="n"/>
      <c r="AE40" s="783" t="n"/>
      <c r="AF40" s="783" t="n"/>
      <c r="AG40" s="783" t="n"/>
      <c r="AH40" s="783" t="n"/>
      <c r="AI40" s="136" t="n"/>
      <c r="AJ40" s="136" t="n"/>
      <c r="AK40" s="136" t="n"/>
      <c r="AL40" s="64" t="n"/>
      <c r="AM40" s="64" t="n"/>
      <c r="AN40" s="64" t="n"/>
    </row>
    <row r="41" ht="17.25" customHeight="1">
      <c r="B41" s="799" t="inlineStr">
        <is>
          <t>(L)</t>
        </is>
      </c>
      <c r="C41" s="976" t="inlineStr">
        <is>
          <t>D‡`¨v³v/D‡`¨v³M‡bi AwfÁZvi weeiY</t>
        </is>
      </c>
      <c r="Q41" s="977" t="inlineStr">
        <is>
          <t>t</t>
        </is>
      </c>
      <c r="R41" s="978">
        <f>"D‡`¨v³Zvi "&amp;AF41&amp;" eQ‡ii "&amp;'Data Input'!D10&amp;" Gi AwfÁZv we`¨gvb|"</f>
        <v/>
      </c>
      <c r="AC41" s="64" t="n"/>
      <c r="AD41" s="2735" t="inlineStr">
        <is>
          <t>AwfÁZv KZ eQ‡ii?</t>
        </is>
      </c>
      <c r="AE41" s="2641" t="n"/>
      <c r="AF41" s="981" t="n">
        <v>6</v>
      </c>
      <c r="AG41" s="136" t="n"/>
      <c r="AH41" s="982" t="inlineStr">
        <is>
          <t>শাখা ব্যবস্থাপক</t>
        </is>
      </c>
      <c r="AI41" s="136" t="n"/>
      <c r="AJ41" s="136" t="n"/>
      <c r="AK41" s="136" t="n"/>
      <c r="AL41" s="64" t="n"/>
      <c r="AM41" s="64" t="n"/>
      <c r="AN41" s="64" t="n"/>
    </row>
    <row r="42" ht="17.25" customHeight="1">
      <c r="AC42" s="64" t="n"/>
      <c r="AD42" s="308" t="n"/>
      <c r="AE42" s="136" t="n"/>
      <c r="AF42" s="136" t="n"/>
      <c r="AG42" s="136" t="n"/>
      <c r="AH42" s="982" t="inlineStr">
        <is>
          <t>মূখ্য আঃ ব্যবস্থাপক্ষ</t>
        </is>
      </c>
      <c r="AI42" s="136" t="n"/>
      <c r="AJ42" s="136" t="n"/>
      <c r="AK42" s="136" t="n"/>
      <c r="AL42" s="64" t="n"/>
      <c r="AM42" s="64" t="n"/>
      <c r="AN42" s="64" t="n"/>
    </row>
    <row r="43" ht="8.25" customHeight="1">
      <c r="A43" s="63" t="n"/>
      <c r="B43" s="64" t="n"/>
      <c r="C43" s="308" t="n"/>
      <c r="D43" s="64" t="n"/>
      <c r="E43" s="64" t="n"/>
      <c r="F43" s="64" t="n"/>
      <c r="G43" s="308" t="n"/>
      <c r="H43" s="136" t="n"/>
      <c r="I43" s="307" t="n"/>
      <c r="J43" s="308" t="n"/>
      <c r="K43" s="308" t="n"/>
      <c r="L43" s="308" t="n"/>
      <c r="M43" s="308" t="n"/>
      <c r="N43" s="136" t="n"/>
      <c r="O43" s="308" t="n"/>
      <c r="P43" s="308" t="n"/>
      <c r="Q43" s="136" t="n"/>
      <c r="R43" s="136" t="n"/>
      <c r="S43" s="308" t="n"/>
      <c r="T43" s="64" t="n"/>
      <c r="U43" s="308" t="n"/>
      <c r="V43" s="64" t="n"/>
      <c r="W43" s="308" t="n"/>
      <c r="X43" s="308" t="n"/>
      <c r="Y43" s="308" t="n"/>
      <c r="Z43" s="308" t="n"/>
      <c r="AA43" s="1204" t="n"/>
      <c r="AB43" s="64" t="n"/>
      <c r="AC43" s="64" t="n"/>
      <c r="AD43" s="308" t="n"/>
      <c r="AE43" s="136" t="n"/>
      <c r="AF43" s="136" t="n"/>
      <c r="AG43" s="136" t="n"/>
      <c r="AH43" s="783" t="inlineStr">
        <is>
          <t>মহাব্যবস্থাপক</t>
        </is>
      </c>
      <c r="AI43" s="136" t="n"/>
      <c r="AJ43" s="136" t="n"/>
      <c r="AK43" s="136" t="n"/>
      <c r="AL43" s="64" t="n"/>
      <c r="AM43" s="64" t="n"/>
      <c r="AN43" s="64" t="n"/>
    </row>
    <row r="44" ht="8.25" customHeight="1">
      <c r="A44" s="63" t="n"/>
      <c r="B44" s="64" t="n"/>
      <c r="C44" s="308" t="n"/>
      <c r="D44" s="64" t="n"/>
      <c r="E44" s="64" t="n"/>
      <c r="F44" s="64" t="n"/>
      <c r="G44" s="308" t="n"/>
      <c r="H44" s="136" t="n"/>
      <c r="I44" s="307" t="n"/>
      <c r="J44" s="308" t="n"/>
      <c r="K44" s="308" t="n"/>
      <c r="L44" s="308" t="n"/>
      <c r="M44" s="308" t="n"/>
      <c r="N44" s="136" t="n"/>
      <c r="O44" s="308" t="n"/>
      <c r="P44" s="308" t="n"/>
      <c r="Q44" s="136" t="n"/>
      <c r="R44" s="136" t="n"/>
      <c r="S44" s="308" t="n"/>
      <c r="T44" s="64" t="n"/>
      <c r="U44" s="308" t="n"/>
      <c r="V44" s="64" t="n"/>
      <c r="W44" s="308" t="n"/>
      <c r="X44" s="308" t="n"/>
      <c r="Y44" s="308" t="n"/>
      <c r="Z44" s="308" t="n"/>
      <c r="AA44" s="1204" t="n"/>
      <c r="AB44" s="64" t="n"/>
      <c r="AC44" s="64" t="n"/>
      <c r="AD44" s="308" t="n"/>
      <c r="AE44" s="136" t="n"/>
      <c r="AF44" s="136" t="n"/>
      <c r="AG44" s="136" t="n"/>
      <c r="AH44" s="783" t="n"/>
      <c r="AI44" s="136" t="n"/>
      <c r="AJ44" s="136" t="n"/>
      <c r="AK44" s="136" t="n"/>
      <c r="AL44" s="64" t="n"/>
      <c r="AM44" s="64" t="n"/>
      <c r="AN44" s="64" t="n"/>
    </row>
    <row r="45" ht="8.25" customHeight="1">
      <c r="A45" s="63" t="n"/>
      <c r="B45" s="64" t="n"/>
      <c r="C45" s="308" t="n"/>
      <c r="D45" s="64" t="n"/>
      <c r="E45" s="64" t="n"/>
      <c r="F45" s="64" t="n"/>
      <c r="G45" s="308" t="n"/>
      <c r="H45" s="136" t="n"/>
      <c r="I45" s="307" t="n"/>
      <c r="J45" s="308" t="n"/>
      <c r="K45" s="308" t="n"/>
      <c r="L45" s="308" t="n"/>
      <c r="M45" s="308" t="n"/>
      <c r="N45" s="136" t="n"/>
      <c r="O45" s="308" t="n"/>
      <c r="P45" s="308" t="n"/>
      <c r="Q45" s="136" t="n"/>
      <c r="R45" s="136" t="n"/>
      <c r="S45" s="308" t="n"/>
      <c r="T45" s="64" t="n"/>
      <c r="U45" s="308" t="n"/>
      <c r="V45" s="64" t="n"/>
      <c r="W45" s="308" t="n"/>
      <c r="X45" s="308" t="n"/>
      <c r="Y45" s="308" t="n"/>
      <c r="Z45" s="308" t="n"/>
      <c r="AA45" s="1204" t="n"/>
      <c r="AB45" s="64" t="n"/>
      <c r="AC45" s="64" t="n"/>
      <c r="AD45" s="308" t="n"/>
      <c r="AE45" s="136" t="n"/>
      <c r="AF45" s="136" t="n"/>
      <c r="AG45" s="136" t="n"/>
      <c r="AH45" s="783" t="n"/>
      <c r="AI45" s="136" t="n"/>
      <c r="AJ45" s="136" t="n"/>
      <c r="AK45" s="136" t="n"/>
      <c r="AL45" s="64" t="n"/>
      <c r="AM45" s="64" t="n"/>
      <c r="AN45" s="64" t="n"/>
    </row>
    <row r="46" ht="8.25" customHeight="1">
      <c r="A46" s="63" t="n"/>
      <c r="B46" s="64" t="n"/>
      <c r="C46" s="308" t="n"/>
      <c r="D46" s="64" t="n"/>
      <c r="E46" s="64" t="n"/>
      <c r="F46" s="64" t="n"/>
      <c r="G46" s="308" t="n"/>
      <c r="H46" s="136" t="n"/>
      <c r="I46" s="307" t="n"/>
      <c r="J46" s="308" t="n"/>
      <c r="K46" s="308" t="n"/>
      <c r="L46" s="308" t="n"/>
      <c r="M46" s="308" t="n"/>
      <c r="N46" s="136" t="n"/>
      <c r="O46" s="308" t="n"/>
      <c r="P46" s="308" t="n"/>
      <c r="Q46" s="136" t="n"/>
      <c r="R46" s="136" t="n"/>
      <c r="S46" s="308" t="n"/>
      <c r="T46" s="64" t="n"/>
      <c r="U46" s="308" t="n"/>
      <c r="V46" s="64" t="n"/>
      <c r="W46" s="308" t="n"/>
      <c r="X46" s="308" t="n"/>
      <c r="Y46" s="308" t="n"/>
      <c r="Z46" s="308" t="n"/>
      <c r="AA46" s="1204" t="n"/>
      <c r="AB46" s="64" t="n"/>
      <c r="AC46" s="64" t="n"/>
      <c r="AD46" s="308" t="n"/>
      <c r="AE46" s="136" t="n"/>
      <c r="AF46" s="136" t="n"/>
      <c r="AG46" s="136" t="n"/>
      <c r="AH46" s="783" t="n"/>
      <c r="AI46" s="136" t="n"/>
      <c r="AJ46" s="136" t="n"/>
      <c r="AK46" s="136" t="n"/>
      <c r="AL46" s="64" t="n"/>
      <c r="AM46" s="64" t="n"/>
      <c r="AN46" s="64" t="n"/>
    </row>
    <row r="47" ht="8.25" customHeight="1">
      <c r="A47" s="63" t="n"/>
      <c r="B47" s="64" t="n"/>
      <c r="C47" s="308" t="n"/>
      <c r="D47" s="64" t="n"/>
      <c r="E47" s="64" t="n"/>
      <c r="F47" s="64" t="n"/>
      <c r="G47" s="308" t="n"/>
      <c r="H47" s="136" t="n"/>
      <c r="I47" s="307" t="n"/>
      <c r="J47" s="308" t="n"/>
      <c r="K47" s="308" t="n"/>
      <c r="L47" s="308" t="n"/>
      <c r="M47" s="308" t="n"/>
      <c r="N47" s="136" t="n"/>
      <c r="O47" s="308" t="n"/>
      <c r="P47" s="308" t="n"/>
      <c r="Q47" s="136" t="n"/>
      <c r="R47" s="136" t="n"/>
      <c r="S47" s="308" t="n"/>
      <c r="T47" s="64" t="n"/>
      <c r="U47" s="308" t="n"/>
      <c r="V47" s="64" t="n"/>
      <c r="W47" s="308" t="n"/>
      <c r="X47" s="308" t="n"/>
      <c r="Y47" s="308" t="n"/>
      <c r="Z47" s="308" t="n"/>
      <c r="AA47" s="1204" t="n"/>
      <c r="AB47" s="64" t="n"/>
      <c r="AC47" s="64" t="n"/>
      <c r="AD47" s="308" t="n"/>
      <c r="AE47" s="136" t="n"/>
      <c r="AF47" s="136" t="n"/>
      <c r="AG47" s="136" t="n"/>
      <c r="AH47" s="783" t="n"/>
      <c r="AI47" s="136" t="n"/>
      <c r="AJ47" s="136" t="n"/>
      <c r="AK47" s="136" t="n"/>
      <c r="AL47" s="64" t="n"/>
      <c r="AM47" s="64" t="n"/>
      <c r="AN47" s="64" t="n"/>
    </row>
    <row r="48" ht="8.25" customHeight="1">
      <c r="A48" s="63" t="n"/>
      <c r="B48" s="64" t="n"/>
      <c r="C48" s="308" t="n"/>
      <c r="D48" s="64" t="n"/>
      <c r="E48" s="64" t="n"/>
      <c r="F48" s="64" t="n"/>
      <c r="G48" s="308" t="n"/>
      <c r="H48" s="136" t="n"/>
      <c r="I48" s="307" t="n"/>
      <c r="J48" s="308" t="n"/>
      <c r="K48" s="308" t="n"/>
      <c r="L48" s="308" t="n"/>
      <c r="M48" s="308" t="n"/>
      <c r="N48" s="136" t="n"/>
      <c r="O48" s="308" t="n"/>
      <c r="P48" s="308" t="n"/>
      <c r="Q48" s="136" t="n"/>
      <c r="R48" s="136" t="n"/>
      <c r="S48" s="308" t="n"/>
      <c r="T48" s="64" t="n"/>
      <c r="U48" s="308" t="n"/>
      <c r="V48" s="64" t="n"/>
      <c r="W48" s="308" t="n"/>
      <c r="X48" s="308" t="n"/>
      <c r="Y48" s="308" t="n"/>
      <c r="Z48" s="308" t="n"/>
      <c r="AA48" s="1204" t="n"/>
      <c r="AB48" s="64" t="n"/>
      <c r="AC48" s="64" t="n"/>
      <c r="AD48" s="308" t="n"/>
      <c r="AE48" s="136" t="n"/>
      <c r="AF48" s="136" t="n"/>
      <c r="AG48" s="136" t="n"/>
      <c r="AH48" s="783" t="n"/>
      <c r="AI48" s="136" t="n"/>
      <c r="AJ48" s="136" t="n"/>
      <c r="AK48" s="136" t="n"/>
      <c r="AL48" s="64" t="n"/>
      <c r="AM48" s="64" t="n"/>
      <c r="AN48" s="64" t="n"/>
    </row>
    <row r="49" ht="17.25" customHeight="1">
      <c r="A49" s="793" t="inlineStr">
        <is>
          <t>3|</t>
        </is>
      </c>
      <c r="B49" s="794" t="inlineStr">
        <is>
          <t>mswkøó cÖwZôv‡bi cye©eZx I eZ©gvb cvidi‡gÝ</t>
        </is>
      </c>
      <c r="AC49" s="64" t="n"/>
      <c r="AD49" s="308" t="n"/>
      <c r="AE49" s="136" t="n"/>
      <c r="AF49" s="136" t="n"/>
      <c r="AG49" s="136" t="n"/>
      <c r="AH49" s="982" t="n"/>
      <c r="AI49" s="136" t="n"/>
      <c r="AJ49" s="136" t="n"/>
      <c r="AK49" s="136" t="n"/>
      <c r="AL49" s="64" t="n"/>
      <c r="AM49" s="64" t="n"/>
      <c r="AN49" s="64" t="n"/>
    </row>
    <row r="50" ht="17.25" customHeight="1">
      <c r="B50" s="983" t="inlineStr">
        <is>
          <t>(K)</t>
        </is>
      </c>
      <c r="C50" s="297" t="inlineStr">
        <is>
          <t xml:space="preserve">cÖ_g gÄyixi ZvwiL </t>
        </is>
      </c>
      <c r="Q50" s="803" t="inlineStr">
        <is>
          <t>t</t>
        </is>
      </c>
      <c r="R50" s="807" t="inlineStr">
        <is>
          <t>cÖ‡hvR¨ bq</t>
        </is>
      </c>
      <c r="S50" s="2615" t="n"/>
      <c r="T50" s="2615" t="n"/>
      <c r="U50" s="2615" t="n"/>
      <c r="V50" s="2615" t="n"/>
      <c r="W50" s="2615" t="n"/>
      <c r="X50" s="2615" t="n"/>
      <c r="Y50" s="2615" t="n"/>
      <c r="Z50" s="2615" t="n"/>
      <c r="AA50" s="2615" t="n"/>
      <c r="AB50" s="2616" t="n"/>
      <c r="AC50" s="64" t="n"/>
      <c r="AD50" s="308" t="n"/>
      <c r="AE50" s="136" t="n"/>
      <c r="AF50" s="136" t="n"/>
      <c r="AG50" s="136" t="n"/>
      <c r="AH50" s="982" t="n"/>
      <c r="AI50" s="136" t="n"/>
      <c r="AJ50" s="136" t="n"/>
      <c r="AK50" s="136" t="n"/>
      <c r="AL50" s="64" t="n"/>
      <c r="AM50" s="64" t="n"/>
      <c r="AN50" s="64" t="n"/>
    </row>
    <row r="51" ht="17.25" customHeight="1">
      <c r="B51" s="799" t="inlineStr">
        <is>
          <t>(L)</t>
        </is>
      </c>
      <c r="C51" s="297" t="inlineStr">
        <is>
          <t>weMZ 3 (wZb) eQ‡ii †fvMK…Z Fb I FYMÖwnZvi wbKU n‡Z e¨vs‡Ki Avq t</t>
        </is>
      </c>
      <c r="Y51" s="817" t="inlineStr">
        <is>
          <t>(jÿ UvKvq)</t>
        </is>
      </c>
      <c r="AC51" s="64" t="n"/>
      <c r="AD51" s="308" t="n"/>
      <c r="AE51" s="136" t="n"/>
      <c r="AF51" s="136" t="n"/>
      <c r="AG51" s="136" t="n"/>
      <c r="AH51" s="982" t="n"/>
      <c r="AI51" s="136" t="n"/>
      <c r="AJ51" s="136" t="n"/>
      <c r="AK51" s="136" t="n"/>
      <c r="AL51" s="64" t="n"/>
      <c r="AM51" s="64" t="n"/>
      <c r="AN51" s="64" t="n"/>
    </row>
    <row r="52" ht="17.25" customHeight="1">
      <c r="C52" s="904" t="inlineStr">
        <is>
          <t>eQi</t>
        </is>
      </c>
      <c r="D52" s="2614" t="n"/>
      <c r="E52" s="2617" t="n"/>
      <c r="F52" s="286" t="inlineStr">
        <is>
          <t>cwigvb</t>
        </is>
      </c>
      <c r="G52" s="2614" t="n"/>
      <c r="H52" s="2614" t="n"/>
      <c r="I52" s="2617" t="n"/>
      <c r="J52" s="904" t="inlineStr">
        <is>
          <t>gÄyiKvix KZ©„cÿ</t>
        </is>
      </c>
      <c r="K52" s="2614" t="n"/>
      <c r="L52" s="2614" t="n"/>
      <c r="M52" s="2614" t="n"/>
      <c r="N52" s="2614" t="n"/>
      <c r="O52" s="2614" t="n"/>
      <c r="P52" s="2617" t="n"/>
      <c r="Q52" s="905" t="inlineStr">
        <is>
          <t>my` Avq</t>
        </is>
      </c>
      <c r="R52" s="2614" t="n"/>
      <c r="S52" s="2614" t="n"/>
      <c r="T52" s="2617" t="n"/>
      <c r="U52" s="904" t="inlineStr">
        <is>
          <t>Ab¨vb¨ Avq</t>
        </is>
      </c>
      <c r="V52" s="2614" t="n"/>
      <c r="W52" s="2614" t="n"/>
      <c r="X52" s="2617" t="n"/>
      <c r="Y52" s="904" t="inlineStr">
        <is>
          <t>‡gvU Avq</t>
        </is>
      </c>
      <c r="Z52" s="2614" t="n"/>
      <c r="AA52" s="2614" t="n"/>
      <c r="AB52" s="2617" t="n"/>
      <c r="AC52" s="64" t="n"/>
      <c r="AD52" s="308" t="n"/>
      <c r="AE52" s="136" t="n"/>
      <c r="AF52" s="136" t="n"/>
      <c r="AG52" s="136" t="n"/>
      <c r="AH52" s="136" t="n"/>
      <c r="AI52" s="136" t="n"/>
      <c r="AJ52" s="136" t="n"/>
      <c r="AK52" s="136" t="n"/>
      <c r="AL52" s="64" t="n"/>
      <c r="AM52" s="64" t="n"/>
      <c r="AN52" s="64" t="n"/>
    </row>
    <row r="53" ht="17.25" customHeight="1">
      <c r="C53" s="985" t="n"/>
      <c r="D53" s="2614" t="n"/>
      <c r="E53" s="2658" t="n"/>
      <c r="F53" s="988" t="n"/>
      <c r="G53" s="2614" t="n"/>
      <c r="H53" s="2614" t="n"/>
      <c r="I53" s="2617" t="n"/>
      <c r="J53" s="989" t="n"/>
      <c r="K53" s="2614" t="n"/>
      <c r="L53" s="2614" t="n"/>
      <c r="M53" s="2614" t="n"/>
      <c r="N53" s="2614" t="n"/>
      <c r="O53" s="2614" t="n"/>
      <c r="P53" s="2617" t="n"/>
      <c r="Q53" s="991" t="inlineStr">
        <is>
          <t>cÖ‡hvR¨ bq</t>
        </is>
      </c>
      <c r="R53" s="2614" t="n"/>
      <c r="S53" s="2614" t="n"/>
      <c r="T53" s="2617" t="n"/>
      <c r="U53" s="992" t="n"/>
      <c r="V53" s="2614" t="n"/>
      <c r="W53" s="2614" t="n"/>
      <c r="X53" s="2617" t="n"/>
      <c r="Y53" s="904">
        <f>SUM(Q53:X53)</f>
        <v/>
      </c>
      <c r="Z53" s="2614" t="n"/>
      <c r="AA53" s="2614" t="n"/>
      <c r="AB53" s="2617" t="n"/>
      <c r="AC53" s="64" t="n"/>
      <c r="AD53" s="308" t="n"/>
      <c r="AE53" s="136" t="n"/>
      <c r="AF53" s="136" t="n"/>
      <c r="AG53" s="136" t="n"/>
      <c r="AH53" s="136" t="n"/>
      <c r="AI53" s="136" t="n"/>
      <c r="AJ53" s="136" t="n"/>
      <c r="AK53" s="136" t="n"/>
      <c r="AL53" s="64" t="n"/>
      <c r="AM53" s="64" t="n"/>
      <c r="AN53" s="64" t="n"/>
    </row>
    <row r="54" ht="17.25" customHeight="1">
      <c r="C54" s="985" t="n"/>
      <c r="D54" s="2614" t="n"/>
      <c r="E54" s="2658" t="n"/>
      <c r="F54" s="992" t="n"/>
      <c r="G54" s="2614" t="n"/>
      <c r="H54" s="2614" t="n"/>
      <c r="I54" s="2617" t="n"/>
      <c r="J54" s="989" t="n"/>
      <c r="K54" s="2614" t="n"/>
      <c r="L54" s="2614" t="n"/>
      <c r="M54" s="2614" t="n"/>
      <c r="N54" s="2614" t="n"/>
      <c r="O54" s="2614" t="n"/>
      <c r="P54" s="2617" t="n"/>
      <c r="Q54" s="993" t="n"/>
      <c r="R54" s="2614" t="n"/>
      <c r="S54" s="2614" t="n"/>
      <c r="T54" s="2617" t="n"/>
      <c r="U54" s="993" t="n"/>
      <c r="V54" s="2614" t="n"/>
      <c r="W54" s="2614" t="n"/>
      <c r="X54" s="2617" t="n"/>
      <c r="Y54" s="904">
        <f>SUM(Q54:X54)</f>
        <v/>
      </c>
      <c r="Z54" s="2614" t="n"/>
      <c r="AA54" s="2614" t="n"/>
      <c r="AB54" s="2617" t="n"/>
      <c r="AC54" s="64" t="n"/>
      <c r="AD54" s="308" t="n"/>
      <c r="AE54" s="136" t="n"/>
      <c r="AF54" s="136" t="n"/>
      <c r="AG54" s="136" t="n"/>
      <c r="AH54" s="136" t="n"/>
      <c r="AI54" s="136" t="n"/>
      <c r="AJ54" s="136" t="n"/>
      <c r="AK54" s="136" t="n"/>
      <c r="AL54" s="64" t="n"/>
      <c r="AM54" s="64" t="n"/>
      <c r="AN54" s="64" t="n"/>
    </row>
    <row r="55" ht="17.25" customHeight="1">
      <c r="C55" s="985" t="n"/>
      <c r="D55" s="2614" t="n"/>
      <c r="E55" s="2658" t="n"/>
      <c r="F55" s="992" t="n"/>
      <c r="G55" s="2614" t="n"/>
      <c r="H55" s="2614" t="n"/>
      <c r="I55" s="2617" t="n"/>
      <c r="J55" s="989" t="n"/>
      <c r="K55" s="2614" t="n"/>
      <c r="L55" s="2614" t="n"/>
      <c r="M55" s="2614" t="n"/>
      <c r="N55" s="2614" t="n"/>
      <c r="O55" s="2614" t="n"/>
      <c r="P55" s="2617" t="n"/>
      <c r="Q55" s="993" t="n"/>
      <c r="R55" s="2614" t="n"/>
      <c r="S55" s="2614" t="n"/>
      <c r="T55" s="2617" t="n"/>
      <c r="U55" s="993" t="n"/>
      <c r="V55" s="2614" t="n"/>
      <c r="W55" s="2614" t="n"/>
      <c r="X55" s="2617" t="n"/>
      <c r="Y55" s="904" t="n"/>
      <c r="Z55" s="2614" t="n"/>
      <c r="AA55" s="2614" t="n"/>
      <c r="AB55" s="2617" t="n"/>
      <c r="AC55" s="64" t="n"/>
      <c r="AD55" s="308" t="n"/>
      <c r="AE55" s="136" t="n"/>
      <c r="AF55" s="136" t="n"/>
      <c r="AG55" s="136" t="n"/>
      <c r="AH55" s="136" t="n"/>
      <c r="AI55" s="136" t="n"/>
      <c r="AJ55" s="136" t="n"/>
      <c r="AK55" s="136" t="n"/>
      <c r="AL55" s="64" t="n"/>
      <c r="AM55" s="64" t="n"/>
      <c r="AN55" s="64" t="n"/>
    </row>
    <row r="56" ht="4.5" customHeight="1">
      <c r="B56" s="784" t="n"/>
      <c r="C56" s="855" t="n"/>
      <c r="D56" s="784" t="n"/>
      <c r="E56" s="784" t="n"/>
      <c r="F56" s="994" t="n"/>
      <c r="G56" s="994" t="n"/>
      <c r="H56" s="994" t="n"/>
      <c r="I56" s="994" t="n"/>
      <c r="J56" s="855" t="n"/>
      <c r="K56" s="855" t="n"/>
      <c r="L56" s="855" t="n"/>
      <c r="M56" s="855" t="n"/>
      <c r="N56" s="783" t="n"/>
      <c r="O56" s="855" t="n"/>
      <c r="P56" s="855" t="n"/>
      <c r="Q56" s="783" t="n"/>
      <c r="R56" s="783" t="n"/>
      <c r="S56" s="855" t="n"/>
      <c r="T56" s="784" t="n"/>
      <c r="U56" s="855" t="n"/>
      <c r="V56" s="784" t="n"/>
      <c r="W56" s="855" t="n"/>
      <c r="X56" s="855" t="n"/>
      <c r="Y56" s="855" t="n"/>
      <c r="Z56" s="855" t="n"/>
      <c r="AA56" s="857" t="n"/>
      <c r="AB56" s="784" t="n"/>
      <c r="AC56" s="784" t="n"/>
      <c r="AD56" s="855" t="n"/>
      <c r="AE56" s="783" t="n"/>
      <c r="AF56" s="783" t="n"/>
      <c r="AG56" s="783" t="n"/>
      <c r="AH56" s="783" t="n"/>
      <c r="AI56" s="136" t="n"/>
      <c r="AJ56" s="136" t="n"/>
      <c r="AK56" s="136" t="n"/>
      <c r="AL56" s="64" t="n"/>
      <c r="AM56" s="64" t="n"/>
      <c r="AN56" s="64" t="n"/>
    </row>
    <row r="57" ht="17.25" customHeight="1">
      <c r="B57" s="799" t="inlineStr">
        <is>
          <t>(M)</t>
        </is>
      </c>
      <c r="C57" s="995" t="inlineStr">
        <is>
          <t>weMZ 3 (wZb) eQ‡ii e¨emvwqK cvidi‡gÝ t</t>
        </is>
      </c>
      <c r="Z57" s="293" t="inlineStr">
        <is>
          <t>(jÿ UvKvq)</t>
        </is>
      </c>
      <c r="AC57" s="64" t="n"/>
      <c r="AD57" s="308" t="n"/>
      <c r="AE57" s="136" t="n"/>
      <c r="AF57" s="136" t="n"/>
      <c r="AG57" s="136" t="n"/>
      <c r="AH57" s="136" t="n"/>
      <c r="AI57" s="136" t="n"/>
      <c r="AJ57" s="136" t="n"/>
      <c r="AK57" s="136" t="n"/>
      <c r="AL57" s="64" t="n"/>
      <c r="AM57" s="64" t="n"/>
      <c r="AN57" s="64" t="n"/>
    </row>
    <row r="58" ht="16.5" customHeight="1">
      <c r="C58" s="904" t="inlineStr">
        <is>
          <t>ermi</t>
        </is>
      </c>
      <c r="D58" s="2614" t="n"/>
      <c r="E58" s="2617" t="n"/>
      <c r="F58" s="286" t="inlineStr">
        <is>
          <t>Drcv`b/µq</t>
        </is>
      </c>
      <c r="G58" s="2614" t="n"/>
      <c r="H58" s="2614" t="n"/>
      <c r="I58" s="2617" t="n"/>
      <c r="J58" s="904" t="inlineStr">
        <is>
          <t>weµq</t>
        </is>
      </c>
      <c r="K58" s="2614" t="n"/>
      <c r="L58" s="2614" t="n"/>
      <c r="M58" s="2617" t="n"/>
      <c r="N58" s="905" t="inlineStr">
        <is>
          <t>Avg`vbx</t>
        </is>
      </c>
      <c r="O58" s="2614" t="n"/>
      <c r="P58" s="2617" t="n"/>
      <c r="Q58" s="905" t="inlineStr">
        <is>
          <t>ißvbx</t>
        </is>
      </c>
      <c r="R58" s="2614" t="n"/>
      <c r="S58" s="2617" t="n"/>
      <c r="T58" s="286" t="inlineStr">
        <is>
          <t>Ab¨vb¨ Avq</t>
        </is>
      </c>
      <c r="U58" s="2614" t="n"/>
      <c r="V58" s="2617" t="n"/>
      <c r="W58" s="904" t="inlineStr">
        <is>
          <t>Ab¨vb¨ e¨q</t>
        </is>
      </c>
      <c r="X58" s="2614" t="n"/>
      <c r="Y58" s="2617" t="n"/>
      <c r="Z58" s="904" t="inlineStr">
        <is>
          <t>jvf/ÿwZ</t>
        </is>
      </c>
      <c r="AA58" s="2614" t="n"/>
      <c r="AB58" s="2617" t="n"/>
      <c r="AC58" s="64" t="n"/>
      <c r="AD58" s="297" t="n"/>
      <c r="AE58" s="783" t="n"/>
      <c r="AF58" s="136" t="n"/>
      <c r="AG58" s="136" t="n"/>
      <c r="AH58" s="136" t="n"/>
      <c r="AI58" s="136" t="n"/>
      <c r="AJ58" s="136" t="n"/>
      <c r="AK58" s="136" t="n"/>
      <c r="AL58" s="64" t="n"/>
      <c r="AM58" s="64" t="n"/>
      <c r="AN58" s="64" t="n"/>
    </row>
    <row r="59" ht="17.25" customHeight="1">
      <c r="C59" s="905">
        <f>+C53</f>
        <v/>
      </c>
      <c r="D59" s="2614" t="n"/>
      <c r="E59" s="2617" t="n"/>
      <c r="F59" s="999" t="n"/>
      <c r="G59" s="2614" t="n"/>
      <c r="H59" s="2614" t="n"/>
      <c r="I59" s="2617" t="n"/>
      <c r="J59" s="999" t="n"/>
      <c r="K59" s="2614" t="n"/>
      <c r="L59" s="2614" t="n"/>
      <c r="M59" s="2617" t="n"/>
      <c r="N59" s="1000" t="n">
        <v>0</v>
      </c>
      <c r="O59" s="2614" t="n"/>
      <c r="P59" s="2617" t="n"/>
      <c r="Q59" s="1000" t="inlineStr">
        <is>
          <t>cÖ‡hvR¨ bq</t>
        </is>
      </c>
      <c r="R59" s="2614" t="n"/>
      <c r="S59" s="2617" t="n"/>
      <c r="T59" s="1000" t="n"/>
      <c r="U59" s="2614" t="n"/>
      <c r="V59" s="2617" t="n"/>
      <c r="W59" s="1001" t="n"/>
      <c r="X59" s="2614" t="n"/>
      <c r="Y59" s="2617" t="n"/>
      <c r="Z59" s="999">
        <f>+[2]Economics!I48/100000/('[2]Data Input'!D9/100000)*F53</f>
        <v/>
      </c>
      <c r="AA59" s="2614" t="n"/>
      <c r="AB59" s="2617" t="n"/>
      <c r="AC59" s="64" t="n"/>
      <c r="AD59" s="1002" t="inlineStr">
        <is>
          <t>Economics থেকে আসবে</t>
        </is>
      </c>
      <c r="AE59" s="136" t="n"/>
      <c r="AF59" s="136" t="n"/>
      <c r="AG59" s="297" t="n"/>
      <c r="AH59" s="136" t="n"/>
      <c r="AI59" s="136" t="n"/>
      <c r="AJ59" s="136" t="n"/>
      <c r="AK59" s="136" t="n"/>
      <c r="AL59" s="64" t="n"/>
      <c r="AM59" s="64" t="n"/>
      <c r="AN59" s="64" t="n"/>
    </row>
    <row r="60" ht="17.25" customHeight="1">
      <c r="C60" s="905">
        <f>+C54</f>
        <v/>
      </c>
      <c r="D60" s="2614" t="n"/>
      <c r="E60" s="2617" t="n"/>
      <c r="F60" s="999" t="n"/>
      <c r="G60" s="2614" t="n"/>
      <c r="H60" s="2614" t="n"/>
      <c r="I60" s="2617" t="n"/>
      <c r="J60" s="999" t="n"/>
      <c r="K60" s="2614" t="n"/>
      <c r="L60" s="2614" t="n"/>
      <c r="M60" s="2617" t="n"/>
      <c r="N60" s="1000" t="n">
        <v>0</v>
      </c>
      <c r="O60" s="2614" t="n"/>
      <c r="P60" s="2617" t="n"/>
      <c r="Q60" s="1000" t="n">
        <v>0</v>
      </c>
      <c r="R60" s="2614" t="n"/>
      <c r="S60" s="2617" t="n"/>
      <c r="T60" s="1000" t="n"/>
      <c r="U60" s="2614" t="n"/>
      <c r="V60" s="2617" t="n"/>
      <c r="W60" s="1001" t="n"/>
      <c r="X60" s="2614" t="n"/>
      <c r="Y60" s="2617" t="n"/>
      <c r="Z60" s="999" t="n"/>
      <c r="AA60" s="2614" t="n"/>
      <c r="AB60" s="2617" t="n"/>
      <c r="AC60" s="64" t="n"/>
      <c r="AD60" s="297">
        <f>+F54</f>
        <v/>
      </c>
      <c r="AF60" s="136" t="n"/>
      <c r="AG60" s="136" t="n"/>
      <c r="AH60" s="136" t="n"/>
      <c r="AI60" s="136" t="n"/>
      <c r="AJ60" s="136" t="n"/>
      <c r="AK60" s="136" t="n"/>
      <c r="AL60" s="64" t="n"/>
      <c r="AM60" s="64" t="n"/>
      <c r="AN60" s="64" t="n"/>
    </row>
    <row r="61" ht="17.25" customHeight="1">
      <c r="C61" s="905">
        <f>+C55</f>
        <v/>
      </c>
      <c r="D61" s="2614" t="n"/>
      <c r="E61" s="2617" t="n"/>
      <c r="F61" s="999" t="n"/>
      <c r="G61" s="2614" t="n"/>
      <c r="H61" s="2614" t="n"/>
      <c r="I61" s="2617" t="n"/>
      <c r="J61" s="999" t="n"/>
      <c r="K61" s="2614" t="n"/>
      <c r="L61" s="2614" t="n"/>
      <c r="M61" s="2617" t="n"/>
      <c r="N61" s="1003" t="n"/>
      <c r="O61" s="2614" t="n"/>
      <c r="P61" s="2617" t="n"/>
      <c r="Q61" s="1003" t="n"/>
      <c r="R61" s="2614" t="n"/>
      <c r="S61" s="2617" t="n"/>
      <c r="T61" s="1000" t="n"/>
      <c r="U61" s="2614" t="n"/>
      <c r="V61" s="2617" t="n"/>
      <c r="W61" s="1001" t="n"/>
      <c r="X61" s="2614" t="n"/>
      <c r="Y61" s="2617" t="n"/>
      <c r="Z61" s="999" t="n"/>
      <c r="AA61" s="2614" t="n"/>
      <c r="AB61" s="2617" t="n"/>
      <c r="AC61" s="64" t="n"/>
      <c r="AD61" s="297">
        <f>+F55</f>
        <v/>
      </c>
      <c r="AF61" s="136" t="n"/>
      <c r="AG61" s="136" t="n"/>
      <c r="AH61" s="136" t="n"/>
      <c r="AI61" s="136" t="n"/>
      <c r="AJ61" s="136" t="n"/>
      <c r="AK61" s="136" t="n"/>
      <c r="AL61" s="64" t="n"/>
      <c r="AM61" s="64" t="n"/>
      <c r="AN61" s="64" t="n"/>
    </row>
    <row r="62" ht="2.25" customHeight="1">
      <c r="B62" s="295" t="n"/>
      <c r="C62" s="788" t="n"/>
      <c r="D62" s="789" t="n"/>
      <c r="E62" s="789" t="n"/>
      <c r="F62" s="789" t="n"/>
      <c r="G62" s="788" t="n"/>
      <c r="H62" s="790" t="n"/>
      <c r="I62" s="791" t="n"/>
      <c r="J62" s="788" t="n"/>
      <c r="K62" s="788" t="n"/>
      <c r="L62" s="788" t="n"/>
      <c r="M62" s="788" t="n"/>
      <c r="N62" s="790" t="n"/>
      <c r="O62" s="788" t="n"/>
      <c r="P62" s="788" t="n"/>
      <c r="Q62" s="790" t="n"/>
      <c r="R62" s="790" t="n"/>
      <c r="S62" s="788" t="n"/>
      <c r="T62" s="789" t="n"/>
      <c r="U62" s="788" t="n"/>
      <c r="V62" s="789" t="n"/>
      <c r="W62" s="788" t="n"/>
      <c r="X62" s="788" t="n"/>
      <c r="Y62" s="788" t="n"/>
      <c r="Z62" s="788" t="n"/>
      <c r="AA62" s="792" t="n"/>
      <c r="AB62" s="789" t="n"/>
      <c r="AC62" s="64" t="n"/>
      <c r="AD62" s="308" t="n"/>
      <c r="AE62" s="136" t="n"/>
      <c r="AF62" s="136" t="n"/>
      <c r="AG62" s="136" t="n"/>
      <c r="AH62" s="136" t="n"/>
      <c r="AI62" s="136" t="n"/>
      <c r="AJ62" s="136" t="n"/>
      <c r="AK62" s="136" t="n"/>
      <c r="AL62" s="64" t="n"/>
      <c r="AM62" s="64" t="n"/>
      <c r="AN62" s="64" t="n"/>
    </row>
    <row r="63" ht="6" customHeight="1">
      <c r="B63" s="64" t="n"/>
      <c r="C63" s="308" t="n"/>
      <c r="D63" s="64" t="n"/>
      <c r="E63" s="64" t="n"/>
      <c r="F63" s="64" t="n"/>
      <c r="G63" s="308" t="n"/>
      <c r="H63" s="136" t="n"/>
      <c r="I63" s="307" t="n"/>
      <c r="J63" s="308" t="n"/>
      <c r="K63" s="308" t="n"/>
      <c r="L63" s="308" t="n"/>
      <c r="M63" s="308" t="n"/>
      <c r="N63" s="136" t="n"/>
      <c r="O63" s="308" t="n"/>
      <c r="P63" s="308" t="n"/>
      <c r="Q63" s="136" t="n"/>
      <c r="R63" s="136" t="n"/>
      <c r="S63" s="308" t="n"/>
      <c r="T63" s="64" t="n"/>
      <c r="U63" s="308" t="n"/>
      <c r="V63" s="64" t="n"/>
      <c r="W63" s="308" t="n"/>
      <c r="X63" s="308" t="n"/>
      <c r="Y63" s="308" t="n"/>
      <c r="Z63" s="308" t="n"/>
      <c r="AA63" s="1204" t="n"/>
      <c r="AB63" s="64" t="n"/>
      <c r="AC63" s="64" t="n"/>
      <c r="AD63" s="308" t="n"/>
      <c r="AE63" s="136" t="n"/>
      <c r="AF63" s="136" t="n"/>
      <c r="AG63" s="136" t="n"/>
      <c r="AH63" s="136" t="n"/>
      <c r="AI63" s="136" t="n"/>
      <c r="AJ63" s="136" t="n"/>
      <c r="AK63" s="136" t="n"/>
      <c r="AL63" s="64" t="n"/>
      <c r="AM63" s="64" t="n"/>
      <c r="AN63" s="64" t="n"/>
    </row>
    <row r="64" ht="17.25" customHeight="1">
      <c r="B64" s="799" t="inlineStr">
        <is>
          <t>(N)</t>
        </is>
      </c>
      <c r="C64" s="293" t="inlineStr">
        <is>
          <t>me©‡kl ‡fvMK…Z F‡Yi ‡jb‡`b †gvZv‡eK cvidi‡gÝ t</t>
        </is>
      </c>
      <c r="Q64" s="1004" t="inlineStr">
        <is>
          <t xml:space="preserve">(27/01/2025 Bs ZvwiL wfwËK) </t>
        </is>
      </c>
      <c r="R64" s="2615" t="n"/>
      <c r="S64" s="2615" t="n"/>
      <c r="T64" s="2615" t="n"/>
      <c r="U64" s="2615" t="n"/>
      <c r="V64" s="2615" t="n"/>
      <c r="W64" s="2615" t="n"/>
      <c r="X64" s="2615" t="n"/>
      <c r="Y64" s="2616" t="n"/>
      <c r="Z64" s="817" t="inlineStr">
        <is>
          <t>(jÿ UvKvq)</t>
        </is>
      </c>
      <c r="AC64" s="64" t="n"/>
      <c r="AD64" s="308" t="n"/>
      <c r="AE64" s="136" t="n"/>
      <c r="AF64" s="136" t="n"/>
      <c r="AG64" s="136" t="n"/>
      <c r="AH64" s="136" t="n"/>
      <c r="AI64" s="136" t="n"/>
      <c r="AJ64" s="136" t="n"/>
      <c r="AK64" s="136" t="n"/>
      <c r="AL64" s="64" t="n"/>
      <c r="AM64" s="64" t="n"/>
      <c r="AN64" s="64" t="n"/>
    </row>
    <row r="65" ht="14.25" customHeight="1">
      <c r="C65" s="1007" t="inlineStr">
        <is>
          <t>Aby‡gvw`Z mxgv</t>
        </is>
      </c>
      <c r="D65" s="2624" t="n"/>
      <c r="E65" s="2642" t="n"/>
      <c r="F65" s="1008" t="inlineStr">
        <is>
          <t>‰eaZvi ZvwiL</t>
        </is>
      </c>
      <c r="G65" s="2624" t="n"/>
      <c r="H65" s="2642" t="n"/>
      <c r="I65" s="1009" t="inlineStr">
        <is>
          <t>‡WweU_x000D_
mv‡gkb</t>
        </is>
      </c>
      <c r="J65" s="2624" t="n"/>
      <c r="K65" s="2624" t="n"/>
      <c r="L65" s="2642" t="n"/>
      <c r="M65" s="1007" t="inlineStr">
        <is>
          <t>‡µwWU mv‡gkb</t>
        </is>
      </c>
      <c r="N65" s="2624" t="n"/>
      <c r="O65" s="2642" t="n"/>
      <c r="P65" s="1007" t="inlineStr">
        <is>
          <t>eZ©gvb w¯’wZ</t>
        </is>
      </c>
      <c r="Q65" s="2624" t="n"/>
      <c r="R65" s="2642" t="n"/>
      <c r="S65" s="904" t="inlineStr">
        <is>
          <t>Pµvqb msL¨v</t>
        </is>
      </c>
      <c r="T65" s="2614" t="n"/>
      <c r="U65" s="2614" t="n"/>
      <c r="V65" s="2614" t="n"/>
      <c r="W65" s="2614" t="n"/>
      <c r="X65" s="2614" t="n"/>
      <c r="Y65" s="2614" t="n"/>
      <c r="Z65" s="2617" t="n"/>
      <c r="AA65" s="1010" t="inlineStr">
        <is>
          <t>AwR©Z my`</t>
        </is>
      </c>
      <c r="AB65" s="2642" t="n"/>
      <c r="AC65" s="64" t="n"/>
      <c r="AD65" s="308" t="n"/>
      <c r="AE65" s="136" t="n"/>
      <c r="AF65" s="136" t="n"/>
      <c r="AG65" s="136" t="n"/>
      <c r="AH65" s="136" t="n"/>
      <c r="AI65" s="136" t="n"/>
      <c r="AJ65" s="136" t="n"/>
      <c r="AK65" s="136" t="n"/>
      <c r="AL65" s="64" t="n"/>
      <c r="AM65" s="64" t="n"/>
      <c r="AN65" s="64" t="n"/>
    </row>
    <row r="66" ht="14.25" customHeight="1">
      <c r="C66" s="2647" t="n"/>
      <c r="E66" s="2641" t="n"/>
      <c r="F66" s="2647" t="n"/>
      <c r="H66" s="2641" t="n"/>
      <c r="I66" s="2647" t="n"/>
      <c r="L66" s="2641" t="n"/>
      <c r="M66" s="2647" t="n"/>
      <c r="O66" s="2641" t="n"/>
      <c r="P66" s="2647" t="n"/>
      <c r="R66" s="2641" t="n"/>
      <c r="S66" s="1011" t="inlineStr">
        <is>
          <t>wba©vwiZ</t>
        </is>
      </c>
      <c r="T66" s="2642" t="n"/>
      <c r="U66" s="904" t="inlineStr">
        <is>
          <t>cÖK„Z</t>
        </is>
      </c>
      <c r="V66" s="2614" t="n"/>
      <c r="W66" s="2614" t="n"/>
      <c r="X66" s="2614" t="n"/>
      <c r="Y66" s="2614" t="n"/>
      <c r="Z66" s="2617" t="n"/>
      <c r="AA66" s="2647" t="n"/>
      <c r="AB66" s="2641" t="n"/>
      <c r="AC66" s="64" t="n"/>
      <c r="AD66" s="308" t="n"/>
      <c r="AE66" s="136" t="n"/>
      <c r="AF66" s="136" t="n"/>
      <c r="AG66" s="136" t="n"/>
      <c r="AH66" s="136" t="n"/>
      <c r="AI66" s="136" t="n"/>
      <c r="AJ66" s="136" t="n"/>
      <c r="AK66" s="136" t="n"/>
      <c r="AL66" s="64" t="n"/>
      <c r="AM66" s="64" t="n"/>
      <c r="AN66" s="64" t="n"/>
    </row>
    <row r="67" ht="14.25" customHeight="1">
      <c r="C67" s="2647" t="n"/>
      <c r="E67" s="2641" t="n"/>
      <c r="F67" s="2647" t="n"/>
      <c r="H67" s="2641" t="n"/>
      <c r="I67" s="2647" t="n"/>
      <c r="L67" s="2641" t="n"/>
      <c r="M67" s="2647" t="n"/>
      <c r="O67" s="2641" t="n"/>
      <c r="P67" s="2647" t="n"/>
      <c r="R67" s="2641" t="n"/>
      <c r="S67" s="2647" t="n"/>
      <c r="T67" s="2641" t="n"/>
      <c r="U67" s="1007" t="inlineStr">
        <is>
          <t>FbvsK †gvZ‡eK</t>
        </is>
      </c>
      <c r="V67" s="2624" t="n"/>
      <c r="W67" s="2642" t="n"/>
      <c r="X67" s="1007" t="inlineStr">
        <is>
          <t>FYvsK + gvwR©bmn</t>
        </is>
      </c>
      <c r="Y67" s="2624" t="n"/>
      <c r="Z67" s="2642" t="n"/>
      <c r="AA67" s="2647" t="n"/>
      <c r="AB67" s="2641" t="n"/>
      <c r="AC67" s="64" t="n"/>
      <c r="AD67" s="308" t="n"/>
      <c r="AE67" s="136" t="n"/>
      <c r="AF67" s="136" t="n"/>
      <c r="AG67" s="136" t="n"/>
      <c r="AH67" s="136" t="n"/>
      <c r="AI67" s="136" t="n"/>
      <c r="AJ67" s="136" t="n"/>
      <c r="AK67" s="136" t="n"/>
      <c r="AL67" s="64" t="n"/>
      <c r="AM67" s="64" t="n"/>
      <c r="AN67" s="64" t="n"/>
    </row>
    <row r="68" ht="20.25" customHeight="1">
      <c r="C68" s="2648" t="n"/>
      <c r="D68" s="2613" t="n"/>
      <c r="E68" s="2649" t="n"/>
      <c r="F68" s="2648" t="n"/>
      <c r="G68" s="2613" t="n"/>
      <c r="H68" s="2649" t="n"/>
      <c r="I68" s="2648" t="n"/>
      <c r="J68" s="2613" t="n"/>
      <c r="K68" s="2613" t="n"/>
      <c r="L68" s="2649" t="n"/>
      <c r="M68" s="2648" t="n"/>
      <c r="N68" s="2613" t="n"/>
      <c r="O68" s="2649" t="n"/>
      <c r="P68" s="2648" t="n"/>
      <c r="Q68" s="2613" t="n"/>
      <c r="R68" s="2649" t="n"/>
      <c r="S68" s="2648" t="n"/>
      <c r="T68" s="2649" t="n"/>
      <c r="U68" s="2648" t="n"/>
      <c r="V68" s="2613" t="n"/>
      <c r="W68" s="2649" t="n"/>
      <c r="X68" s="2648" t="n"/>
      <c r="Y68" s="2613" t="n"/>
      <c r="Z68" s="2649" t="n"/>
      <c r="AA68" s="2648" t="n"/>
      <c r="AB68" s="2649" t="n"/>
      <c r="AC68" s="64" t="n"/>
      <c r="AD68" s="308" t="n"/>
      <c r="AE68" s="136" t="n"/>
      <c r="AF68" s="136" t="n"/>
      <c r="AG68" s="136" t="n"/>
      <c r="AH68" s="136" t="n"/>
      <c r="AI68" s="136" t="n"/>
      <c r="AJ68" s="136" t="n"/>
      <c r="AK68" s="136" t="n"/>
      <c r="AL68" s="64" t="n"/>
      <c r="AM68" s="64" t="n"/>
      <c r="AN68" s="64" t="n"/>
    </row>
    <row r="69" ht="17.25" customHeight="1">
      <c r="C69" s="904">
        <f>+F53</f>
        <v/>
      </c>
      <c r="D69" s="2614" t="n"/>
      <c r="E69" s="2617" t="n"/>
      <c r="F69" s="1013" t="n"/>
      <c r="G69" s="2614" t="n"/>
      <c r="H69" s="2617" t="n"/>
      <c r="I69" s="1014">
        <f>+M69+0</f>
        <v/>
      </c>
      <c r="J69" s="2614" t="n"/>
      <c r="K69" s="2614" t="n"/>
      <c r="L69" s="2617" t="n"/>
      <c r="M69" s="1014" t="n"/>
      <c r="N69" s="2614" t="n"/>
      <c r="O69" s="2617" t="n"/>
      <c r="P69" s="1016">
        <f>+I69-M69</f>
        <v/>
      </c>
      <c r="Q69" s="2614" t="n"/>
      <c r="R69" s="2617" t="n"/>
      <c r="S69" s="1016" t="n"/>
      <c r="T69" s="2617" t="n"/>
      <c r="U69" s="1016" t="inlineStr">
        <is>
          <t>cÖ‡hvR¨ bq</t>
        </is>
      </c>
      <c r="V69" s="2614" t="n"/>
      <c r="W69" s="2617" t="n"/>
      <c r="X69" s="1016" t="n"/>
      <c r="Y69" s="2614" t="n"/>
      <c r="Z69" s="2617" t="n"/>
      <c r="AA69" s="1018" t="n"/>
      <c r="AB69" s="2617" t="n"/>
      <c r="AC69" s="64" t="n"/>
      <c r="AD69" s="308" t="n"/>
      <c r="AE69" s="803" t="n"/>
      <c r="AF69" s="136" t="n"/>
      <c r="AG69" s="136" t="n"/>
      <c r="AH69" s="136" t="n"/>
      <c r="AI69" s="136" t="n"/>
      <c r="AJ69" s="136" t="n"/>
      <c r="AK69" s="136" t="n"/>
      <c r="AL69" s="64" t="n"/>
      <c r="AM69" s="64" t="n"/>
      <c r="AN69" s="64" t="n"/>
    </row>
    <row r="70" ht="9" customHeight="1">
      <c r="C70" s="308" t="n"/>
      <c r="D70" s="64" t="n"/>
      <c r="E70" s="64" t="n"/>
      <c r="F70" s="64" t="n"/>
      <c r="G70" s="308" t="n"/>
      <c r="H70" s="136" t="n"/>
      <c r="I70" s="307" t="n"/>
      <c r="J70" s="308" t="n"/>
      <c r="K70" s="308" t="n"/>
      <c r="L70" s="308" t="n"/>
      <c r="M70" s="308" t="n"/>
      <c r="N70" s="136" t="n"/>
      <c r="O70" s="308" t="n"/>
      <c r="P70" s="308" t="n"/>
      <c r="Q70" s="136" t="n"/>
      <c r="R70" s="136" t="n"/>
      <c r="S70" s="308" t="n"/>
      <c r="T70" s="64" t="n"/>
      <c r="U70" s="308" t="n"/>
      <c r="V70" s="64" t="n"/>
      <c r="W70" s="308" t="n"/>
      <c r="X70" s="308" t="n"/>
      <c r="Y70" s="308" t="n"/>
      <c r="Z70" s="308" t="n"/>
      <c r="AA70" s="1204" t="n"/>
      <c r="AB70" s="64" t="n"/>
      <c r="AC70" s="64" t="n"/>
      <c r="AD70" s="308" t="n"/>
      <c r="AE70" s="136" t="n"/>
      <c r="AF70" s="136" t="n"/>
      <c r="AG70" s="136" t="n"/>
      <c r="AH70" s="136" t="n"/>
      <c r="AI70" s="136" t="n"/>
      <c r="AJ70" s="136" t="n"/>
      <c r="AK70" s="136" t="n"/>
      <c r="AL70" s="64" t="n"/>
      <c r="AM70" s="64" t="n"/>
      <c r="AN70" s="64" t="n"/>
    </row>
    <row r="71" ht="20.25" customHeight="1">
      <c r="C71" s="904" t="inlineStr">
        <is>
          <t>m‡e©v”P w¯’wZ</t>
        </is>
      </c>
      <c r="D71" s="2614" t="n"/>
      <c r="E71" s="2614" t="n"/>
      <c r="F71" s="2614" t="n"/>
      <c r="G71" s="2614" t="n"/>
      <c r="H71" s="2614" t="n"/>
      <c r="I71" s="2614" t="n"/>
      <c r="J71" s="2617" t="n"/>
      <c r="K71" s="904" t="inlineStr">
        <is>
          <t>me©wb¤œ w¯’wZ</t>
        </is>
      </c>
      <c r="L71" s="2614" t="n"/>
      <c r="M71" s="2614" t="n"/>
      <c r="N71" s="2614" t="n"/>
      <c r="O71" s="2614" t="n"/>
      <c r="P71" s="2614" t="n"/>
      <c r="Q71" s="2617" t="n"/>
      <c r="R71" s="905" t="inlineStr">
        <is>
          <t>m‡e©v”P D‡Ëvjb</t>
        </is>
      </c>
      <c r="S71" s="2614" t="n"/>
      <c r="T71" s="2614" t="n"/>
      <c r="U71" s="2614" t="n"/>
      <c r="V71" s="2614" t="n"/>
      <c r="W71" s="2617" t="n"/>
      <c r="X71" s="904" t="inlineStr">
        <is>
          <t>m‡e©v”P cwi‡kva</t>
        </is>
      </c>
      <c r="Y71" s="2614" t="n"/>
      <c r="Z71" s="2614" t="n"/>
      <c r="AA71" s="2614" t="n"/>
      <c r="AB71" s="2617" t="n"/>
      <c r="AC71" s="64" t="n"/>
      <c r="AD71" s="308" t="n"/>
      <c r="AE71" s="136" t="n"/>
      <c r="AF71" s="136" t="n"/>
      <c r="AG71" s="136" t="n"/>
      <c r="AH71" s="136" t="n"/>
      <c r="AI71" s="136" t="n"/>
      <c r="AJ71" s="136" t="n"/>
      <c r="AK71" s="136" t="n"/>
      <c r="AL71" s="64" t="n"/>
      <c r="AM71" s="64" t="n"/>
      <c r="AN71" s="64" t="n"/>
    </row>
    <row r="72" ht="17.25" customHeight="1">
      <c r="C72" s="1014" t="n"/>
      <c r="D72" s="2614" t="n"/>
      <c r="E72" s="2614" t="n"/>
      <c r="F72" s="2614" t="n"/>
      <c r="G72" s="2614" t="n"/>
      <c r="H72" s="2614" t="n"/>
      <c r="I72" s="2614" t="n"/>
      <c r="J72" s="2617" t="n"/>
      <c r="K72" s="1014" t="n"/>
      <c r="L72" s="2614" t="n"/>
      <c r="M72" s="2614" t="n"/>
      <c r="N72" s="2614" t="n"/>
      <c r="O72" s="2614" t="n"/>
      <c r="P72" s="2614" t="n"/>
      <c r="Q72" s="2617" t="n"/>
      <c r="R72" s="1015" t="n"/>
      <c r="S72" s="2614" t="n"/>
      <c r="T72" s="2614" t="n"/>
      <c r="U72" s="2614" t="n"/>
      <c r="V72" s="2614" t="n"/>
      <c r="W72" s="2617" t="n"/>
      <c r="X72" s="1014" t="n"/>
      <c r="Y72" s="2614" t="n"/>
      <c r="Z72" s="2614" t="n"/>
      <c r="AA72" s="2614" t="n"/>
      <c r="AB72" s="2617" t="n"/>
      <c r="AC72" s="64" t="n"/>
      <c r="AD72" s="308" t="n"/>
      <c r="AE72" s="1022">
        <f>+R72*100000</f>
        <v/>
      </c>
      <c r="AF72" s="1022">
        <f>+S72*100000</f>
        <v/>
      </c>
      <c r="AG72" s="1022">
        <f>+T72*100000</f>
        <v/>
      </c>
      <c r="AH72" s="1022">
        <f>+U72*100000</f>
        <v/>
      </c>
      <c r="AI72" s="1022">
        <f>+V72*100000</f>
        <v/>
      </c>
      <c r="AJ72" s="1022">
        <f>+W72*100000</f>
        <v/>
      </c>
      <c r="AK72" s="1022">
        <f>+X72*100000</f>
        <v/>
      </c>
      <c r="AL72" s="64" t="n"/>
      <c r="AM72" s="64" t="n"/>
      <c r="AN72" s="64" t="n"/>
    </row>
    <row r="73" ht="9" customHeight="1">
      <c r="B73" s="64" t="n"/>
      <c r="C73" s="308" t="n"/>
      <c r="D73" s="64" t="n"/>
      <c r="E73" s="64" t="n"/>
      <c r="F73" s="64" t="n"/>
      <c r="G73" s="308" t="n"/>
      <c r="H73" s="136" t="n"/>
      <c r="I73" s="307" t="n"/>
      <c r="J73" s="308" t="n"/>
      <c r="K73" s="308" t="n"/>
      <c r="L73" s="308" t="n"/>
      <c r="M73" s="308" t="n"/>
      <c r="N73" s="136" t="n"/>
      <c r="O73" s="308" t="n"/>
      <c r="P73" s="308" t="n"/>
      <c r="Q73" s="136" t="n"/>
      <c r="R73" s="136" t="n"/>
      <c r="S73" s="308" t="n"/>
      <c r="T73" s="64" t="n"/>
      <c r="U73" s="308" t="n"/>
      <c r="V73" s="64" t="n"/>
      <c r="W73" s="308" t="n"/>
      <c r="X73" s="308" t="n"/>
      <c r="Y73" s="308" t="n"/>
      <c r="Z73" s="308" t="n"/>
      <c r="AA73" s="1204" t="n"/>
      <c r="AB73" s="64" t="n"/>
      <c r="AC73" s="64" t="n"/>
      <c r="AD73" s="308" t="n"/>
      <c r="AE73" s="136" t="n"/>
      <c r="AF73" s="136" t="n"/>
      <c r="AG73" s="136" t="n"/>
      <c r="AH73" s="136" t="n"/>
      <c r="AI73" s="136" t="n"/>
      <c r="AJ73" s="136" t="n"/>
      <c r="AK73" s="136" t="n"/>
      <c r="AL73" s="64" t="n"/>
      <c r="AM73" s="64" t="n"/>
      <c r="AN73" s="64" t="n"/>
    </row>
    <row r="74" ht="17.25" customHeight="1">
      <c r="B74" s="295" t="inlineStr">
        <is>
          <t>(O)</t>
        </is>
      </c>
      <c r="C74" s="297" t="inlineStr">
        <is>
          <t>‡jb‡`b m¤c©‡K gšÍe¨</t>
        </is>
      </c>
      <c r="Q74" s="803" t="inlineStr">
        <is>
          <t>t</t>
        </is>
      </c>
      <c r="R74" s="1023" t="inlineStr">
        <is>
          <t>fv‡jv</t>
        </is>
      </c>
      <c r="AC74" s="64" t="n"/>
      <c r="AD74" s="308" t="n"/>
      <c r="AE74" s="136" t="n"/>
      <c r="AF74" s="136" t="n"/>
      <c r="AG74" s="136" t="n"/>
      <c r="AH74" s="136" t="n"/>
      <c r="AI74" s="136" t="n"/>
      <c r="AJ74" s="136" t="n"/>
      <c r="AK74" s="136" t="n"/>
      <c r="AL74" s="64" t="n"/>
      <c r="AM74" s="64" t="n"/>
      <c r="AN74" s="64" t="n"/>
    </row>
    <row r="75" ht="17.25" customHeight="1">
      <c r="B75" s="799" t="inlineStr">
        <is>
          <t>(P)</t>
        </is>
      </c>
      <c r="C75" s="1027" t="inlineStr">
        <is>
          <t>gRy` gv‡ji weeiY/ Uv¯‹‡dvm© cÖwZ‡e`b †gvZv‡eKt</t>
        </is>
      </c>
      <c r="Y75" s="2641" t="n"/>
      <c r="Z75" s="817" t="inlineStr">
        <is>
          <t>(jÿ UvKvq)</t>
        </is>
      </c>
      <c r="AC75" s="64" t="n"/>
      <c r="AD75" s="308" t="n"/>
      <c r="AE75" s="136" t="n"/>
      <c r="AF75" s="136" t="n"/>
      <c r="AG75" s="136" t="n"/>
      <c r="AH75" s="136" t="n"/>
      <c r="AI75" s="136" t="n"/>
      <c r="AJ75" s="136" t="n"/>
      <c r="AK75" s="136" t="n"/>
      <c r="AL75" s="64" t="n"/>
      <c r="AM75" s="64" t="n"/>
      <c r="AN75" s="64" t="n"/>
    </row>
    <row r="76" ht="17.25" customHeight="1">
      <c r="C76" s="904" t="inlineStr">
        <is>
          <t>‡gvU gRy` gv‡ji weeiY I cwigvb</t>
        </is>
      </c>
      <c r="D76" s="2614" t="n"/>
      <c r="E76" s="2614" t="n"/>
      <c r="F76" s="2614" t="n"/>
      <c r="G76" s="2614" t="n"/>
      <c r="H76" s="2614" t="n"/>
      <c r="I76" s="2614" t="n"/>
      <c r="J76" s="2614" t="n"/>
      <c r="K76" s="2617" t="n"/>
      <c r="L76" s="904" t="inlineStr">
        <is>
          <t>g~j¨</t>
        </is>
      </c>
      <c r="M76" s="2614" t="n"/>
      <c r="N76" s="2617" t="n"/>
      <c r="O76" s="904" t="inlineStr">
        <is>
          <t>MÖnY‡hvM¨ g~j¨</t>
        </is>
      </c>
      <c r="P76" s="2614" t="n"/>
      <c r="Q76" s="2614" t="n"/>
      <c r="R76" s="2617" t="n"/>
      <c r="S76" s="904" t="inlineStr">
        <is>
          <t>FY w¯’wZ</t>
        </is>
      </c>
      <c r="T76" s="2617" t="n"/>
      <c r="U76" s="651" t="inlineStr">
        <is>
          <t>÷Kj‡Ui cwigvb I Kvib (hw` _v‡K)</t>
        </is>
      </c>
      <c r="V76" s="2614" t="n"/>
      <c r="W76" s="2614" t="n"/>
      <c r="X76" s="2614" t="n"/>
      <c r="Y76" s="2614" t="n"/>
      <c r="Z76" s="2614" t="n"/>
      <c r="AA76" s="2614" t="n"/>
      <c r="AB76" s="2617" t="n"/>
      <c r="AC76" s="64" t="n"/>
      <c r="AD76" s="308" t="n"/>
      <c r="AE76" s="136" t="n"/>
      <c r="AF76" s="136" t="n"/>
      <c r="AG76" s="136" t="n"/>
      <c r="AH76" s="136" t="n"/>
      <c r="AI76" s="136" t="n"/>
      <c r="AJ76" s="136" t="n"/>
      <c r="AK76" s="136" t="n"/>
      <c r="AL76" s="64" t="n"/>
      <c r="AM76" s="64" t="n"/>
      <c r="AN76" s="64" t="n"/>
    </row>
    <row r="77" ht="17.25" customHeight="1">
      <c r="C77" s="1033" t="inlineStr">
        <is>
          <t>Kvco</t>
        </is>
      </c>
      <c r="D77" s="2614" t="n"/>
      <c r="E77" s="2614" t="n"/>
      <c r="F77" s="2614" t="n"/>
      <c r="G77" s="2614" t="n"/>
      <c r="H77" s="2614" t="n"/>
      <c r="I77" s="2614" t="n"/>
      <c r="J77" s="2614" t="n"/>
      <c r="K77" s="2617" t="n"/>
      <c r="L77" s="1033" t="n">
        <v>37</v>
      </c>
      <c r="M77" s="2614" t="n"/>
      <c r="N77" s="2617" t="n"/>
      <c r="O77" s="1033" t="n">
        <v>37</v>
      </c>
      <c r="P77" s="2614" t="n"/>
      <c r="Q77" s="2614" t="n"/>
      <c r="R77" s="2617" t="n"/>
      <c r="S77" s="1033" t="inlineStr">
        <is>
          <t>-</t>
        </is>
      </c>
      <c r="T77" s="2617" t="n"/>
      <c r="U77" s="1036" t="inlineStr">
        <is>
          <t>-</t>
        </is>
      </c>
      <c r="V77" s="2614" t="n"/>
      <c r="W77" s="2614" t="n"/>
      <c r="X77" s="2614" t="n"/>
      <c r="Y77" s="2614" t="n"/>
      <c r="Z77" s="2614" t="n"/>
      <c r="AA77" s="2614" t="n"/>
      <c r="AB77" s="2617" t="n"/>
      <c r="AC77" s="64" t="n"/>
      <c r="AD77" s="308" t="n"/>
      <c r="AE77" s="136" t="n"/>
      <c r="AF77" s="136" t="n"/>
      <c r="AG77" s="136" t="n"/>
      <c r="AH77" s="136" t="n"/>
      <c r="AI77" s="136" t="n"/>
      <c r="AJ77" s="136" t="n"/>
      <c r="AK77" s="136" t="n"/>
      <c r="AL77" s="64" t="n"/>
      <c r="AM77" s="64" t="n"/>
      <c r="AN77" s="64" t="n"/>
    </row>
    <row r="78" ht="17.25" customHeight="1">
      <c r="A78" s="1109" t="n"/>
      <c r="B78" s="64" t="n"/>
      <c r="C78" s="308" t="n"/>
      <c r="D78" s="64" t="n"/>
      <c r="E78" s="64" t="n"/>
      <c r="F78" s="64" t="n"/>
      <c r="G78" s="308" t="n"/>
      <c r="H78" s="136" t="n"/>
      <c r="I78" s="307" t="n"/>
      <c r="J78" s="308" t="n"/>
      <c r="K78" s="308" t="n"/>
      <c r="L78" s="308" t="n"/>
      <c r="M78" s="308" t="n"/>
      <c r="N78" s="136" t="n"/>
      <c r="O78" s="308" t="n"/>
      <c r="P78" s="308" t="n"/>
      <c r="Q78" s="136" t="n"/>
      <c r="R78" s="136" t="n"/>
      <c r="S78" s="308" t="n"/>
      <c r="T78" s="64" t="n"/>
      <c r="U78" s="308" t="n"/>
      <c r="V78" s="64" t="n"/>
      <c r="W78" s="308" t="n"/>
      <c r="X78" s="308" t="n"/>
      <c r="Y78" s="308" t="n"/>
      <c r="Z78" s="308" t="n"/>
      <c r="AA78" s="1204" t="n"/>
      <c r="AB78" s="64" t="n"/>
      <c r="AC78" s="64" t="n"/>
      <c r="AD78" s="308" t="n"/>
      <c r="AE78" s="136" t="n"/>
      <c r="AF78" s="136" t="n"/>
      <c r="AG78" s="136" t="n"/>
      <c r="AH78" s="136" t="n"/>
      <c r="AI78" s="136" t="n"/>
      <c r="AJ78" s="136" t="n"/>
      <c r="AK78" s="136" t="n"/>
      <c r="AL78" s="64" t="n"/>
      <c r="AM78" s="64" t="n"/>
      <c r="AN78" s="64" t="n"/>
    </row>
    <row r="79" ht="17.25" customHeight="1">
      <c r="A79" s="793" t="inlineStr">
        <is>
          <t>4|</t>
        </is>
      </c>
      <c r="B79" s="794" t="inlineStr">
        <is>
          <t>`vq I m¤ú` t</t>
        </is>
      </c>
      <c r="AC79" s="64" t="n"/>
      <c r="AD79" s="308" t="n"/>
      <c r="AE79" s="136" t="n"/>
      <c r="AF79" s="136" t="n"/>
      <c r="AG79" s="136" t="n"/>
      <c r="AH79" s="136" t="n"/>
      <c r="AI79" s="136" t="n"/>
      <c r="AJ79" s="136" t="n"/>
      <c r="AK79" s="136" t="n"/>
      <c r="AL79" s="64" t="n"/>
      <c r="AM79" s="64" t="n"/>
      <c r="AN79" s="64" t="n"/>
    </row>
    <row r="80" ht="17.25" customHeight="1">
      <c r="B80" s="1110" t="inlineStr">
        <is>
          <t xml:space="preserve">K) </t>
        </is>
      </c>
      <c r="C80" s="297" t="inlineStr">
        <is>
          <t>mswkøô cÖKí/cÖwZôv‡bi `vq I m¤ú‡`i cwigvb</t>
        </is>
      </c>
      <c r="Q80" s="1040" t="inlineStr">
        <is>
          <t>t</t>
        </is>
      </c>
      <c r="R80" s="803">
        <f>+Q64</f>
        <v/>
      </c>
      <c r="Z80" s="817" t="inlineStr">
        <is>
          <t>(jÿ UvKvq)</t>
        </is>
      </c>
      <c r="AC80" s="64" t="n"/>
      <c r="AD80" s="308" t="n"/>
      <c r="AE80" s="136" t="n"/>
      <c r="AF80" s="136" t="n"/>
      <c r="AG80" s="136" t="n"/>
      <c r="AH80" s="136" t="n"/>
      <c r="AI80" s="136" t="n"/>
      <c r="AJ80" s="136" t="n"/>
      <c r="AK80" s="136" t="n"/>
      <c r="AL80" s="64" t="n"/>
      <c r="AM80" s="64" t="n"/>
      <c r="AN80" s="64" t="n"/>
    </row>
    <row r="81" ht="14.25" customHeight="1">
      <c r="B81" s="2641" t="n"/>
      <c r="C81" s="1041" t="inlineStr">
        <is>
          <t>(‡Kv¤úvbxi †ÿ‡Î wbixwÿZ w¯’wZcÎ `vwLj Kwi‡Z n‡e)</t>
        </is>
      </c>
      <c r="Q81" s="2613" t="n"/>
      <c r="R81" s="1045" t="n"/>
      <c r="AC81" s="64" t="n"/>
      <c r="AD81" s="308" t="n"/>
      <c r="AE81" s="136" t="n"/>
      <c r="AF81" s="136" t="n"/>
      <c r="AG81" s="136" t="n"/>
      <c r="AH81" s="136" t="n"/>
      <c r="AI81" s="136" t="n"/>
      <c r="AJ81" s="136" t="n"/>
      <c r="AK81" s="136" t="n"/>
      <c r="AL81" s="64" t="n"/>
      <c r="AM81" s="64" t="n"/>
      <c r="AN81" s="64" t="n"/>
    </row>
    <row r="82" ht="17.25" customHeight="1">
      <c r="B82" s="2641" t="n"/>
      <c r="C82" s="904" t="inlineStr">
        <is>
          <t>†gvU m¤ú`</t>
        </is>
      </c>
      <c r="D82" s="2614" t="n"/>
      <c r="E82" s="2614" t="n"/>
      <c r="F82" s="2614" t="n"/>
      <c r="G82" s="2614" t="n"/>
      <c r="H82" s="2614" t="n"/>
      <c r="I82" s="2614" t="n"/>
      <c r="J82" s="2614" t="n"/>
      <c r="K82" s="2617" t="n"/>
      <c r="L82" s="904" t="inlineStr">
        <is>
          <t>†gvU `vq</t>
        </is>
      </c>
      <c r="M82" s="2614" t="n"/>
      <c r="N82" s="2614" t="n"/>
      <c r="O82" s="2614" t="n"/>
      <c r="P82" s="2614" t="n"/>
      <c r="Q82" s="2614" t="n"/>
      <c r="R82" s="2614" t="n"/>
      <c r="S82" s="2614" t="n"/>
      <c r="T82" s="2617" t="n"/>
      <c r="U82" s="904" t="inlineStr">
        <is>
          <t>bxU Iqv_©/ (gyj¨)</t>
        </is>
      </c>
      <c r="V82" s="2614" t="n"/>
      <c r="W82" s="2614" t="n"/>
      <c r="X82" s="2614" t="n"/>
      <c r="Y82" s="2614" t="n"/>
      <c r="Z82" s="2614" t="n"/>
      <c r="AA82" s="2614" t="n"/>
      <c r="AB82" s="2617" t="n"/>
      <c r="AC82" s="64" t="n"/>
      <c r="AD82" s="308" t="n"/>
      <c r="AE82" s="136" t="n"/>
      <c r="AF82" s="136" t="n"/>
      <c r="AG82" s="136" t="n"/>
      <c r="AH82" s="136" t="n"/>
      <c r="AI82" s="136" t="n"/>
      <c r="AJ82" s="136" t="n"/>
      <c r="AK82" s="136" t="n"/>
      <c r="AL82" s="64" t="n"/>
      <c r="AM82" s="64" t="n"/>
      <c r="AN82" s="64" t="n"/>
    </row>
    <row r="83" ht="17.25" customHeight="1">
      <c r="B83" s="2641" t="n"/>
      <c r="C83" s="1047" t="n">
        <v>490</v>
      </c>
      <c r="D83" s="2613" t="n"/>
      <c r="E83" s="2613" t="n"/>
      <c r="F83" s="2613" t="n"/>
      <c r="G83" s="2613" t="n"/>
      <c r="H83" s="2613" t="n"/>
      <c r="I83" s="2613" t="n"/>
      <c r="J83" s="2613" t="n"/>
      <c r="K83" s="2649" t="n"/>
      <c r="L83" s="1047" t="n">
        <v>28</v>
      </c>
      <c r="M83" s="2613" t="n"/>
      <c r="N83" s="2613" t="n"/>
      <c r="O83" s="2613" t="n"/>
      <c r="P83" s="2613" t="n"/>
      <c r="Q83" s="2613" t="n"/>
      <c r="R83" s="2613" t="n"/>
      <c r="S83" s="2613" t="n"/>
      <c r="T83" s="2649" t="n"/>
      <c r="U83" s="1047">
        <f>+C83-L83</f>
        <v/>
      </c>
      <c r="V83" s="2613" t="n"/>
      <c r="W83" s="2613" t="n"/>
      <c r="X83" s="2613" t="n"/>
      <c r="Y83" s="2613" t="n"/>
      <c r="Z83" s="2613" t="n"/>
      <c r="AA83" s="2613" t="n"/>
      <c r="AB83" s="2649" t="n"/>
      <c r="AC83" s="64" t="n"/>
      <c r="AD83" s="308" t="n"/>
      <c r="AE83" s="136" t="n"/>
      <c r="AF83" s="136" t="n"/>
      <c r="AG83" s="136" t="n"/>
      <c r="AH83" s="136" t="n"/>
      <c r="AI83" s="136" t="n"/>
      <c r="AJ83" s="136" t="n"/>
      <c r="AK83" s="136" t="n"/>
      <c r="AL83" s="64" t="n"/>
      <c r="AM83" s="64" t="n"/>
      <c r="AN83" s="64" t="n"/>
    </row>
    <row r="84" ht="9" customHeight="1">
      <c r="B84" s="64" t="n"/>
      <c r="C84" s="308" t="n"/>
      <c r="D84" s="64" t="n"/>
      <c r="E84" s="64" t="n"/>
      <c r="F84" s="64" t="n"/>
      <c r="G84" s="308" t="n"/>
      <c r="H84" s="136" t="n"/>
      <c r="I84" s="307" t="n"/>
      <c r="J84" s="308" t="n"/>
      <c r="K84" s="308" t="n"/>
      <c r="L84" s="308" t="n"/>
      <c r="M84" s="308" t="n"/>
      <c r="N84" s="136" t="n"/>
      <c r="O84" s="308" t="n"/>
      <c r="P84" s="308" t="n"/>
      <c r="Q84" s="136" t="n"/>
      <c r="R84" s="136" t="n"/>
      <c r="S84" s="308" t="n"/>
      <c r="T84" s="64" t="n"/>
      <c r="U84" s="308" t="n"/>
      <c r="V84" s="64" t="n"/>
      <c r="W84" s="308" t="n"/>
      <c r="X84" s="308" t="n"/>
      <c r="Y84" s="308" t="n"/>
      <c r="Z84" s="308" t="n"/>
      <c r="AA84" s="1204" t="n"/>
      <c r="AB84" s="64" t="n"/>
      <c r="AC84" s="64" t="n"/>
      <c r="AD84" s="308" t="n"/>
      <c r="AE84" s="136" t="n"/>
      <c r="AF84" s="136" t="n"/>
      <c r="AG84" s="136" t="n"/>
      <c r="AH84" s="136" t="n"/>
      <c r="AI84" s="136" t="n"/>
      <c r="AJ84" s="136" t="n"/>
      <c r="AK84" s="136" t="n"/>
      <c r="AL84" s="64" t="n"/>
      <c r="AM84" s="64" t="n"/>
      <c r="AN84" s="64" t="n"/>
    </row>
    <row r="85" ht="17.25" customHeight="1">
      <c r="B85" s="1110" t="inlineStr">
        <is>
          <t>(L)</t>
        </is>
      </c>
      <c r="C85" s="800" t="inlineStr">
        <is>
          <t>D‡`¨v³v/ Askx`vi/ †Kv¤úvbxi cwiPvjKM‡bi `vq I m¤ú‡`i  cwigvb</t>
        </is>
      </c>
      <c r="Q85" s="1052" t="inlineStr">
        <is>
          <t>t</t>
        </is>
      </c>
      <c r="R85" s="803">
        <f>+R80</f>
        <v/>
      </c>
      <c r="Z85" s="1053" t="inlineStr">
        <is>
          <t>(jÿ UvKvq)</t>
        </is>
      </c>
      <c r="AC85" s="64" t="n"/>
      <c r="AD85" s="308" t="n"/>
      <c r="AE85" s="136" t="n"/>
      <c r="AF85" s="136" t="n"/>
      <c r="AG85" s="136" t="n"/>
      <c r="AH85" s="136" t="n"/>
      <c r="AI85" s="136" t="n"/>
      <c r="AJ85" s="136" t="n"/>
      <c r="AK85" s="136" t="n"/>
      <c r="AL85" s="64" t="n"/>
      <c r="AM85" s="64" t="n"/>
      <c r="AN85" s="64" t="n"/>
    </row>
    <row r="86" ht="17.25" customHeight="1">
      <c r="B86" s="2641" t="n"/>
      <c r="R86" s="1045" t="inlineStr">
        <is>
          <t>(‡Kv¤úvbxi †ÿ‡Î wbixwÿZ w¯’wZcÎ `vwLj Kwi‡Z n‡e)</t>
        </is>
      </c>
      <c r="AC86" s="64" t="n"/>
      <c r="AD86" s="308" t="n"/>
      <c r="AE86" s="136" t="n"/>
      <c r="AF86" s="136" t="n"/>
      <c r="AG86" s="136" t="n"/>
      <c r="AH86" s="136" t="n"/>
      <c r="AI86" s="136" t="n"/>
      <c r="AJ86" s="136" t="n"/>
      <c r="AK86" s="136" t="n"/>
      <c r="AL86" s="64" t="n"/>
      <c r="AM86" s="64" t="n"/>
      <c r="AN86" s="64" t="n"/>
    </row>
    <row r="87" ht="17.25" customHeight="1">
      <c r="B87" s="2641" t="n"/>
      <c r="C87" s="904" t="inlineStr">
        <is>
          <t>µtbs</t>
        </is>
      </c>
      <c r="D87" s="2617" t="n"/>
      <c r="E87" s="286" t="inlineStr">
        <is>
          <t>bvg</t>
        </is>
      </c>
      <c r="F87" s="2614" t="n"/>
      <c r="G87" s="2614" t="n"/>
      <c r="H87" s="2614" t="n"/>
      <c r="I87" s="2617" t="n"/>
      <c r="J87" s="904" t="inlineStr">
        <is>
          <t>m¤ú`</t>
        </is>
      </c>
      <c r="K87" s="2614" t="n"/>
      <c r="L87" s="2617" t="n"/>
      <c r="M87" s="904" t="inlineStr">
        <is>
          <t>`vq</t>
        </is>
      </c>
      <c r="N87" s="2614" t="n"/>
      <c r="O87" s="2617" t="n"/>
      <c r="P87" s="904" t="inlineStr">
        <is>
          <t>bxU Iqv_©</t>
        </is>
      </c>
      <c r="Q87" s="2614" t="n"/>
      <c r="R87" s="2617" t="n"/>
      <c r="S87" s="904" t="inlineStr">
        <is>
          <t>‡Kvb F‡Yi Rb¨ `vqe× _vK‡j Zvi cwigvb</t>
        </is>
      </c>
      <c r="T87" s="2614" t="n"/>
      <c r="U87" s="2614" t="n"/>
      <c r="V87" s="2614" t="n"/>
      <c r="W87" s="2614" t="n"/>
      <c r="X87" s="2614" t="n"/>
      <c r="Y87" s="2614" t="n"/>
      <c r="Z87" s="2614" t="n"/>
      <c r="AA87" s="2614" t="n"/>
      <c r="AB87" s="2617" t="n"/>
      <c r="AC87" s="64" t="n"/>
      <c r="AD87" s="1002" t="inlineStr">
        <is>
          <t>আ্যসেট, লাইয়াবিলিটি থেকে আসবে</t>
        </is>
      </c>
      <c r="AE87" s="136" t="n"/>
      <c r="AF87" s="136" t="n"/>
      <c r="AG87" s="136" t="n"/>
      <c r="AH87" s="136" t="n"/>
      <c r="AI87" s="136" t="n"/>
      <c r="AJ87" s="136" t="n"/>
      <c r="AK87" s="136" t="n"/>
      <c r="AL87" s="64" t="n"/>
      <c r="AM87" s="64" t="n"/>
      <c r="AN87" s="64" t="n"/>
    </row>
    <row r="88" ht="17.25" customHeight="1">
      <c r="B88" s="2641" t="n"/>
      <c r="C88" s="905" t="n">
        <v>1</v>
      </c>
      <c r="D88" s="2617" t="n"/>
      <c r="E88" s="652">
        <f>'Data Input'!D12</f>
        <v/>
      </c>
      <c r="F88" s="2614" t="n"/>
      <c r="G88" s="2614" t="n"/>
      <c r="H88" s="2614" t="n"/>
      <c r="I88" s="2617" t="n"/>
      <c r="J88" s="904">
        <f>C83</f>
        <v/>
      </c>
      <c r="K88" s="2614" t="n"/>
      <c r="L88" s="2617" t="n"/>
      <c r="M88" s="904">
        <f>L83</f>
        <v/>
      </c>
      <c r="N88" s="2614" t="n"/>
      <c r="O88" s="2617" t="n"/>
      <c r="P88" s="904">
        <f>J88-M88</f>
        <v/>
      </c>
      <c r="Q88" s="2614" t="n"/>
      <c r="R88" s="2617" t="n"/>
      <c r="S88" s="904" t="n"/>
      <c r="T88" s="2614" t="n"/>
      <c r="U88" s="2614" t="n"/>
      <c r="V88" s="2614" t="n"/>
      <c r="W88" s="2614" t="n"/>
      <c r="X88" s="2614" t="n"/>
      <c r="Y88" s="2614" t="n"/>
      <c r="Z88" s="2614" t="n"/>
      <c r="AA88" s="2614" t="n"/>
      <c r="AB88" s="2617" t="n"/>
      <c r="AC88" s="64" t="n"/>
      <c r="AD88" s="308" t="n"/>
      <c r="AE88" s="136" t="n"/>
      <c r="AF88" s="136" t="n"/>
      <c r="AG88" s="136" t="n"/>
      <c r="AH88" s="136" t="n"/>
      <c r="AI88" s="136" t="n"/>
      <c r="AJ88" s="136" t="n"/>
      <c r="AK88" s="136" t="n"/>
      <c r="AL88" s="64" t="n"/>
      <c r="AM88" s="64" t="n"/>
      <c r="AN88" s="64" t="n"/>
    </row>
    <row r="89" ht="17.25" customHeight="1">
      <c r="B89" s="2641" t="n"/>
      <c r="C89" s="904" t="n"/>
      <c r="D89" s="2617" t="n"/>
      <c r="E89" s="1057" t="n"/>
      <c r="F89" s="2614" t="n"/>
      <c r="G89" s="2614" t="n"/>
      <c r="H89" s="2614" t="n"/>
      <c r="I89" s="2617" t="n"/>
      <c r="J89" s="904" t="n"/>
      <c r="K89" s="2614" t="n"/>
      <c r="L89" s="2617" t="n"/>
      <c r="M89" s="904" t="n"/>
      <c r="N89" s="2614" t="n"/>
      <c r="O89" s="2617" t="n"/>
      <c r="P89" s="904" t="n"/>
      <c r="Q89" s="2614" t="n"/>
      <c r="R89" s="2617" t="n"/>
      <c r="S89" s="904" t="n"/>
      <c r="T89" s="2614" t="n"/>
      <c r="U89" s="2614" t="n"/>
      <c r="V89" s="2614" t="n"/>
      <c r="W89" s="2614" t="n"/>
      <c r="X89" s="2614" t="n"/>
      <c r="Y89" s="2614" t="n"/>
      <c r="Z89" s="2614" t="n"/>
      <c r="AA89" s="2614" t="n"/>
      <c r="AB89" s="2617" t="n"/>
      <c r="AC89" s="64" t="n"/>
      <c r="AD89" s="308" t="n"/>
      <c r="AE89" s="136" t="n"/>
      <c r="AF89" s="136" t="n"/>
      <c r="AG89" s="136" t="n"/>
      <c r="AH89" s="136" t="n"/>
      <c r="AI89" s="136" t="n"/>
      <c r="AJ89" s="136" t="n"/>
      <c r="AK89" s="136" t="n"/>
      <c r="AL89" s="64" t="n"/>
      <c r="AM89" s="64" t="n"/>
      <c r="AN89" s="64" t="n"/>
    </row>
    <row r="90" ht="8.25" customHeight="1">
      <c r="B90" s="64" t="n"/>
      <c r="C90" s="308" t="n"/>
      <c r="D90" s="64" t="n"/>
      <c r="E90" s="64" t="n"/>
      <c r="F90" s="64" t="n"/>
      <c r="G90" s="308" t="n"/>
      <c r="H90" s="136" t="n"/>
      <c r="I90" s="307" t="n"/>
      <c r="J90" s="308" t="n"/>
      <c r="K90" s="308" t="n"/>
      <c r="L90" s="308" t="n"/>
      <c r="M90" s="308" t="n"/>
      <c r="N90" s="136" t="n"/>
      <c r="O90" s="308" t="n"/>
      <c r="P90" s="308" t="n"/>
      <c r="Q90" s="136" t="n"/>
      <c r="R90" s="136" t="n"/>
      <c r="S90" s="308" t="n"/>
      <c r="T90" s="64" t="n"/>
      <c r="U90" s="308" t="n"/>
      <c r="V90" s="64" t="n"/>
      <c r="W90" s="308" t="n"/>
      <c r="X90" s="308" t="n"/>
      <c r="Y90" s="308" t="n"/>
      <c r="Z90" s="308" t="n"/>
      <c r="AA90" s="1204" t="n"/>
      <c r="AB90" s="64" t="n"/>
      <c r="AC90" s="64" t="n"/>
      <c r="AD90" s="308" t="n"/>
      <c r="AE90" s="136" t="n"/>
      <c r="AF90" s="136" t="n"/>
      <c r="AG90" s="136" t="n"/>
      <c r="AH90" s="136" t="n"/>
      <c r="AI90" s="136" t="n"/>
      <c r="AJ90" s="136" t="n"/>
      <c r="AK90" s="136" t="n"/>
      <c r="AL90" s="64" t="n"/>
      <c r="AM90" s="64" t="n"/>
      <c r="AN90" s="64" t="n"/>
    </row>
    <row r="91" ht="17.25" customHeight="1">
      <c r="B91" s="2736" t="inlineStr">
        <is>
          <t>(M)</t>
        </is>
      </c>
      <c r="C91" s="578">
        <f>"mn‡hvMx cÖwZôv‡bi/MÖæ‡ci cÖwZôvbmgy‡ni `vq I m¤ú‡`i cwigvb "&amp;R80&amp;" t"</f>
        <v/>
      </c>
      <c r="Z91" s="817" t="inlineStr">
        <is>
          <t>(jÿ UvKvq)</t>
        </is>
      </c>
      <c r="AC91" s="64" t="n"/>
      <c r="AD91" s="308" t="n"/>
      <c r="AE91" s="136" t="n"/>
      <c r="AF91" s="136" t="n"/>
      <c r="AG91" s="136" t="n"/>
      <c r="AH91" s="136" t="n"/>
      <c r="AI91" s="136" t="n"/>
      <c r="AJ91" s="136" t="n"/>
      <c r="AK91" s="136" t="n"/>
      <c r="AL91" s="64" t="n"/>
      <c r="AM91" s="64" t="n"/>
      <c r="AN91" s="64" t="n"/>
    </row>
    <row r="92" ht="17.25" customHeight="1">
      <c r="B92" s="2641" t="n"/>
      <c r="C92" s="904" t="inlineStr">
        <is>
          <t>µtbs</t>
        </is>
      </c>
      <c r="D92" s="2617" t="n"/>
      <c r="E92" s="286" t="inlineStr">
        <is>
          <t>cÖwZôv‡bi bvg</t>
        </is>
      </c>
      <c r="F92" s="2614" t="n"/>
      <c r="G92" s="2614" t="n"/>
      <c r="H92" s="2614" t="n"/>
      <c r="I92" s="2614" t="n"/>
      <c r="J92" s="2614" t="n"/>
      <c r="K92" s="2614" t="n"/>
      <c r="L92" s="2614" t="n"/>
      <c r="M92" s="2614" t="n"/>
      <c r="N92" s="2617" t="n"/>
      <c r="O92" s="904" t="inlineStr">
        <is>
          <t>†gvU m¤ú`</t>
        </is>
      </c>
      <c r="P92" s="2614" t="n"/>
      <c r="Q92" s="2614" t="n"/>
      <c r="R92" s="2614" t="n"/>
      <c r="S92" s="2617" t="n"/>
      <c r="T92" s="286" t="inlineStr">
        <is>
          <t>†gvU `vq</t>
        </is>
      </c>
      <c r="U92" s="2614" t="n"/>
      <c r="V92" s="2614" t="n"/>
      <c r="W92" s="2617" t="n"/>
      <c r="X92" s="904" t="inlineStr">
        <is>
          <t>bxU Iqv_©/ (gyj¨)</t>
        </is>
      </c>
      <c r="Y92" s="2614" t="n"/>
      <c r="Z92" s="2614" t="n"/>
      <c r="AA92" s="2614" t="n"/>
      <c r="AB92" s="2617" t="n"/>
      <c r="AC92" s="64" t="n"/>
      <c r="AD92" s="308" t="n"/>
      <c r="AE92" s="136" t="n"/>
      <c r="AF92" s="136" t="n"/>
      <c r="AG92" s="136" t="n"/>
      <c r="AH92" s="136" t="n"/>
      <c r="AI92" s="136" t="n"/>
      <c r="AJ92" s="136" t="n"/>
      <c r="AK92" s="136" t="n"/>
      <c r="AL92" s="64" t="n"/>
      <c r="AM92" s="64" t="n"/>
      <c r="AN92" s="64" t="n"/>
    </row>
    <row r="93" ht="17.25" customHeight="1">
      <c r="B93" s="2641" t="n"/>
      <c r="C93" s="905" t="n">
        <v>1</v>
      </c>
      <c r="D93" s="2617" t="n"/>
      <c r="E93" s="286" t="inlineStr">
        <is>
          <t>cÖ‡hvR¨ bq</t>
        </is>
      </c>
      <c r="F93" s="2614" t="n"/>
      <c r="G93" s="2614" t="n"/>
      <c r="H93" s="2614" t="n"/>
      <c r="I93" s="2614" t="n"/>
      <c r="J93" s="2614" t="n"/>
      <c r="K93" s="2614" t="n"/>
      <c r="L93" s="2614" t="n"/>
      <c r="M93" s="2614" t="n"/>
      <c r="N93" s="2614" t="n"/>
      <c r="O93" s="2614" t="n"/>
      <c r="P93" s="2614" t="n"/>
      <c r="Q93" s="2614" t="n"/>
      <c r="R93" s="2614" t="n"/>
      <c r="S93" s="2614" t="n"/>
      <c r="T93" s="2614" t="n"/>
      <c r="U93" s="2614" t="n"/>
      <c r="V93" s="2614" t="n"/>
      <c r="W93" s="2614" t="n"/>
      <c r="X93" s="2614" t="n"/>
      <c r="Y93" s="2614" t="n"/>
      <c r="Z93" s="2614" t="n"/>
      <c r="AA93" s="2614" t="n"/>
      <c r="AB93" s="2617" t="n"/>
      <c r="AC93" s="64" t="n"/>
      <c r="AD93" s="308" t="n"/>
      <c r="AE93" s="136" t="n"/>
      <c r="AF93" s="136" t="n"/>
      <c r="AG93" s="136" t="n"/>
      <c r="AH93" s="136" t="n"/>
      <c r="AI93" s="136" t="n"/>
      <c r="AJ93" s="136" t="n"/>
      <c r="AK93" s="136" t="n"/>
      <c r="AL93" s="64" t="n"/>
      <c r="AM93" s="64" t="n"/>
      <c r="AN93" s="64" t="n"/>
    </row>
    <row r="94" ht="10.5" customHeight="1">
      <c r="A94" s="1109" t="n"/>
      <c r="B94" s="64" t="n"/>
      <c r="C94" s="308" t="n"/>
      <c r="D94" s="64" t="n"/>
      <c r="E94" s="64" t="n"/>
      <c r="F94" s="64" t="n"/>
      <c r="G94" s="308" t="n"/>
      <c r="H94" s="136" t="n"/>
      <c r="I94" s="307" t="n"/>
      <c r="J94" s="308" t="n"/>
      <c r="K94" s="308" t="n"/>
      <c r="L94" s="308" t="n"/>
      <c r="M94" s="308" t="n"/>
      <c r="N94" s="136" t="n"/>
      <c r="O94" s="308" t="n"/>
      <c r="P94" s="308" t="n"/>
      <c r="Q94" s="136" t="n"/>
      <c r="R94" s="136" t="n"/>
      <c r="S94" s="308" t="n"/>
      <c r="T94" s="64" t="n"/>
      <c r="U94" s="308" t="n"/>
      <c r="V94" s="64" t="n"/>
      <c r="W94" s="308" t="n"/>
      <c r="X94" s="308" t="n"/>
      <c r="Y94" s="308" t="n"/>
      <c r="Z94" s="308" t="n"/>
      <c r="AA94" s="1204" t="n"/>
      <c r="AB94" s="64" t="n"/>
      <c r="AC94" s="64" t="n"/>
      <c r="AD94" s="308" t="n"/>
      <c r="AE94" s="136" t="n"/>
      <c r="AF94" s="136" t="n"/>
      <c r="AG94" s="136" t="n"/>
      <c r="AH94" s="136" t="n"/>
      <c r="AI94" s="136" t="n"/>
      <c r="AJ94" s="136" t="n"/>
      <c r="AK94" s="136" t="n"/>
      <c r="AL94" s="64" t="n"/>
      <c r="AM94" s="64" t="n"/>
      <c r="AN94" s="64" t="n"/>
    </row>
    <row r="95" ht="10.5" customHeight="1">
      <c r="A95" s="1109" t="n"/>
      <c r="B95" s="64" t="n"/>
      <c r="C95" s="308" t="n"/>
      <c r="D95" s="64" t="n"/>
      <c r="E95" s="64" t="n"/>
      <c r="F95" s="64" t="n"/>
      <c r="G95" s="308" t="n"/>
      <c r="H95" s="136" t="n"/>
      <c r="I95" s="307" t="n"/>
      <c r="J95" s="308" t="n"/>
      <c r="K95" s="308" t="n"/>
      <c r="L95" s="308" t="n"/>
      <c r="M95" s="308" t="n"/>
      <c r="N95" s="136" t="n"/>
      <c r="O95" s="308" t="n"/>
      <c r="P95" s="308" t="n"/>
      <c r="Q95" s="136" t="n"/>
      <c r="R95" s="136" t="n"/>
      <c r="S95" s="308" t="n"/>
      <c r="T95" s="64" t="n"/>
      <c r="U95" s="308" t="n"/>
      <c r="V95" s="64" t="n"/>
      <c r="W95" s="308" t="n"/>
      <c r="X95" s="308" t="n"/>
      <c r="Y95" s="308" t="n"/>
      <c r="Z95" s="308" t="n"/>
      <c r="AA95" s="1204" t="n"/>
      <c r="AB95" s="64" t="n"/>
      <c r="AC95" s="64" t="n"/>
      <c r="AD95" s="308" t="n"/>
      <c r="AE95" s="136" t="n"/>
      <c r="AF95" s="136" t="n"/>
      <c r="AG95" s="136" t="n"/>
      <c r="AH95" s="136" t="n"/>
      <c r="AI95" s="136" t="n"/>
      <c r="AJ95" s="136" t="n"/>
      <c r="AK95" s="136" t="n"/>
      <c r="AL95" s="64" t="n"/>
      <c r="AM95" s="64" t="n"/>
      <c r="AN95" s="64" t="n"/>
    </row>
    <row r="96" ht="10.5" customHeight="1">
      <c r="A96" s="1109" t="n"/>
      <c r="B96" s="64" t="n"/>
      <c r="C96" s="308" t="n"/>
      <c r="D96" s="64" t="n"/>
      <c r="E96" s="64" t="n"/>
      <c r="F96" s="64" t="n"/>
      <c r="G96" s="308" t="n"/>
      <c r="H96" s="136" t="n"/>
      <c r="I96" s="307" t="n"/>
      <c r="J96" s="308" t="n"/>
      <c r="K96" s="308" t="n"/>
      <c r="L96" s="308" t="n"/>
      <c r="M96" s="308" t="n"/>
      <c r="N96" s="136" t="n"/>
      <c r="O96" s="308" t="n"/>
      <c r="P96" s="308" t="n"/>
      <c r="Q96" s="136" t="n"/>
      <c r="R96" s="136" t="n"/>
      <c r="S96" s="308" t="n"/>
      <c r="T96" s="64" t="n"/>
      <c r="U96" s="308" t="n"/>
      <c r="V96" s="64" t="n"/>
      <c r="W96" s="308" t="n"/>
      <c r="X96" s="308" t="n"/>
      <c r="Y96" s="308" t="n"/>
      <c r="Z96" s="308" t="n"/>
      <c r="AA96" s="1204" t="n"/>
      <c r="AB96" s="64" t="n"/>
      <c r="AC96" s="64" t="n"/>
      <c r="AD96" s="308" t="n"/>
      <c r="AE96" s="136" t="n"/>
      <c r="AF96" s="136" t="n"/>
      <c r="AG96" s="136" t="n"/>
      <c r="AH96" s="136" t="n"/>
      <c r="AI96" s="136" t="n"/>
      <c r="AJ96" s="136" t="n"/>
      <c r="AK96" s="136" t="n"/>
      <c r="AL96" s="64" t="n"/>
      <c r="AM96" s="64" t="n"/>
      <c r="AN96" s="64" t="n"/>
    </row>
    <row r="97" ht="10.5" customHeight="1">
      <c r="A97" s="1109" t="n"/>
      <c r="B97" s="64" t="n"/>
      <c r="C97" s="308" t="n"/>
      <c r="D97" s="64" t="n"/>
      <c r="E97" s="64" t="n"/>
      <c r="F97" s="64" t="n"/>
      <c r="G97" s="308" t="n"/>
      <c r="H97" s="136" t="n"/>
      <c r="I97" s="307" t="n"/>
      <c r="J97" s="308" t="n"/>
      <c r="K97" s="308" t="n"/>
      <c r="L97" s="308" t="n"/>
      <c r="M97" s="308" t="n"/>
      <c r="N97" s="136" t="n"/>
      <c r="O97" s="308" t="n"/>
      <c r="P97" s="308" t="n"/>
      <c r="Q97" s="136" t="n"/>
      <c r="R97" s="136" t="n"/>
      <c r="S97" s="308" t="n"/>
      <c r="T97" s="64" t="n"/>
      <c r="U97" s="308" t="n"/>
      <c r="V97" s="64" t="n"/>
      <c r="W97" s="308" t="n"/>
      <c r="X97" s="308" t="n"/>
      <c r="Y97" s="308" t="n"/>
      <c r="Z97" s="308" t="n"/>
      <c r="AA97" s="1204" t="n"/>
      <c r="AB97" s="64" t="n"/>
      <c r="AC97" s="64" t="n"/>
      <c r="AD97" s="308" t="n"/>
      <c r="AE97" s="136" t="n"/>
      <c r="AF97" s="136" t="n"/>
      <c r="AG97" s="136" t="n"/>
      <c r="AH97" s="136" t="n"/>
      <c r="AI97" s="136" t="n"/>
      <c r="AJ97" s="136" t="n"/>
      <c r="AK97" s="136" t="n"/>
      <c r="AL97" s="64" t="n"/>
      <c r="AM97" s="64" t="n"/>
      <c r="AN97" s="64" t="n"/>
    </row>
    <row r="98" ht="17.25" customHeight="1">
      <c r="A98" s="793" t="inlineStr">
        <is>
          <t>5|</t>
        </is>
      </c>
      <c r="B98" s="794" t="inlineStr">
        <is>
          <t>we`¨gvb `vq‡`bv t</t>
        </is>
      </c>
      <c r="AC98" s="64" t="n"/>
      <c r="AD98" s="308" t="n"/>
      <c r="AE98" s="136" t="n"/>
      <c r="AF98" s="136" t="n"/>
      <c r="AG98" s="136" t="n"/>
      <c r="AH98" s="136" t="n"/>
      <c r="AI98" s="136" t="n"/>
      <c r="AJ98" s="136" t="n"/>
      <c r="AK98" s="136" t="n"/>
      <c r="AL98" s="64" t="n"/>
      <c r="AM98" s="64" t="n"/>
      <c r="AN98" s="64" t="n"/>
    </row>
    <row r="99" ht="17.25" customHeight="1">
      <c r="B99" s="799" t="inlineStr">
        <is>
          <t>K)</t>
        </is>
      </c>
      <c r="C99" s="800" t="inlineStr">
        <is>
          <t>mswkøó cÖKí/cÖwZôv‡bi wbKU e¨vsK/Avw_©K cÖwZôv‡bi F‡Yi wefvRb (F‡Yi ai‡Y cÖKí FY/ BMRI/ PjwZ g~jab/ bM` FY/ ˆe‡`wkK evwbR¨ FY myweav BZ¨vw` Z_¨ _vK‡e) t                                   (jÿ UvKvq)</t>
        </is>
      </c>
      <c r="AC99" s="64" t="n"/>
      <c r="AD99" s="308" t="n"/>
      <c r="AE99" s="136" t="n"/>
      <c r="AF99" s="136" t="n"/>
      <c r="AG99" s="136" t="n"/>
      <c r="AH99" s="136" t="n"/>
      <c r="AI99" s="136" t="n"/>
      <c r="AJ99" s="136" t="n"/>
      <c r="AK99" s="136" t="n"/>
      <c r="AL99" s="64" t="n"/>
      <c r="AM99" s="64" t="n"/>
      <c r="AN99" s="64" t="n"/>
    </row>
    <row r="100" ht="17.25" customHeight="1">
      <c r="AC100" s="64" t="n"/>
      <c r="AD100" s="308" t="n"/>
      <c r="AE100" s="136" t="n"/>
      <c r="AF100" s="136" t="n"/>
      <c r="AG100" s="136" t="n"/>
      <c r="AH100" s="136" t="n"/>
      <c r="AI100" s="136" t="n"/>
      <c r="AJ100" s="136" t="n"/>
      <c r="AK100" s="136" t="n"/>
      <c r="AL100" s="64" t="n"/>
      <c r="AM100" s="64" t="n"/>
      <c r="AN100" s="64" t="n"/>
    </row>
    <row r="101" ht="27.75" customHeight="1">
      <c r="C101" s="904" t="inlineStr">
        <is>
          <t>µtbs</t>
        </is>
      </c>
      <c r="D101" s="2617" t="n"/>
      <c r="E101" s="286" t="inlineStr">
        <is>
          <t>F‡bi aiY</t>
        </is>
      </c>
      <c r="F101" s="2614" t="n"/>
      <c r="G101" s="2614" t="n"/>
      <c r="H101" s="2614" t="n"/>
      <c r="I101" s="2614" t="n"/>
      <c r="J101" s="2617" t="n"/>
      <c r="K101" s="904" t="inlineStr">
        <is>
          <t>gÄyixK…Z FY</t>
        </is>
      </c>
      <c r="L101" s="2614" t="n"/>
      <c r="M101" s="2614" t="n"/>
      <c r="N101" s="2617" t="n"/>
      <c r="O101" s="904" t="inlineStr">
        <is>
          <t>w¯’wZ</t>
        </is>
      </c>
      <c r="P101" s="2614" t="n"/>
      <c r="Q101" s="2614" t="n"/>
      <c r="R101" s="2617" t="n"/>
      <c r="S101" s="904" t="inlineStr">
        <is>
          <t>‡gqv‡`vËxY©</t>
        </is>
      </c>
      <c r="T101" s="2614" t="n"/>
      <c r="U101" s="2617" t="n"/>
      <c r="V101" s="286" t="inlineStr">
        <is>
          <t>F‡bi ÷¨vUvm</t>
        </is>
      </c>
      <c r="W101" s="2614" t="n"/>
      <c r="X101" s="2614" t="n"/>
      <c r="Y101" s="2617" t="n"/>
      <c r="Z101" s="904" t="inlineStr">
        <is>
          <t>gšÍe¨</t>
        </is>
      </c>
      <c r="AA101" s="2614" t="n"/>
      <c r="AB101" s="2617" t="n"/>
      <c r="AC101" s="64" t="n"/>
      <c r="AD101" s="308" t="n"/>
      <c r="AE101" s="136" t="n"/>
      <c r="AF101" s="136" t="n"/>
      <c r="AG101" s="136" t="n"/>
      <c r="AH101" s="136" t="n"/>
      <c r="AI101" s="136" t="n"/>
      <c r="AJ101" s="136" t="n"/>
      <c r="AK101" s="136" t="n"/>
      <c r="AL101" s="64" t="n"/>
      <c r="AM101" s="64" t="n"/>
      <c r="AN101" s="64" t="n"/>
    </row>
    <row r="102" ht="16.5" customHeight="1">
      <c r="C102" s="905" t="n">
        <v>1</v>
      </c>
      <c r="D102" s="2617" t="n"/>
      <c r="E102" s="286" t="inlineStr">
        <is>
          <t>cÖKí FY</t>
        </is>
      </c>
      <c r="F102" s="2614" t="n"/>
      <c r="G102" s="2614" t="n"/>
      <c r="H102" s="2614" t="n"/>
      <c r="I102" s="2614" t="n"/>
      <c r="J102" s="2617" t="n"/>
      <c r="K102" s="1066" t="n"/>
      <c r="L102" s="2614" t="n"/>
      <c r="M102" s="2614" t="n"/>
      <c r="N102" s="2617" t="n"/>
      <c r="O102" s="1066" t="n"/>
      <c r="P102" s="2614" t="n"/>
      <c r="Q102" s="2614" t="n"/>
      <c r="R102" s="2617" t="n"/>
      <c r="S102" s="1068" t="n"/>
      <c r="T102" s="2614" t="n"/>
      <c r="U102" s="2617" t="n"/>
      <c r="V102" s="1070" t="n"/>
      <c r="W102" s="2614" t="n"/>
      <c r="X102" s="2614" t="n"/>
      <c r="Y102" s="2617" t="n"/>
      <c r="Z102" s="1068" t="n"/>
      <c r="AA102" s="2614" t="n"/>
      <c r="AB102" s="2617" t="n"/>
      <c r="AC102" s="64" t="n"/>
      <c r="AD102" s="308" t="n"/>
      <c r="AE102" s="136" t="n"/>
      <c r="AF102" s="136" t="n"/>
      <c r="AG102" s="136" t="n"/>
      <c r="AH102" s="136" t="n"/>
      <c r="AI102" s="136" t="n"/>
      <c r="AJ102" s="136" t="n"/>
      <c r="AK102" s="136" t="n"/>
      <c r="AL102" s="64" t="n"/>
      <c r="AM102" s="64" t="n"/>
      <c r="AN102" s="64" t="n"/>
    </row>
    <row r="103" ht="17.25" customHeight="1">
      <c r="C103" s="905" t="n">
        <v>2</v>
      </c>
      <c r="D103" s="2617" t="n"/>
      <c r="E103" s="286" t="inlineStr">
        <is>
          <t>PjwZ g~jab FY</t>
        </is>
      </c>
      <c r="F103" s="2614" t="n"/>
      <c r="G103" s="2614" t="n"/>
      <c r="H103" s="2614" t="n"/>
      <c r="I103" s="2614" t="n"/>
      <c r="J103" s="2617" t="n"/>
      <c r="K103" s="1066">
        <f>+C69</f>
        <v/>
      </c>
      <c r="L103" s="2614" t="n"/>
      <c r="M103" s="2614" t="n"/>
      <c r="N103" s="2617" t="n"/>
      <c r="O103" s="1066">
        <f>+P69</f>
        <v/>
      </c>
      <c r="P103" s="2614" t="n"/>
      <c r="Q103" s="2614" t="n"/>
      <c r="R103" s="2617" t="n"/>
      <c r="S103" s="1068" t="n"/>
      <c r="T103" s="2614" t="n"/>
      <c r="U103" s="2617" t="n"/>
      <c r="V103" s="1070" t="n"/>
      <c r="W103" s="2614" t="n"/>
      <c r="X103" s="2614" t="n"/>
      <c r="Y103" s="2617" t="n"/>
      <c r="Z103" s="1068" t="n"/>
      <c r="AA103" s="2614" t="n"/>
      <c r="AB103" s="2617" t="n"/>
      <c r="AC103" s="64" t="n"/>
      <c r="AD103" s="308" t="n"/>
      <c r="AE103" s="136" t="n"/>
      <c r="AF103" s="136" t="n"/>
      <c r="AG103" s="136" t="n"/>
      <c r="AH103" s="136" t="n"/>
      <c r="AI103" s="136" t="n"/>
      <c r="AJ103" s="136" t="n"/>
      <c r="AK103" s="136" t="n"/>
      <c r="AL103" s="64" t="n"/>
      <c r="AM103" s="64" t="n"/>
      <c r="AN103" s="64" t="n"/>
    </row>
    <row r="104" ht="17.25" customHeight="1">
      <c r="C104" s="905" t="n">
        <v>3</v>
      </c>
      <c r="D104" s="2617" t="n"/>
      <c r="E104" s="286" t="inlineStr">
        <is>
          <t>K¨vk †µwWU FY</t>
        </is>
      </c>
      <c r="F104" s="2614" t="n"/>
      <c r="G104" s="2614" t="n"/>
      <c r="H104" s="2614" t="n"/>
      <c r="I104" s="2614" t="n"/>
      <c r="J104" s="2617" t="n"/>
      <c r="K104" s="1073" t="n"/>
      <c r="L104" s="2614" t="n"/>
      <c r="M104" s="2614" t="n"/>
      <c r="N104" s="2617" t="n"/>
      <c r="O104" s="1073" t="n"/>
      <c r="P104" s="2614" t="n"/>
      <c r="Q104" s="2614" t="n"/>
      <c r="R104" s="2617" t="n"/>
      <c r="S104" s="904" t="n"/>
      <c r="T104" s="2614" t="n"/>
      <c r="U104" s="2617" t="n"/>
      <c r="V104" s="1017" t="n"/>
      <c r="W104" s="2614" t="n"/>
      <c r="X104" s="2614" t="n"/>
      <c r="Y104" s="2617" t="n"/>
      <c r="Z104" s="904" t="n"/>
      <c r="AA104" s="2614" t="n"/>
      <c r="AB104" s="2617" t="n"/>
      <c r="AC104" s="64" t="n"/>
      <c r="AD104" s="308" t="n"/>
      <c r="AE104" s="136" t="n"/>
      <c r="AF104" s="136" t="n"/>
      <c r="AG104" s="136" t="n"/>
      <c r="AH104" s="136" t="n"/>
      <c r="AI104" s="136" t="n"/>
      <c r="AJ104" s="136" t="n"/>
      <c r="AK104" s="136" t="n"/>
      <c r="AL104" s="64" t="n"/>
      <c r="AM104" s="64" t="n"/>
      <c r="AN104" s="64" t="n"/>
    </row>
    <row r="105" ht="15.75" customHeight="1">
      <c r="C105" s="905" t="n">
        <v>4</v>
      </c>
      <c r="D105" s="2617" t="n"/>
      <c r="E105" s="286" t="inlineStr">
        <is>
          <t>Gjwm</t>
        </is>
      </c>
      <c r="F105" s="2614" t="n"/>
      <c r="G105" s="2614" t="n"/>
      <c r="H105" s="2614" t="n"/>
      <c r="I105" s="2614" t="n"/>
      <c r="J105" s="2617" t="n"/>
      <c r="K105" s="1066" t="n"/>
      <c r="L105" s="2614" t="n"/>
      <c r="M105" s="2614" t="n"/>
      <c r="N105" s="2617" t="n"/>
      <c r="O105" s="1066" t="n"/>
      <c r="P105" s="2614" t="n"/>
      <c r="Q105" s="2614" t="n"/>
      <c r="R105" s="2617" t="n"/>
      <c r="S105" s="1068" t="n"/>
      <c r="T105" s="2614" t="n"/>
      <c r="U105" s="2617" t="n"/>
      <c r="V105" s="1070" t="n"/>
      <c r="W105" s="2614" t="n"/>
      <c r="X105" s="2614" t="n"/>
      <c r="Y105" s="2617" t="n"/>
      <c r="Z105" s="1068" t="n"/>
      <c r="AA105" s="2614" t="n"/>
      <c r="AB105" s="2617" t="n"/>
      <c r="AC105" s="64" t="n"/>
      <c r="AD105" s="308" t="n"/>
      <c r="AE105" s="136" t="n"/>
      <c r="AF105" s="136" t="n"/>
      <c r="AG105" s="136" t="n"/>
      <c r="AH105" s="136" t="n"/>
      <c r="AI105" s="136" t="n"/>
      <c r="AJ105" s="136" t="n"/>
      <c r="AK105" s="136" t="n"/>
      <c r="AL105" s="64" t="n"/>
      <c r="AM105" s="64" t="n"/>
      <c r="AN105" s="64" t="n"/>
    </row>
    <row r="106" ht="14.25" customHeight="1">
      <c r="C106" s="905" t="n">
        <v>5</v>
      </c>
      <c r="D106" s="2617" t="n"/>
      <c r="E106" s="286" t="inlineStr">
        <is>
          <t>Ab¨vb¨</t>
        </is>
      </c>
      <c r="F106" s="2614" t="n"/>
      <c r="G106" s="2614" t="n"/>
      <c r="H106" s="2614" t="n"/>
      <c r="I106" s="2614" t="n"/>
      <c r="J106" s="2617" t="n"/>
      <c r="K106" s="1066" t="n">
        <v>28</v>
      </c>
      <c r="L106" s="2614" t="n"/>
      <c r="M106" s="2614" t="n"/>
      <c r="N106" s="2617" t="n"/>
      <c r="O106" s="1066" t="n">
        <v>24.34</v>
      </c>
      <c r="P106" s="2614" t="n"/>
      <c r="Q106" s="2614" t="n"/>
      <c r="R106" s="2617" t="n"/>
      <c r="S106" s="1068" t="n"/>
      <c r="T106" s="2614" t="n"/>
      <c r="U106" s="2617" t="n"/>
      <c r="V106" s="1075" t="inlineStr">
        <is>
          <t>BDwm</t>
        </is>
      </c>
      <c r="W106" s="2614" t="n"/>
      <c r="X106" s="2614" t="n"/>
      <c r="Y106" s="2658" t="n"/>
      <c r="Z106" s="1068" t="n"/>
      <c r="AA106" s="2614" t="n"/>
      <c r="AB106" s="2617" t="n"/>
      <c r="AC106" s="64" t="n"/>
      <c r="AD106" s="308" t="n"/>
      <c r="AE106" s="136" t="n"/>
      <c r="AF106" s="136" t="n"/>
      <c r="AG106" s="136" t="n"/>
      <c r="AH106" s="136" t="n"/>
      <c r="AI106" s="136" t="n"/>
      <c r="AJ106" s="136" t="n"/>
      <c r="AK106" s="136" t="n"/>
      <c r="AL106" s="64" t="n"/>
      <c r="AM106" s="64" t="n"/>
      <c r="AN106" s="64" t="n"/>
    </row>
    <row r="107" ht="16.5" customHeight="1">
      <c r="C107" s="904" t="n"/>
      <c r="D107" s="2617" t="n"/>
      <c r="E107" s="286" t="inlineStr">
        <is>
          <t>‡gvU t</t>
        </is>
      </c>
      <c r="F107" s="2614" t="n"/>
      <c r="G107" s="2614" t="n"/>
      <c r="H107" s="2614" t="n"/>
      <c r="I107" s="2614" t="n"/>
      <c r="J107" s="2617" t="n"/>
      <c r="K107" s="1066">
        <f>SUM(K102:N106)</f>
        <v/>
      </c>
      <c r="L107" s="2614" t="n"/>
      <c r="M107" s="2614" t="n"/>
      <c r="N107" s="2617" t="n"/>
      <c r="O107" s="1066">
        <f>SUM(O102:R106)</f>
        <v/>
      </c>
      <c r="P107" s="2614" t="n"/>
      <c r="Q107" s="2614" t="n"/>
      <c r="R107" s="2617" t="n"/>
      <c r="S107" s="1068">
        <f>SUM(S102:U106)</f>
        <v/>
      </c>
      <c r="T107" s="2614" t="n"/>
      <c r="U107" s="2617" t="n"/>
      <c r="V107" s="1078" t="n"/>
      <c r="W107" s="2614" t="n"/>
      <c r="X107" s="2614" t="n"/>
      <c r="Y107" s="2617" t="n"/>
      <c r="Z107" s="1068" t="n"/>
      <c r="AA107" s="2614" t="n"/>
      <c r="AB107" s="2617" t="n"/>
      <c r="AC107" s="64" t="n"/>
      <c r="AD107" s="308" t="n"/>
      <c r="AE107" s="136" t="n"/>
      <c r="AF107" s="136" t="n"/>
      <c r="AG107" s="136" t="n"/>
      <c r="AH107" s="136" t="n"/>
      <c r="AI107" s="136" t="n"/>
      <c r="AJ107" s="136" t="n"/>
      <c r="AK107" s="136" t="n"/>
      <c r="AL107" s="64" t="n"/>
      <c r="AM107" s="64" t="n"/>
      <c r="AN107" s="64" t="n"/>
    </row>
    <row r="108" ht="12" customHeight="1">
      <c r="B108" s="64" t="n"/>
      <c r="C108" s="308" t="n"/>
      <c r="D108" s="64" t="n"/>
      <c r="E108" s="64" t="n"/>
      <c r="F108" s="64" t="n"/>
      <c r="G108" s="308" t="n"/>
      <c r="H108" s="136" t="n"/>
      <c r="I108" s="307" t="n"/>
      <c r="J108" s="308" t="n"/>
      <c r="K108" s="308" t="n"/>
      <c r="L108" s="308" t="n"/>
      <c r="M108" s="308" t="n"/>
      <c r="N108" s="136" t="n"/>
      <c r="O108" s="308" t="n"/>
      <c r="P108" s="308" t="n"/>
      <c r="Q108" s="136" t="n"/>
      <c r="R108" s="136" t="n"/>
      <c r="S108" s="308" t="n"/>
      <c r="T108" s="64" t="n"/>
      <c r="U108" s="308" t="n"/>
      <c r="V108" s="64" t="n"/>
      <c r="W108" s="308" t="n"/>
      <c r="X108" s="308" t="n"/>
      <c r="Y108" s="308" t="n"/>
      <c r="Z108" s="308" t="n"/>
      <c r="AA108" s="1204" t="n"/>
      <c r="AB108" s="64" t="n"/>
      <c r="AC108" s="64" t="n"/>
      <c r="AD108" s="308" t="n"/>
      <c r="AE108" s="136" t="n"/>
      <c r="AF108" s="136" t="n"/>
      <c r="AG108" s="136" t="n"/>
      <c r="AH108" s="136" t="n"/>
      <c r="AI108" s="136" t="n"/>
      <c r="AJ108" s="136" t="n"/>
      <c r="AK108" s="136" t="n"/>
      <c r="AL108" s="64" t="n"/>
      <c r="AM108" s="64" t="n"/>
      <c r="AN108" s="64" t="n"/>
    </row>
    <row r="109" ht="17.25" customHeight="1">
      <c r="B109" s="799" t="inlineStr">
        <is>
          <t>L)</t>
        </is>
      </c>
      <c r="C109" s="297">
        <f>"mn‡hvMx cÖwZôv‡bi/MÖæci nvjm‡bi `vq-‡`bv I e¨emvwqK cvidi‡gÝ  "&amp;R80&amp;" t"</f>
        <v/>
      </c>
      <c r="AC109" s="64" t="n"/>
      <c r="AD109" s="308" t="n"/>
      <c r="AE109" s="136" t="n"/>
      <c r="AF109" s="136" t="n"/>
      <c r="AG109" s="136" t="n"/>
      <c r="AH109" s="136" t="n"/>
      <c r="AI109" s="136" t="n"/>
      <c r="AJ109" s="136" t="n"/>
      <c r="AK109" s="136" t="n"/>
      <c r="AL109" s="64" t="n"/>
      <c r="AM109" s="64" t="n"/>
      <c r="AN109" s="64" t="n"/>
    </row>
    <row r="110" ht="34.5" customFormat="1" customHeight="1" s="18">
      <c r="C110" s="265" t="inlineStr">
        <is>
          <t>µtbs</t>
        </is>
      </c>
      <c r="D110" s="2617" t="n"/>
      <c r="E110" s="263" t="inlineStr">
        <is>
          <t>cÖKí/cÖwZôv‡bi bvg</t>
        </is>
      </c>
      <c r="F110" s="2614" t="n"/>
      <c r="G110" s="2614" t="n"/>
      <c r="H110" s="2614" t="n"/>
      <c r="I110" s="2617" t="n"/>
      <c r="J110" s="1080" t="inlineStr">
        <is>
          <t>FY`vbKvix cÖwZôv‡bi bvg</t>
        </is>
      </c>
      <c r="K110" s="2614" t="n"/>
      <c r="L110" s="2614" t="n"/>
      <c r="M110" s="2614" t="n"/>
      <c r="N110" s="2614" t="n"/>
      <c r="O110" s="2614" t="n"/>
      <c r="P110" s="2617" t="n"/>
      <c r="Q110" s="262" t="inlineStr">
        <is>
          <t>F‡bi aiY</t>
        </is>
      </c>
      <c r="R110" s="2614" t="n"/>
      <c r="S110" s="2614" t="n"/>
      <c r="T110" s="2617" t="n"/>
      <c r="U110" s="265" t="inlineStr">
        <is>
          <t>F‡bi cwigvb</t>
        </is>
      </c>
      <c r="V110" s="2614" t="n"/>
      <c r="W110" s="2617" t="n"/>
      <c r="X110" s="265" t="inlineStr">
        <is>
          <t>FY w¯’wZ</t>
        </is>
      </c>
      <c r="Y110" s="2614" t="n"/>
      <c r="Z110" s="2617" t="n"/>
      <c r="AA110" s="1012" t="inlineStr">
        <is>
          <t>÷¨vUvm</t>
        </is>
      </c>
      <c r="AB110" s="2617" t="n"/>
      <c r="AC110" s="103" t="n"/>
      <c r="AD110" s="555" t="n"/>
      <c r="AE110" s="225" t="n"/>
      <c r="AF110" s="225" t="n"/>
      <c r="AG110" s="225" t="n"/>
      <c r="AH110" s="225" t="n"/>
      <c r="AI110" s="225" t="n"/>
      <c r="AJ110" s="225" t="n"/>
      <c r="AK110" s="225" t="n"/>
      <c r="AL110" s="103" t="n"/>
      <c r="AM110" s="103" t="n"/>
      <c r="AN110" s="103" t="n"/>
    </row>
    <row r="111" ht="17.25" customHeight="1">
      <c r="C111" s="904" t="inlineStr">
        <is>
          <t>01)</t>
        </is>
      </c>
      <c r="D111" s="2617" t="n"/>
      <c r="E111" s="286" t="inlineStr">
        <is>
          <t>cÖ‡hvR¨ bq|</t>
        </is>
      </c>
      <c r="F111" s="2614" t="n"/>
      <c r="G111" s="2614" t="n"/>
      <c r="H111" s="2614" t="n"/>
      <c r="I111" s="2617" t="n"/>
      <c r="J111" s="1058" t="n"/>
      <c r="K111" s="2614" t="n"/>
      <c r="L111" s="2614" t="n"/>
      <c r="M111" s="2614" t="n"/>
      <c r="N111" s="2614" t="n"/>
      <c r="O111" s="2614" t="n"/>
      <c r="P111" s="2617" t="n"/>
      <c r="Q111" s="905" t="inlineStr">
        <is>
          <t>cÖKí FY</t>
        </is>
      </c>
      <c r="R111" s="2614" t="n"/>
      <c r="S111" s="2614" t="n"/>
      <c r="T111" s="2617" t="n"/>
      <c r="U111" s="1058" t="n"/>
      <c r="V111" s="2614" t="n"/>
      <c r="W111" s="2617" t="n"/>
      <c r="X111" s="1058" t="n"/>
      <c r="Y111" s="2614" t="n"/>
      <c r="Z111" s="2617" t="n"/>
      <c r="AA111" s="1082" t="n"/>
      <c r="AB111" s="2617" t="n"/>
      <c r="AC111" s="64" t="n"/>
      <c r="AD111" s="308" t="n"/>
      <c r="AE111" s="136" t="n"/>
      <c r="AF111" s="136" t="n"/>
      <c r="AG111" s="136" t="n"/>
      <c r="AH111" s="136" t="n"/>
      <c r="AI111" s="136" t="n"/>
      <c r="AJ111" s="136" t="n"/>
      <c r="AK111" s="136" t="n"/>
      <c r="AL111" s="64" t="n"/>
      <c r="AM111" s="64" t="n"/>
      <c r="AN111" s="64" t="n"/>
    </row>
    <row r="112" ht="17.25" customHeight="1">
      <c r="C112" s="904" t="n"/>
      <c r="D112" s="2617" t="n"/>
      <c r="E112" s="1057" t="n"/>
      <c r="F112" s="2614" t="n"/>
      <c r="G112" s="2614" t="n"/>
      <c r="H112" s="2614" t="n"/>
      <c r="I112" s="2617" t="n"/>
      <c r="J112" s="1058" t="n"/>
      <c r="K112" s="2614" t="n"/>
      <c r="L112" s="2614" t="n"/>
      <c r="M112" s="2614" t="n"/>
      <c r="N112" s="2614" t="n"/>
      <c r="O112" s="2614" t="n"/>
      <c r="P112" s="2617" t="n"/>
      <c r="Q112" s="905" t="inlineStr">
        <is>
          <t>PjwZ g~jab FY</t>
        </is>
      </c>
      <c r="R112" s="2614" t="n"/>
      <c r="S112" s="2614" t="n"/>
      <c r="T112" s="2617" t="n"/>
      <c r="U112" s="1058" t="n"/>
      <c r="V112" s="2614" t="n"/>
      <c r="W112" s="2617" t="n"/>
      <c r="X112" s="1058" t="n"/>
      <c r="Y112" s="2614" t="n"/>
      <c r="Z112" s="2617" t="n"/>
      <c r="AA112" s="1082" t="n"/>
      <c r="AB112" s="2617" t="n"/>
      <c r="AC112" s="64" t="n"/>
      <c r="AD112" s="308" t="n"/>
      <c r="AE112" s="136" t="n"/>
      <c r="AF112" s="136" t="n"/>
      <c r="AG112" s="136" t="n"/>
      <c r="AH112" s="136" t="n"/>
      <c r="AI112" s="136" t="n"/>
      <c r="AJ112" s="136" t="n"/>
      <c r="AK112" s="136" t="n"/>
      <c r="AL112" s="64" t="n"/>
      <c r="AM112" s="64" t="n"/>
      <c r="AN112" s="64" t="n"/>
    </row>
    <row r="113" ht="19.5" customHeight="1">
      <c r="C113" s="1058" t="n"/>
      <c r="D113" s="2617" t="n"/>
      <c r="E113" s="1057" t="n"/>
      <c r="F113" s="2614" t="n"/>
      <c r="G113" s="2614" t="n"/>
      <c r="H113" s="2614" t="n"/>
      <c r="I113" s="2617" t="n"/>
      <c r="J113" s="1058" t="n"/>
      <c r="K113" s="2614" t="n"/>
      <c r="L113" s="2614" t="n"/>
      <c r="M113" s="2614" t="n"/>
      <c r="N113" s="2614" t="n"/>
      <c r="O113" s="2614" t="n"/>
      <c r="P113" s="2617" t="n"/>
      <c r="Q113" s="905" t="inlineStr">
        <is>
          <t>K¨vk †µwWU FY</t>
        </is>
      </c>
      <c r="R113" s="2614" t="n"/>
      <c r="S113" s="2614" t="n"/>
      <c r="T113" s="2617" t="n"/>
      <c r="U113" s="1058" t="n"/>
      <c r="V113" s="2614" t="n"/>
      <c r="W113" s="2617" t="n"/>
      <c r="X113" s="1058" t="n"/>
      <c r="Y113" s="2614" t="n"/>
      <c r="Z113" s="2617" t="n"/>
      <c r="AA113" s="1082" t="n"/>
      <c r="AB113" s="2617" t="n"/>
      <c r="AC113" s="64" t="n"/>
      <c r="AD113" s="308" t="n"/>
      <c r="AE113" s="136" t="n"/>
      <c r="AF113" s="136" t="n"/>
      <c r="AG113" s="136" t="n"/>
      <c r="AH113" s="136" t="n"/>
      <c r="AI113" s="136" t="n"/>
      <c r="AJ113" s="136" t="n"/>
      <c r="AK113" s="136" t="n"/>
      <c r="AL113" s="64" t="n"/>
      <c r="AM113" s="64" t="n"/>
      <c r="AN113" s="64" t="n"/>
    </row>
    <row r="114" ht="15.75" customHeight="1">
      <c r="C114" s="1058" t="n"/>
      <c r="D114" s="2617" t="n"/>
      <c r="E114" s="1057" t="n"/>
      <c r="F114" s="2614" t="n"/>
      <c r="G114" s="2614" t="n"/>
      <c r="H114" s="2614" t="n"/>
      <c r="I114" s="2617" t="n"/>
      <c r="J114" s="1058" t="n"/>
      <c r="K114" s="2614" t="n"/>
      <c r="L114" s="2614" t="n"/>
      <c r="M114" s="2614" t="n"/>
      <c r="N114" s="2614" t="n"/>
      <c r="O114" s="2614" t="n"/>
      <c r="P114" s="2617" t="n"/>
      <c r="Q114" s="905" t="inlineStr">
        <is>
          <t>Gjwm</t>
        </is>
      </c>
      <c r="R114" s="2614" t="n"/>
      <c r="S114" s="2614" t="n"/>
      <c r="T114" s="2617" t="n"/>
      <c r="U114" s="1058" t="n"/>
      <c r="V114" s="2614" t="n"/>
      <c r="W114" s="2617" t="n"/>
      <c r="X114" s="1058" t="n"/>
      <c r="Y114" s="2614" t="n"/>
      <c r="Z114" s="2617" t="n"/>
      <c r="AA114" s="1082" t="n"/>
      <c r="AB114" s="2617" t="n"/>
      <c r="AC114" s="64" t="n"/>
      <c r="AD114" s="308" t="n"/>
      <c r="AE114" s="136" t="n"/>
      <c r="AF114" s="136" t="n"/>
      <c r="AG114" s="136" t="n"/>
      <c r="AH114" s="136" t="n"/>
      <c r="AI114" s="136" t="n"/>
      <c r="AJ114" s="136" t="n"/>
      <c r="AK114" s="136" t="n"/>
      <c r="AL114" s="64" t="n"/>
      <c r="AM114" s="64" t="n"/>
      <c r="AN114" s="64" t="n"/>
    </row>
    <row r="115" ht="15.75" customHeight="1">
      <c r="C115" s="1058" t="n"/>
      <c r="D115" s="2617" t="n"/>
      <c r="E115" s="1057" t="n"/>
      <c r="F115" s="2614" t="n"/>
      <c r="G115" s="2614" t="n"/>
      <c r="H115" s="2614" t="n"/>
      <c r="I115" s="2617" t="n"/>
      <c r="J115" s="1058" t="n"/>
      <c r="K115" s="2614" t="n"/>
      <c r="L115" s="2614" t="n"/>
      <c r="M115" s="2614" t="n"/>
      <c r="N115" s="2614" t="n"/>
      <c r="O115" s="2614" t="n"/>
      <c r="P115" s="2617" t="n"/>
      <c r="Q115" s="905" t="inlineStr">
        <is>
          <t>Ab¨vb¨</t>
        </is>
      </c>
      <c r="R115" s="2614" t="n"/>
      <c r="S115" s="2614" t="n"/>
      <c r="T115" s="2617" t="n"/>
      <c r="U115" s="1058" t="n"/>
      <c r="V115" s="2614" t="n"/>
      <c r="W115" s="2617" t="n"/>
      <c r="X115" s="1058" t="n"/>
      <c r="Y115" s="2614" t="n"/>
      <c r="Z115" s="2617" t="n"/>
      <c r="AA115" s="1082" t="n"/>
      <c r="AB115" s="2617" t="n"/>
      <c r="AC115" s="64" t="n"/>
      <c r="AD115" s="308" t="n"/>
      <c r="AE115" s="136" t="n"/>
      <c r="AF115" s="136" t="n"/>
      <c r="AG115" s="136" t="n"/>
      <c r="AH115" s="136" t="n"/>
      <c r="AI115" s="136" t="n"/>
      <c r="AJ115" s="136" t="n"/>
      <c r="AK115" s="136" t="n"/>
      <c r="AL115" s="64" t="n"/>
      <c r="AM115" s="64" t="n"/>
      <c r="AN115" s="64" t="n"/>
    </row>
    <row r="116" ht="11.25" customHeight="1">
      <c r="B116" s="295" t="n"/>
      <c r="C116" s="297" t="n"/>
      <c r="D116" s="295" t="n"/>
      <c r="E116" s="295" t="n"/>
      <c r="F116" s="295" t="n"/>
      <c r="G116" s="297" t="n"/>
      <c r="H116" s="803" t="n"/>
      <c r="I116" s="296" t="n"/>
      <c r="J116" s="297" t="n"/>
      <c r="K116" s="297" t="n"/>
      <c r="L116" s="297" t="n"/>
      <c r="M116" s="297" t="n"/>
      <c r="N116" s="803" t="n"/>
      <c r="O116" s="297" t="n"/>
      <c r="P116" s="297" t="n"/>
      <c r="Q116" s="803" t="n"/>
      <c r="R116" s="803" t="n"/>
      <c r="S116" s="297" t="n"/>
      <c r="T116" s="295" t="n"/>
      <c r="U116" s="308" t="n"/>
      <c r="V116" s="64" t="n"/>
      <c r="W116" s="308" t="n"/>
      <c r="X116" s="297" t="n"/>
      <c r="Y116" s="297" t="n"/>
      <c r="Z116" s="297" t="n"/>
      <c r="AA116" s="1204" t="n"/>
      <c r="AB116" s="64" t="n"/>
      <c r="AC116" s="64" t="n"/>
      <c r="AD116" s="308" t="n"/>
      <c r="AE116" s="136" t="n"/>
      <c r="AF116" s="136" t="n"/>
      <c r="AG116" s="136" t="n"/>
      <c r="AH116" s="136" t="n"/>
      <c r="AI116" s="136" t="n"/>
      <c r="AJ116" s="136" t="n"/>
      <c r="AK116" s="136" t="n"/>
      <c r="AL116" s="64" t="n"/>
      <c r="AM116" s="64" t="n"/>
      <c r="AN116" s="64" t="n"/>
    </row>
    <row r="117" ht="17.25" customHeight="1">
      <c r="B117" s="793" t="inlineStr">
        <is>
          <t>(M)</t>
        </is>
      </c>
      <c r="C117" s="297" t="inlineStr">
        <is>
          <t xml:space="preserve">MÖæ‡ci `vq †`bvt </t>
        </is>
      </c>
      <c r="Z117" s="817" t="inlineStr">
        <is>
          <t>(jÿ UvKvq)</t>
        </is>
      </c>
      <c r="AC117" s="64" t="n"/>
      <c r="AD117" s="308" t="n"/>
      <c r="AE117" s="136" t="n"/>
      <c r="AF117" s="136" t="n"/>
      <c r="AG117" s="136" t="n"/>
      <c r="AH117" s="136" t="n"/>
      <c r="AI117" s="136" t="n"/>
      <c r="AJ117" s="136" t="n"/>
      <c r="AK117" s="136" t="n"/>
      <c r="AL117" s="64" t="n"/>
      <c r="AM117" s="64" t="n"/>
      <c r="AN117" s="64" t="n"/>
    </row>
    <row r="118" ht="17.25" customHeight="1">
      <c r="C118" s="904" t="inlineStr">
        <is>
          <t>µtbs</t>
        </is>
      </c>
      <c r="D118" s="2617" t="n"/>
      <c r="E118" s="286" t="inlineStr">
        <is>
          <t>MÖæ‡ci bvg</t>
        </is>
      </c>
      <c r="F118" s="2614" t="n"/>
      <c r="G118" s="2614" t="n"/>
      <c r="H118" s="2614" t="n"/>
      <c r="I118" s="2614" t="n"/>
      <c r="J118" s="2614" t="n"/>
      <c r="K118" s="2614" t="n"/>
      <c r="L118" s="2614" t="n"/>
      <c r="M118" s="2614" t="n"/>
      <c r="N118" s="2617" t="n"/>
      <c r="O118" s="904" t="inlineStr">
        <is>
          <t>†gvU m¤ú`</t>
        </is>
      </c>
      <c r="P118" s="2614" t="n"/>
      <c r="Q118" s="2614" t="n"/>
      <c r="R118" s="2614" t="n"/>
      <c r="S118" s="2617" t="n"/>
      <c r="T118" s="286" t="inlineStr">
        <is>
          <t>†gvU `vq</t>
        </is>
      </c>
      <c r="U118" s="2614" t="n"/>
      <c r="V118" s="2614" t="n"/>
      <c r="W118" s="2617" t="n"/>
      <c r="X118" s="904" t="inlineStr">
        <is>
          <t>bxU Iqv_©/ (gyj¨)</t>
        </is>
      </c>
      <c r="Y118" s="2614" t="n"/>
      <c r="Z118" s="2614" t="n"/>
      <c r="AA118" s="2614" t="n"/>
      <c r="AB118" s="2617" t="n"/>
      <c r="AC118" s="64" t="n"/>
      <c r="AD118" s="308" t="n"/>
      <c r="AE118" s="136" t="n"/>
      <c r="AF118" s="136" t="n"/>
      <c r="AG118" s="136" t="n"/>
      <c r="AH118" s="136" t="n"/>
      <c r="AI118" s="136" t="n"/>
      <c r="AJ118" s="136" t="n"/>
      <c r="AK118" s="136" t="n"/>
      <c r="AL118" s="64" t="n"/>
      <c r="AM118" s="64" t="n"/>
      <c r="AN118" s="64" t="n"/>
    </row>
    <row r="119" ht="17.25" customHeight="1">
      <c r="C119" s="905" t="n">
        <v>1</v>
      </c>
      <c r="D119" s="2617" t="n"/>
      <c r="E119" s="286" t="inlineStr">
        <is>
          <t>cÖ‡hvR¨ bq</t>
        </is>
      </c>
      <c r="F119" s="2614" t="n"/>
      <c r="G119" s="2614" t="n"/>
      <c r="H119" s="2614" t="n"/>
      <c r="I119" s="2614" t="n"/>
      <c r="J119" s="2614" t="n"/>
      <c r="K119" s="2614" t="n"/>
      <c r="L119" s="2614" t="n"/>
      <c r="M119" s="2614" t="n"/>
      <c r="N119" s="2614" t="n"/>
      <c r="O119" s="2614" t="n"/>
      <c r="P119" s="2614" t="n"/>
      <c r="Q119" s="2614" t="n"/>
      <c r="R119" s="2614" t="n"/>
      <c r="S119" s="2614" t="n"/>
      <c r="T119" s="2614" t="n"/>
      <c r="U119" s="2614" t="n"/>
      <c r="V119" s="2614" t="n"/>
      <c r="W119" s="2614" t="n"/>
      <c r="X119" s="2614" t="n"/>
      <c r="Y119" s="2614" t="n"/>
      <c r="Z119" s="2614" t="n"/>
      <c r="AA119" s="2614" t="n"/>
      <c r="AB119" s="2617" t="n"/>
      <c r="AC119" s="64" t="n"/>
      <c r="AD119" s="308" t="n"/>
      <c r="AE119" s="136" t="n"/>
      <c r="AF119" s="136" t="n"/>
      <c r="AG119" s="136" t="n"/>
      <c r="AH119" s="136" t="n"/>
      <c r="AI119" s="136" t="n"/>
      <c r="AJ119" s="136" t="n"/>
      <c r="AK119" s="136" t="n"/>
      <c r="AL119" s="64" t="n"/>
      <c r="AM119" s="64" t="n"/>
      <c r="AN119" s="64" t="n"/>
    </row>
    <row r="120" ht="8.25" customHeight="1">
      <c r="A120" s="1109" t="n"/>
      <c r="B120" s="64" t="n"/>
      <c r="C120" s="308" t="n"/>
      <c r="D120" s="64" t="n"/>
      <c r="E120" s="64" t="n"/>
      <c r="F120" s="64" t="n"/>
      <c r="G120" s="308" t="n"/>
      <c r="H120" s="136" t="n"/>
      <c r="I120" s="307" t="n"/>
      <c r="J120" s="308" t="n"/>
      <c r="K120" s="308" t="n"/>
      <c r="L120" s="308" t="n"/>
      <c r="M120" s="308" t="n"/>
      <c r="N120" s="136" t="n"/>
      <c r="O120" s="308" t="n"/>
      <c r="P120" s="308" t="n"/>
      <c r="Q120" s="136" t="n"/>
      <c r="R120" s="136" t="n"/>
      <c r="S120" s="308" t="n"/>
      <c r="T120" s="64" t="n"/>
      <c r="U120" s="308" t="n"/>
      <c r="V120" s="64" t="n"/>
      <c r="W120" s="308" t="n"/>
      <c r="X120" s="308" t="n"/>
      <c r="Y120" s="308" t="n"/>
      <c r="Z120" s="308" t="n"/>
      <c r="AA120" s="1204" t="n"/>
      <c r="AB120" s="64" t="n"/>
      <c r="AC120" s="64" t="n"/>
      <c r="AD120" s="308" t="n"/>
      <c r="AE120" s="136" t="n"/>
      <c r="AF120" s="136" t="n"/>
      <c r="AG120" s="136" t="n"/>
      <c r="AH120" s="136" t="n"/>
      <c r="AI120" s="136" t="n"/>
      <c r="AJ120" s="136" t="n"/>
      <c r="AK120" s="136" t="n"/>
      <c r="AL120" s="64" t="n"/>
      <c r="AM120" s="64" t="n"/>
      <c r="AN120" s="64" t="n"/>
    </row>
    <row r="121" ht="20.25" customHeight="1">
      <c r="A121" s="239" t="inlineStr">
        <is>
          <t>6|</t>
        </is>
      </c>
      <c r="B121" s="239" t="inlineStr">
        <is>
          <t>my` gIKyd/ Ae‡jvcb/ cybt ZdwkjxKib msµvšÍ Z_¨ (cÖ‡hvR¨ †ÿ‡Î)</t>
        </is>
      </c>
      <c r="T121" s="295" t="inlineStr">
        <is>
          <t>cÖ‡hvR¨ b‡n|</t>
        </is>
      </c>
      <c r="U121" s="297" t="n"/>
      <c r="V121" s="295" t="n"/>
      <c r="W121" s="297" t="n"/>
      <c r="X121" s="297" t="n"/>
      <c r="Y121" s="297" t="n"/>
      <c r="Z121" s="297" t="n"/>
      <c r="AA121" s="804" t="n"/>
      <c r="AB121" s="295" t="n"/>
      <c r="AC121" s="64" t="n"/>
      <c r="AD121" s="308" t="n"/>
      <c r="AE121" s="136" t="n"/>
      <c r="AF121" s="136" t="n"/>
      <c r="AG121" s="136" t="n"/>
      <c r="AH121" s="136" t="n"/>
      <c r="AI121" s="136" t="n"/>
      <c r="AJ121" s="136" t="n"/>
      <c r="AK121" s="136" t="n"/>
      <c r="AL121" s="64" t="n"/>
      <c r="AM121" s="64" t="n"/>
      <c r="AN121" s="64" t="n"/>
    </row>
    <row r="122" ht="16.5" customHeight="1">
      <c r="A122" s="239" t="inlineStr">
        <is>
          <t>7|</t>
        </is>
      </c>
      <c r="B122" s="239" t="inlineStr">
        <is>
          <t>wmAvBwe cÖwZ‡e`‡b F‡Yi ÷¨vUvm</t>
        </is>
      </c>
      <c r="Q122" s="803" t="inlineStr">
        <is>
          <t>t</t>
        </is>
      </c>
      <c r="R122" s="1086" t="inlineStr">
        <is>
          <t>wi‡cvU© mshy³</t>
        </is>
      </c>
      <c r="S122" s="2615" t="n"/>
      <c r="T122" s="2615" t="n"/>
      <c r="U122" s="2615" t="n"/>
      <c r="V122" s="2615" t="n"/>
      <c r="W122" s="2615" t="n"/>
      <c r="X122" s="2615" t="n"/>
      <c r="Y122" s="2615" t="n"/>
      <c r="Z122" s="2615" t="n"/>
      <c r="AA122" s="2615" t="n"/>
      <c r="AB122" s="2616" t="n"/>
      <c r="AC122" s="64" t="n"/>
      <c r="AD122" s="308" t="n"/>
      <c r="AE122" s="136" t="n"/>
      <c r="AF122" s="136" t="n"/>
      <c r="AG122" s="136" t="n"/>
      <c r="AH122" s="136" t="n"/>
      <c r="AI122" s="136" t="n"/>
      <c r="AJ122" s="136" t="n"/>
      <c r="AK122" s="136" t="n"/>
      <c r="AL122" s="64" t="n"/>
      <c r="AM122" s="64" t="n"/>
      <c r="AN122" s="64" t="n"/>
    </row>
    <row r="123" ht="31.5" customHeight="1">
      <c r="A123" s="1109" t="inlineStr">
        <is>
          <t>8|</t>
        </is>
      </c>
      <c r="B123" s="1109" t="inlineStr">
        <is>
          <t>Gbfvqib‡g›U wi¯‹ ‡MÖwWs (ERG) (25.00 jÿ UvKvi D‡×©)</t>
        </is>
      </c>
      <c r="Q123" s="803" t="inlineStr">
        <is>
          <t>t</t>
        </is>
      </c>
      <c r="R123" s="996" t="inlineStr">
        <is>
          <t>cÖ‡hvR¨ bq|</t>
        </is>
      </c>
      <c r="AC123" s="64" t="n"/>
      <c r="AD123" s="308" t="n"/>
      <c r="AE123" s="136" t="n"/>
      <c r="AF123" s="136" t="n"/>
      <c r="AG123" s="136" t="n"/>
      <c r="AH123" s="136" t="n"/>
      <c r="AI123" s="136" t="n"/>
      <c r="AJ123" s="136" t="n"/>
      <c r="AK123" s="136" t="n"/>
      <c r="AL123" s="64" t="n"/>
      <c r="AM123" s="64" t="n"/>
      <c r="AN123" s="64" t="n"/>
    </row>
    <row r="124" ht="20.25" customHeight="1">
      <c r="A124" s="1109" t="inlineStr">
        <is>
          <t>9|</t>
        </is>
      </c>
      <c r="B124" s="1109" t="inlineStr">
        <is>
          <t>†µwWU wi¯‹ ‡MÖwWs (CRG) (‡eªK-Avc wfwËK) †¯‹vi</t>
        </is>
      </c>
      <c r="Q124" s="803" t="inlineStr">
        <is>
          <t>t</t>
        </is>
      </c>
      <c r="R124" s="790" t="n"/>
      <c r="T124" s="295" t="inlineStr">
        <is>
          <t xml:space="preserve">(÷¨vUvm- MÖnb‡hvM¨) </t>
        </is>
      </c>
      <c r="U124" s="297" t="n"/>
      <c r="V124" s="295" t="n"/>
      <c r="W124" s="297" t="n"/>
      <c r="X124" s="297" t="n"/>
      <c r="Y124" s="297" t="n"/>
      <c r="Z124" s="297" t="n"/>
      <c r="AA124" s="804" t="n"/>
      <c r="AB124" s="295" t="n"/>
      <c r="AC124" s="64" t="n"/>
      <c r="AD124" s="308" t="n"/>
      <c r="AE124" s="1094" t="inlineStr">
        <is>
          <t>CRG  থেকে আসবে</t>
        </is>
      </c>
      <c r="AF124" s="136" t="n"/>
      <c r="AG124" s="136" t="n"/>
      <c r="AH124" s="136" t="n"/>
      <c r="AI124" s="136" t="n"/>
      <c r="AJ124" s="136" t="n"/>
      <c r="AK124" s="136" t="n"/>
      <c r="AL124" s="64" t="n"/>
      <c r="AM124" s="64" t="n"/>
      <c r="AN124" s="64" t="n"/>
    </row>
    <row r="125" ht="19.5" customHeight="1">
      <c r="A125" s="239" t="inlineStr">
        <is>
          <t>10|</t>
        </is>
      </c>
      <c r="B125" s="1109" t="inlineStr">
        <is>
          <t>†UªW jvB‡mÝ</t>
        </is>
      </c>
      <c r="Q125" s="803" t="inlineStr">
        <is>
          <t>t</t>
        </is>
      </c>
      <c r="R125" s="1095" t="inlineStr">
        <is>
          <t>2025 m†bi Ryb gvm chšÍ© bevqbK…Z|</t>
        </is>
      </c>
      <c r="S125" s="2615" t="n"/>
      <c r="T125" s="2615" t="n"/>
      <c r="U125" s="2615" t="n"/>
      <c r="V125" s="2615" t="n"/>
      <c r="W125" s="2615" t="n"/>
      <c r="X125" s="2615" t="n"/>
      <c r="Y125" s="2615" t="n"/>
      <c r="Z125" s="2615" t="n"/>
      <c r="AA125" s="2615" t="n"/>
      <c r="AB125" s="2616" t="n"/>
      <c r="AC125" s="64" t="n"/>
      <c r="AD125" s="308" t="n"/>
      <c r="AE125" s="136" t="n"/>
      <c r="AF125" s="136" t="n"/>
      <c r="AG125" s="136" t="n"/>
      <c r="AH125" s="136" t="n"/>
      <c r="AI125" s="136" t="n"/>
      <c r="AJ125" s="136" t="n"/>
      <c r="AK125" s="136" t="n"/>
      <c r="AL125" s="64" t="n"/>
      <c r="AM125" s="64" t="n"/>
      <c r="AN125" s="64" t="n"/>
    </row>
    <row r="126" ht="20.25" customHeight="1">
      <c r="A126" s="1109" t="inlineStr">
        <is>
          <t>11|</t>
        </is>
      </c>
      <c r="B126" s="1109" t="inlineStr">
        <is>
          <t>wUb b¤^i mn AvqKi cwi‡kv‡ai Z_¨</t>
        </is>
      </c>
      <c r="Q126" s="803" t="inlineStr">
        <is>
          <t>t</t>
        </is>
      </c>
      <c r="R126" s="1099">
        <f>'Data Input'!D26&amp;   " I  2024-2025 Ki eQi"</f>
        <v/>
      </c>
      <c r="S126" s="2615" t="n"/>
      <c r="T126" s="2615" t="n"/>
      <c r="U126" s="2615" t="n"/>
      <c r="V126" s="2615" t="n"/>
      <c r="W126" s="2615" t="n"/>
      <c r="X126" s="2615" t="n"/>
      <c r="Y126" s="2615" t="n"/>
      <c r="Z126" s="2615" t="n"/>
      <c r="AA126" s="2615" t="n"/>
      <c r="AB126" s="2616" t="n"/>
      <c r="AC126" s="64" t="n"/>
      <c r="AD126" s="308" t="n"/>
      <c r="AE126" s="136" t="n"/>
      <c r="AF126" s="136" t="n"/>
      <c r="AG126" s="136" t="n"/>
      <c r="AH126" s="136" t="n"/>
      <c r="AI126" s="136" t="n"/>
      <c r="AJ126" s="136" t="n"/>
      <c r="AK126" s="136" t="n"/>
      <c r="AL126" s="64" t="n"/>
      <c r="AM126" s="64" t="n"/>
      <c r="AN126" s="64" t="n"/>
    </row>
    <row r="127" ht="17.25" customHeight="1">
      <c r="A127" s="1109" t="inlineStr">
        <is>
          <t>12|</t>
        </is>
      </c>
      <c r="B127" s="1109" t="inlineStr">
        <is>
          <t>fvov Pzw³i †gqv`</t>
        </is>
      </c>
      <c r="Q127" s="803" t="inlineStr">
        <is>
          <t>t</t>
        </is>
      </c>
      <c r="R127" s="1101" t="inlineStr">
        <is>
          <t>cÖ‡hvR¨ bq|</t>
        </is>
      </c>
      <c r="S127" s="2615" t="n"/>
      <c r="T127" s="2615" t="n"/>
      <c r="U127" s="2615" t="n"/>
      <c r="V127" s="2615" t="n"/>
      <c r="W127" s="2615" t="n"/>
      <c r="X127" s="2615" t="n"/>
      <c r="Y127" s="2615" t="n"/>
      <c r="Z127" s="2615" t="n"/>
      <c r="AA127" s="2615" t="n"/>
      <c r="AB127" s="2616" t="n"/>
      <c r="AC127" s="64" t="n"/>
      <c r="AD127" s="308" t="n"/>
      <c r="AE127" s="136" t="n"/>
      <c r="AF127" s="136" t="n"/>
      <c r="AG127" s="136" t="n"/>
      <c r="AH127" s="136" t="n"/>
      <c r="AI127" s="136" t="n"/>
      <c r="AJ127" s="136" t="n"/>
      <c r="AK127" s="136" t="n"/>
      <c r="AL127" s="64" t="n"/>
      <c r="AM127" s="64" t="n"/>
      <c r="AN127" s="64" t="n"/>
    </row>
    <row r="128" ht="17.25" customHeight="1">
      <c r="A128" s="521" t="inlineStr">
        <is>
          <t>13|</t>
        </is>
      </c>
      <c r="B128" s="1109" t="inlineStr">
        <is>
          <t>exgv msµvšÍ Z_¨</t>
        </is>
      </c>
      <c r="Q128" s="803" t="inlineStr">
        <is>
          <t>t</t>
        </is>
      </c>
      <c r="R128" s="1101" t="inlineStr">
        <is>
          <t>FY weZi‡Yi ci exgv Kiv n‡e|</t>
        </is>
      </c>
      <c r="S128" s="2615" t="n"/>
      <c r="T128" s="2615" t="n"/>
      <c r="U128" s="2615" t="n"/>
      <c r="V128" s="2615" t="n"/>
      <c r="W128" s="2615" t="n"/>
      <c r="X128" s="2615" t="n"/>
      <c r="Y128" s="2615" t="n"/>
      <c r="Z128" s="2615" t="n"/>
      <c r="AA128" s="2615" t="n"/>
      <c r="AB128" s="2616" t="n"/>
      <c r="AC128" s="64" t="n"/>
      <c r="AD128" s="308" t="n"/>
      <c r="AE128" s="136" t="n"/>
      <c r="AF128" s="136" t="n"/>
      <c r="AG128" s="136" t="n"/>
      <c r="AH128" s="136" t="n"/>
      <c r="AI128" s="136" t="n"/>
      <c r="AJ128" s="136" t="n"/>
      <c r="AK128" s="136" t="n"/>
      <c r="AL128" s="64" t="n"/>
      <c r="AM128" s="64" t="n"/>
      <c r="AN128" s="64" t="n"/>
    </row>
    <row r="129" ht="18.75" customHeight="1">
      <c r="A129" s="1109" t="inlineStr">
        <is>
          <t>14|</t>
        </is>
      </c>
      <c r="B129" s="1109" t="inlineStr">
        <is>
          <t>LvRbv cwi‡kv‡ai Z_¨</t>
        </is>
      </c>
      <c r="Q129" s="803" t="inlineStr">
        <is>
          <t>t</t>
        </is>
      </c>
      <c r="R129" s="1105" t="inlineStr">
        <is>
          <t>evsjv 1431 Bs mb ch©šÍ cwi†kvwaZ|</t>
        </is>
      </c>
      <c r="S129" s="2615" t="n"/>
      <c r="T129" s="2615" t="n"/>
      <c r="U129" s="2615" t="n"/>
      <c r="V129" s="2615" t="n"/>
      <c r="W129" s="2615" t="n"/>
      <c r="X129" s="2615" t="n"/>
      <c r="Y129" s="2615" t="n"/>
      <c r="Z129" s="2615" t="n"/>
      <c r="AA129" s="2615" t="n"/>
      <c r="AB129" s="2616" t="n"/>
      <c r="AC129" s="64" t="n"/>
      <c r="AD129" s="308" t="n"/>
      <c r="AE129" s="136" t="n"/>
      <c r="AF129" s="136" t="n"/>
      <c r="AG129" s="136" t="n"/>
      <c r="AH129" s="136" t="n"/>
      <c r="AI129" s="136" t="n"/>
      <c r="AJ129" s="136" t="n"/>
      <c r="AK129" s="136" t="n"/>
      <c r="AL129" s="64" t="n"/>
      <c r="AM129" s="64" t="n"/>
      <c r="AN129" s="64" t="n"/>
    </row>
    <row r="130" ht="6" customHeight="1">
      <c r="A130" s="63" t="n"/>
      <c r="B130" s="64" t="n"/>
      <c r="C130" s="308" t="n"/>
      <c r="D130" s="64" t="n"/>
      <c r="E130" s="64" t="n"/>
      <c r="F130" s="64" t="n"/>
      <c r="G130" s="308" t="n"/>
      <c r="H130" s="136" t="n"/>
      <c r="I130" s="307" t="n"/>
      <c r="J130" s="308" t="n"/>
      <c r="K130" s="308" t="n"/>
      <c r="L130" s="308" t="n"/>
      <c r="M130" s="308" t="n"/>
      <c r="N130" s="136" t="n"/>
      <c r="O130" s="308" t="n"/>
      <c r="P130" s="308" t="n"/>
      <c r="Q130" s="136" t="n"/>
      <c r="R130" s="136" t="n"/>
      <c r="S130" s="308" t="n"/>
      <c r="T130" s="64" t="n"/>
      <c r="U130" s="308" t="n"/>
      <c r="V130" s="64" t="n"/>
      <c r="W130" s="308" t="n"/>
      <c r="X130" s="308" t="n"/>
      <c r="Y130" s="308" t="n"/>
      <c r="Z130" s="308" t="n"/>
      <c r="AA130" s="1204" t="n"/>
      <c r="AB130" s="64" t="n"/>
      <c r="AC130" s="64" t="n"/>
      <c r="AD130" s="308" t="n"/>
      <c r="AE130" s="136" t="n"/>
      <c r="AF130" s="136" t="n"/>
      <c r="AG130" s="136" t="n"/>
      <c r="AH130" s="136" t="n"/>
      <c r="AI130" s="136" t="n"/>
      <c r="AJ130" s="136" t="n"/>
      <c r="AK130" s="136" t="n"/>
      <c r="AL130" s="64" t="n"/>
      <c r="AM130" s="64" t="n"/>
      <c r="AN130" s="64" t="n"/>
    </row>
    <row r="131" ht="17.25" customHeight="1">
      <c r="A131" s="793" t="inlineStr">
        <is>
          <t>15|</t>
        </is>
      </c>
      <c r="B131" s="1109">
        <f>"cÖ¯ÍvweZ RvgvbwZ m¤úwËi g~j¨ I m‡ev©”P FYmxgv (GgwmGj) Gj Gd Abyhvqx t "</f>
        <v/>
      </c>
      <c r="Z131" s="817" t="inlineStr">
        <is>
          <t>(jÿ UvKvq)</t>
        </is>
      </c>
      <c r="AC131" s="64" t="n"/>
      <c r="AD131" s="308" t="n"/>
      <c r="AE131" s="136" t="n"/>
      <c r="AF131" s="136" t="n"/>
      <c r="AG131" s="136" t="n"/>
      <c r="AH131" s="136" t="n"/>
      <c r="AI131" s="136" t="n"/>
      <c r="AJ131" s="136" t="n"/>
      <c r="AK131" s="136" t="n"/>
      <c r="AL131" s="64" t="n"/>
      <c r="AM131" s="64" t="n"/>
      <c r="AN131" s="64" t="n"/>
    </row>
    <row r="132" ht="17.25" customHeight="1">
      <c r="B132" s="1110" t="inlineStr">
        <is>
          <t>K)</t>
        </is>
      </c>
      <c r="C132" s="1111" t="inlineStr">
        <is>
          <t>Rvgvb‡Zi cÖKvi I weeiY</t>
        </is>
      </c>
      <c r="D132" s="2624" t="n"/>
      <c r="E132" s="2624" t="n"/>
      <c r="F132" s="2624" t="n"/>
      <c r="G132" s="2624" t="n"/>
      <c r="H132" s="2642" t="n"/>
      <c r="I132" s="1113" t="inlineStr">
        <is>
          <t>cwigvb/ AvqZb</t>
        </is>
      </c>
      <c r="J132" s="2624" t="n"/>
      <c r="K132" s="2642" t="n"/>
      <c r="L132" s="1111" t="inlineStr">
        <is>
          <t>cÖwZ GKi/ eM©dzU g~j¨</t>
        </is>
      </c>
      <c r="M132" s="2624" t="n"/>
      <c r="N132" s="2624" t="n"/>
      <c r="O132" s="2642" t="n"/>
      <c r="P132" s="1114" t="inlineStr">
        <is>
          <t>‡gvU g~j¨</t>
        </is>
      </c>
      <c r="Q132" s="2624" t="n"/>
      <c r="R132" s="2642" t="n"/>
      <c r="S132" s="1114" t="inlineStr">
        <is>
          <t>AePq</t>
        </is>
      </c>
      <c r="T132" s="2642" t="n"/>
      <c r="U132" s="1114" t="inlineStr">
        <is>
          <t>bxU g~j¨</t>
        </is>
      </c>
      <c r="V132" s="2624" t="n"/>
      <c r="W132" s="2642" t="n"/>
      <c r="X132" s="651" t="inlineStr">
        <is>
          <t>MCL I nvi</t>
        </is>
      </c>
      <c r="Y132" s="2614" t="n"/>
      <c r="Z132" s="2614" t="n"/>
      <c r="AA132" s="2614" t="n"/>
      <c r="AB132" s="2617" t="n"/>
      <c r="AC132" s="64" t="n"/>
      <c r="AD132" s="308" t="n"/>
      <c r="AE132" s="136" t="n"/>
      <c r="AF132" s="136" t="n"/>
      <c r="AG132" s="136" t="n"/>
      <c r="AH132" s="136" t="n"/>
      <c r="AI132" s="136" t="n"/>
      <c r="AJ132" s="136" t="n"/>
      <c r="AK132" s="136" t="n"/>
      <c r="AL132" s="64" t="n"/>
      <c r="AM132" s="64" t="n"/>
      <c r="AN132" s="64" t="n"/>
    </row>
    <row r="133" ht="17.25" customHeight="1">
      <c r="B133" s="2641" t="n"/>
      <c r="C133" s="2648" t="n"/>
      <c r="D133" s="2613" t="n"/>
      <c r="E133" s="2613" t="n"/>
      <c r="F133" s="2613" t="n"/>
      <c r="G133" s="2613" t="n"/>
      <c r="H133" s="2649" t="n"/>
      <c r="I133" s="2648" t="n"/>
      <c r="J133" s="2613" t="n"/>
      <c r="K133" s="2649" t="n"/>
      <c r="L133" s="2648" t="n"/>
      <c r="M133" s="2613" t="n"/>
      <c r="N133" s="2613" t="n"/>
      <c r="O133" s="2649" t="n"/>
      <c r="P133" s="2648" t="n"/>
      <c r="Q133" s="2613" t="n"/>
      <c r="R133" s="2649" t="n"/>
      <c r="S133" s="2648" t="n"/>
      <c r="T133" s="2649" t="n"/>
      <c r="U133" s="2648" t="n"/>
      <c r="V133" s="2613" t="n"/>
      <c r="W133" s="2649" t="n"/>
      <c r="X133" s="1116" t="inlineStr">
        <is>
          <t>MCL</t>
        </is>
      </c>
      <c r="Y133" s="2614" t="n"/>
      <c r="Z133" s="2617" t="n"/>
      <c r="AA133" s="854" t="inlineStr">
        <is>
          <t xml:space="preserve"> nvi</t>
        </is>
      </c>
      <c r="AB133" s="2617" t="n"/>
      <c r="AC133" s="64" t="n"/>
      <c r="AD133" s="308" t="n"/>
      <c r="AE133" s="136" t="n"/>
      <c r="AF133" s="136" t="n"/>
      <c r="AG133" s="136" t="n"/>
      <c r="AH133" s="136" t="n"/>
      <c r="AI133" s="136" t="n"/>
      <c r="AJ133" s="136" t="n"/>
      <c r="AK133" s="136" t="n"/>
      <c r="AL133" s="64" t="n"/>
      <c r="AM133" s="64" t="n"/>
      <c r="AN133" s="64" t="n"/>
    </row>
    <row r="134" ht="18.75" customHeight="1">
      <c r="B134" s="2641" t="n"/>
      <c r="C134" s="2737">
        <f>+'LF-5'!A62</f>
        <v/>
      </c>
      <c r="D134" s="2614" t="n"/>
      <c r="E134" s="2614" t="n"/>
      <c r="F134" s="2614" t="n"/>
      <c r="G134" s="2614" t="n"/>
      <c r="H134" s="2617" t="n"/>
      <c r="I134" s="1121">
        <f>'LF-5'!S17</f>
        <v/>
      </c>
      <c r="J134" s="2614" t="n"/>
      <c r="K134" s="2617" t="n"/>
      <c r="L134" s="1080">
        <f>'LF-5'!I70/100000</f>
        <v/>
      </c>
      <c r="M134" s="2614" t="n"/>
      <c r="N134" s="2614" t="n"/>
      <c r="O134" s="2617" t="n"/>
      <c r="P134" s="1125">
        <f>'LF-5'!O70/100000</f>
        <v/>
      </c>
      <c r="Q134" s="2614" t="n"/>
      <c r="R134" s="2617" t="n"/>
      <c r="S134" s="651" t="n"/>
      <c r="T134" s="2617" t="n"/>
      <c r="U134" s="1126">
        <f>+P134</f>
        <v/>
      </c>
      <c r="V134" s="2614" t="n"/>
      <c r="W134" s="2617" t="n"/>
      <c r="X134" s="2738">
        <f>Valuation!AF63/100000</f>
        <v/>
      </c>
      <c r="Y134" s="2624" t="n"/>
      <c r="Z134" s="2642" t="n"/>
      <c r="AA134" s="2739">
        <f>IF('LF-5'!AI81&gt;0,"75%","75")</f>
        <v/>
      </c>
      <c r="AB134" s="2642" t="n"/>
      <c r="AC134" s="64" t="n"/>
      <c r="AD134" s="308" t="n"/>
      <c r="AE134" s="1132" t="inlineStr">
        <is>
          <t>এল.এফ-৫ থেকে আসবে</t>
        </is>
      </c>
      <c r="AF134" s="136" t="n"/>
      <c r="AG134" s="136" t="n"/>
      <c r="AH134" s="136" t="n"/>
      <c r="AI134" s="136" t="n"/>
      <c r="AJ134" s="136" t="n"/>
      <c r="AK134" s="136" t="n"/>
      <c r="AL134" s="64" t="n"/>
      <c r="AM134" s="64" t="n"/>
      <c r="AN134" s="64" t="n"/>
    </row>
    <row r="135" ht="15" customHeight="1">
      <c r="B135" s="2641" t="n"/>
      <c r="C135" s="2737">
        <f>+'LF-5'!A63</f>
        <v/>
      </c>
      <c r="D135" s="2614" t="n"/>
      <c r="E135" s="2614" t="n"/>
      <c r="F135" s="2614" t="n"/>
      <c r="G135" s="2614" t="n"/>
      <c r="H135" s="2617" t="n"/>
      <c r="I135" s="1126">
        <f>+'[2]LF-5'!G79</f>
        <v/>
      </c>
      <c r="J135" s="2614" t="n"/>
      <c r="K135" s="2617" t="n"/>
      <c r="L135" s="1081">
        <f>+'LF-5'!K63</f>
        <v/>
      </c>
      <c r="M135" s="2614" t="n"/>
      <c r="N135" s="2614" t="n"/>
      <c r="O135" s="2617" t="n"/>
      <c r="P135" s="1136">
        <f>+'LF-5'!Q63</f>
        <v/>
      </c>
      <c r="Q135" s="2614" t="n"/>
      <c r="R135" s="2617" t="n"/>
      <c r="S135" s="651" t="n"/>
      <c r="T135" s="2617" t="n"/>
      <c r="U135" s="1137">
        <f>+P135</f>
        <v/>
      </c>
      <c r="V135" s="2614" t="n"/>
      <c r="W135" s="2617" t="n"/>
      <c r="X135" s="2647" t="n"/>
      <c r="Z135" s="2641" t="n"/>
      <c r="AA135" s="2647" t="n"/>
      <c r="AB135" s="2641" t="n"/>
      <c r="AC135" s="64" t="n"/>
      <c r="AD135" s="308" t="n"/>
      <c r="AE135" s="1143" t="n"/>
      <c r="AF135" s="136" t="n"/>
      <c r="AG135" s="136" t="n"/>
      <c r="AH135" s="136" t="n"/>
      <c r="AI135" s="136" t="n"/>
      <c r="AJ135" s="136" t="n"/>
      <c r="AK135" s="136" t="n"/>
      <c r="AL135" s="64" t="n"/>
      <c r="AM135" s="64" t="n"/>
      <c r="AN135" s="64" t="n"/>
    </row>
    <row r="136" ht="16.5" customHeight="1">
      <c r="B136" s="2641" t="n"/>
      <c r="C136" s="2737">
        <f>+'LF-5'!A64</f>
        <v/>
      </c>
      <c r="D136" s="2614" t="n"/>
      <c r="E136" s="2614" t="n"/>
      <c r="F136" s="2614" t="n"/>
      <c r="G136" s="2614" t="n"/>
      <c r="H136" s="2617" t="n"/>
      <c r="I136" s="1126">
        <f>+'[2]LF-5'!G80</f>
        <v/>
      </c>
      <c r="J136" s="2614" t="n"/>
      <c r="K136" s="2617" t="n"/>
      <c r="L136" s="1081">
        <f>+'LF-5'!K64</f>
        <v/>
      </c>
      <c r="M136" s="2614" t="n"/>
      <c r="N136" s="2614" t="n"/>
      <c r="O136" s="2617" t="n"/>
      <c r="P136" s="1136">
        <f>+'LF-5'!Q64</f>
        <v/>
      </c>
      <c r="Q136" s="2614" t="n"/>
      <c r="R136" s="2617" t="n"/>
      <c r="S136" s="651" t="n"/>
      <c r="T136" s="2617" t="n"/>
      <c r="U136" s="1137">
        <f>+P136</f>
        <v/>
      </c>
      <c r="V136" s="2614" t="n"/>
      <c r="W136" s="2617" t="n"/>
      <c r="X136" s="2647" t="n"/>
      <c r="Z136" s="2641" t="n"/>
      <c r="AA136" s="2647" t="n"/>
      <c r="AB136" s="2641" t="n"/>
      <c r="AC136" s="64" t="n"/>
      <c r="AD136" s="308" t="n"/>
      <c r="AE136" s="1143" t="n"/>
      <c r="AF136" s="136" t="n"/>
      <c r="AG136" s="136" t="n"/>
      <c r="AH136" s="136" t="n"/>
      <c r="AI136" s="136" t="n"/>
      <c r="AJ136" s="136" t="n"/>
      <c r="AK136" s="136" t="n"/>
      <c r="AL136" s="64" t="n"/>
      <c r="AM136" s="64" t="n"/>
      <c r="AN136" s="64" t="n"/>
    </row>
    <row r="137" ht="13.5" customHeight="1">
      <c r="B137" s="64" t="n"/>
      <c r="C137" s="904" t="inlineStr">
        <is>
          <t>‡gvU</t>
        </is>
      </c>
      <c r="D137" s="2614" t="n"/>
      <c r="E137" s="2614" t="n"/>
      <c r="F137" s="2614" t="n"/>
      <c r="G137" s="2614" t="n"/>
      <c r="H137" s="2617" t="n"/>
      <c r="I137" s="1153">
        <f>SUM(I134:K136)</f>
        <v/>
      </c>
      <c r="J137" s="2614" t="n"/>
      <c r="K137" s="2617" t="n"/>
      <c r="L137" s="904">
        <f>SUM(L134:L136)</f>
        <v/>
      </c>
      <c r="M137" s="2614" t="n"/>
      <c r="N137" s="2614" t="n"/>
      <c r="O137" s="2617" t="n"/>
      <c r="P137" s="1156">
        <f>SUM(P134:R136)</f>
        <v/>
      </c>
      <c r="Q137" s="2614" t="n"/>
      <c r="R137" s="2617" t="n"/>
      <c r="S137" s="904" t="n"/>
      <c r="T137" s="2617" t="n"/>
      <c r="U137" s="904">
        <f>SUM(U134:W136)</f>
        <v/>
      </c>
      <c r="V137" s="2614" t="n"/>
      <c r="W137" s="2617" t="n"/>
      <c r="X137" s="1157">
        <f>SUM(X134:Z136)</f>
        <v/>
      </c>
      <c r="Y137" s="2614" t="n"/>
      <c r="Z137" s="2617" t="n"/>
      <c r="AA137" s="984" t="n"/>
      <c r="AB137" s="2617" t="n"/>
      <c r="AC137" s="64" t="n"/>
      <c r="AD137" s="308" t="n"/>
      <c r="AE137" s="790">
        <f>U137*AA134/100</f>
        <v/>
      </c>
      <c r="AG137" s="136" t="n"/>
      <c r="AH137" s="136" t="n"/>
      <c r="AI137" s="136" t="n"/>
      <c r="AJ137" s="136" t="n"/>
      <c r="AK137" s="136" t="n"/>
      <c r="AL137" s="64" t="n"/>
      <c r="AM137" s="64" t="n"/>
      <c r="AN137" s="64" t="n"/>
    </row>
    <row r="138" ht="11.25" customHeight="1">
      <c r="B138" s="64" t="n"/>
      <c r="C138" s="1084" t="n"/>
      <c r="D138" s="239" t="n"/>
      <c r="E138" s="744" t="n"/>
      <c r="F138" s="744" t="n"/>
      <c r="G138" s="1159" t="n"/>
      <c r="H138" s="745" t="n"/>
      <c r="I138" s="1159" t="n"/>
      <c r="J138" s="1159" t="n"/>
      <c r="K138" s="1159" t="n"/>
      <c r="L138" s="1159" t="n"/>
      <c r="M138" s="1159" t="n"/>
      <c r="N138" s="745" t="n"/>
      <c r="O138" s="1159" t="n"/>
      <c r="P138" s="1160" t="n"/>
      <c r="Q138" s="1160" t="n"/>
      <c r="R138" s="1160" t="n"/>
      <c r="S138" s="1159" t="n"/>
      <c r="T138" s="744" t="n"/>
      <c r="U138" s="745" t="n"/>
      <c r="V138" s="744" t="n"/>
      <c r="W138" s="1159" t="n"/>
      <c r="X138" s="1161" t="n"/>
      <c r="Y138" s="1162" t="n"/>
      <c r="Z138" s="1162" t="n"/>
      <c r="AA138" s="1163" t="n"/>
      <c r="AB138" s="744" t="n"/>
      <c r="AC138" s="64" t="n"/>
      <c r="AD138" s="308" t="n"/>
      <c r="AE138" s="136" t="n"/>
      <c r="AF138" s="136" t="n"/>
      <c r="AG138" s="136" t="n"/>
      <c r="AH138" s="136" t="n"/>
      <c r="AI138" s="136" t="n"/>
      <c r="AJ138" s="136" t="n"/>
      <c r="AK138" s="136" t="n"/>
      <c r="AL138" s="64" t="n"/>
      <c r="AM138" s="64" t="n"/>
      <c r="AN138" s="64" t="n"/>
    </row>
    <row r="139" ht="17.25" customHeight="1">
      <c r="B139" s="295" t="inlineStr">
        <is>
          <t>L)</t>
        </is>
      </c>
      <c r="C139" s="297" t="inlineStr">
        <is>
          <t>RvgvbwZ m¤úwË m¤ú‡K© AvBb Dc‡`óvi gZvgZ</t>
        </is>
      </c>
      <c r="Q139" s="803" t="inlineStr">
        <is>
          <t>t</t>
        </is>
      </c>
      <c r="R139" s="807" t="inlineStr">
        <is>
          <t>AvBb Dc‡`óvi AbyKzj gZvgZ Av‡Q|</t>
        </is>
      </c>
      <c r="S139" s="2615" t="n"/>
      <c r="T139" s="2615" t="n"/>
      <c r="U139" s="2615" t="n"/>
      <c r="V139" s="2615" t="n"/>
      <c r="W139" s="2615" t="n"/>
      <c r="X139" s="2615" t="n"/>
      <c r="Y139" s="2615" t="n"/>
      <c r="Z139" s="2615" t="n"/>
      <c r="AA139" s="2615" t="n"/>
      <c r="AB139" s="2616" t="n"/>
      <c r="AC139" s="64" t="n"/>
      <c r="AD139" s="308" t="n"/>
      <c r="AE139" s="136" t="n"/>
      <c r="AF139" s="136" t="n"/>
      <c r="AG139" s="803" t="n"/>
      <c r="AH139" s="136" t="n"/>
      <c r="AI139" s="136" t="n"/>
      <c r="AJ139" s="136" t="n"/>
      <c r="AK139" s="136" t="n"/>
      <c r="AL139" s="64" t="n"/>
      <c r="AM139" s="64" t="n"/>
      <c r="AN139" s="64" t="n"/>
    </row>
    <row r="140" ht="17.25" customHeight="1">
      <c r="A140" s="239" t="n"/>
      <c r="B140" s="295" t="n"/>
      <c r="C140" s="297" t="n"/>
      <c r="D140" s="295" t="n"/>
      <c r="E140" s="295" t="n"/>
      <c r="F140" s="295" t="n"/>
      <c r="G140" s="297" t="n"/>
      <c r="H140" s="803" t="n"/>
      <c r="I140" s="296" t="n"/>
      <c r="J140" s="297" t="n"/>
      <c r="K140" s="297" t="n"/>
      <c r="L140" s="297" t="n"/>
      <c r="M140" s="297" t="n"/>
      <c r="N140" s="803" t="n"/>
      <c r="O140" s="297" t="n"/>
      <c r="P140" s="297" t="n"/>
      <c r="Q140" s="136" t="n"/>
      <c r="R140" s="136" t="n"/>
      <c r="S140" s="308" t="n"/>
      <c r="T140" s="64" t="n"/>
      <c r="U140" s="308" t="n"/>
      <c r="V140" s="64" t="n"/>
      <c r="W140" s="308" t="n"/>
      <c r="X140" s="308" t="n"/>
      <c r="Y140" s="308" t="n"/>
      <c r="Z140" s="308" t="n"/>
      <c r="AA140" s="1204" t="n"/>
      <c r="AB140" s="64" t="n"/>
      <c r="AC140" s="64" t="n"/>
      <c r="AD140" s="308" t="n"/>
      <c r="AE140" s="136" t="n"/>
      <c r="AF140" s="136" t="n"/>
      <c r="AG140" s="803" t="n"/>
      <c r="AH140" s="136" t="n"/>
      <c r="AI140" s="136" t="n"/>
      <c r="AJ140" s="136" t="n"/>
      <c r="AK140" s="136" t="n"/>
      <c r="AL140" s="64" t="n"/>
      <c r="AM140" s="64" t="n"/>
      <c r="AN140" s="64" t="n"/>
    </row>
    <row r="141" ht="17.25" customHeight="1">
      <c r="A141" s="239" t="n"/>
      <c r="B141" s="295" t="n"/>
      <c r="C141" s="297" t="n"/>
      <c r="D141" s="295" t="n"/>
      <c r="E141" s="295" t="n"/>
      <c r="F141" s="295" t="n"/>
      <c r="G141" s="297" t="n"/>
      <c r="H141" s="803" t="n"/>
      <c r="I141" s="296" t="n"/>
      <c r="J141" s="297" t="n"/>
      <c r="K141" s="297" t="n"/>
      <c r="L141" s="297" t="n"/>
      <c r="M141" s="297" t="n"/>
      <c r="N141" s="803" t="n"/>
      <c r="O141" s="297" t="n"/>
      <c r="P141" s="297" t="n"/>
      <c r="Q141" s="136" t="n"/>
      <c r="R141" s="136" t="n"/>
      <c r="S141" s="308" t="n"/>
      <c r="T141" s="64" t="n"/>
      <c r="U141" s="308" t="n"/>
      <c r="V141" s="64" t="n"/>
      <c r="W141" s="308" t="n"/>
      <c r="X141" s="308" t="n"/>
      <c r="Y141" s="308" t="n"/>
      <c r="Z141" s="308" t="n"/>
      <c r="AA141" s="1204" t="n"/>
      <c r="AB141" s="64" t="n"/>
      <c r="AC141" s="64" t="n"/>
      <c r="AD141" s="308" t="n"/>
      <c r="AE141" s="136" t="n"/>
      <c r="AF141" s="136" t="n"/>
      <c r="AG141" s="803" t="n"/>
      <c r="AH141" s="136" t="n"/>
      <c r="AI141" s="136" t="n"/>
      <c r="AJ141" s="136" t="n"/>
      <c r="AK141" s="136" t="n"/>
      <c r="AL141" s="64" t="n"/>
      <c r="AM141" s="64" t="n"/>
      <c r="AN141" s="64" t="n"/>
    </row>
    <row r="142" ht="9" customHeight="1">
      <c r="A142" s="63" t="n"/>
      <c r="B142" s="64" t="n"/>
      <c r="C142" s="308" t="n"/>
      <c r="D142" s="64" t="n"/>
      <c r="E142" s="64" t="n"/>
      <c r="F142" s="64" t="n"/>
      <c r="G142" s="308" t="n"/>
      <c r="H142" s="136" t="n"/>
      <c r="I142" s="307" t="n"/>
      <c r="J142" s="308" t="n"/>
      <c r="K142" s="308" t="n"/>
      <c r="L142" s="308" t="n"/>
      <c r="M142" s="308" t="n"/>
      <c r="N142" s="136" t="n"/>
      <c r="O142" s="308" t="n"/>
      <c r="P142" s="308" t="n"/>
      <c r="Q142" s="136" t="n"/>
      <c r="R142" s="136" t="n"/>
      <c r="S142" s="308" t="n"/>
      <c r="T142" s="64" t="n"/>
      <c r="U142" s="308" t="n"/>
      <c r="V142" s="64" t="n"/>
      <c r="W142" s="308" t="n"/>
      <c r="X142" s="308" t="n"/>
      <c r="Y142" s="308" t="n"/>
      <c r="Z142" s="308" t="n"/>
      <c r="AA142" s="1204" t="n"/>
      <c r="AB142" s="64" t="n"/>
      <c r="AC142" s="64" t="n"/>
      <c r="AD142" s="308" t="n"/>
      <c r="AE142" s="136" t="n"/>
      <c r="AF142" s="136" t="n"/>
      <c r="AG142" s="136" t="n"/>
      <c r="AH142" s="136" t="n"/>
      <c r="AI142" s="136" t="n"/>
      <c r="AJ142" s="136" t="n"/>
      <c r="AK142" s="136" t="n"/>
      <c r="AL142" s="64" t="n"/>
      <c r="AM142" s="64" t="n"/>
      <c r="AN142" s="64" t="n"/>
    </row>
    <row r="143" ht="18.75" customHeight="1">
      <c r="A143" s="793" t="inlineStr">
        <is>
          <t>16|</t>
        </is>
      </c>
      <c r="B143" s="239" t="inlineStr">
        <is>
          <t>PjwZ gyjab/ bM` cywRu F‡bi cÖv°jb</t>
        </is>
      </c>
      <c r="Q143" s="803" t="inlineStr">
        <is>
          <t>t</t>
        </is>
      </c>
      <c r="R143" s="803" t="inlineStr">
        <is>
          <t>(e¨vs‡Ki wbav©wiZ UvBW-Avc wcwiqW Abyhvqx)</t>
        </is>
      </c>
      <c r="AC143" s="64" t="n"/>
      <c r="AD143" s="308" t="n"/>
      <c r="AE143" s="136" t="n"/>
      <c r="AF143" s="136" t="n"/>
      <c r="AG143" s="803" t="n"/>
      <c r="AH143" s="136" t="n"/>
      <c r="AI143" s="136" t="n"/>
      <c r="AJ143" s="136" t="n"/>
      <c r="AK143" s="136" t="n"/>
      <c r="AL143" s="64" t="n"/>
      <c r="AM143" s="64" t="n"/>
      <c r="AN143" s="64" t="n"/>
    </row>
    <row r="144" ht="17.25" customHeight="1">
      <c r="B144" s="799" t="inlineStr">
        <is>
          <t>K)</t>
        </is>
      </c>
      <c r="C144" s="886" t="inlineStr">
        <is>
          <t xml:space="preserve">                             ‡cÖvdvBj mshy³ Av‡Q|</t>
        </is>
      </c>
      <c r="D144" s="2613" t="n"/>
      <c r="E144" s="2613" t="n"/>
      <c r="F144" s="2613" t="n"/>
      <c r="G144" s="2613" t="n"/>
      <c r="H144" s="2613" t="n"/>
      <c r="I144" s="2613" t="n"/>
      <c r="J144" s="2613" t="n"/>
      <c r="K144" s="2613" t="n"/>
      <c r="L144" s="2613" t="n"/>
      <c r="M144" s="2613" t="n"/>
      <c r="N144" s="2613" t="n"/>
      <c r="O144" s="2613" t="n"/>
      <c r="P144" s="2613" t="n"/>
      <c r="Q144" s="2613" t="n"/>
      <c r="R144" s="2613" t="n"/>
      <c r="S144" s="2613" t="n"/>
      <c r="T144" s="2613" t="n"/>
      <c r="U144" s="2613" t="n"/>
      <c r="V144" s="2613" t="n"/>
      <c r="W144" s="2613" t="n"/>
      <c r="X144" s="2613" t="n"/>
      <c r="Y144" s="2613" t="n"/>
      <c r="Z144" s="2613" t="n"/>
      <c r="AA144" s="2613" t="n"/>
      <c r="AB144" s="2613" t="n"/>
      <c r="AC144" s="64" t="n"/>
      <c r="AD144" s="308" t="n"/>
      <c r="AE144" s="136" t="n"/>
      <c r="AF144" s="136" t="n"/>
      <c r="AG144" s="803" t="n"/>
      <c r="AH144" s="136" t="n"/>
      <c r="AI144" s="136" t="n"/>
      <c r="AJ144" s="136" t="n"/>
      <c r="AK144" s="136" t="n"/>
      <c r="AL144" s="64" t="n"/>
      <c r="AM144" s="64" t="n"/>
      <c r="AN144" s="64" t="n"/>
    </row>
    <row r="145" ht="17.25" customHeight="1">
      <c r="C145" s="1165" t="inlineStr">
        <is>
          <t>µtbs</t>
        </is>
      </c>
      <c r="D145" s="2649" t="n"/>
      <c r="E145" s="1166" t="inlineStr">
        <is>
          <t>LvZ</t>
        </is>
      </c>
      <c r="F145" s="2613" t="n"/>
      <c r="G145" s="2613" t="n"/>
      <c r="H145" s="2613" t="n"/>
      <c r="I145" s="2613" t="n"/>
      <c r="J145" s="2613" t="n"/>
      <c r="K145" s="2613" t="n"/>
      <c r="L145" s="2613" t="n"/>
      <c r="M145" s="2649" t="n"/>
      <c r="N145" s="1167" t="inlineStr">
        <is>
          <t>UvBW-Avc wcwiqW</t>
        </is>
      </c>
      <c r="O145" s="2613" t="n"/>
      <c r="P145" s="2613" t="n"/>
      <c r="Q145" s="2613" t="n"/>
      <c r="R145" s="2613" t="n"/>
      <c r="S145" s="2613" t="n"/>
      <c r="T145" s="2613" t="n"/>
      <c r="U145" s="2613" t="n"/>
      <c r="V145" s="2649" t="n"/>
      <c r="W145" s="1165" t="inlineStr">
        <is>
          <t>F‡Yi cwigvb</t>
        </is>
      </c>
      <c r="X145" s="2613" t="n"/>
      <c r="Y145" s="2613" t="n"/>
      <c r="Z145" s="2613" t="n"/>
      <c r="AA145" s="2613" t="n"/>
      <c r="AB145" s="2649" t="n"/>
      <c r="AC145" s="64" t="n"/>
      <c r="AD145" s="308" t="n"/>
      <c r="AE145" s="136" t="n"/>
      <c r="AF145" s="136" t="n"/>
      <c r="AG145" s="136" t="n"/>
      <c r="AH145" s="136" t="n"/>
      <c r="AI145" s="136" t="n"/>
      <c r="AJ145" s="136" t="n"/>
      <c r="AK145" s="136" t="n"/>
      <c r="AL145" s="64" t="n"/>
      <c r="AM145" s="64" t="n"/>
      <c r="AN145" s="64" t="n"/>
    </row>
    <row r="146" ht="17.25" customHeight="1">
      <c r="C146" s="905" t="n">
        <v>1</v>
      </c>
      <c r="D146" s="2617" t="n"/>
      <c r="E146" s="1057" t="inlineStr">
        <is>
          <t>KvPvgvj</t>
        </is>
      </c>
      <c r="F146" s="2614" t="n"/>
      <c r="G146" s="2614" t="n"/>
      <c r="H146" s="2614" t="n"/>
      <c r="I146" s="2614" t="n"/>
      <c r="J146" s="2614" t="n"/>
      <c r="K146" s="2614" t="n"/>
      <c r="L146" s="2614" t="n"/>
      <c r="M146" s="2617" t="n"/>
      <c r="N146" s="1170">
        <f>Profile!F86</f>
        <v/>
      </c>
      <c r="O146" s="2614" t="n"/>
      <c r="P146" s="2614" t="n"/>
      <c r="Q146" s="2614" t="n"/>
      <c r="R146" s="2614" t="n"/>
      <c r="S146" s="2614" t="n"/>
      <c r="T146" s="2614" t="n"/>
      <c r="U146" s="2614" t="n"/>
      <c r="V146" s="2617" t="n"/>
      <c r="W146" s="905">
        <f>Profile!J86/1000</f>
        <v/>
      </c>
      <c r="X146" s="2614" t="n"/>
      <c r="Y146" s="2614" t="n"/>
      <c r="Z146" s="2614" t="n"/>
      <c r="AA146" s="2614" t="n"/>
      <c r="AB146" s="2617" t="n"/>
      <c r="AC146" s="64" t="n"/>
      <c r="AD146" s="308" t="n"/>
      <c r="AE146" s="136" t="n"/>
      <c r="AF146" s="136" t="n"/>
      <c r="AG146" s="136" t="n"/>
      <c r="AH146" s="136" t="n"/>
      <c r="AI146" s="136" t="n"/>
      <c r="AJ146" s="136" t="n"/>
      <c r="AK146" s="136" t="n"/>
      <c r="AL146" s="64" t="n"/>
      <c r="AM146" s="64" t="n"/>
      <c r="AN146" s="64" t="n"/>
    </row>
    <row r="147" ht="17.25" customHeight="1">
      <c r="C147" s="905" t="n">
        <v>2</v>
      </c>
      <c r="D147" s="2617" t="n"/>
      <c r="E147" s="1057" t="inlineStr">
        <is>
          <t>cÖwµqvKiY Kvj</t>
        </is>
      </c>
      <c r="F147" s="2614" t="n"/>
      <c r="G147" s="2614" t="n"/>
      <c r="H147" s="2614" t="n"/>
      <c r="I147" s="2614" t="n"/>
      <c r="J147" s="2614" t="n"/>
      <c r="K147" s="2614" t="n"/>
      <c r="L147" s="2614" t="n"/>
      <c r="M147" s="2617" t="n"/>
      <c r="N147" s="1171" t="n"/>
      <c r="O147" s="2614" t="n"/>
      <c r="P147" s="2614" t="n"/>
      <c r="Q147" s="2614" t="n"/>
      <c r="R147" s="2614" t="n"/>
      <c r="S147" s="2614" t="n"/>
      <c r="T147" s="2614" t="n"/>
      <c r="U147" s="2614" t="n"/>
      <c r="V147" s="2617" t="n"/>
      <c r="W147" s="905" t="n"/>
      <c r="X147" s="2614" t="n"/>
      <c r="Y147" s="2614" t="n"/>
      <c r="Z147" s="2614" t="n"/>
      <c r="AA147" s="2614" t="n"/>
      <c r="AB147" s="2617" t="n"/>
      <c r="AC147" s="64" t="n"/>
      <c r="AD147" s="308" t="n"/>
      <c r="AE147" s="136" t="n"/>
      <c r="AF147" s="136" t="n"/>
      <c r="AG147" s="136" t="n"/>
      <c r="AH147" s="136" t="n"/>
      <c r="AI147" s="136" t="n"/>
      <c r="AJ147" s="136" t="n"/>
      <c r="AK147" s="136" t="n"/>
      <c r="AL147" s="64" t="n"/>
      <c r="AM147" s="64" t="n"/>
      <c r="AN147" s="64" t="n"/>
    </row>
    <row r="148" ht="17.25" customHeight="1">
      <c r="C148" s="905" t="n">
        <v>3</v>
      </c>
      <c r="D148" s="2617" t="n"/>
      <c r="E148" s="1057" t="inlineStr">
        <is>
          <t>weµq‡hvM¨ gRy` cb¨</t>
        </is>
      </c>
      <c r="F148" s="2614" t="n"/>
      <c r="G148" s="2614" t="n"/>
      <c r="H148" s="2614" t="n"/>
      <c r="I148" s="2614" t="n"/>
      <c r="J148" s="2614" t="n"/>
      <c r="K148" s="2614" t="n"/>
      <c r="L148" s="2614" t="n"/>
      <c r="M148" s="2617" t="n"/>
      <c r="N148" s="1170">
        <f>Profile!F87</f>
        <v/>
      </c>
      <c r="O148" s="2614" t="n"/>
      <c r="P148" s="2614" t="n"/>
      <c r="Q148" s="2614" t="n"/>
      <c r="R148" s="2614" t="n"/>
      <c r="S148" s="2614" t="n"/>
      <c r="T148" s="2614" t="n"/>
      <c r="U148" s="2614" t="n"/>
      <c r="V148" s="2617" t="n"/>
      <c r="W148" s="905">
        <f>Profile!J87/1000</f>
        <v/>
      </c>
      <c r="X148" s="2614" t="n"/>
      <c r="Y148" s="2614" t="n"/>
      <c r="Z148" s="2614" t="n"/>
      <c r="AA148" s="2614" t="n"/>
      <c r="AB148" s="2617" t="n"/>
      <c r="AC148" s="64" t="n"/>
      <c r="AD148" s="308" t="n"/>
      <c r="AE148" s="136" t="n"/>
      <c r="AF148" s="136" t="n"/>
      <c r="AG148" s="136" t="n"/>
      <c r="AH148" s="136" t="n"/>
      <c r="AI148" s="136" t="n"/>
      <c r="AJ148" s="136" t="n"/>
      <c r="AK148" s="136" t="n"/>
      <c r="AL148" s="64" t="n"/>
      <c r="AM148" s="64" t="n"/>
      <c r="AN148" s="64" t="n"/>
    </row>
    <row r="149" ht="17.25" customHeight="1">
      <c r="C149" s="905" t="n">
        <v>4</v>
      </c>
      <c r="D149" s="2617" t="n"/>
      <c r="E149" s="1057" t="inlineStr">
        <is>
          <t>evwK‡Z weµq</t>
        </is>
      </c>
      <c r="F149" s="2614" t="n"/>
      <c r="G149" s="2614" t="n"/>
      <c r="H149" s="2614" t="n"/>
      <c r="I149" s="2614" t="n"/>
      <c r="J149" s="2614" t="n"/>
      <c r="K149" s="2614" t="n"/>
      <c r="L149" s="2614" t="n"/>
      <c r="M149" s="2617" t="n"/>
      <c r="N149" s="1170">
        <f>Profile!F88</f>
        <v/>
      </c>
      <c r="O149" s="2614" t="n"/>
      <c r="P149" s="2614" t="n"/>
      <c r="Q149" s="2614" t="n"/>
      <c r="R149" s="2614" t="n"/>
      <c r="S149" s="2614" t="n"/>
      <c r="T149" s="2614" t="n"/>
      <c r="U149" s="2614" t="n"/>
      <c r="V149" s="2617" t="n"/>
      <c r="W149" s="905">
        <f>Profile!J88/1000</f>
        <v/>
      </c>
      <c r="X149" s="2614" t="n"/>
      <c r="Y149" s="2614" t="n"/>
      <c r="Z149" s="2614" t="n"/>
      <c r="AA149" s="2614" t="n"/>
      <c r="AB149" s="2617" t="n"/>
      <c r="AC149" s="64" t="n"/>
      <c r="AD149" s="308" t="n"/>
      <c r="AE149" s="136" t="n"/>
      <c r="AF149" s="136" t="n"/>
      <c r="AG149" s="136" t="n"/>
      <c r="AH149" s="136" t="n"/>
      <c r="AI149" s="136" t="n"/>
      <c r="AJ149" s="136" t="n"/>
      <c r="AK149" s="136" t="n"/>
      <c r="AL149" s="64" t="n"/>
      <c r="AM149" s="64" t="n"/>
      <c r="AN149" s="64" t="n"/>
    </row>
    <row r="150" ht="17.25" customHeight="1">
      <c r="C150" s="905" t="n">
        <v>5</v>
      </c>
      <c r="D150" s="2617" t="n"/>
      <c r="E150" s="1057" t="inlineStr">
        <is>
          <t>LyPiv hš¿vsk/Avb¨vb¨</t>
        </is>
      </c>
      <c r="F150" s="2614" t="n"/>
      <c r="G150" s="2614" t="n"/>
      <c r="H150" s="2614" t="n"/>
      <c r="I150" s="2614" t="n"/>
      <c r="J150" s="2614" t="n"/>
      <c r="K150" s="2614" t="n"/>
      <c r="L150" s="2614" t="n"/>
      <c r="M150" s="2617" t="n"/>
      <c r="N150" s="1172" t="n"/>
      <c r="O150" s="2614" t="n"/>
      <c r="P150" s="2614" t="n"/>
      <c r="Q150" s="2614" t="n"/>
      <c r="R150" s="2614" t="n"/>
      <c r="S150" s="2614" t="n"/>
      <c r="T150" s="2614" t="n"/>
      <c r="U150" s="2614" t="n"/>
      <c r="V150" s="2617" t="n"/>
      <c r="W150" s="905" t="n"/>
      <c r="X150" s="2614" t="n"/>
      <c r="Y150" s="2614" t="n"/>
      <c r="Z150" s="2614" t="n"/>
      <c r="AA150" s="2614" t="n"/>
      <c r="AB150" s="2617" t="n"/>
      <c r="AC150" s="64" t="n"/>
      <c r="AD150" s="308" t="n"/>
      <c r="AE150" s="136" t="n"/>
      <c r="AF150" s="136" t="n"/>
      <c r="AG150" s="136" t="n"/>
      <c r="AH150" s="136" t="n"/>
      <c r="AI150" s="136" t="n"/>
      <c r="AJ150" s="136" t="n"/>
      <c r="AK150" s="136" t="n"/>
      <c r="AL150" s="64" t="n"/>
      <c r="AM150" s="64" t="n"/>
      <c r="AN150" s="64" t="n"/>
    </row>
    <row r="151" ht="17.25" customHeight="1">
      <c r="C151" s="905" t="n">
        <v>6</v>
      </c>
      <c r="D151" s="2617" t="n"/>
      <c r="E151" s="1057" t="inlineStr">
        <is>
          <t>bM` A_©</t>
        </is>
      </c>
      <c r="F151" s="2614" t="n"/>
      <c r="G151" s="2614" t="n"/>
      <c r="H151" s="2614" t="n"/>
      <c r="I151" s="2614" t="n"/>
      <c r="J151" s="2614" t="n"/>
      <c r="K151" s="2614" t="n"/>
      <c r="L151" s="2614" t="n"/>
      <c r="M151" s="2617" t="n"/>
      <c r="N151" s="1170">
        <f>Profile!F89</f>
        <v/>
      </c>
      <c r="O151" s="2614" t="n"/>
      <c r="P151" s="2614" t="n"/>
      <c r="Q151" s="2614" t="n"/>
      <c r="R151" s="2614" t="n"/>
      <c r="S151" s="2614" t="n"/>
      <c r="T151" s="2614" t="n"/>
      <c r="U151" s="2614" t="n"/>
      <c r="V151" s="2617" t="n"/>
      <c r="W151" s="905">
        <f>Profile!J89/1000</f>
        <v/>
      </c>
      <c r="X151" s="2614" t="n"/>
      <c r="Y151" s="2614" t="n"/>
      <c r="Z151" s="2614" t="n"/>
      <c r="AA151" s="2614" t="n"/>
      <c r="AB151" s="2617" t="n"/>
      <c r="AC151" s="64" t="n"/>
      <c r="AD151" s="308" t="n"/>
      <c r="AE151" s="136" t="n"/>
      <c r="AF151" s="136" t="n"/>
      <c r="AG151" s="136" t="n"/>
      <c r="AH151" s="136" t="n"/>
      <c r="AI151" s="136" t="n"/>
      <c r="AJ151" s="136" t="n"/>
      <c r="AK151" s="136" t="n"/>
      <c r="AL151" s="64" t="n"/>
      <c r="AM151" s="64" t="n"/>
      <c r="AN151" s="64" t="n"/>
    </row>
    <row r="152" ht="17.25" customHeight="1">
      <c r="C152" s="1058" t="inlineStr">
        <is>
          <t xml:space="preserve">         ‡gvU</t>
        </is>
      </c>
      <c r="D152" s="2614" t="n"/>
      <c r="E152" s="2614" t="n"/>
      <c r="F152" s="2614" t="n"/>
      <c r="G152" s="2614" t="n"/>
      <c r="H152" s="2614" t="n"/>
      <c r="I152" s="2614" t="n"/>
      <c r="J152" s="2614" t="n"/>
      <c r="K152" s="2614" t="n"/>
      <c r="L152" s="2614" t="n"/>
      <c r="M152" s="2617" t="n"/>
      <c r="N152" s="905" t="n"/>
      <c r="O152" s="2614" t="n"/>
      <c r="P152" s="2614" t="n"/>
      <c r="Q152" s="2614" t="n"/>
      <c r="R152" s="2614" t="n"/>
      <c r="S152" s="2614" t="n"/>
      <c r="T152" s="2614" t="n"/>
      <c r="U152" s="2614" t="n"/>
      <c r="V152" s="2617" t="n"/>
      <c r="W152" s="905">
        <f>SUM(W146:AB151)</f>
        <v/>
      </c>
      <c r="X152" s="2614" t="n"/>
      <c r="Y152" s="2614" t="n"/>
      <c r="Z152" s="2614" t="n"/>
      <c r="AA152" s="2614" t="n"/>
      <c r="AB152" s="2617" t="n"/>
      <c r="AC152" s="64" t="n"/>
      <c r="AD152" s="308" t="n"/>
      <c r="AE152" s="136" t="n"/>
      <c r="AF152" s="136" t="n"/>
      <c r="AG152" s="136" t="n"/>
      <c r="AH152" s="136" t="n"/>
      <c r="AI152" s="136" t="n"/>
      <c r="AJ152" s="136" t="n"/>
      <c r="AK152" s="136" t="n"/>
      <c r="AL152" s="64" t="n"/>
      <c r="AM152" s="64" t="n"/>
      <c r="AN152" s="64" t="n"/>
    </row>
    <row r="153" ht="17.25" customHeight="1">
      <c r="C153" s="2740" t="inlineStr">
        <is>
          <t xml:space="preserve">         e¨vsK FY</t>
        </is>
      </c>
      <c r="D153" s="2614" t="n"/>
      <c r="E153" s="2614" t="n"/>
      <c r="F153" s="2614" t="n"/>
      <c r="G153" s="2614" t="n"/>
      <c r="H153" s="2614" t="n"/>
      <c r="I153" s="2614" t="n"/>
      <c r="J153" s="2614" t="n"/>
      <c r="K153" s="2614" t="n"/>
      <c r="L153" s="2614" t="n"/>
      <c r="M153" s="2617" t="n"/>
      <c r="N153" s="1184">
        <f>Profile!E94</f>
        <v/>
      </c>
      <c r="O153" s="2614" t="n"/>
      <c r="P153" s="2614" t="n"/>
      <c r="Q153" s="2614" t="n"/>
      <c r="R153" s="2614" t="n"/>
      <c r="S153" s="2614" t="n"/>
      <c r="T153" s="2614" t="n"/>
      <c r="U153" s="2614" t="n"/>
      <c r="V153" s="2617" t="n"/>
      <c r="W153" s="1185">
        <f>Profile!H94*100</f>
        <v/>
      </c>
      <c r="X153" s="2614" t="n"/>
      <c r="Y153" s="2614" t="n"/>
      <c r="Z153" s="2614" t="n"/>
      <c r="AA153" s="2614" t="n"/>
      <c r="AB153" s="2617" t="n"/>
      <c r="AC153" s="64" t="n"/>
      <c r="AD153" s="308" t="n"/>
      <c r="AE153" s="136" t="n"/>
      <c r="AF153" s="136" t="n"/>
      <c r="AG153" s="136" t="n"/>
      <c r="AH153" s="136" t="n"/>
      <c r="AI153" s="136" t="n"/>
      <c r="AJ153" s="136" t="n"/>
      <c r="AK153" s="136" t="n"/>
      <c r="AL153" s="64" t="n"/>
      <c r="AM153" s="64" t="n"/>
      <c r="AN153" s="64" t="n"/>
    </row>
    <row r="154" ht="17.25" customHeight="1">
      <c r="C154" s="1058" t="inlineStr">
        <is>
          <t xml:space="preserve">         D‡`¨v³vi gvwR©b</t>
        </is>
      </c>
      <c r="D154" s="2614" t="n"/>
      <c r="E154" s="2614" t="n"/>
      <c r="F154" s="2614" t="n"/>
      <c r="G154" s="2614" t="n"/>
      <c r="H154" s="2614" t="n"/>
      <c r="I154" s="2614" t="n"/>
      <c r="J154" s="2614" t="n"/>
      <c r="K154" s="2614" t="n"/>
      <c r="L154" s="2614" t="n"/>
      <c r="M154" s="2617" t="n"/>
      <c r="N154" s="1186">
        <f>Profile!E95</f>
        <v/>
      </c>
      <c r="O154" s="2614" t="n"/>
      <c r="P154" s="2614" t="n"/>
      <c r="Q154" s="2614" t="n"/>
      <c r="R154" s="2614" t="n"/>
      <c r="S154" s="2614" t="n"/>
      <c r="T154" s="2614" t="n"/>
      <c r="U154" s="2614" t="n"/>
      <c r="V154" s="2617" t="n"/>
      <c r="W154" s="905">
        <f>Profile!H95*100</f>
        <v/>
      </c>
      <c r="X154" s="2614" t="n"/>
      <c r="Y154" s="2614" t="n"/>
      <c r="Z154" s="2614" t="n"/>
      <c r="AA154" s="2614" t="n"/>
      <c r="AB154" s="2617" t="n"/>
      <c r="AC154" s="64" t="n"/>
      <c r="AD154" s="308" t="n"/>
      <c r="AE154" s="136" t="n"/>
      <c r="AF154" s="136" t="n"/>
      <c r="AG154" s="136" t="n"/>
      <c r="AH154" s="136" t="n"/>
      <c r="AI154" s="136" t="n"/>
      <c r="AJ154" s="136" t="n"/>
      <c r="AK154" s="136" t="n"/>
      <c r="AL154" s="64" t="n"/>
      <c r="AM154" s="64" t="n"/>
      <c r="AN154" s="64" t="n"/>
    </row>
    <row r="155" ht="17.25" customHeight="1">
      <c r="C155" s="1058" t="inlineStr">
        <is>
          <t xml:space="preserve">         mgš^q Pµ </t>
        </is>
      </c>
      <c r="D155" s="2614" t="n"/>
      <c r="E155" s="2614" t="n"/>
      <c r="F155" s="2614" t="n"/>
      <c r="G155" s="2614" t="n"/>
      <c r="H155" s="2614" t="n"/>
      <c r="I155" s="2614" t="n"/>
      <c r="J155" s="2614" t="n"/>
      <c r="K155" s="2614" t="n"/>
      <c r="L155" s="2614" t="n"/>
      <c r="M155" s="2617" t="n"/>
      <c r="N155" s="905">
        <f>'Data Input'!G18*30</f>
        <v/>
      </c>
      <c r="O155" s="2614" t="n"/>
      <c r="P155" s="2614" t="n"/>
      <c r="Q155" s="2614" t="n"/>
      <c r="R155" s="2614" t="n"/>
      <c r="S155" s="2614" t="n"/>
      <c r="T155" s="2614" t="n"/>
      <c r="U155" s="2614" t="n"/>
      <c r="V155" s="2617" t="n"/>
      <c r="W155" s="905" t="n"/>
      <c r="X155" s="2614" t="n"/>
      <c r="Y155" s="2614" t="n"/>
      <c r="Z155" s="2614" t="n"/>
      <c r="AA155" s="2614" t="n"/>
      <c r="AB155" s="2617" t="n"/>
      <c r="AC155" s="64" t="n"/>
      <c r="AD155" s="308" t="n"/>
      <c r="AE155" s="136" t="n"/>
      <c r="AF155" s="136" t="n"/>
      <c r="AG155" s="136" t="n"/>
      <c r="AH155" s="136" t="n"/>
      <c r="AI155" s="136" t="n"/>
      <c r="AJ155" s="136" t="n"/>
      <c r="AK155" s="136" t="n"/>
      <c r="AL155" s="64" t="n"/>
      <c r="AM155" s="64" t="n"/>
      <c r="AN155" s="64" t="n"/>
    </row>
    <row r="156" ht="9.75" customHeight="1">
      <c r="B156" s="64" t="n"/>
      <c r="C156" s="308" t="n"/>
      <c r="D156" s="64" t="n"/>
      <c r="E156" s="64" t="n"/>
      <c r="F156" s="64" t="n"/>
      <c r="G156" s="308" t="n"/>
      <c r="H156" s="136" t="n"/>
      <c r="I156" s="307" t="n"/>
      <c r="J156" s="308" t="n"/>
      <c r="K156" s="308" t="n"/>
      <c r="L156" s="308" t="n"/>
      <c r="M156" s="308" t="n"/>
      <c r="N156" s="136" t="n"/>
      <c r="O156" s="308" t="n"/>
      <c r="P156" s="308" t="n"/>
      <c r="Q156" s="136" t="n"/>
      <c r="R156" s="136" t="n"/>
      <c r="S156" s="308" t="n"/>
      <c r="T156" s="64" t="n"/>
      <c r="U156" s="308" t="n"/>
      <c r="V156" s="64" t="n"/>
      <c r="W156" s="308" t="n"/>
      <c r="X156" s="308" t="n"/>
      <c r="Y156" s="308" t="n"/>
      <c r="Z156" s="308" t="n"/>
      <c r="AA156" s="1204" t="n"/>
      <c r="AB156" s="64" t="n"/>
      <c r="AC156" s="64" t="n"/>
      <c r="AD156" s="308" t="n"/>
      <c r="AE156" s="136" t="n"/>
      <c r="AF156" s="136" t="n"/>
      <c r="AG156" s="136" t="n"/>
      <c r="AH156" s="136" t="n"/>
      <c r="AI156" s="136" t="n"/>
      <c r="AJ156" s="136" t="n"/>
      <c r="AK156" s="136" t="n"/>
      <c r="AL156" s="64" t="n"/>
      <c r="AM156" s="64" t="n"/>
      <c r="AN156" s="64" t="n"/>
    </row>
    <row r="157" ht="17.25" customHeight="1">
      <c r="B157" s="799" t="inlineStr">
        <is>
          <t>L)</t>
        </is>
      </c>
      <c r="C157" s="297" t="inlineStr">
        <is>
          <t>Av‡qi cye©vfvm I Znwej cÖevn (j¶ UvKvq)</t>
        </is>
      </c>
      <c r="Q157" s="803" t="inlineStr">
        <is>
          <t>t</t>
        </is>
      </c>
      <c r="R157" s="803" t="inlineStr">
        <is>
          <t>‡cÖvdvBj mshy³ Av‡Q|</t>
        </is>
      </c>
      <c r="AC157" s="64" t="n"/>
      <c r="AD157" s="308" t="n"/>
      <c r="AE157" s="136" t="n"/>
      <c r="AF157" s="136" t="n"/>
      <c r="AG157" s="136" t="n"/>
      <c r="AH157" s="136" t="n"/>
      <c r="AI157" s="136" t="n"/>
      <c r="AJ157" s="136" t="n"/>
      <c r="AK157" s="136" t="n"/>
      <c r="AL157" s="64" t="n"/>
      <c r="AM157" s="64" t="n"/>
      <c r="AN157" s="64" t="n"/>
    </row>
    <row r="158" ht="17.25" customHeight="1">
      <c r="C158" s="904" t="inlineStr">
        <is>
          <t>†gvU Avq</t>
        </is>
      </c>
      <c r="D158" s="2614" t="n"/>
      <c r="E158" s="2614" t="n"/>
      <c r="F158" s="2617" t="n"/>
      <c r="G158" s="904" t="inlineStr">
        <is>
          <t>‡gvU e¨q</t>
        </is>
      </c>
      <c r="H158" s="2614" t="n"/>
      <c r="I158" s="2614" t="n"/>
      <c r="J158" s="2614" t="n"/>
      <c r="K158" s="2617" t="n"/>
      <c r="L158" s="904" t="inlineStr">
        <is>
          <t>F‡Yi my`</t>
        </is>
      </c>
      <c r="M158" s="2614" t="n"/>
      <c r="N158" s="2617" t="n"/>
      <c r="O158" s="904" t="inlineStr">
        <is>
          <t>cÖK…Z gybvdv</t>
        </is>
      </c>
      <c r="P158" s="2614" t="n"/>
      <c r="Q158" s="2614" t="n"/>
      <c r="R158" s="2617" t="n"/>
      <c r="S158" s="904" t="inlineStr">
        <is>
          <t>AvšÍtcÖevn</t>
        </is>
      </c>
      <c r="T158" s="2614" t="n"/>
      <c r="U158" s="2614" t="n"/>
      <c r="V158" s="2617" t="n"/>
      <c r="W158" s="904" t="inlineStr">
        <is>
          <t>ewntcÖevn</t>
        </is>
      </c>
      <c r="X158" s="2614" t="n"/>
      <c r="Y158" s="2617" t="n"/>
      <c r="Z158" s="904" t="inlineStr">
        <is>
          <t>Znwej DØ„Ë</t>
        </is>
      </c>
      <c r="AA158" s="2614" t="n"/>
      <c r="AB158" s="2617" t="n"/>
      <c r="AC158" s="64" t="n"/>
      <c r="AD158" s="308" t="n"/>
      <c r="AE158" s="136" t="n"/>
      <c r="AF158" s="136" t="n"/>
      <c r="AG158" s="136" t="n"/>
      <c r="AH158" s="136" t="n"/>
      <c r="AI158" s="136" t="n"/>
      <c r="AJ158" s="136" t="n"/>
      <c r="AK158" s="136" t="n"/>
      <c r="AL158" s="64" t="n"/>
      <c r="AM158" s="64" t="n"/>
      <c r="AN158" s="64" t="n"/>
    </row>
    <row r="159" ht="27.75" customHeight="1">
      <c r="C159" s="904">
        <f>Profile!F151</f>
        <v/>
      </c>
      <c r="D159" s="2614" t="n"/>
      <c r="E159" s="2614" t="n"/>
      <c r="F159" s="2617" t="n"/>
      <c r="G159" s="904">
        <f>Profile!F152+Profile!F154</f>
        <v/>
      </c>
      <c r="H159" s="2614" t="n"/>
      <c r="I159" s="2614" t="n"/>
      <c r="J159" s="2614" t="n"/>
      <c r="K159" s="2617" t="n"/>
      <c r="L159" s="904">
        <f>Profile!F156</f>
        <v/>
      </c>
      <c r="M159" s="2614" t="n"/>
      <c r="N159" s="2617" t="n"/>
      <c r="O159" s="904">
        <f>C159-G159-L159</f>
        <v/>
      </c>
      <c r="P159" s="2614" t="n"/>
      <c r="Q159" s="2614" t="n"/>
      <c r="R159" s="2617" t="n"/>
      <c r="S159" s="904">
        <f>Profile!F167</f>
        <v/>
      </c>
      <c r="T159" s="2614" t="n"/>
      <c r="U159" s="2614" t="n"/>
      <c r="V159" s="2617" t="n"/>
      <c r="W159" s="904">
        <f>Profile!F175</f>
        <v/>
      </c>
      <c r="X159" s="2614" t="n"/>
      <c r="Y159" s="2617" t="n"/>
      <c r="Z159" s="904">
        <f>+S159-W159</f>
        <v/>
      </c>
      <c r="AA159" s="2614" t="n"/>
      <c r="AB159" s="2617" t="n"/>
      <c r="AC159" s="64" t="n"/>
      <c r="AD159" s="308" t="n"/>
      <c r="AE159" s="1143" t="inlineStr">
        <is>
          <t>প্রোফাইল থেকে আসবে</t>
        </is>
      </c>
      <c r="AF159" s="136" t="n"/>
      <c r="AG159" s="136" t="n"/>
      <c r="AH159" s="136" t="n"/>
      <c r="AI159" s="136" t="n"/>
      <c r="AJ159" s="136" t="n"/>
      <c r="AK159" s="136" t="n"/>
      <c r="AL159" s="64" t="n"/>
      <c r="AM159" s="64" t="n"/>
      <c r="AN159" s="64" t="n"/>
    </row>
    <row r="160" ht="3.75" customHeight="1">
      <c r="A160" s="239" t="n"/>
      <c r="B160" s="64" t="n"/>
      <c r="C160" s="308" t="n"/>
      <c r="D160" s="64" t="n"/>
      <c r="E160" s="64" t="n"/>
      <c r="F160" s="64" t="n"/>
      <c r="G160" s="308" t="n"/>
      <c r="H160" s="136" t="n"/>
      <c r="I160" s="307" t="n"/>
      <c r="J160" s="308" t="n"/>
      <c r="K160" s="308" t="n"/>
      <c r="L160" s="308" t="n"/>
      <c r="M160" s="308" t="n"/>
      <c r="N160" s="136" t="n"/>
      <c r="O160" s="308" t="n"/>
      <c r="P160" s="308" t="n"/>
      <c r="Q160" s="136" t="n"/>
      <c r="R160" s="136" t="n"/>
      <c r="S160" s="308" t="n"/>
      <c r="T160" s="64" t="n"/>
      <c r="U160" s="308" t="n"/>
      <c r="V160" s="64" t="n"/>
      <c r="W160" s="308" t="n"/>
      <c r="X160" s="308" t="n"/>
      <c r="Y160" s="308" t="n"/>
      <c r="Z160" s="308" t="n"/>
      <c r="AA160" s="1204" t="n"/>
      <c r="AB160" s="64" t="n"/>
      <c r="AC160" s="64" t="n"/>
      <c r="AD160" s="308" t="n"/>
      <c r="AE160" s="136" t="n"/>
      <c r="AF160" s="136" t="n"/>
      <c r="AG160" s="136" t="n"/>
      <c r="AH160" s="136" t="n"/>
      <c r="AI160" s="136" t="n"/>
      <c r="AJ160" s="136" t="n"/>
      <c r="AK160" s="136" t="n"/>
      <c r="AL160" s="64" t="n"/>
      <c r="AM160" s="64" t="n"/>
      <c r="AN160" s="64" t="n"/>
    </row>
    <row r="161" ht="3" customHeight="1">
      <c r="A161" s="1109" t="n"/>
      <c r="B161" s="64" t="n"/>
      <c r="C161" s="308" t="n"/>
      <c r="D161" s="64" t="n"/>
      <c r="E161" s="64" t="n"/>
      <c r="F161" s="64" t="n"/>
      <c r="G161" s="308" t="n"/>
      <c r="H161" s="136" t="n"/>
      <c r="I161" s="307" t="n"/>
      <c r="J161" s="308" t="n"/>
      <c r="K161" s="308" t="n"/>
      <c r="L161" s="308" t="n"/>
      <c r="M161" s="308" t="n"/>
      <c r="N161" s="136" t="n"/>
      <c r="O161" s="308" t="n"/>
      <c r="P161" s="308" t="n"/>
      <c r="Q161" s="136" t="n"/>
      <c r="R161" s="136" t="n"/>
      <c r="S161" s="308" t="n"/>
      <c r="T161" s="64" t="n"/>
      <c r="U161" s="308" t="n"/>
      <c r="V161" s="64" t="n"/>
      <c r="W161" s="308" t="n"/>
      <c r="X161" s="308" t="n"/>
      <c r="Y161" s="308" t="n"/>
      <c r="Z161" s="308" t="n"/>
      <c r="AA161" s="1204" t="n"/>
      <c r="AB161" s="64" t="n"/>
      <c r="AC161" s="64" t="n"/>
      <c r="AD161" s="308" t="n"/>
      <c r="AE161" s="136" t="n"/>
      <c r="AF161" s="136" t="n"/>
      <c r="AG161" s="136" t="n"/>
      <c r="AH161" s="136" t="n"/>
      <c r="AI161" s="136" t="n"/>
      <c r="AJ161" s="136" t="n"/>
      <c r="AK161" s="136" t="n"/>
      <c r="AL161" s="64" t="n"/>
      <c r="AM161" s="64" t="n"/>
      <c r="AN161" s="64" t="n"/>
    </row>
    <row r="162" ht="39.75" customHeight="1">
      <c r="A162" s="983" t="inlineStr">
        <is>
          <t>17| Single Borrower Exposure Limit (SBEL) msµvšÍ Z_¨</t>
        </is>
      </c>
      <c r="Q162" s="803" t="inlineStr">
        <is>
          <t>t</t>
        </is>
      </c>
      <c r="R162" s="803" t="inlineStr">
        <is>
          <t>cÖ‡hvR¨ bq|</t>
        </is>
      </c>
      <c r="S162" s="297" t="n"/>
      <c r="T162" s="64" t="n"/>
      <c r="U162" s="308" t="n"/>
      <c r="V162" s="64" t="n"/>
      <c r="W162" s="308" t="n"/>
      <c r="X162" s="308" t="n"/>
      <c r="Y162" s="308" t="n"/>
      <c r="Z162" s="308" t="n"/>
      <c r="AA162" s="1204" t="n"/>
      <c r="AB162" s="64" t="n"/>
      <c r="AC162" s="64" t="n"/>
      <c r="AD162" s="308" t="n"/>
      <c r="AE162" s="136" t="n"/>
      <c r="AF162" s="136" t="n"/>
      <c r="AG162" s="136" t="n"/>
      <c r="AH162" s="136" t="n"/>
      <c r="AI162" s="136" t="n"/>
      <c r="AJ162" s="136" t="n"/>
      <c r="AK162" s="136" t="n"/>
      <c r="AL162" s="64" t="n"/>
      <c r="AM162" s="64" t="n"/>
      <c r="AN162" s="64" t="n"/>
    </row>
    <row r="163" ht="54" customHeight="1">
      <c r="A163" s="1109" t="inlineStr">
        <is>
          <t>18| Ab¨vb¨ Z_¨ (hw` _v‡K)</t>
        </is>
      </c>
      <c r="Q163" s="803" t="inlineStr">
        <is>
          <t>t</t>
        </is>
      </c>
      <c r="R163" s="803" t="n"/>
      <c r="S163" s="308" t="n"/>
      <c r="T163" s="64" t="n"/>
      <c r="U163" s="308" t="n"/>
      <c r="V163" s="64" t="n"/>
      <c r="W163" s="308" t="n"/>
      <c r="X163" s="308" t="n"/>
      <c r="Y163" s="308" t="n"/>
      <c r="Z163" s="308" t="n"/>
      <c r="AA163" s="1204" t="n"/>
      <c r="AB163" s="64" t="n"/>
      <c r="AC163" s="64" t="n"/>
      <c r="AD163" s="308" t="n"/>
      <c r="AE163" s="136" t="n"/>
      <c r="AF163" s="136" t="n"/>
      <c r="AG163" s="136" t="n"/>
      <c r="AH163" s="136" t="n"/>
      <c r="AI163" s="136" t="n"/>
      <c r="AJ163" s="136" t="n"/>
      <c r="AK163" s="136" t="n"/>
      <c r="AL163" s="64" t="n"/>
      <c r="AM163" s="64" t="n"/>
      <c r="AN163" s="64" t="n"/>
    </row>
    <row r="164" ht="17.25" customHeight="1">
      <c r="A164" s="1109" t="inlineStr">
        <is>
          <t>19| bevq‡bi †hŠw³KZv t</t>
        </is>
      </c>
      <c r="Q164" s="136" t="n"/>
      <c r="R164" s="136" t="n"/>
      <c r="S164" s="308" t="n"/>
      <c r="T164" s="64" t="n"/>
      <c r="U164" s="308" t="n"/>
      <c r="V164" s="64" t="n"/>
      <c r="W164" s="308" t="n"/>
      <c r="X164" s="308" t="n"/>
      <c r="Y164" s="308" t="n"/>
      <c r="Z164" s="308" t="n"/>
      <c r="AA164" s="1204" t="n"/>
      <c r="AB164" s="64" t="n"/>
      <c r="AC164" s="64" t="n"/>
      <c r="AD164" s="308" t="n"/>
      <c r="AE164" s="783" t="n"/>
      <c r="AF164" s="783" t="n"/>
      <c r="AG164" s="783" t="n"/>
      <c r="AH164" s="136" t="n"/>
      <c r="AI164" s="136" t="n"/>
      <c r="AJ164" s="136" t="n"/>
      <c r="AK164" s="136" t="n"/>
      <c r="AL164" s="64" t="n"/>
      <c r="AM164" s="64" t="n"/>
      <c r="AN164" s="64" t="n"/>
    </row>
    <row r="165" ht="14.25" customHeight="1">
      <c r="A165" s="1109" t="n"/>
      <c r="B165" s="1187" t="n"/>
      <c r="AC165" s="64" t="n"/>
      <c r="AD165" s="308" t="n"/>
      <c r="AE165" s="783" t="n"/>
      <c r="AF165" s="783" t="n"/>
      <c r="AG165" s="783" t="n"/>
      <c r="AH165" s="136" t="n"/>
      <c r="AI165" s="136" t="n"/>
      <c r="AJ165" s="136" t="n"/>
      <c r="AK165" s="136" t="n"/>
      <c r="AL165" s="64" t="n"/>
      <c r="AM165" s="64" t="n"/>
      <c r="AN165" s="64" t="n"/>
    </row>
    <row r="166" ht="14.25" customHeight="1">
      <c r="A166" s="239" t="n"/>
      <c r="AC166" s="64" t="n"/>
      <c r="AD166" s="308" t="n"/>
      <c r="AE166" s="783" t="n"/>
      <c r="AF166" s="783" t="n"/>
      <c r="AG166" s="783" t="n"/>
      <c r="AH166" s="136" t="n"/>
      <c r="AI166" s="136" t="n"/>
      <c r="AJ166" s="136" t="n"/>
      <c r="AK166" s="136" t="n"/>
      <c r="AL166" s="64" t="n"/>
      <c r="AM166" s="64" t="n"/>
      <c r="AN166" s="64" t="n"/>
    </row>
    <row r="167" ht="27" customHeight="1">
      <c r="A167" s="1109" t="n"/>
      <c r="AC167" s="64" t="n"/>
      <c r="AD167" s="308" t="n"/>
      <c r="AE167" s="783" t="n"/>
      <c r="AF167" s="783" t="n"/>
      <c r="AG167" s="783" t="n"/>
      <c r="AH167" s="136" t="n"/>
      <c r="AI167" s="136" t="n"/>
      <c r="AJ167" s="136" t="n"/>
      <c r="AK167" s="136" t="n"/>
      <c r="AL167" s="64" t="n"/>
      <c r="AM167" s="64" t="n"/>
      <c r="AN167" s="64" t="n"/>
    </row>
    <row r="168" ht="110.25" customHeight="1">
      <c r="A168" s="1109" t="n"/>
      <c r="AC168" s="64" t="n"/>
      <c r="AD168" s="308" t="n"/>
      <c r="AE168" s="783" t="n"/>
      <c r="AF168" s="783" t="n"/>
      <c r="AG168" s="783" t="n"/>
      <c r="AH168" s="136" t="n"/>
      <c r="AI168" s="136" t="n"/>
      <c r="AJ168" s="136" t="n"/>
      <c r="AK168" s="136" t="n"/>
      <c r="AL168" s="64" t="n"/>
      <c r="AM168" s="64" t="n"/>
      <c r="AN168" s="64" t="n"/>
    </row>
    <row r="169" ht="19.5" customHeight="1">
      <c r="A169" s="1109" t="n"/>
      <c r="AC169" s="64" t="n"/>
      <c r="AD169" s="308" t="n"/>
      <c r="AE169" s="136" t="n"/>
      <c r="AF169" s="136" t="n"/>
      <c r="AG169" s="136" t="n"/>
      <c r="AH169" s="136" t="n"/>
      <c r="AI169" s="136" t="n"/>
      <c r="AJ169" s="136" t="n"/>
      <c r="AK169" s="136" t="n"/>
      <c r="AL169" s="64" t="n"/>
      <c r="AM169" s="64" t="n"/>
      <c r="AN169" s="64" t="n"/>
    </row>
    <row r="170" ht="11.25" customHeight="1">
      <c r="A170" s="1109" t="n"/>
      <c r="AC170" s="64" t="n"/>
      <c r="AD170" s="308" t="n"/>
      <c r="AE170" s="136" t="n"/>
      <c r="AF170" s="136" t="n"/>
      <c r="AG170" s="136" t="n"/>
      <c r="AH170" s="136" t="n"/>
      <c r="AI170" s="136" t="n"/>
      <c r="AJ170" s="136" t="n"/>
      <c r="AK170" s="136" t="n"/>
      <c r="AL170" s="64" t="n"/>
      <c r="AM170" s="64" t="n"/>
      <c r="AN170" s="64" t="n"/>
    </row>
    <row r="171" ht="8.25" customHeight="1">
      <c r="A171" s="239" t="n"/>
      <c r="AC171" s="64" t="n"/>
      <c r="AD171" s="308" t="n"/>
      <c r="AE171" s="136" t="n"/>
      <c r="AF171" s="136" t="n"/>
      <c r="AG171" s="136" t="n"/>
      <c r="AH171" s="136" t="n"/>
      <c r="AI171" s="136" t="n"/>
      <c r="AJ171" s="136" t="n"/>
      <c r="AK171" s="136" t="n"/>
      <c r="AL171" s="64" t="n"/>
      <c r="AM171" s="64" t="n"/>
      <c r="AN171" s="64" t="n"/>
    </row>
    <row r="172" ht="11.25" customHeight="1">
      <c r="A172" s="239" t="n"/>
      <c r="B172" s="64" t="n"/>
      <c r="C172" s="308" t="n"/>
      <c r="D172" s="64" t="n"/>
      <c r="E172" s="64" t="n"/>
      <c r="F172" s="64" t="n"/>
      <c r="G172" s="308" t="n"/>
      <c r="H172" s="136" t="n"/>
      <c r="I172" s="307" t="n"/>
      <c r="J172" s="308" t="n"/>
      <c r="K172" s="308" t="n"/>
      <c r="L172" s="308" t="n"/>
      <c r="M172" s="308" t="n"/>
      <c r="N172" s="136" t="n"/>
      <c r="O172" s="308" t="n"/>
      <c r="P172" s="308" t="n"/>
      <c r="Q172" s="136" t="n"/>
      <c r="R172" s="136" t="n"/>
      <c r="S172" s="308" t="n"/>
      <c r="T172" s="64" t="n"/>
      <c r="U172" s="308" t="n"/>
      <c r="V172" s="64" t="n"/>
      <c r="W172" s="308" t="n"/>
      <c r="X172" s="308" t="n"/>
      <c r="Y172" s="308" t="n"/>
      <c r="Z172" s="308" t="n"/>
      <c r="AA172" s="1204" t="n"/>
      <c r="AB172" s="64" t="n"/>
      <c r="AC172" s="64" t="n"/>
      <c r="AD172" s="308" t="n"/>
      <c r="AE172" s="136" t="n"/>
      <c r="AF172" s="136" t="n"/>
      <c r="AG172" s="136" t="n"/>
      <c r="AH172" s="136" t="n"/>
      <c r="AI172" s="136" t="n"/>
      <c r="AJ172" s="136" t="n"/>
      <c r="AK172" s="136" t="n"/>
      <c r="AL172" s="64" t="n"/>
      <c r="AM172" s="64" t="n"/>
      <c r="AN172" s="64" t="n"/>
    </row>
    <row r="173" ht="15" customHeight="1">
      <c r="A173" s="239" t="n"/>
      <c r="B173" s="1419" t="inlineStr">
        <is>
          <t>gyj¨vqbKvix Kg©KZv©</t>
        </is>
      </c>
      <c r="C173" s="2624" t="n"/>
      <c r="D173" s="2624" t="n"/>
      <c r="E173" s="2624" t="n"/>
      <c r="F173" s="2624" t="n"/>
      <c r="G173" s="308" t="n"/>
      <c r="H173" s="136" t="n"/>
      <c r="I173" s="307" t="n"/>
      <c r="J173" s="308" t="n"/>
      <c r="K173" s="308" t="n"/>
      <c r="L173" s="308" t="n"/>
      <c r="M173" s="308" t="n"/>
      <c r="N173" s="790" t="n"/>
      <c r="S173" s="308" t="n"/>
      <c r="T173" s="64" t="n"/>
      <c r="U173" s="308" t="n"/>
      <c r="V173" s="64" t="n"/>
      <c r="W173" s="308" t="n"/>
      <c r="X173" s="863" t="inlineStr">
        <is>
          <t xml:space="preserve">kvLv e¨e¯’vcK </t>
        </is>
      </c>
      <c r="Y173" s="2624" t="n"/>
      <c r="Z173" s="2624" t="n"/>
      <c r="AA173" s="2624" t="n"/>
      <c r="AB173" s="2624" t="n"/>
      <c r="AC173" s="64" t="n"/>
      <c r="AD173" s="308" t="n"/>
      <c r="AE173" s="783" t="n"/>
      <c r="AF173" s="783" t="n"/>
      <c r="AG173" s="783" t="n"/>
      <c r="AH173" s="783" t="n"/>
      <c r="AI173" s="783" t="n"/>
      <c r="AJ173" s="136" t="n"/>
      <c r="AK173" s="136" t="n"/>
      <c r="AL173" s="64" t="n"/>
      <c r="AM173" s="64" t="n"/>
      <c r="AN173" s="64" t="n"/>
    </row>
    <row r="174" ht="15" customHeight="1">
      <c r="A174" s="239" t="n"/>
      <c r="B174" s="64" t="n"/>
      <c r="C174" s="308" t="n"/>
      <c r="D174" s="64" t="n"/>
      <c r="E174" s="64" t="n"/>
      <c r="F174" s="64" t="n"/>
      <c r="G174" s="308" t="n"/>
      <c r="H174" s="136" t="n"/>
      <c r="I174" s="307" t="n"/>
      <c r="J174" s="308" t="n"/>
      <c r="K174" s="308" t="n"/>
      <c r="L174" s="308" t="n"/>
      <c r="M174" s="308" t="n"/>
      <c r="N174" s="136" t="n"/>
      <c r="O174" s="308" t="n"/>
      <c r="P174" s="308" t="n"/>
      <c r="Q174" s="136" t="n"/>
      <c r="R174" s="136" t="n"/>
      <c r="S174" s="308" t="n"/>
      <c r="T174" s="64" t="n"/>
      <c r="U174" s="308" t="n"/>
      <c r="V174" s="64" t="n"/>
      <c r="W174" s="308" t="n"/>
      <c r="X174" s="308" t="n"/>
      <c r="Y174" s="308" t="n"/>
      <c r="Z174" s="308" t="n"/>
      <c r="AA174" s="1204" t="n"/>
      <c r="AB174" s="64" t="n"/>
      <c r="AC174" s="64" t="n"/>
      <c r="AD174" s="308" t="n"/>
      <c r="AE174" s="783" t="n"/>
      <c r="AF174" s="783" t="n"/>
      <c r="AG174" s="783" t="n"/>
      <c r="AH174" s="783" t="n"/>
      <c r="AI174" s="783" t="n"/>
      <c r="AJ174" s="136" t="n"/>
      <c r="AK174" s="136" t="n"/>
      <c r="AL174" s="64" t="n"/>
      <c r="AM174" s="64" t="n"/>
      <c r="AN174" s="64" t="n"/>
    </row>
    <row r="175" ht="15" customHeight="1">
      <c r="A175" s="239" t="n"/>
      <c r="B175" s="64" t="n"/>
      <c r="C175" s="308" t="n"/>
      <c r="D175" s="64" t="n"/>
      <c r="E175" s="64" t="n"/>
      <c r="F175" s="64" t="n"/>
      <c r="G175" s="308" t="n"/>
      <c r="H175" s="136" t="n"/>
      <c r="I175" s="307" t="n"/>
      <c r="J175" s="308" t="n"/>
      <c r="K175" s="308" t="n"/>
      <c r="L175" s="308" t="n"/>
      <c r="M175" s="308" t="n"/>
      <c r="N175" s="136" t="n"/>
      <c r="O175" s="308" t="n"/>
      <c r="P175" s="308" t="n"/>
      <c r="Q175" s="136" t="n"/>
      <c r="R175" s="136" t="n"/>
      <c r="S175" s="308" t="n"/>
      <c r="T175" s="64" t="n"/>
      <c r="U175" s="308" t="n"/>
      <c r="V175" s="64" t="n"/>
      <c r="W175" s="308" t="n"/>
      <c r="X175" s="308" t="n"/>
      <c r="Y175" s="308" t="n"/>
      <c r="Z175" s="308" t="n"/>
      <c r="AA175" s="1204" t="n"/>
      <c r="AB175" s="64" t="n"/>
      <c r="AC175" s="64" t="n"/>
      <c r="AD175" s="308" t="n"/>
      <c r="AE175" s="783" t="n"/>
      <c r="AF175" s="783" t="n"/>
      <c r="AG175" s="783" t="n"/>
      <c r="AH175" s="783" t="n"/>
      <c r="AI175" s="783" t="n"/>
      <c r="AJ175" s="136" t="n"/>
      <c r="AK175" s="136" t="n"/>
      <c r="AL175" s="64" t="n"/>
      <c r="AM175" s="64" t="n"/>
      <c r="AN175" s="64" t="n"/>
    </row>
    <row r="176" ht="15" customHeight="1">
      <c r="A176" s="239" t="n"/>
      <c r="B176" s="64" t="n"/>
      <c r="C176" s="308" t="n"/>
      <c r="D176" s="64" t="n"/>
      <c r="E176" s="64" t="n"/>
      <c r="F176" s="64" t="n"/>
      <c r="G176" s="308" t="n"/>
      <c r="H176" s="136" t="n"/>
      <c r="I176" s="307" t="n"/>
      <c r="J176" s="308" t="n"/>
      <c r="K176" s="308" t="n"/>
      <c r="L176" s="308" t="n"/>
      <c r="M176" s="308" t="n"/>
      <c r="N176" s="136" t="n"/>
      <c r="O176" s="308" t="n"/>
      <c r="P176" s="308" t="n"/>
      <c r="Q176" s="136" t="n"/>
      <c r="R176" s="136" t="n"/>
      <c r="S176" s="308" t="n"/>
      <c r="T176" s="64" t="n"/>
      <c r="U176" s="308" t="n"/>
      <c r="V176" s="64" t="n"/>
      <c r="W176" s="308" t="n"/>
      <c r="X176" s="308" t="n"/>
      <c r="Y176" s="308" t="n"/>
      <c r="Z176" s="308" t="n"/>
      <c r="AA176" s="1204" t="n"/>
      <c r="AB176" s="64" t="n"/>
      <c r="AC176" s="64" t="n"/>
      <c r="AD176" s="308" t="n"/>
      <c r="AE176" s="783" t="n"/>
      <c r="AF176" s="783" t="n"/>
      <c r="AG176" s="783" t="n"/>
      <c r="AH176" s="783" t="n"/>
      <c r="AI176" s="783" t="n"/>
      <c r="AJ176" s="136" t="n"/>
      <c r="AK176" s="136" t="n"/>
      <c r="AL176" s="64" t="n"/>
      <c r="AM176" s="64" t="n"/>
      <c r="AN176" s="64" t="n"/>
    </row>
    <row r="177" ht="15" customHeight="1">
      <c r="A177" s="239" t="n"/>
      <c r="B177" s="64" t="n"/>
      <c r="C177" s="308" t="n"/>
      <c r="D177" s="64" t="n"/>
      <c r="E177" s="64" t="n"/>
      <c r="F177" s="64" t="n"/>
      <c r="G177" s="308" t="n"/>
      <c r="H177" s="136" t="n"/>
      <c r="I177" s="307" t="n"/>
      <c r="J177" s="308" t="n"/>
      <c r="K177" s="308" t="n"/>
      <c r="L177" s="308" t="n"/>
      <c r="M177" s="308" t="n"/>
      <c r="N177" s="136" t="n"/>
      <c r="O177" s="308" t="n"/>
      <c r="P177" s="308" t="n"/>
      <c r="Q177" s="136" t="n"/>
      <c r="R177" s="136" t="n"/>
      <c r="S177" s="308" t="n"/>
      <c r="T177" s="64" t="n"/>
      <c r="U177" s="308" t="n"/>
      <c r="V177" s="64" t="n"/>
      <c r="W177" s="308" t="n"/>
      <c r="X177" s="308" t="n"/>
      <c r="Y177" s="308" t="n"/>
      <c r="Z177" s="308" t="n"/>
      <c r="AA177" s="1204" t="n"/>
      <c r="AB177" s="64" t="n"/>
      <c r="AC177" s="64" t="n"/>
      <c r="AD177" s="308" t="n"/>
      <c r="AE177" s="783" t="n"/>
      <c r="AF177" s="783" t="n"/>
      <c r="AG177" s="783" t="n"/>
      <c r="AH177" s="783" t="n"/>
      <c r="AI177" s="783" t="n"/>
      <c r="AJ177" s="136" t="n"/>
      <c r="AK177" s="136" t="n"/>
      <c r="AL177" s="64" t="n"/>
      <c r="AM177" s="64" t="n"/>
      <c r="AN177" s="64" t="n"/>
    </row>
    <row r="178" ht="15" customHeight="1">
      <c r="A178" s="239" t="n"/>
      <c r="B178" s="64" t="n"/>
      <c r="C178" s="308" t="n"/>
      <c r="D178" s="64" t="n"/>
      <c r="E178" s="64" t="n"/>
      <c r="F178" s="64" t="n"/>
      <c r="G178" s="308" t="n"/>
      <c r="H178" s="136" t="n"/>
      <c r="I178" s="307" t="n"/>
      <c r="J178" s="308" t="n"/>
      <c r="K178" s="308" t="n"/>
      <c r="L178" s="308" t="n"/>
      <c r="M178" s="308" t="n"/>
      <c r="N178" s="136" t="n"/>
      <c r="O178" s="308" t="n"/>
      <c r="P178" s="308" t="n"/>
      <c r="Q178" s="136" t="n"/>
      <c r="R178" s="136" t="n"/>
      <c r="S178" s="308" t="n"/>
      <c r="T178" s="64" t="n"/>
      <c r="U178" s="308" t="n"/>
      <c r="V178" s="64" t="n"/>
      <c r="W178" s="308" t="n"/>
      <c r="X178" s="308" t="n"/>
      <c r="Y178" s="308" t="n"/>
      <c r="Z178" s="308" t="n"/>
      <c r="AA178" s="1204" t="n"/>
      <c r="AB178" s="64" t="n"/>
      <c r="AC178" s="64" t="n"/>
      <c r="AD178" s="308" t="n"/>
      <c r="AE178" s="783" t="n"/>
      <c r="AF178" s="783" t="n"/>
      <c r="AG178" s="783" t="n"/>
      <c r="AH178" s="783" t="n"/>
      <c r="AI178" s="783" t="n"/>
      <c r="AJ178" s="136" t="n"/>
      <c r="AK178" s="136" t="n"/>
      <c r="AL178" s="64" t="n"/>
      <c r="AM178" s="64" t="n"/>
      <c r="AN178" s="64" t="n"/>
    </row>
    <row r="179" ht="15" customHeight="1">
      <c r="A179" s="239" t="n"/>
      <c r="B179" s="64" t="n"/>
      <c r="C179" s="308" t="n"/>
      <c r="D179" s="64" t="n"/>
      <c r="E179" s="64" t="n"/>
      <c r="F179" s="64" t="n"/>
      <c r="G179" s="308" t="n"/>
      <c r="H179" s="136" t="n"/>
      <c r="I179" s="307" t="n"/>
      <c r="J179" s="308" t="n"/>
      <c r="K179" s="308" t="n"/>
      <c r="L179" s="308" t="n"/>
      <c r="M179" s="308" t="n"/>
      <c r="N179" s="136" t="n"/>
      <c r="O179" s="308" t="n"/>
      <c r="P179" s="308" t="n"/>
      <c r="Q179" s="136" t="n"/>
      <c r="R179" s="136" t="n"/>
      <c r="S179" s="308" t="n"/>
      <c r="T179" s="64" t="n"/>
      <c r="U179" s="308" t="n"/>
      <c r="V179" s="64" t="n"/>
      <c r="W179" s="308" t="n"/>
      <c r="X179" s="308" t="n"/>
      <c r="Y179" s="308" t="n"/>
      <c r="Z179" s="308" t="n"/>
      <c r="AA179" s="1204" t="n"/>
      <c r="AB179" s="64" t="n"/>
      <c r="AC179" s="64" t="n"/>
      <c r="AD179" s="308" t="n"/>
      <c r="AE179" s="783" t="n"/>
      <c r="AF179" s="783" t="n"/>
      <c r="AG179" s="783" t="n"/>
      <c r="AH179" s="783" t="n"/>
      <c r="AI179" s="783" t="n"/>
      <c r="AJ179" s="136" t="n"/>
      <c r="AK179" s="136" t="n"/>
      <c r="AL179" s="64" t="n"/>
      <c r="AM179" s="64" t="n"/>
      <c r="AN179" s="64" t="n"/>
    </row>
    <row r="180" ht="15" customHeight="1">
      <c r="A180" s="239" t="n"/>
      <c r="B180" s="64" t="n"/>
      <c r="C180" s="308" t="n"/>
      <c r="D180" s="64" t="n"/>
      <c r="E180" s="64" t="n"/>
      <c r="F180" s="64" t="n"/>
      <c r="G180" s="308" t="n"/>
      <c r="H180" s="136" t="n"/>
      <c r="I180" s="307" t="n"/>
      <c r="J180" s="308" t="n"/>
      <c r="K180" s="308" t="n"/>
      <c r="L180" s="308" t="n"/>
      <c r="M180" s="308" t="n"/>
      <c r="N180" s="136" t="n"/>
      <c r="O180" s="308" t="n"/>
      <c r="P180" s="308" t="n"/>
      <c r="Q180" s="136" t="n"/>
      <c r="R180" s="136" t="n"/>
      <c r="S180" s="308" t="n"/>
      <c r="T180" s="64" t="n"/>
      <c r="U180" s="308" t="n"/>
      <c r="V180" s="64" t="n"/>
      <c r="W180" s="308" t="n"/>
      <c r="X180" s="308" t="n"/>
      <c r="Y180" s="308" t="n"/>
      <c r="Z180" s="308" t="n"/>
      <c r="AA180" s="1204" t="n"/>
      <c r="AB180" s="64" t="n"/>
      <c r="AC180" s="64" t="n"/>
      <c r="AD180" s="308" t="n"/>
      <c r="AE180" s="783" t="n"/>
      <c r="AF180" s="783" t="n"/>
      <c r="AG180" s="783" t="n"/>
      <c r="AH180" s="783" t="n"/>
      <c r="AI180" s="783" t="n"/>
      <c r="AJ180" s="136" t="n"/>
      <c r="AK180" s="136" t="n"/>
      <c r="AL180" s="64" t="n"/>
      <c r="AM180" s="64" t="n"/>
      <c r="AN180" s="64" t="n"/>
    </row>
    <row r="181" ht="15" customHeight="1">
      <c r="A181" s="239" t="n"/>
      <c r="B181" s="64" t="n"/>
      <c r="C181" s="308" t="n"/>
      <c r="D181" s="64" t="n"/>
      <c r="E181" s="64" t="n"/>
      <c r="F181" s="64" t="n"/>
      <c r="G181" s="308" t="n"/>
      <c r="H181" s="136" t="n"/>
      <c r="I181" s="307" t="n"/>
      <c r="J181" s="308" t="n"/>
      <c r="K181" s="308" t="n"/>
      <c r="L181" s="308" t="n"/>
      <c r="M181" s="308" t="n"/>
      <c r="N181" s="136" t="n"/>
      <c r="O181" s="308" t="n"/>
      <c r="P181" s="308" t="n"/>
      <c r="Q181" s="136" t="n"/>
      <c r="R181" s="136" t="n"/>
      <c r="S181" s="308" t="n"/>
      <c r="T181" s="64" t="n"/>
      <c r="U181" s="308" t="n"/>
      <c r="V181" s="64" t="n"/>
      <c r="W181" s="308" t="n"/>
      <c r="X181" s="308" t="n"/>
      <c r="Y181" s="308" t="n"/>
      <c r="Z181" s="308" t="n"/>
      <c r="AA181" s="1204" t="n"/>
      <c r="AB181" s="64" t="n"/>
      <c r="AC181" s="64" t="n"/>
      <c r="AD181" s="308" t="n"/>
      <c r="AE181" s="783" t="n"/>
      <c r="AF181" s="783" t="n"/>
      <c r="AG181" s="783" t="n"/>
      <c r="AH181" s="783" t="n"/>
      <c r="AI181" s="783" t="n"/>
      <c r="AJ181" s="136" t="n"/>
      <c r="AK181" s="136" t="n"/>
      <c r="AL181" s="64" t="n"/>
      <c r="AM181" s="64" t="n"/>
      <c r="AN181" s="64" t="n"/>
    </row>
    <row r="182" ht="15" customHeight="1">
      <c r="A182" s="239" t="n"/>
      <c r="B182" s="64" t="n"/>
      <c r="C182" s="308" t="n"/>
      <c r="D182" s="64" t="n"/>
      <c r="E182" s="64" t="n"/>
      <c r="F182" s="64" t="n"/>
      <c r="G182" s="308" t="n"/>
      <c r="H182" s="136" t="n"/>
      <c r="I182" s="307" t="n"/>
      <c r="J182" s="308" t="n"/>
      <c r="K182" s="308" t="n"/>
      <c r="L182" s="308" t="n"/>
      <c r="M182" s="308" t="n"/>
      <c r="N182" s="136" t="n"/>
      <c r="O182" s="308" t="n"/>
      <c r="P182" s="308" t="n"/>
      <c r="Q182" s="136" t="n"/>
      <c r="R182" s="136" t="n"/>
      <c r="S182" s="308" t="n"/>
      <c r="T182" s="64" t="n"/>
      <c r="U182" s="308" t="n"/>
      <c r="V182" s="64" t="n"/>
      <c r="W182" s="308" t="n"/>
      <c r="X182" s="308" t="n"/>
      <c r="Y182" s="308" t="n"/>
      <c r="Z182" s="308" t="n"/>
      <c r="AA182" s="1204" t="n"/>
      <c r="AB182" s="64" t="n"/>
      <c r="AC182" s="64" t="n"/>
      <c r="AD182" s="308" t="n"/>
      <c r="AE182" s="783" t="n"/>
      <c r="AF182" s="783" t="n"/>
      <c r="AG182" s="783" t="n"/>
      <c r="AH182" s="783" t="n"/>
      <c r="AI182" s="783" t="n"/>
      <c r="AJ182" s="136" t="n"/>
      <c r="AK182" s="136" t="n"/>
      <c r="AL182" s="64" t="n"/>
      <c r="AM182" s="64" t="n"/>
      <c r="AN182" s="64" t="n"/>
    </row>
    <row r="183" ht="15" customHeight="1">
      <c r="A183" s="239" t="n"/>
      <c r="B183" s="64" t="n"/>
      <c r="C183" s="308" t="n"/>
      <c r="D183" s="64" t="n"/>
      <c r="E183" s="64" t="n"/>
      <c r="F183" s="64" t="n"/>
      <c r="G183" s="308" t="n"/>
      <c r="H183" s="136" t="n"/>
      <c r="I183" s="307" t="n"/>
      <c r="J183" s="308" t="n"/>
      <c r="K183" s="308" t="n"/>
      <c r="L183" s="308" t="n"/>
      <c r="M183" s="308" t="n"/>
      <c r="N183" s="136" t="n"/>
      <c r="O183" s="308" t="n"/>
      <c r="P183" s="308" t="n"/>
      <c r="Q183" s="136" t="n"/>
      <c r="R183" s="136" t="n"/>
      <c r="S183" s="308" t="n"/>
      <c r="T183" s="64" t="n"/>
      <c r="U183" s="308" t="n"/>
      <c r="V183" s="64" t="n"/>
      <c r="W183" s="308" t="n"/>
      <c r="X183" s="308" t="n"/>
      <c r="Y183" s="308" t="n"/>
      <c r="Z183" s="308" t="n"/>
      <c r="AA183" s="1204" t="n"/>
      <c r="AB183" s="64" t="n"/>
      <c r="AC183" s="64" t="n"/>
      <c r="AD183" s="308" t="n"/>
      <c r="AE183" s="783" t="n"/>
      <c r="AF183" s="783" t="n"/>
      <c r="AG183" s="783" t="n"/>
      <c r="AH183" s="783" t="n"/>
      <c r="AI183" s="783" t="n"/>
      <c r="AJ183" s="136" t="n"/>
      <c r="AK183" s="136" t="n"/>
      <c r="AL183" s="64" t="n"/>
      <c r="AM183" s="64" t="n"/>
      <c r="AN183" s="64" t="n"/>
    </row>
    <row r="184" ht="15" customHeight="1">
      <c r="A184" s="239" t="n"/>
      <c r="B184" s="64" t="n"/>
      <c r="C184" s="308" t="n"/>
      <c r="D184" s="64" t="n"/>
      <c r="E184" s="64" t="n"/>
      <c r="F184" s="64" t="n"/>
      <c r="G184" s="308" t="n"/>
      <c r="H184" s="136" t="n"/>
      <c r="I184" s="307" t="n"/>
      <c r="J184" s="308" t="n"/>
      <c r="K184" s="308" t="n"/>
      <c r="L184" s="308" t="n"/>
      <c r="M184" s="308" t="n"/>
      <c r="N184" s="136" t="n"/>
      <c r="O184" s="308" t="n"/>
      <c r="P184" s="308" t="n"/>
      <c r="Q184" s="136" t="n"/>
      <c r="R184" s="136" t="n"/>
      <c r="S184" s="308" t="n"/>
      <c r="T184" s="64" t="n"/>
      <c r="U184" s="308" t="n"/>
      <c r="V184" s="64" t="n"/>
      <c r="W184" s="308" t="n"/>
      <c r="X184" s="308" t="n"/>
      <c r="Y184" s="308" t="n"/>
      <c r="Z184" s="308" t="n"/>
      <c r="AA184" s="1204" t="n"/>
      <c r="AB184" s="64" t="n"/>
      <c r="AC184" s="64" t="n"/>
      <c r="AD184" s="308" t="n"/>
      <c r="AE184" s="783" t="n"/>
      <c r="AF184" s="783" t="n"/>
      <c r="AG184" s="783" t="n"/>
      <c r="AH184" s="783" t="n"/>
      <c r="AI184" s="783" t="n"/>
      <c r="AJ184" s="136" t="n"/>
      <c r="AK184" s="136" t="n"/>
      <c r="AL184" s="64" t="n"/>
      <c r="AM184" s="64" t="n"/>
      <c r="AN184" s="64" t="n"/>
    </row>
    <row r="185" ht="18.75" customHeight="1">
      <c r="A185" s="239" t="n"/>
      <c r="B185" s="64" t="n"/>
      <c r="C185" s="308" t="n"/>
      <c r="D185" s="64" t="n"/>
      <c r="E185" s="64" t="n"/>
      <c r="F185" s="64" t="n"/>
      <c r="G185" s="308" t="n"/>
      <c r="H185" s="136" t="n"/>
      <c r="I185" s="307" t="n"/>
      <c r="J185" s="308" t="n"/>
      <c r="K185" s="308" t="n"/>
      <c r="L185" s="308" t="n"/>
      <c r="M185" s="308" t="n"/>
      <c r="N185" s="136" t="n"/>
      <c r="O185" s="308" t="n"/>
      <c r="P185" s="308" t="n"/>
      <c r="Q185" s="136" t="n"/>
      <c r="R185" s="136" t="n"/>
      <c r="S185" s="308" t="n"/>
      <c r="T185" s="64" t="n"/>
      <c r="U185" s="308" t="n"/>
      <c r="V185" s="64" t="n"/>
      <c r="W185" s="308" t="n"/>
      <c r="X185" s="308" t="n"/>
      <c r="Y185" s="308" t="n"/>
      <c r="Z185" s="308" t="n"/>
      <c r="AA185" s="1204" t="n"/>
      <c r="AB185" s="64" t="n"/>
      <c r="AC185" s="64" t="n"/>
      <c r="AD185" s="308" t="n"/>
      <c r="AE185" s="783" t="n"/>
      <c r="AF185" s="783" t="n"/>
      <c r="AG185" s="783" t="n"/>
      <c r="AH185" s="783" t="n"/>
      <c r="AI185" s="783" t="n"/>
      <c r="AJ185" s="136" t="n"/>
      <c r="AK185" s="136" t="n"/>
      <c r="AL185" s="64" t="n"/>
      <c r="AM185" s="64" t="n"/>
      <c r="AN185" s="64" t="n"/>
    </row>
    <row r="186" ht="17.25" customHeight="1">
      <c r="A186" s="259" t="inlineStr">
        <is>
          <t>wØZxq Ask</t>
        </is>
      </c>
      <c r="AC186" s="64" t="n"/>
      <c r="AD186" s="308" t="n"/>
      <c r="AE186" s="783" t="n"/>
      <c r="AF186" s="783" t="n"/>
      <c r="AG186" s="783" t="n"/>
      <c r="AH186" s="783" t="n"/>
      <c r="AI186" s="783" t="n"/>
      <c r="AJ186" s="136" t="n"/>
      <c r="AK186" s="136" t="n"/>
      <c r="AL186" s="64" t="n"/>
      <c r="AM186" s="64" t="n"/>
      <c r="AN186" s="64" t="n"/>
    </row>
    <row r="187" ht="17.25" customHeight="1">
      <c r="A187" s="744" t="n"/>
      <c r="B187" s="64" t="n"/>
      <c r="C187" s="308" t="n"/>
      <c r="D187" s="64" t="n"/>
      <c r="E187" s="64" t="n"/>
      <c r="F187" s="64" t="n"/>
      <c r="G187" s="308" t="n"/>
      <c r="H187" s="136" t="n"/>
      <c r="I187" s="307" t="n"/>
      <c r="J187" s="308" t="n"/>
      <c r="K187" s="308" t="n"/>
      <c r="L187" s="308" t="n"/>
      <c r="M187" s="308" t="n"/>
      <c r="N187" s="136" t="n"/>
      <c r="O187" s="308" t="n"/>
      <c r="P187" s="308" t="n"/>
      <c r="Q187" s="136" t="n"/>
      <c r="R187" s="136" t="n"/>
      <c r="S187" s="308" t="n"/>
      <c r="T187" s="64" t="n"/>
      <c r="U187" s="308" t="n"/>
      <c r="V187" s="64" t="n"/>
      <c r="W187" s="308" t="n"/>
      <c r="X187" s="308" t="n"/>
      <c r="Y187" s="308" t="n"/>
      <c r="Z187" s="308" t="n"/>
      <c r="AA187" s="1204" t="n"/>
      <c r="AB187" s="64" t="n"/>
      <c r="AC187" s="64" t="n"/>
      <c r="AD187" s="308" t="n"/>
      <c r="AE187" s="783" t="n"/>
      <c r="AF187" s="783" t="n"/>
      <c r="AG187" s="783" t="n"/>
      <c r="AH187" s="783" t="n"/>
      <c r="AI187" s="783" t="n"/>
      <c r="AJ187" s="136" t="n"/>
      <c r="AK187" s="136" t="n"/>
      <c r="AL187" s="64" t="n"/>
      <c r="AM187" s="64" t="n"/>
      <c r="AN187" s="64" t="n"/>
    </row>
    <row r="188" ht="17.25" customHeight="1">
      <c r="A188" s="521" t="inlineStr">
        <is>
          <t>20|</t>
        </is>
      </c>
      <c r="B188" s="794" t="inlineStr">
        <is>
          <t>e¨e¯’vcK/ K‡cv©‡iU kvLv cÖav‡bi mycvwik t</t>
        </is>
      </c>
      <c r="Q188" s="136" t="n"/>
      <c r="R188" s="136" t="n"/>
      <c r="S188" s="308" t="n"/>
      <c r="T188" s="64" t="n"/>
      <c r="U188" s="308" t="n"/>
      <c r="V188" s="64" t="n"/>
      <c r="W188" s="308" t="n"/>
      <c r="X188" s="308" t="n"/>
      <c r="Y188" s="308" t="n"/>
      <c r="Z188" s="308" t="n"/>
      <c r="AA188" s="1204" t="n"/>
      <c r="AB188" s="64" t="n"/>
      <c r="AC188" s="64" t="n"/>
      <c r="AD188" s="308" t="n"/>
      <c r="AE188" s="783" t="n"/>
      <c r="AF188" s="783" t="n"/>
      <c r="AG188" s="783" t="n"/>
      <c r="AH188" s="783" t="n"/>
      <c r="AI188" s="783" t="n"/>
      <c r="AJ188" s="136" t="n"/>
      <c r="AK188" s="136" t="n"/>
      <c r="AL188" s="64" t="n"/>
      <c r="AM188" s="64" t="n"/>
      <c r="AN188" s="64" t="n"/>
    </row>
    <row r="189" ht="17.25" customHeight="1">
      <c r="A189" s="1109" t="n"/>
      <c r="B189" s="1196">
        <f>+'Note Sheet-RM'!C22</f>
        <v/>
      </c>
      <c r="AC189" s="64" t="n"/>
      <c r="AD189" s="308" t="n"/>
      <c r="AE189" s="783" t="n"/>
      <c r="AF189" s="783" t="n"/>
      <c r="AG189" s="783" t="n"/>
      <c r="AH189" s="783" t="n"/>
      <c r="AI189" s="783" t="n"/>
      <c r="AJ189" s="136" t="n"/>
      <c r="AK189" s="136" t="n"/>
      <c r="AL189" s="64" t="n"/>
      <c r="AM189" s="64" t="n"/>
      <c r="AN189" s="64" t="n"/>
    </row>
    <row r="190" ht="17.25" customHeight="1">
      <c r="A190" s="1109" t="n"/>
      <c r="AC190" s="64" t="n"/>
      <c r="AD190" s="308" t="n"/>
      <c r="AE190" s="783" t="n"/>
      <c r="AF190" s="783" t="n"/>
      <c r="AG190" s="783" t="n"/>
      <c r="AH190" s="783" t="n"/>
      <c r="AI190" s="783" t="n"/>
      <c r="AJ190" s="136" t="n"/>
      <c r="AK190" s="136" t="n"/>
      <c r="AL190" s="64" t="n"/>
      <c r="AM190" s="64" t="n"/>
      <c r="AN190" s="64" t="n"/>
    </row>
    <row r="191" ht="40.5" customHeight="1">
      <c r="A191" s="239" t="n"/>
      <c r="AC191" s="64" t="n"/>
      <c r="AD191" s="308" t="n"/>
      <c r="AE191" s="783" t="n"/>
      <c r="AF191" s="783" t="n"/>
      <c r="AG191" s="783" t="n"/>
      <c r="AH191" s="783" t="n"/>
      <c r="AI191" s="783" t="n"/>
      <c r="AJ191" s="136" t="n"/>
      <c r="AK191" s="136" t="n"/>
      <c r="AL191" s="64" t="n"/>
      <c r="AM191" s="64" t="n"/>
      <c r="AN191" s="64" t="n"/>
    </row>
    <row r="192" ht="39" customHeight="1">
      <c r="A192" s="239" t="n"/>
      <c r="AC192" s="64" t="n"/>
      <c r="AD192" s="308" t="n"/>
      <c r="AE192" s="136" t="n"/>
      <c r="AF192" s="136" t="n"/>
      <c r="AG192" s="136" t="n"/>
      <c r="AH192" s="136" t="n"/>
      <c r="AI192" s="136" t="n"/>
      <c r="AJ192" s="136" t="n"/>
      <c r="AK192" s="136" t="n"/>
      <c r="AL192" s="64" t="n"/>
      <c r="AM192" s="64" t="n"/>
      <c r="AN192" s="64" t="n"/>
    </row>
    <row r="193" ht="25.5" customHeight="1">
      <c r="A193" s="239" t="n"/>
      <c r="AC193" s="64" t="n"/>
      <c r="AD193" s="308" t="n"/>
      <c r="AE193" s="136" t="n"/>
      <c r="AF193" s="136" t="n"/>
      <c r="AG193" s="136" t="n"/>
      <c r="AH193" s="136" t="n"/>
      <c r="AI193" s="136" t="n"/>
      <c r="AJ193" s="136" t="n"/>
      <c r="AK193" s="136" t="n"/>
      <c r="AL193" s="64" t="n"/>
      <c r="AM193" s="64" t="n"/>
      <c r="AN193" s="64" t="n"/>
    </row>
    <row r="194" ht="17.25" customHeight="1">
      <c r="A194" s="239" t="n"/>
      <c r="B194" s="64" t="n"/>
      <c r="C194" s="308" t="n"/>
      <c r="D194" s="64" t="n"/>
      <c r="E194" s="64" t="n"/>
      <c r="F194" s="64" t="n"/>
      <c r="G194" s="308" t="n"/>
      <c r="H194" s="136" t="n"/>
      <c r="I194" s="307" t="n"/>
      <c r="J194" s="308" t="n"/>
      <c r="K194" s="308" t="n"/>
      <c r="L194" s="297" t="n"/>
      <c r="M194" s="308" t="n"/>
      <c r="N194" s="136" t="n"/>
      <c r="O194" s="308" t="n"/>
      <c r="P194" s="308" t="n"/>
      <c r="Q194" s="136" t="n"/>
      <c r="R194" s="136" t="n"/>
      <c r="S194" s="308" t="n"/>
      <c r="T194" s="64" t="n"/>
      <c r="U194" s="308" t="n"/>
      <c r="V194" s="64" t="n"/>
      <c r="W194" s="308" t="n"/>
      <c r="X194" s="308" t="n"/>
      <c r="Y194" s="308" t="n"/>
      <c r="Z194" s="308" t="n"/>
      <c r="AA194" s="1204" t="n"/>
      <c r="AB194" s="64" t="n"/>
      <c r="AC194" s="64" t="n"/>
      <c r="AD194" s="308" t="n"/>
      <c r="AE194" s="136" t="n"/>
      <c r="AF194" s="136" t="n"/>
      <c r="AG194" s="136" t="n"/>
      <c r="AH194" s="136" t="n"/>
      <c r="AI194" s="136" t="n"/>
      <c r="AJ194" s="136" t="n"/>
      <c r="AK194" s="136" t="n"/>
      <c r="AL194" s="64" t="n"/>
      <c r="AM194" s="64" t="n"/>
      <c r="AN194" s="64" t="n"/>
    </row>
    <row r="195" ht="17.25" customHeight="1">
      <c r="A195" s="239" t="n"/>
      <c r="B195" s="64" t="n"/>
      <c r="C195" s="308" t="n"/>
      <c r="D195" s="64" t="n"/>
      <c r="E195" s="64" t="n"/>
      <c r="F195" s="64" t="n"/>
      <c r="G195" s="308" t="n"/>
      <c r="H195" s="136" t="n"/>
      <c r="I195" s="307" t="n"/>
      <c r="J195" s="308" t="n"/>
      <c r="K195" s="308" t="n"/>
      <c r="L195" s="297" t="n"/>
      <c r="M195" s="308" t="n"/>
      <c r="N195" s="136" t="n"/>
      <c r="O195" s="308" t="n"/>
      <c r="P195" s="308" t="n"/>
      <c r="Q195" s="136" t="n"/>
      <c r="R195" s="136" t="n"/>
      <c r="S195" s="308" t="n"/>
      <c r="T195" s="64" t="n"/>
      <c r="U195" s="308" t="n"/>
      <c r="V195" s="64" t="n"/>
      <c r="W195" s="308" t="n"/>
      <c r="X195" s="308" t="n"/>
      <c r="Y195" s="308" t="n"/>
      <c r="Z195" s="308" t="n"/>
      <c r="AA195" s="1204" t="n"/>
      <c r="AB195" s="64" t="n"/>
      <c r="AC195" s="64" t="n"/>
      <c r="AD195" s="308" t="n"/>
      <c r="AE195" s="136" t="n"/>
      <c r="AF195" s="136" t="n"/>
      <c r="AG195" s="136" t="n"/>
      <c r="AH195" s="136" t="n"/>
      <c r="AI195" s="136" t="n"/>
      <c r="AJ195" s="136" t="n"/>
      <c r="AK195" s="136" t="n"/>
      <c r="AL195" s="64" t="n"/>
      <c r="AM195" s="64" t="n"/>
      <c r="AN195" s="64" t="n"/>
    </row>
    <row r="196" ht="12.75" customHeight="1">
      <c r="A196" s="239" t="n"/>
      <c r="B196" s="64" t="n"/>
      <c r="C196" s="308" t="n"/>
      <c r="D196" s="64" t="n"/>
      <c r="E196" s="64" t="n"/>
      <c r="F196" s="64" t="n"/>
      <c r="G196" s="308" t="n"/>
      <c r="H196" s="136" t="n"/>
      <c r="I196" s="307" t="n"/>
      <c r="J196" s="308" t="n"/>
      <c r="K196" s="308" t="n"/>
      <c r="L196" s="297" t="n"/>
      <c r="M196" s="308" t="n"/>
      <c r="N196" s="136" t="n"/>
      <c r="O196" s="308" t="n"/>
      <c r="P196" s="308" t="n"/>
      <c r="Q196" s="136" t="n"/>
      <c r="R196" s="136" t="n"/>
      <c r="S196" s="308" t="n"/>
      <c r="T196" s="64" t="n"/>
      <c r="U196" s="308" t="n"/>
      <c r="V196" s="64" t="n"/>
      <c r="W196" s="308" t="n"/>
      <c r="X196" s="308" t="n"/>
      <c r="Y196" s="308" t="n"/>
      <c r="Z196" s="308" t="n"/>
      <c r="AA196" s="1204" t="n"/>
      <c r="AB196" s="64" t="n"/>
      <c r="AC196" s="64" t="n"/>
      <c r="AD196" s="308" t="n"/>
      <c r="AE196" s="136" t="n"/>
      <c r="AF196" s="136" t="n"/>
      <c r="AG196" s="136" t="n"/>
      <c r="AH196" s="136" t="n"/>
      <c r="AI196" s="136" t="n"/>
      <c r="AJ196" s="136" t="n"/>
      <c r="AK196" s="136" t="n"/>
      <c r="AL196" s="64" t="n"/>
      <c r="AM196" s="64" t="n"/>
      <c r="AN196" s="64" t="n"/>
    </row>
    <row r="197" ht="15" customHeight="1">
      <c r="A197" s="239" t="n"/>
      <c r="B197" s="64" t="n"/>
      <c r="C197" s="308" t="n"/>
      <c r="D197" s="64" t="n"/>
      <c r="E197" s="64" t="n"/>
      <c r="F197" s="64" t="n"/>
      <c r="G197" s="308" t="n"/>
      <c r="H197" s="136" t="n"/>
      <c r="I197" s="307" t="n"/>
      <c r="J197" s="308" t="n"/>
      <c r="K197" s="308" t="n"/>
      <c r="L197" s="297" t="n"/>
      <c r="M197" s="308" t="n"/>
      <c r="N197" s="136" t="n"/>
      <c r="O197" s="308" t="n"/>
      <c r="P197" s="308" t="n"/>
      <c r="Q197" s="136" t="n"/>
      <c r="R197" s="136" t="n"/>
      <c r="S197" s="308" t="n"/>
      <c r="T197" s="64" t="n"/>
      <c r="U197" s="308" t="n"/>
      <c r="V197" s="64" t="n"/>
      <c r="W197" s="308" t="n"/>
      <c r="X197" s="863" t="inlineStr">
        <is>
          <t>(¯^v¶i I bv‡gi mxj)</t>
        </is>
      </c>
      <c r="Y197" s="2624" t="n"/>
      <c r="Z197" s="2624" t="n"/>
      <c r="AA197" s="2624" t="n"/>
      <c r="AB197" s="2624" t="n"/>
      <c r="AC197" s="64" t="n"/>
      <c r="AD197" s="308" t="n"/>
      <c r="AE197" s="136" t="n"/>
      <c r="AF197" s="136" t="n"/>
      <c r="AG197" s="136" t="n"/>
      <c r="AH197" s="136" t="n"/>
      <c r="AI197" s="136" t="n"/>
      <c r="AJ197" s="136" t="n"/>
      <c r="AK197" s="136" t="n"/>
      <c r="AL197" s="64" t="n"/>
      <c r="AM197" s="64" t="n"/>
      <c r="AN197" s="64" t="n"/>
    </row>
    <row r="198" ht="17.25" customHeight="1">
      <c r="A198" s="239" t="inlineStr">
        <is>
          <t>21|</t>
        </is>
      </c>
      <c r="B198" s="1202" t="inlineStr">
        <is>
          <t>AvÂwjK/ gyL¨ AvÂwjK e¨e¯’vc‡Ki mycvwik t</t>
        </is>
      </c>
      <c r="C198" s="308" t="n"/>
      <c r="D198" s="64" t="n"/>
      <c r="E198" s="64" t="n"/>
      <c r="F198" s="64" t="n"/>
      <c r="G198" s="308" t="n"/>
      <c r="H198" s="136" t="n"/>
      <c r="I198" s="307" t="n"/>
      <c r="J198" s="308" t="n"/>
      <c r="K198" s="308" t="n"/>
      <c r="L198" s="308" t="n"/>
      <c r="M198" s="308" t="n"/>
      <c r="N198" s="136" t="n"/>
      <c r="O198" s="308" t="n"/>
      <c r="P198" s="308" t="n"/>
      <c r="Q198" s="136" t="n"/>
      <c r="R198" s="136" t="n"/>
      <c r="S198" s="308" t="n"/>
      <c r="T198" s="64" t="n"/>
      <c r="U198" s="308" t="n"/>
      <c r="V198" s="64" t="n"/>
      <c r="W198" s="308" t="n"/>
      <c r="X198" s="308" t="n"/>
      <c r="Y198" s="308" t="n"/>
      <c r="Z198" s="308" t="n"/>
      <c r="AA198" s="1204" t="n"/>
      <c r="AB198" s="64" t="n"/>
      <c r="AC198" s="64" t="n"/>
      <c r="AD198" s="308" t="n"/>
      <c r="AE198" s="136" t="n"/>
      <c r="AF198" s="136" t="n"/>
      <c r="AG198" s="136" t="n"/>
      <c r="AH198" s="136" t="n"/>
      <c r="AI198" s="136" t="n"/>
      <c r="AJ198" s="136" t="n"/>
      <c r="AK198" s="136" t="n"/>
      <c r="AL198" s="64" t="n"/>
      <c r="AM198" s="64" t="n"/>
      <c r="AN198" s="64" t="n"/>
    </row>
    <row r="199" ht="12.75" customHeight="1">
      <c r="A199" s="239" t="n"/>
      <c r="B199" s="64" t="n"/>
      <c r="C199" s="308" t="n"/>
      <c r="D199" s="64" t="n"/>
      <c r="E199" s="64" t="n"/>
      <c r="F199" s="64" t="n"/>
      <c r="G199" s="308" t="n"/>
      <c r="H199" s="136" t="n"/>
      <c r="I199" s="307" t="n"/>
      <c r="J199" s="308" t="n"/>
      <c r="K199" s="308" t="n"/>
      <c r="L199" s="308" t="n"/>
      <c r="M199" s="308" t="n"/>
      <c r="N199" s="136" t="n"/>
      <c r="O199" s="308" t="n"/>
      <c r="P199" s="308" t="n"/>
      <c r="Q199" s="136" t="n"/>
      <c r="R199" s="136" t="n"/>
      <c r="S199" s="308" t="n"/>
      <c r="T199" s="64" t="n"/>
      <c r="U199" s="308" t="n"/>
      <c r="V199" s="64" t="n"/>
      <c r="W199" s="308" t="n"/>
      <c r="X199" s="308" t="n"/>
      <c r="Y199" s="308" t="n"/>
      <c r="Z199" s="308" t="n"/>
      <c r="AA199" s="1204" t="n"/>
      <c r="AB199" s="64" t="n"/>
      <c r="AC199" s="64" t="n"/>
      <c r="AD199" s="308" t="n"/>
      <c r="AE199" s="136" t="n"/>
      <c r="AF199" s="136" t="n"/>
      <c r="AG199" s="136" t="n"/>
      <c r="AH199" s="136" t="n"/>
      <c r="AI199" s="136" t="n"/>
      <c r="AJ199" s="136" t="n"/>
      <c r="AK199" s="136" t="n"/>
      <c r="AL199" s="64" t="n"/>
      <c r="AM199" s="64" t="n"/>
      <c r="AN199" s="64" t="n"/>
    </row>
    <row r="200" ht="6.75" customHeight="1">
      <c r="A200" s="239" t="n"/>
      <c r="B200" s="64" t="n"/>
      <c r="C200" s="308" t="n"/>
      <c r="D200" s="64" t="n"/>
      <c r="E200" s="64" t="n"/>
      <c r="F200" s="64" t="n"/>
      <c r="G200" s="308" t="n"/>
      <c r="H200" s="136" t="n"/>
      <c r="I200" s="307" t="n"/>
      <c r="J200" s="308" t="n"/>
      <c r="K200" s="308" t="n"/>
      <c r="L200" s="297" t="n"/>
      <c r="M200" s="308" t="n"/>
      <c r="N200" s="136" t="n"/>
      <c r="O200" s="308" t="n"/>
      <c r="P200" s="308" t="n"/>
      <c r="Q200" s="136" t="n"/>
      <c r="R200" s="136" t="n"/>
      <c r="S200" s="308" t="n"/>
      <c r="T200" s="64" t="n"/>
      <c r="U200" s="308" t="n"/>
      <c r="V200" s="64" t="n"/>
      <c r="W200" s="308" t="n"/>
      <c r="X200" s="308" t="n"/>
      <c r="Y200" s="308" t="n"/>
      <c r="Z200" s="308" t="n"/>
      <c r="AA200" s="1204" t="n"/>
      <c r="AB200" s="64" t="n"/>
      <c r="AC200" s="64" t="n"/>
      <c r="AD200" s="308" t="n"/>
      <c r="AE200" s="136" t="n"/>
      <c r="AF200" s="136" t="n"/>
      <c r="AG200" s="136" t="n"/>
      <c r="AH200" s="136" t="n"/>
      <c r="AI200" s="136" t="n"/>
      <c r="AJ200" s="136" t="n"/>
      <c r="AK200" s="136" t="n"/>
      <c r="AL200" s="64" t="n"/>
      <c r="AM200" s="64" t="n"/>
      <c r="AN200" s="64" t="n"/>
    </row>
    <row r="201" ht="18" customHeight="1">
      <c r="A201" s="239" t="n"/>
      <c r="B201" s="64" t="n"/>
      <c r="C201" s="308" t="n"/>
      <c r="D201" s="64" t="n"/>
      <c r="E201" s="64" t="n"/>
      <c r="F201" s="64" t="n"/>
      <c r="G201" s="308" t="n"/>
      <c r="H201" s="136" t="n"/>
      <c r="I201" s="307" t="n"/>
      <c r="J201" s="308" t="n"/>
      <c r="K201" s="308" t="n"/>
      <c r="L201" s="308" t="n"/>
      <c r="M201" s="308" t="n"/>
      <c r="N201" s="136" t="n"/>
      <c r="O201" s="308" t="n"/>
      <c r="P201" s="308" t="n"/>
      <c r="Q201" s="136" t="n"/>
      <c r="R201" s="136" t="n"/>
      <c r="S201" s="308" t="n"/>
      <c r="T201" s="64" t="n"/>
      <c r="U201" s="308" t="n"/>
      <c r="V201" s="64" t="n"/>
      <c r="W201" s="308" t="n"/>
      <c r="X201" s="863" t="inlineStr">
        <is>
          <t>(¯^v¶i I bv‡gi mxj)</t>
        </is>
      </c>
      <c r="Y201" s="2624" t="n"/>
      <c r="Z201" s="2624" t="n"/>
      <c r="AA201" s="2624" t="n"/>
      <c r="AB201" s="2624" t="n"/>
      <c r="AC201" s="64" t="n"/>
      <c r="AD201" s="308" t="n"/>
      <c r="AE201" s="136" t="n"/>
      <c r="AF201" s="136" t="n"/>
      <c r="AG201" s="136" t="n"/>
      <c r="AH201" s="136" t="n"/>
      <c r="AI201" s="136" t="n"/>
      <c r="AJ201" s="136" t="n"/>
      <c r="AK201" s="136" t="n"/>
      <c r="AL201" s="64" t="n"/>
      <c r="AM201" s="64" t="n"/>
      <c r="AN201" s="64" t="n"/>
    </row>
    <row r="202" ht="17.25" customHeight="1">
      <c r="A202" s="239" t="inlineStr">
        <is>
          <t>22|</t>
        </is>
      </c>
      <c r="B202" s="1202" t="inlineStr">
        <is>
          <t>wefvMxq gnve¨e¯’vc‡Ki mycvwik t</t>
        </is>
      </c>
      <c r="C202" s="308" t="n"/>
      <c r="D202" s="64" t="n"/>
      <c r="E202" s="64" t="n"/>
      <c r="F202" s="64" t="n"/>
      <c r="G202" s="308" t="n"/>
      <c r="H202" s="136" t="n"/>
      <c r="I202" s="307" t="n"/>
      <c r="J202" s="308" t="n"/>
      <c r="K202" s="308" t="n"/>
      <c r="L202" s="308" t="n"/>
      <c r="M202" s="308" t="n"/>
      <c r="N202" s="136" t="n"/>
      <c r="O202" s="308" t="n"/>
      <c r="P202" s="308" t="n"/>
      <c r="Q202" s="136" t="n"/>
      <c r="R202" s="136" t="n"/>
      <c r="S202" s="308" t="n"/>
      <c r="T202" s="64" t="n"/>
      <c r="U202" s="308" t="n"/>
      <c r="V202" s="64" t="n"/>
      <c r="W202" s="308" t="n"/>
      <c r="X202" s="308" t="n"/>
      <c r="Y202" s="308" t="n"/>
      <c r="Z202" s="308" t="n"/>
      <c r="AA202" s="1204" t="n"/>
      <c r="AB202" s="64" t="n"/>
      <c r="AC202" s="64" t="n"/>
      <c r="AD202" s="308" t="n"/>
      <c r="AE202" s="136" t="n"/>
      <c r="AF202" s="136" t="n"/>
      <c r="AG202" s="136" t="n"/>
      <c r="AH202" s="136" t="n"/>
      <c r="AI202" s="136" t="n"/>
      <c r="AJ202" s="136" t="n"/>
      <c r="AK202" s="136" t="n"/>
      <c r="AL202" s="64" t="n"/>
      <c r="AM202" s="64" t="n"/>
      <c r="AN202" s="64" t="n"/>
    </row>
    <row r="203" ht="10.5" customHeight="1">
      <c r="A203" s="239" t="n"/>
      <c r="B203" s="64" t="n"/>
      <c r="C203" s="308" t="n"/>
      <c r="D203" s="64" t="n"/>
      <c r="E203" s="64" t="n"/>
      <c r="F203" s="64" t="n"/>
      <c r="G203" s="308" t="n"/>
      <c r="H203" s="136" t="n"/>
      <c r="I203" s="307" t="n"/>
      <c r="J203" s="308" t="n"/>
      <c r="K203" s="308" t="n"/>
      <c r="L203" s="308" t="n"/>
      <c r="M203" s="308" t="n"/>
      <c r="N203" s="136" t="n"/>
      <c r="O203" s="308" t="n"/>
      <c r="P203" s="308" t="n"/>
      <c r="Q203" s="136" t="n"/>
      <c r="R203" s="136" t="n"/>
      <c r="S203" s="308" t="n"/>
      <c r="T203" s="64" t="n"/>
      <c r="U203" s="308" t="n"/>
      <c r="V203" s="64" t="n"/>
      <c r="W203" s="308" t="n"/>
      <c r="X203" s="308" t="n"/>
      <c r="Y203" s="308" t="n"/>
      <c r="Z203" s="308" t="n"/>
      <c r="AA203" s="1204" t="n"/>
      <c r="AB203" s="64" t="n"/>
      <c r="AC203" s="64" t="n"/>
      <c r="AD203" s="308" t="n"/>
      <c r="AE203" s="136" t="n"/>
      <c r="AF203" s="136" t="n"/>
      <c r="AG203" s="136" t="n"/>
      <c r="AH203" s="136" t="n"/>
      <c r="AI203" s="136" t="n"/>
      <c r="AJ203" s="136" t="n"/>
      <c r="AK203" s="136" t="n"/>
      <c r="AL203" s="64" t="n"/>
      <c r="AM203" s="64" t="n"/>
      <c r="AN203" s="64" t="n"/>
    </row>
    <row r="204" ht="6.75" customHeight="1">
      <c r="A204" s="239" t="n"/>
      <c r="B204" s="64" t="n"/>
      <c r="C204" s="308" t="n"/>
      <c r="D204" s="64" t="n"/>
      <c r="E204" s="64" t="n"/>
      <c r="F204" s="64" t="n"/>
      <c r="G204" s="308" t="n"/>
      <c r="H204" s="136" t="n"/>
      <c r="I204" s="307" t="n"/>
      <c r="J204" s="308" t="n"/>
      <c r="K204" s="308" t="n"/>
      <c r="L204" s="297" t="n"/>
      <c r="M204" s="308" t="n"/>
      <c r="N204" s="136" t="n"/>
      <c r="O204" s="308" t="n"/>
      <c r="P204" s="308" t="n"/>
      <c r="Q204" s="136" t="n"/>
      <c r="R204" s="136" t="n"/>
      <c r="S204" s="308" t="n"/>
      <c r="T204" s="64" t="n"/>
      <c r="U204" s="308" t="n"/>
      <c r="V204" s="64" t="n"/>
      <c r="W204" s="308" t="n"/>
      <c r="X204" s="308" t="n"/>
      <c r="Y204" s="308" t="n"/>
      <c r="Z204" s="308" t="n"/>
      <c r="AA204" s="1204" t="n"/>
      <c r="AB204" s="64" t="n"/>
      <c r="AC204" s="64" t="n"/>
      <c r="AD204" s="308" t="n"/>
      <c r="AE204" s="136" t="n"/>
      <c r="AF204" s="136" t="n"/>
      <c r="AG204" s="136" t="n"/>
      <c r="AH204" s="136" t="n"/>
      <c r="AI204" s="136" t="n"/>
      <c r="AJ204" s="136" t="n"/>
      <c r="AK204" s="136" t="n"/>
      <c r="AL204" s="64" t="n"/>
      <c r="AM204" s="64" t="n"/>
      <c r="AN204" s="64" t="n"/>
    </row>
    <row r="205" ht="7.5" customHeight="1">
      <c r="A205" s="239" t="n"/>
      <c r="B205" s="64" t="n"/>
      <c r="C205" s="308" t="n"/>
      <c r="D205" s="64" t="n"/>
      <c r="E205" s="64" t="n"/>
      <c r="F205" s="64" t="n"/>
      <c r="G205" s="308" t="n"/>
      <c r="H205" s="136" t="n"/>
      <c r="I205" s="307" t="n"/>
      <c r="J205" s="308" t="n"/>
      <c r="K205" s="308" t="n"/>
      <c r="L205" s="308" t="n"/>
      <c r="M205" s="308" t="n"/>
      <c r="N205" s="136" t="n"/>
      <c r="O205" s="308" t="n"/>
      <c r="P205" s="308" t="n"/>
      <c r="Q205" s="136" t="n"/>
      <c r="R205" s="136" t="n"/>
      <c r="S205" s="308" t="n"/>
      <c r="T205" s="64" t="n"/>
      <c r="U205" s="308" t="n"/>
      <c r="V205" s="64" t="n"/>
      <c r="W205" s="308" t="n"/>
      <c r="X205" s="308" t="n"/>
      <c r="Y205" s="308" t="n"/>
      <c r="Z205" s="308" t="n"/>
      <c r="AA205" s="1204" t="n"/>
      <c r="AB205" s="64" t="n"/>
      <c r="AC205" s="64" t="n"/>
      <c r="AD205" s="308" t="n"/>
      <c r="AE205" s="136" t="n"/>
      <c r="AF205" s="136" t="n"/>
      <c r="AG205" s="136" t="n"/>
      <c r="AH205" s="136" t="n"/>
      <c r="AI205" s="136" t="n"/>
      <c r="AJ205" s="136" t="n"/>
      <c r="AK205" s="136" t="n"/>
      <c r="AL205" s="64" t="n"/>
      <c r="AM205" s="64" t="n"/>
      <c r="AN205" s="64" t="n"/>
    </row>
    <row r="206" ht="12" customHeight="1">
      <c r="A206" s="239" t="n"/>
      <c r="B206" s="64" t="n"/>
      <c r="C206" s="308" t="n"/>
      <c r="D206" s="64" t="n"/>
      <c r="E206" s="64" t="n"/>
      <c r="F206" s="64" t="n"/>
      <c r="G206" s="308" t="n"/>
      <c r="H206" s="136" t="n"/>
      <c r="I206" s="307" t="n"/>
      <c r="J206" s="308" t="n"/>
      <c r="K206" s="308" t="n"/>
      <c r="L206" s="308" t="n"/>
      <c r="M206" s="308" t="n"/>
      <c r="N206" s="136" t="n"/>
      <c r="O206" s="308" t="n"/>
      <c r="P206" s="308" t="n"/>
      <c r="Q206" s="136" t="n"/>
      <c r="R206" s="136" t="n"/>
      <c r="S206" s="308" t="n"/>
      <c r="T206" s="64" t="n"/>
      <c r="U206" s="308" t="n"/>
      <c r="V206" s="64" t="n"/>
      <c r="W206" s="308" t="n"/>
      <c r="X206" s="863" t="inlineStr">
        <is>
          <t>(¯^v¶i I bv‡gi mxj)</t>
        </is>
      </c>
      <c r="Y206" s="2624" t="n"/>
      <c r="Z206" s="2624" t="n"/>
      <c r="AA206" s="2624" t="n"/>
      <c r="AB206" s="2624" t="n"/>
      <c r="AC206" s="64" t="n"/>
      <c r="AD206" s="308" t="n"/>
      <c r="AE206" s="136" t="n"/>
      <c r="AF206" s="136" t="n"/>
      <c r="AG206" s="136" t="n"/>
      <c r="AH206" s="136" t="n"/>
      <c r="AI206" s="136" t="n"/>
      <c r="AJ206" s="136" t="n"/>
      <c r="AK206" s="136" t="n"/>
      <c r="AL206" s="64" t="n"/>
      <c r="AM206" s="64" t="n"/>
      <c r="AN206" s="64" t="n"/>
    </row>
    <row r="207" ht="17.25" customHeight="1">
      <c r="A207" s="239" t="n"/>
      <c r="B207" s="1202" t="inlineStr">
        <is>
          <t>mshyw³t</t>
        </is>
      </c>
      <c r="C207" s="308" t="n"/>
      <c r="D207" s="64" t="n"/>
      <c r="E207" s="64" t="n"/>
      <c r="F207" s="64" t="n"/>
      <c r="G207" s="308" t="n"/>
      <c r="H207" s="136" t="n"/>
      <c r="I207" s="307" t="n"/>
      <c r="J207" s="308" t="n"/>
      <c r="K207" s="308" t="n"/>
      <c r="L207" s="308" t="n"/>
      <c r="M207" s="308" t="n"/>
      <c r="N207" s="136" t="n"/>
      <c r="O207" s="308" t="n"/>
      <c r="P207" s="308" t="n"/>
      <c r="Q207" s="136" t="n"/>
      <c r="R207" s="136" t="n"/>
      <c r="S207" s="308" t="n"/>
      <c r="T207" s="64" t="n"/>
      <c r="U207" s="308" t="n"/>
      <c r="V207" s="64" t="n"/>
      <c r="W207" s="308" t="n"/>
      <c r="X207" s="308" t="n"/>
      <c r="Y207" s="308" t="n"/>
      <c r="Z207" s="308" t="n"/>
      <c r="AA207" s="1204" t="n"/>
      <c r="AB207" s="64" t="n"/>
      <c r="AC207" s="64" t="n"/>
      <c r="AD207" s="308" t="n"/>
      <c r="AE207" s="136" t="n"/>
      <c r="AF207" s="136" t="n"/>
      <c r="AG207" s="136" t="n"/>
      <c r="AH207" s="136" t="n"/>
      <c r="AI207" s="136" t="n"/>
      <c r="AJ207" s="136" t="n"/>
      <c r="AK207" s="136" t="n"/>
      <c r="AL207" s="64" t="n"/>
      <c r="AM207" s="64" t="n"/>
      <c r="AN207" s="64" t="n"/>
    </row>
    <row r="208" ht="15.75" customHeight="1">
      <c r="A208" s="239" t="n"/>
      <c r="B208" s="295" t="inlineStr">
        <is>
          <t>K)</t>
        </is>
      </c>
      <c r="C208" s="297" t="inlineStr">
        <is>
          <t>FY Av‡e`b dig;</t>
        </is>
      </c>
      <c r="AC208" s="64" t="n"/>
      <c r="AD208" s="308" t="n"/>
      <c r="AE208" s="136" t="n"/>
      <c r="AF208" s="136" t="n"/>
      <c r="AG208" s="136" t="n"/>
      <c r="AH208" s="136" t="n"/>
      <c r="AI208" s="136" t="n"/>
      <c r="AJ208" s="136" t="n"/>
      <c r="AK208" s="136" t="n"/>
      <c r="AL208" s="64" t="n"/>
      <c r="AM208" s="64" t="n"/>
      <c r="AN208" s="64" t="n"/>
    </row>
    <row r="209" ht="15.75" customHeight="1">
      <c r="A209" s="239" t="n"/>
      <c r="B209" s="295" t="inlineStr">
        <is>
          <t>L)</t>
        </is>
      </c>
      <c r="C209" s="297" t="inlineStr">
        <is>
          <t>Gj Gd-5 cÖwZ‡e`b;</t>
        </is>
      </c>
      <c r="AC209" s="64" t="n"/>
      <c r="AD209" s="308" t="n"/>
      <c r="AE209" s="136" t="n"/>
      <c r="AF209" s="136" t="n"/>
      <c r="AG209" s="136" t="n"/>
      <c r="AH209" s="136" t="n"/>
      <c r="AI209" s="136" t="n"/>
      <c r="AJ209" s="136" t="n"/>
      <c r="AK209" s="136" t="n"/>
      <c r="AL209" s="64" t="n"/>
      <c r="AM209" s="64" t="n"/>
      <c r="AN209" s="64" t="n"/>
    </row>
    <row r="210" ht="15.75" customHeight="1">
      <c r="A210" s="239" t="n"/>
      <c r="B210" s="295" t="inlineStr">
        <is>
          <t>M)</t>
        </is>
      </c>
      <c r="C210" s="297" t="inlineStr">
        <is>
          <t>wm AvB we cÖwZ‡e`b;</t>
        </is>
      </c>
      <c r="AC210" s="64" t="n"/>
      <c r="AD210" s="308" t="n"/>
      <c r="AE210" s="136" t="n"/>
      <c r="AF210" s="136" t="n"/>
      <c r="AG210" s="136" t="n"/>
      <c r="AH210" s="136" t="n"/>
      <c r="AI210" s="136" t="n"/>
      <c r="AJ210" s="136" t="n"/>
      <c r="AK210" s="136" t="n"/>
      <c r="AL210" s="64" t="n"/>
      <c r="AM210" s="64" t="n"/>
      <c r="AN210" s="64" t="n"/>
    </row>
    <row r="211" ht="15.75" customHeight="1">
      <c r="A211" s="239" t="n"/>
      <c r="B211" s="295" t="inlineStr">
        <is>
          <t>N)</t>
        </is>
      </c>
      <c r="C211" s="297" t="inlineStr">
        <is>
          <t>Uv¯‹‡dvm© cÖwZ‡e`b;</t>
        </is>
      </c>
      <c r="AC211" s="64" t="n"/>
      <c r="AD211" s="308" t="n"/>
      <c r="AE211" s="136" t="n"/>
      <c r="AF211" s="136" t="n"/>
      <c r="AG211" s="136" t="n"/>
      <c r="AH211" s="136" t="n"/>
      <c r="AI211" s="136" t="n"/>
      <c r="AJ211" s="136" t="n"/>
      <c r="AK211" s="136" t="n"/>
      <c r="AL211" s="64" t="n"/>
      <c r="AM211" s="64" t="n"/>
      <c r="AN211" s="64" t="n"/>
    </row>
    <row r="212" ht="15.75" customHeight="1">
      <c r="A212" s="239" t="n"/>
      <c r="B212" s="295" t="inlineStr">
        <is>
          <t>O)</t>
        </is>
      </c>
      <c r="C212" s="297" t="inlineStr">
        <is>
          <t>‡evW© mfvi †iRy‡jkb (cÖ‡hvR¨ †ÿ‡Î)|</t>
        </is>
      </c>
      <c r="AC212" s="64" t="n"/>
      <c r="AD212" s="308" t="n"/>
      <c r="AE212" s="136" t="n"/>
      <c r="AF212" s="136" t="n"/>
      <c r="AG212" s="136" t="n"/>
      <c r="AH212" s="136" t="n"/>
      <c r="AI212" s="136" t="n"/>
      <c r="AJ212" s="136" t="n"/>
      <c r="AK212" s="136" t="n"/>
      <c r="AL212" s="64" t="n"/>
      <c r="AM212" s="64" t="n"/>
      <c r="AN212" s="64" t="n"/>
    </row>
    <row r="213" ht="17.25" customHeight="1">
      <c r="A213" s="239" t="n"/>
      <c r="B213" s="64" t="n"/>
      <c r="C213" s="308" t="n"/>
      <c r="D213" s="64" t="n"/>
      <c r="E213" s="64" t="n"/>
      <c r="F213" s="64" t="n"/>
      <c r="G213" s="308" t="n"/>
      <c r="H213" s="136" t="n"/>
      <c r="I213" s="307" t="n"/>
      <c r="J213" s="308" t="n"/>
      <c r="K213" s="308" t="n"/>
      <c r="L213" s="308" t="n"/>
      <c r="M213" s="308" t="n"/>
      <c r="N213" s="136" t="n"/>
      <c r="O213" s="308" t="n"/>
      <c r="P213" s="308" t="n"/>
      <c r="Q213" s="136" t="n"/>
      <c r="R213" s="136" t="n"/>
      <c r="S213" s="308" t="n"/>
      <c r="T213" s="64" t="n"/>
      <c r="U213" s="308" t="n"/>
      <c r="V213" s="64" t="n"/>
      <c r="W213" s="308" t="n"/>
      <c r="X213" s="308" t="n"/>
      <c r="Y213" s="308" t="n"/>
      <c r="Z213" s="308" t="n"/>
      <c r="AA213" s="1204" t="n"/>
      <c r="AB213" s="64" t="n"/>
      <c r="AC213" s="64" t="n"/>
      <c r="AD213" s="308" t="n"/>
      <c r="AE213" s="136" t="n"/>
      <c r="AF213" s="136" t="n"/>
      <c r="AG213" s="136" t="n"/>
      <c r="AH213" s="136" t="n"/>
      <c r="AI213" s="136" t="n"/>
      <c r="AJ213" s="136" t="n"/>
      <c r="AK213" s="136" t="n"/>
      <c r="AL213" s="64" t="n"/>
      <c r="AM213" s="64" t="n"/>
      <c r="AN213" s="64" t="n"/>
    </row>
    <row r="214" ht="17.25" customHeight="1">
      <c r="A214" s="239" t="n"/>
      <c r="B214" s="64" t="n"/>
      <c r="C214" s="308" t="n"/>
      <c r="D214" s="64" t="n"/>
      <c r="E214" s="64" t="n"/>
      <c r="F214" s="64" t="n"/>
      <c r="G214" s="308" t="n"/>
      <c r="H214" s="136" t="n"/>
      <c r="I214" s="307" t="n"/>
      <c r="J214" s="308" t="n"/>
      <c r="K214" s="308" t="n"/>
      <c r="L214" s="308" t="n"/>
      <c r="M214" s="308" t="n"/>
      <c r="N214" s="136" t="n"/>
      <c r="O214" s="308" t="n"/>
      <c r="P214" s="308" t="n"/>
      <c r="Q214" s="136" t="n"/>
      <c r="R214" s="136" t="n"/>
      <c r="S214" s="308" t="n"/>
      <c r="T214" s="64" t="n"/>
      <c r="U214" s="308" t="n"/>
      <c r="V214" s="64" t="n"/>
      <c r="W214" s="308" t="n"/>
      <c r="X214" s="308" t="n"/>
      <c r="Y214" s="308" t="n"/>
      <c r="Z214" s="308" t="n"/>
      <c r="AA214" s="1204" t="n"/>
      <c r="AB214" s="64" t="n"/>
      <c r="AC214" s="64" t="n"/>
      <c r="AD214" s="308" t="n"/>
      <c r="AE214" s="136" t="n"/>
      <c r="AF214" s="136" t="n"/>
      <c r="AG214" s="136" t="n"/>
      <c r="AH214" s="136" t="n"/>
      <c r="AI214" s="136" t="n"/>
      <c r="AJ214" s="136" t="n"/>
      <c r="AK214" s="136" t="n"/>
      <c r="AL214" s="64" t="n"/>
      <c r="AM214" s="64" t="n"/>
      <c r="AN214" s="64" t="n"/>
    </row>
    <row r="215" ht="17.25" customHeight="1">
      <c r="A215" s="239" t="n"/>
      <c r="B215" s="64" t="n"/>
      <c r="C215" s="308" t="n"/>
      <c r="D215" s="64" t="n"/>
      <c r="E215" s="64" t="n"/>
      <c r="F215" s="64" t="n"/>
      <c r="G215" s="308" t="n"/>
      <c r="H215" s="136" t="n"/>
      <c r="I215" s="307" t="n"/>
      <c r="J215" s="308" t="n"/>
      <c r="K215" s="308" t="n"/>
      <c r="L215" s="308" t="n"/>
      <c r="M215" s="308" t="n"/>
      <c r="N215" s="136" t="n"/>
      <c r="O215" s="308" t="n"/>
      <c r="P215" s="308" t="n"/>
      <c r="Q215" s="136" t="n"/>
      <c r="R215" s="136" t="n"/>
      <c r="S215" s="308" t="n"/>
      <c r="T215" s="64" t="n"/>
      <c r="U215" s="308" t="n"/>
      <c r="V215" s="64" t="n"/>
      <c r="W215" s="308" t="n"/>
      <c r="X215" s="308" t="n"/>
      <c r="Y215" s="308" t="n"/>
      <c r="Z215" s="308" t="n"/>
      <c r="AA215" s="1204" t="n"/>
      <c r="AB215" s="64" t="n"/>
      <c r="AC215" s="64" t="n"/>
      <c r="AD215" s="308" t="n"/>
      <c r="AE215" s="136" t="n"/>
      <c r="AF215" s="136" t="n"/>
      <c r="AG215" s="136" t="n"/>
      <c r="AH215" s="136" t="n"/>
      <c r="AI215" s="136" t="n"/>
      <c r="AJ215" s="136" t="n"/>
      <c r="AK215" s="136" t="n"/>
      <c r="AL215" s="64" t="n"/>
      <c r="AM215" s="64" t="n"/>
      <c r="AN215" s="64" t="n"/>
    </row>
    <row r="216" ht="17.25" customHeight="1">
      <c r="A216" s="239" t="n"/>
      <c r="B216" s="64" t="n"/>
      <c r="C216" s="308" t="n"/>
      <c r="D216" s="64" t="n"/>
      <c r="E216" s="64" t="n"/>
      <c r="F216" s="64" t="n"/>
      <c r="G216" s="308" t="n"/>
      <c r="H216" s="136" t="n"/>
      <c r="I216" s="307" t="n"/>
      <c r="J216" s="308" t="n"/>
      <c r="K216" s="308" t="n"/>
      <c r="L216" s="308" t="n"/>
      <c r="M216" s="308" t="n"/>
      <c r="N216" s="136" t="n"/>
      <c r="O216" s="308" t="n"/>
      <c r="P216" s="308" t="n"/>
      <c r="Q216" s="136" t="n"/>
      <c r="R216" s="136" t="n"/>
      <c r="S216" s="308" t="n"/>
      <c r="T216" s="64" t="n"/>
      <c r="U216" s="308" t="n"/>
      <c r="V216" s="64" t="n"/>
      <c r="W216" s="308" t="n"/>
      <c r="X216" s="308" t="n"/>
      <c r="Y216" s="308" t="n"/>
      <c r="Z216" s="308" t="n"/>
      <c r="AA216" s="1204" t="n"/>
      <c r="AB216" s="64" t="n"/>
      <c r="AC216" s="64" t="n"/>
      <c r="AD216" s="308" t="n"/>
      <c r="AE216" s="136" t="n"/>
      <c r="AF216" s="136" t="n"/>
      <c r="AG216" s="136" t="n"/>
      <c r="AH216" s="136" t="n"/>
      <c r="AI216" s="136" t="n"/>
      <c r="AJ216" s="136" t="n"/>
      <c r="AK216" s="136" t="n"/>
      <c r="AL216" s="64" t="n"/>
      <c r="AM216" s="64" t="n"/>
      <c r="AN216" s="64" t="n"/>
    </row>
    <row r="217" ht="17.25" customHeight="1">
      <c r="A217" s="239" t="n"/>
      <c r="B217" s="64" t="n"/>
      <c r="C217" s="308" t="n"/>
      <c r="D217" s="64" t="n"/>
      <c r="E217" s="64" t="n"/>
      <c r="F217" s="64" t="n"/>
      <c r="G217" s="308" t="n"/>
      <c r="H217" s="136" t="n"/>
      <c r="I217" s="307" t="n"/>
      <c r="J217" s="308" t="n"/>
      <c r="K217" s="308" t="n"/>
      <c r="L217" s="308" t="n"/>
      <c r="M217" s="308" t="n"/>
      <c r="N217" s="136" t="n"/>
      <c r="O217" s="308" t="n"/>
      <c r="P217" s="308" t="n"/>
      <c r="Q217" s="136" t="n"/>
      <c r="R217" s="136" t="n"/>
      <c r="S217" s="308" t="n"/>
      <c r="T217" s="64" t="n"/>
      <c r="U217" s="308" t="n"/>
      <c r="V217" s="64" t="n"/>
      <c r="W217" s="308" t="n"/>
      <c r="X217" s="308" t="n"/>
      <c r="Y217" s="308" t="n"/>
      <c r="Z217" s="308" t="n"/>
      <c r="AA217" s="1204" t="n"/>
      <c r="AB217" s="64" t="n"/>
      <c r="AC217" s="64" t="n"/>
      <c r="AD217" s="308" t="n"/>
      <c r="AE217" s="136" t="n"/>
      <c r="AF217" s="136" t="n"/>
      <c r="AG217" s="136" t="n"/>
      <c r="AH217" s="136" t="n"/>
      <c r="AI217" s="136" t="n"/>
      <c r="AJ217" s="136" t="n"/>
      <c r="AK217" s="136" t="n"/>
      <c r="AL217" s="64" t="n"/>
      <c r="AM217" s="64" t="n"/>
      <c r="AN217" s="64" t="n"/>
    </row>
    <row r="218" ht="17.25" customHeight="1">
      <c r="A218" s="239" t="n"/>
      <c r="B218" s="64" t="n"/>
      <c r="C218" s="308" t="n"/>
      <c r="D218" s="64" t="n"/>
      <c r="E218" s="64" t="n"/>
      <c r="F218" s="64" t="n"/>
      <c r="G218" s="308" t="n"/>
      <c r="H218" s="136" t="n"/>
      <c r="I218" s="307" t="n"/>
      <c r="J218" s="308" t="n"/>
      <c r="K218" s="308" t="n"/>
      <c r="L218" s="308" t="n"/>
      <c r="M218" s="308" t="n"/>
      <c r="N218" s="136" t="n"/>
      <c r="O218" s="308" t="n"/>
      <c r="P218" s="308" t="n"/>
      <c r="Q218" s="136" t="n"/>
      <c r="R218" s="136" t="n"/>
      <c r="S218" s="308" t="n"/>
      <c r="T218" s="64" t="n"/>
      <c r="U218" s="308" t="n"/>
      <c r="V218" s="64" t="n"/>
      <c r="W218" s="308" t="n"/>
      <c r="X218" s="308" t="n"/>
      <c r="Y218" s="308" t="n"/>
      <c r="Z218" s="308" t="n"/>
      <c r="AA218" s="1204" t="n"/>
      <c r="AB218" s="64" t="n"/>
      <c r="AC218" s="64" t="n"/>
      <c r="AD218" s="308" t="n"/>
      <c r="AE218" s="136" t="n"/>
      <c r="AF218" s="136" t="n"/>
      <c r="AG218" s="136" t="n"/>
      <c r="AH218" s="136" t="n"/>
      <c r="AI218" s="136" t="n"/>
      <c r="AJ218" s="136" t="n"/>
      <c r="AK218" s="136" t="n"/>
      <c r="AL218" s="64" t="n"/>
      <c r="AM218" s="64" t="n"/>
      <c r="AN218" s="64" t="n"/>
    </row>
    <row r="219" ht="17.25" customHeight="1">
      <c r="A219" s="239" t="n"/>
      <c r="B219" s="64" t="n"/>
      <c r="C219" s="308" t="n"/>
      <c r="D219" s="64" t="n"/>
      <c r="E219" s="64" t="n"/>
      <c r="F219" s="64" t="n"/>
      <c r="G219" s="308" t="n"/>
      <c r="H219" s="136" t="n"/>
      <c r="I219" s="307" t="n"/>
      <c r="J219" s="308" t="n"/>
      <c r="K219" s="308" t="n"/>
      <c r="L219" s="308" t="n"/>
      <c r="M219" s="308" t="n"/>
      <c r="N219" s="136" t="n"/>
      <c r="O219" s="308" t="n"/>
      <c r="P219" s="308" t="n"/>
      <c r="Q219" s="136" t="n"/>
      <c r="R219" s="136" t="n"/>
      <c r="S219" s="308" t="n"/>
      <c r="T219" s="64" t="n"/>
      <c r="U219" s="308" t="n"/>
      <c r="V219" s="64" t="n"/>
      <c r="W219" s="308" t="n"/>
      <c r="X219" s="308" t="n"/>
      <c r="Y219" s="308" t="n"/>
      <c r="Z219" s="308" t="n"/>
      <c r="AA219" s="1204" t="n"/>
      <c r="AB219" s="64" t="n"/>
      <c r="AC219" s="64" t="n"/>
      <c r="AD219" s="308" t="n"/>
      <c r="AE219" s="136" t="n"/>
      <c r="AF219" s="136" t="n"/>
      <c r="AG219" s="136" t="n"/>
      <c r="AH219" s="136" t="n"/>
      <c r="AI219" s="136" t="n"/>
      <c r="AJ219" s="136" t="n"/>
      <c r="AK219" s="136" t="n"/>
      <c r="AL219" s="64" t="n"/>
      <c r="AM219" s="64" t="n"/>
      <c r="AN219" s="64" t="n"/>
    </row>
    <row r="220" ht="17.25" customHeight="1">
      <c r="A220" s="239" t="n"/>
      <c r="B220" s="64" t="n"/>
      <c r="C220" s="308" t="n"/>
      <c r="D220" s="64" t="n"/>
      <c r="E220" s="64" t="n"/>
      <c r="F220" s="64" t="n"/>
      <c r="G220" s="308" t="n"/>
      <c r="H220" s="136" t="n"/>
      <c r="I220" s="307" t="n"/>
      <c r="J220" s="308" t="n"/>
      <c r="K220" s="308" t="n"/>
      <c r="L220" s="308" t="n"/>
      <c r="M220" s="308" t="n"/>
      <c r="N220" s="136" t="n"/>
      <c r="O220" s="308" t="n"/>
      <c r="P220" s="308" t="n"/>
      <c r="Q220" s="136" t="n"/>
      <c r="R220" s="136" t="n"/>
      <c r="S220" s="308" t="n"/>
      <c r="T220" s="64" t="n"/>
      <c r="U220" s="308" t="n"/>
      <c r="V220" s="64" t="n"/>
      <c r="W220" s="308" t="n"/>
      <c r="X220" s="308" t="n"/>
      <c r="Y220" s="308" t="n"/>
      <c r="Z220" s="308" t="n"/>
      <c r="AA220" s="1204" t="n"/>
      <c r="AB220" s="64" t="n"/>
      <c r="AC220" s="64" t="n"/>
      <c r="AD220" s="308" t="n"/>
      <c r="AE220" s="136" t="n"/>
      <c r="AF220" s="136" t="n"/>
      <c r="AG220" s="136" t="n"/>
      <c r="AH220" s="136" t="n"/>
      <c r="AI220" s="136" t="n"/>
      <c r="AJ220" s="136" t="n"/>
      <c r="AK220" s="136" t="n"/>
      <c r="AL220" s="64" t="n"/>
      <c r="AM220" s="64" t="n"/>
      <c r="AN220" s="64" t="n"/>
    </row>
    <row r="221" ht="17.25" customHeight="1">
      <c r="A221" s="239" t="n"/>
      <c r="B221" s="64" t="n"/>
      <c r="C221" s="308" t="n"/>
      <c r="D221" s="64" t="n"/>
      <c r="E221" s="64" t="n"/>
      <c r="F221" s="64" t="n"/>
      <c r="G221" s="308" t="n"/>
      <c r="H221" s="136" t="n"/>
      <c r="I221" s="307" t="n"/>
      <c r="J221" s="308" t="n"/>
      <c r="K221" s="308" t="n"/>
      <c r="L221" s="308" t="n"/>
      <c r="M221" s="308" t="n"/>
      <c r="N221" s="136" t="n"/>
      <c r="O221" s="308" t="n"/>
      <c r="P221" s="308" t="n"/>
      <c r="Q221" s="136" t="n"/>
      <c r="R221" s="136" t="n"/>
      <c r="S221" s="308" t="n"/>
      <c r="T221" s="64" t="n"/>
      <c r="U221" s="308" t="n"/>
      <c r="V221" s="64" t="n"/>
      <c r="W221" s="308" t="n"/>
      <c r="X221" s="308" t="n"/>
      <c r="Y221" s="308" t="n"/>
      <c r="Z221" s="308" t="n"/>
      <c r="AA221" s="1204" t="n"/>
      <c r="AB221" s="64" t="n"/>
      <c r="AC221" s="64" t="n"/>
      <c r="AD221" s="308" t="n"/>
      <c r="AE221" s="136" t="n"/>
      <c r="AF221" s="136" t="n"/>
      <c r="AG221" s="136" t="n"/>
      <c r="AH221" s="136" t="n"/>
      <c r="AI221" s="136" t="n"/>
      <c r="AJ221" s="136" t="n"/>
      <c r="AK221" s="136" t="n"/>
      <c r="AL221" s="64" t="n"/>
      <c r="AM221" s="64" t="n"/>
      <c r="AN221" s="64" t="n"/>
    </row>
    <row r="222" ht="17.25" customHeight="1">
      <c r="A222" s="239" t="n"/>
      <c r="B222" s="64" t="n"/>
      <c r="C222" s="308" t="n"/>
      <c r="D222" s="64" t="n"/>
      <c r="E222" s="64" t="n"/>
      <c r="F222" s="64" t="n"/>
      <c r="G222" s="308" t="n"/>
      <c r="H222" s="136" t="n"/>
      <c r="I222" s="307" t="n"/>
      <c r="J222" s="308" t="n"/>
      <c r="K222" s="308" t="n"/>
      <c r="L222" s="308" t="n"/>
      <c r="M222" s="308" t="n"/>
      <c r="N222" s="136" t="n"/>
      <c r="O222" s="308" t="n"/>
      <c r="P222" s="308" t="n"/>
      <c r="Q222" s="136" t="n"/>
      <c r="R222" s="136" t="n"/>
      <c r="S222" s="308" t="n"/>
      <c r="T222" s="64" t="n"/>
      <c r="U222" s="308" t="n"/>
      <c r="V222" s="64" t="n"/>
      <c r="W222" s="308" t="n"/>
      <c r="X222" s="308" t="n"/>
      <c r="Y222" s="308" t="n"/>
      <c r="Z222" s="308" t="n"/>
      <c r="AA222" s="1204" t="n"/>
      <c r="AB222" s="64" t="n"/>
      <c r="AC222" s="64" t="n"/>
      <c r="AD222" s="308" t="n"/>
      <c r="AE222" s="136" t="n"/>
      <c r="AF222" s="136" t="n"/>
      <c r="AG222" s="136" t="n"/>
      <c r="AH222" s="136" t="n"/>
      <c r="AI222" s="136" t="n"/>
      <c r="AJ222" s="136" t="n"/>
      <c r="AK222" s="136" t="n"/>
      <c r="AL222" s="64" t="n"/>
      <c r="AM222" s="64" t="n"/>
      <c r="AN222" s="64" t="n"/>
    </row>
    <row r="223" ht="17.25" customHeight="1">
      <c r="A223" s="239" t="n"/>
      <c r="B223" s="64" t="n"/>
      <c r="C223" s="308" t="n"/>
      <c r="D223" s="64" t="n"/>
      <c r="E223" s="64" t="n"/>
      <c r="F223" s="64" t="n"/>
      <c r="G223" s="308" t="n"/>
      <c r="H223" s="136" t="n"/>
      <c r="I223" s="307" t="n"/>
      <c r="J223" s="308" t="n"/>
      <c r="K223" s="308" t="n"/>
      <c r="L223" s="308" t="n"/>
      <c r="M223" s="308" t="n"/>
      <c r="N223" s="136" t="n"/>
      <c r="O223" s="308" t="n"/>
      <c r="P223" s="308" t="n"/>
      <c r="Q223" s="136" t="n"/>
      <c r="R223" s="136" t="n"/>
      <c r="S223" s="308" t="n"/>
      <c r="T223" s="64" t="n"/>
      <c r="U223" s="308" t="n"/>
      <c r="V223" s="64" t="n"/>
      <c r="W223" s="308" t="n"/>
      <c r="X223" s="308" t="n"/>
      <c r="Y223" s="308" t="n"/>
      <c r="Z223" s="308" t="n"/>
      <c r="AA223" s="1204" t="n"/>
      <c r="AB223" s="64" t="n"/>
      <c r="AC223" s="64" t="n"/>
      <c r="AD223" s="308" t="n"/>
      <c r="AE223" s="136" t="n"/>
      <c r="AF223" s="136" t="n"/>
      <c r="AG223" s="136" t="n"/>
      <c r="AH223" s="136" t="n"/>
      <c r="AI223" s="136" t="n"/>
      <c r="AJ223" s="136" t="n"/>
      <c r="AK223" s="136" t="n"/>
      <c r="AL223" s="64" t="n"/>
      <c r="AM223" s="64" t="n"/>
      <c r="AN223" s="64" t="n"/>
    </row>
    <row r="224" ht="17.25" customHeight="1">
      <c r="A224" s="239" t="n"/>
      <c r="B224" s="64" t="n"/>
      <c r="C224" s="308" t="n"/>
      <c r="D224" s="64" t="n"/>
      <c r="E224" s="64" t="n"/>
      <c r="F224" s="64" t="n"/>
      <c r="G224" s="308" t="n"/>
      <c r="H224" s="136" t="n"/>
      <c r="I224" s="307" t="n"/>
      <c r="J224" s="308" t="n"/>
      <c r="K224" s="308" t="n"/>
      <c r="L224" s="308" t="n"/>
      <c r="M224" s="308" t="n"/>
      <c r="N224" s="136" t="n"/>
      <c r="O224" s="308" t="n"/>
      <c r="P224" s="308" t="n"/>
      <c r="Q224" s="136" t="n"/>
      <c r="R224" s="136" t="n"/>
      <c r="S224" s="308" t="n"/>
      <c r="T224" s="64" t="n"/>
      <c r="U224" s="308" t="n"/>
      <c r="V224" s="64" t="n"/>
      <c r="W224" s="308" t="n"/>
      <c r="X224" s="308" t="n"/>
      <c r="Y224" s="308" t="n"/>
      <c r="Z224" s="308" t="n"/>
      <c r="AA224" s="1204" t="n"/>
      <c r="AB224" s="64" t="n"/>
      <c r="AC224" s="64" t="n"/>
      <c r="AD224" s="308" t="n"/>
      <c r="AE224" s="136" t="n"/>
      <c r="AF224" s="136" t="n"/>
      <c r="AG224" s="136" t="n"/>
      <c r="AH224" s="136" t="n"/>
      <c r="AI224" s="136" t="n"/>
      <c r="AJ224" s="136" t="n"/>
      <c r="AK224" s="136" t="n"/>
      <c r="AL224" s="64" t="n"/>
      <c r="AM224" s="64" t="n"/>
      <c r="AN224" s="64" t="n"/>
    </row>
    <row r="225" ht="17.25" customHeight="1">
      <c r="A225" s="239" t="n"/>
      <c r="B225" s="64" t="n"/>
      <c r="C225" s="308" t="n"/>
      <c r="D225" s="64" t="n"/>
      <c r="E225" s="64" t="n"/>
      <c r="F225" s="64" t="n"/>
      <c r="G225" s="308" t="n"/>
      <c r="H225" s="136" t="n"/>
      <c r="I225" s="307" t="n"/>
      <c r="J225" s="308" t="n"/>
      <c r="K225" s="308" t="n"/>
      <c r="L225" s="308" t="n"/>
      <c r="M225" s="308" t="n"/>
      <c r="N225" s="136" t="n"/>
      <c r="O225" s="308" t="n"/>
      <c r="P225" s="308" t="n"/>
      <c r="Q225" s="136" t="n"/>
      <c r="R225" s="136" t="n"/>
      <c r="S225" s="308" t="n"/>
      <c r="T225" s="64" t="n"/>
      <c r="U225" s="308" t="n"/>
      <c r="V225" s="64" t="n"/>
      <c r="W225" s="308" t="n"/>
      <c r="X225" s="308" t="n"/>
      <c r="Y225" s="308" t="n"/>
      <c r="Z225" s="308" t="n"/>
      <c r="AA225" s="1204" t="n"/>
      <c r="AB225" s="64" t="n"/>
      <c r="AC225" s="64" t="n"/>
      <c r="AD225" s="308" t="n"/>
      <c r="AE225" s="136" t="n"/>
      <c r="AF225" s="136" t="n"/>
      <c r="AG225" s="136" t="n"/>
      <c r="AH225" s="136" t="n"/>
      <c r="AI225" s="136" t="n"/>
      <c r="AJ225" s="136" t="n"/>
      <c r="AK225" s="136" t="n"/>
      <c r="AL225" s="64" t="n"/>
      <c r="AM225" s="64" t="n"/>
      <c r="AN225" s="64" t="n"/>
    </row>
    <row r="226" ht="17.25" customHeight="1">
      <c r="A226" s="239" t="n"/>
      <c r="B226" s="64" t="n"/>
      <c r="C226" s="308" t="n"/>
      <c r="D226" s="64" t="n"/>
      <c r="E226" s="64" t="n"/>
      <c r="F226" s="64" t="n"/>
      <c r="G226" s="308" t="n"/>
      <c r="H226" s="136" t="n"/>
      <c r="I226" s="307" t="n"/>
      <c r="J226" s="308" t="n"/>
      <c r="K226" s="308" t="n"/>
      <c r="L226" s="308" t="n"/>
      <c r="M226" s="308" t="n"/>
      <c r="N226" s="136" t="n"/>
      <c r="O226" s="308" t="n"/>
      <c r="P226" s="308" t="n"/>
      <c r="Q226" s="136" t="n"/>
      <c r="R226" s="136" t="n"/>
      <c r="S226" s="308" t="n"/>
      <c r="T226" s="64" t="n"/>
      <c r="U226" s="308" t="n"/>
      <c r="V226" s="64" t="n"/>
      <c r="W226" s="308" t="n"/>
      <c r="X226" s="308" t="n"/>
      <c r="Y226" s="308" t="n"/>
      <c r="Z226" s="308" t="n"/>
      <c r="AA226" s="1204" t="n"/>
      <c r="AB226" s="64" t="n"/>
      <c r="AC226" s="64" t="n"/>
      <c r="AD226" s="308" t="n"/>
      <c r="AE226" s="136" t="n"/>
      <c r="AF226" s="136" t="n"/>
      <c r="AG226" s="136" t="n"/>
      <c r="AH226" s="136" t="n"/>
      <c r="AI226" s="136" t="n"/>
      <c r="AJ226" s="136" t="n"/>
      <c r="AK226" s="136" t="n"/>
      <c r="AL226" s="64" t="n"/>
      <c r="AM226" s="64" t="n"/>
      <c r="AN226" s="64" t="n"/>
    </row>
    <row r="227" ht="17.25" customHeight="1">
      <c r="A227" s="239" t="n"/>
      <c r="B227" s="64" t="n"/>
      <c r="C227" s="308" t="n"/>
      <c r="D227" s="64" t="n"/>
      <c r="E227" s="64" t="n"/>
      <c r="F227" s="64" t="n"/>
      <c r="G227" s="308" t="n"/>
      <c r="H227" s="136" t="n"/>
      <c r="I227" s="307" t="n"/>
      <c r="J227" s="308" t="n"/>
      <c r="K227" s="308" t="n"/>
      <c r="L227" s="308" t="n"/>
      <c r="M227" s="308" t="n"/>
      <c r="N227" s="136" t="n"/>
      <c r="O227" s="308" t="n"/>
      <c r="P227" s="308" t="n"/>
      <c r="Q227" s="136" t="n"/>
      <c r="R227" s="136" t="n"/>
      <c r="S227" s="308" t="n"/>
      <c r="T227" s="64" t="n"/>
      <c r="U227" s="308" t="n"/>
      <c r="V227" s="64" t="n"/>
      <c r="W227" s="308" t="n"/>
      <c r="X227" s="308" t="n"/>
      <c r="Y227" s="308" t="n"/>
      <c r="Z227" s="308" t="n"/>
      <c r="AA227" s="1204" t="n"/>
      <c r="AB227" s="64" t="n"/>
      <c r="AC227" s="64" t="n"/>
      <c r="AD227" s="308" t="n"/>
      <c r="AE227" s="136" t="n"/>
      <c r="AF227" s="136" t="n"/>
      <c r="AG227" s="136" t="n"/>
      <c r="AH227" s="136" t="n"/>
      <c r="AI227" s="136" t="n"/>
      <c r="AJ227" s="136" t="n"/>
      <c r="AK227" s="136" t="n"/>
      <c r="AL227" s="64" t="n"/>
      <c r="AM227" s="64" t="n"/>
      <c r="AN227" s="64" t="n"/>
    </row>
    <row r="228" ht="17.25" customHeight="1">
      <c r="A228" s="239" t="n"/>
      <c r="B228" s="64" t="n"/>
      <c r="C228" s="308" t="n"/>
      <c r="D228" s="64" t="n"/>
      <c r="E228" s="64" t="n"/>
      <c r="F228" s="64" t="n"/>
      <c r="G228" s="308" t="n"/>
      <c r="H228" s="136" t="n"/>
      <c r="I228" s="307" t="n"/>
      <c r="J228" s="308" t="n"/>
      <c r="K228" s="308" t="n"/>
      <c r="L228" s="308" t="n"/>
      <c r="M228" s="308" t="n"/>
      <c r="N228" s="136" t="n"/>
      <c r="O228" s="308" t="n"/>
      <c r="P228" s="308" t="n"/>
      <c r="Q228" s="136" t="n"/>
      <c r="R228" s="136" t="n"/>
      <c r="S228" s="308" t="n"/>
      <c r="T228" s="64" t="n"/>
      <c r="U228" s="308" t="n"/>
      <c r="V228" s="64" t="n"/>
      <c r="W228" s="308" t="n"/>
      <c r="X228" s="308" t="n"/>
      <c r="Y228" s="308" t="n"/>
      <c r="Z228" s="308" t="n"/>
      <c r="AA228" s="1204" t="n"/>
      <c r="AB228" s="64" t="n"/>
      <c r="AC228" s="64" t="n"/>
      <c r="AD228" s="308" t="n"/>
      <c r="AE228" s="136" t="n"/>
      <c r="AF228" s="136" t="n"/>
      <c r="AG228" s="136" t="n"/>
      <c r="AH228" s="136" t="n"/>
      <c r="AI228" s="136" t="n"/>
      <c r="AJ228" s="136" t="n"/>
      <c r="AK228" s="136" t="n"/>
      <c r="AL228" s="64" t="n"/>
      <c r="AM228" s="64" t="n"/>
      <c r="AN228" s="64" t="n"/>
    </row>
    <row r="229" ht="17.25" customHeight="1">
      <c r="A229" s="239" t="n"/>
      <c r="B229" s="64" t="n"/>
      <c r="C229" s="308" t="n"/>
      <c r="D229" s="64" t="n"/>
      <c r="E229" s="64" t="n"/>
      <c r="F229" s="64" t="n"/>
      <c r="G229" s="308" t="n"/>
      <c r="H229" s="136" t="n"/>
      <c r="I229" s="307" t="n"/>
      <c r="J229" s="308" t="n"/>
      <c r="K229" s="308" t="n"/>
      <c r="L229" s="308" t="n"/>
      <c r="M229" s="308" t="n"/>
      <c r="N229" s="136" t="n"/>
      <c r="O229" s="308" t="n"/>
      <c r="P229" s="308" t="n"/>
      <c r="Q229" s="136" t="n"/>
      <c r="R229" s="136" t="n"/>
      <c r="S229" s="308" t="n"/>
      <c r="T229" s="64" t="n"/>
      <c r="U229" s="308" t="n"/>
      <c r="V229" s="64" t="n"/>
      <c r="W229" s="308" t="n"/>
      <c r="X229" s="308" t="n"/>
      <c r="Y229" s="308" t="n"/>
      <c r="Z229" s="308" t="n"/>
      <c r="AA229" s="1204" t="n"/>
      <c r="AB229" s="64" t="n"/>
      <c r="AC229" s="64" t="n"/>
      <c r="AD229" s="308" t="n"/>
      <c r="AE229" s="136" t="n"/>
      <c r="AF229" s="136" t="n"/>
      <c r="AG229" s="136" t="n"/>
      <c r="AH229" s="136" t="n"/>
      <c r="AI229" s="136" t="n"/>
      <c r="AJ229" s="136" t="n"/>
      <c r="AK229" s="136" t="n"/>
      <c r="AL229" s="64" t="n"/>
      <c r="AM229" s="64" t="n"/>
      <c r="AN229" s="64" t="n"/>
    </row>
    <row r="230" ht="17.25" customHeight="1">
      <c r="A230" s="239" t="n"/>
      <c r="B230" s="64" t="n"/>
      <c r="C230" s="308" t="n"/>
      <c r="D230" s="64" t="n"/>
      <c r="E230" s="64" t="n"/>
      <c r="F230" s="64" t="n"/>
      <c r="G230" s="308" t="n"/>
      <c r="H230" s="136" t="n"/>
      <c r="I230" s="307" t="n"/>
      <c r="J230" s="308" t="n"/>
      <c r="K230" s="308" t="n"/>
      <c r="L230" s="308" t="n"/>
      <c r="M230" s="308" t="n"/>
      <c r="N230" s="136" t="n"/>
      <c r="O230" s="308" t="n"/>
      <c r="P230" s="308" t="n"/>
      <c r="Q230" s="136" t="n"/>
      <c r="R230" s="136" t="n"/>
      <c r="S230" s="308" t="n"/>
      <c r="T230" s="64" t="n"/>
      <c r="U230" s="308" t="n"/>
      <c r="V230" s="64" t="n"/>
      <c r="W230" s="308" t="n"/>
      <c r="X230" s="308" t="n"/>
      <c r="Y230" s="308" t="n"/>
      <c r="Z230" s="308" t="n"/>
      <c r="AA230" s="1204" t="n"/>
      <c r="AB230" s="64" t="n"/>
      <c r="AC230" s="64" t="n"/>
      <c r="AD230" s="308" t="n"/>
      <c r="AE230" s="136" t="n"/>
      <c r="AF230" s="136" t="n"/>
      <c r="AG230" s="136" t="n"/>
      <c r="AH230" s="136" t="n"/>
      <c r="AI230" s="136" t="n"/>
      <c r="AJ230" s="136" t="n"/>
      <c r="AK230" s="136" t="n"/>
      <c r="AL230" s="64" t="n"/>
      <c r="AM230" s="64" t="n"/>
      <c r="AN230" s="64" t="n"/>
    </row>
    <row r="231" ht="17.25" customHeight="1">
      <c r="A231" s="239" t="n"/>
      <c r="B231" s="64" t="n"/>
      <c r="C231" s="308" t="n"/>
      <c r="D231" s="64" t="n"/>
      <c r="E231" s="64" t="n"/>
      <c r="F231" s="64" t="n"/>
      <c r="G231" s="308" t="n"/>
      <c r="H231" s="136" t="n"/>
      <c r="I231" s="307" t="n"/>
      <c r="J231" s="308" t="n"/>
      <c r="K231" s="308" t="n"/>
      <c r="L231" s="308" t="n"/>
      <c r="M231" s="308" t="n"/>
      <c r="N231" s="136" t="n"/>
      <c r="O231" s="308" t="n"/>
      <c r="P231" s="308" t="n"/>
      <c r="Q231" s="136" t="n"/>
      <c r="R231" s="136" t="n"/>
      <c r="S231" s="308" t="n"/>
      <c r="T231" s="64" t="n"/>
      <c r="U231" s="308" t="n"/>
      <c r="V231" s="64" t="n"/>
      <c r="W231" s="308" t="n"/>
      <c r="X231" s="308" t="n"/>
      <c r="Y231" s="308" t="n"/>
      <c r="Z231" s="308" t="n"/>
      <c r="AA231" s="1204" t="n"/>
      <c r="AB231" s="64" t="n"/>
      <c r="AC231" s="64" t="n"/>
      <c r="AD231" s="308" t="n"/>
      <c r="AE231" s="136" t="n"/>
      <c r="AF231" s="136" t="n"/>
      <c r="AG231" s="136" t="n"/>
      <c r="AH231" s="136" t="n"/>
      <c r="AI231" s="136" t="n"/>
      <c r="AJ231" s="136" t="n"/>
      <c r="AK231" s="136" t="n"/>
      <c r="AL231" s="64" t="n"/>
      <c r="AM231" s="64" t="n"/>
      <c r="AN231" s="64" t="n"/>
    </row>
    <row r="232" ht="17.25" customHeight="1">
      <c r="A232" s="1203" t="n"/>
      <c r="B232" s="64" t="n"/>
      <c r="C232" s="308" t="n"/>
      <c r="D232" s="64" t="n"/>
      <c r="E232" s="64" t="n"/>
      <c r="F232" s="64" t="n"/>
      <c r="G232" s="308" t="n"/>
      <c r="H232" s="136" t="n"/>
      <c r="I232" s="307" t="n"/>
      <c r="J232" s="308" t="n"/>
      <c r="K232" s="308" t="n"/>
      <c r="L232" s="308" t="n"/>
      <c r="M232" s="308" t="n"/>
      <c r="N232" s="136" t="n"/>
      <c r="O232" s="308" t="n"/>
      <c r="P232" s="308" t="n"/>
      <c r="Q232" s="136" t="n"/>
      <c r="R232" s="136" t="n"/>
      <c r="S232" s="308" t="n"/>
      <c r="T232" s="64" t="n"/>
      <c r="U232" s="308" t="n"/>
      <c r="V232" s="64" t="n"/>
      <c r="W232" s="308" t="n"/>
      <c r="X232" s="308" t="n"/>
      <c r="Y232" s="308" t="n"/>
      <c r="Z232" s="308" t="n"/>
      <c r="AA232" s="1204" t="n"/>
      <c r="AB232" s="64" t="n"/>
      <c r="AC232" s="64" t="n"/>
      <c r="AD232" s="308" t="n"/>
      <c r="AE232" s="136" t="n"/>
      <c r="AF232" s="136" t="n"/>
      <c r="AG232" s="136" t="n"/>
      <c r="AH232" s="136" t="n"/>
      <c r="AI232" s="136" t="n"/>
      <c r="AJ232" s="136" t="n"/>
      <c r="AK232" s="136" t="n"/>
      <c r="AL232" s="64" t="n"/>
      <c r="AM232" s="64" t="n"/>
      <c r="AN232" s="64" t="n"/>
    </row>
    <row r="233" ht="17.25" customHeight="1">
      <c r="A233" s="1203" t="n"/>
      <c r="B233" s="64" t="n"/>
      <c r="C233" s="308" t="n"/>
      <c r="D233" s="64" t="n"/>
      <c r="E233" s="64" t="n"/>
      <c r="F233" s="64" t="n"/>
      <c r="G233" s="308" t="n"/>
      <c r="H233" s="136" t="n"/>
      <c r="I233" s="307" t="n"/>
      <c r="J233" s="308" t="n"/>
      <c r="K233" s="308" t="n"/>
      <c r="L233" s="308" t="n"/>
      <c r="M233" s="308" t="n"/>
      <c r="N233" s="136" t="n"/>
      <c r="O233" s="308" t="n"/>
      <c r="P233" s="308" t="n"/>
      <c r="Q233" s="136" t="n"/>
      <c r="R233" s="136" t="n"/>
      <c r="S233" s="308" t="n"/>
      <c r="T233" s="64" t="n"/>
      <c r="U233" s="308" t="n"/>
      <c r="V233" s="64" t="n"/>
      <c r="W233" s="308" t="n"/>
      <c r="X233" s="308" t="n"/>
      <c r="Y233" s="308" t="n"/>
      <c r="Z233" s="308" t="n"/>
      <c r="AA233" s="1204" t="n"/>
      <c r="AB233" s="64" t="n"/>
      <c r="AC233" s="64" t="n"/>
      <c r="AD233" s="308" t="n"/>
      <c r="AE233" s="136" t="n"/>
      <c r="AF233" s="136" t="n"/>
      <c r="AG233" s="136" t="n"/>
      <c r="AH233" s="136" t="n"/>
      <c r="AI233" s="136" t="n"/>
      <c r="AJ233" s="136" t="n"/>
      <c r="AK233" s="136" t="n"/>
      <c r="AL233" s="64" t="n"/>
      <c r="AM233" s="64" t="n"/>
      <c r="AN233" s="64" t="n"/>
    </row>
  </sheetData>
  <mergeCells count="517">
    <mergeCell ref="X137:Z137"/>
    <mergeCell ref="S89:AB89"/>
    <mergeCell ref="N151:V151"/>
    <mergeCell ref="C107:D107"/>
    <mergeCell ref="U134:W134"/>
    <mergeCell ref="O92:S92"/>
    <mergeCell ref="Z117:AB117"/>
    <mergeCell ref="J3:T4"/>
    <mergeCell ref="Q29:U29"/>
    <mergeCell ref="W58:Y58"/>
    <mergeCell ref="X19:AB19"/>
    <mergeCell ref="Z107:AB107"/>
    <mergeCell ref="X69:Z69"/>
    <mergeCell ref="C148:D148"/>
    <mergeCell ref="Q31:U31"/>
    <mergeCell ref="W60:Y60"/>
    <mergeCell ref="J60:M60"/>
    <mergeCell ref="C139:P139"/>
    <mergeCell ref="U137:W137"/>
    <mergeCell ref="C83:K83"/>
    <mergeCell ref="V31:Y31"/>
    <mergeCell ref="Q33:AB33"/>
    <mergeCell ref="I132:K133"/>
    <mergeCell ref="R18:AB18"/>
    <mergeCell ref="T58:V58"/>
    <mergeCell ref="C92:D92"/>
    <mergeCell ref="A143:A159"/>
    <mergeCell ref="N155:V155"/>
    <mergeCell ref="AA36:AB37"/>
    <mergeCell ref="K103:N103"/>
    <mergeCell ref="W59:Y59"/>
    <mergeCell ref="Z64:AB64"/>
    <mergeCell ref="C13:L13"/>
    <mergeCell ref="J58:M58"/>
    <mergeCell ref="Q59:S59"/>
    <mergeCell ref="O159:R159"/>
    <mergeCell ref="M89:O89"/>
    <mergeCell ref="S88:AB88"/>
    <mergeCell ref="B51:B55"/>
    <mergeCell ref="T60:V60"/>
    <mergeCell ref="W61:Y61"/>
    <mergeCell ref="U76:AB76"/>
    <mergeCell ref="C135:H135"/>
    <mergeCell ref="R80:Y80"/>
    <mergeCell ref="Q61:S61"/>
    <mergeCell ref="S104:U104"/>
    <mergeCell ref="B75:B77"/>
    <mergeCell ref="U38:V39"/>
    <mergeCell ref="E114:I114"/>
    <mergeCell ref="L137:O137"/>
    <mergeCell ref="Q54:T54"/>
    <mergeCell ref="B34:B39"/>
    <mergeCell ref="S106:U106"/>
    <mergeCell ref="C110:D110"/>
    <mergeCell ref="N20:P20"/>
    <mergeCell ref="AD61:AE61"/>
    <mergeCell ref="Y51:AB51"/>
    <mergeCell ref="F69:H69"/>
    <mergeCell ref="R143:AB143"/>
    <mergeCell ref="C144:AB144"/>
    <mergeCell ref="Z75:AB75"/>
    <mergeCell ref="C208:AB208"/>
    <mergeCell ref="N173:R173"/>
    <mergeCell ref="C55:E55"/>
    <mergeCell ref="E149:M149"/>
    <mergeCell ref="C210:AB210"/>
    <mergeCell ref="AA111:AB111"/>
    <mergeCell ref="C113:D113"/>
    <mergeCell ref="J61:M61"/>
    <mergeCell ref="B99:B107"/>
    <mergeCell ref="Q85:Q86"/>
    <mergeCell ref="C36:C37"/>
    <mergeCell ref="R72:W72"/>
    <mergeCell ref="AA112:AB112"/>
    <mergeCell ref="Q115:T115"/>
    <mergeCell ref="J112:P112"/>
    <mergeCell ref="Q52:T52"/>
    <mergeCell ref="V29:AB29"/>
    <mergeCell ref="P65:R68"/>
    <mergeCell ref="J53:P53"/>
    <mergeCell ref="J55:P55"/>
    <mergeCell ref="U82:AB82"/>
    <mergeCell ref="T92:W92"/>
    <mergeCell ref="I136:K136"/>
    <mergeCell ref="AA114:AB114"/>
    <mergeCell ref="X173:AB173"/>
    <mergeCell ref="O104:R104"/>
    <mergeCell ref="C51:X51"/>
    <mergeCell ref="I134:K134"/>
    <mergeCell ref="C30:G30"/>
    <mergeCell ref="D20:H20"/>
    <mergeCell ref="V104:Y104"/>
    <mergeCell ref="R11:AB11"/>
    <mergeCell ref="N61:P61"/>
    <mergeCell ref="W150:AB150"/>
    <mergeCell ref="B165:AB171"/>
    <mergeCell ref="B98:AB98"/>
    <mergeCell ref="C88:D88"/>
    <mergeCell ref="B144:B155"/>
    <mergeCell ref="L132:O133"/>
    <mergeCell ref="W152:AB152"/>
    <mergeCell ref="H30:K30"/>
    <mergeCell ref="E87:I87"/>
    <mergeCell ref="H29:K29"/>
    <mergeCell ref="O101:R101"/>
    <mergeCell ref="C109:AB109"/>
    <mergeCell ref="W145:AB145"/>
    <mergeCell ref="X114:Z114"/>
    <mergeCell ref="A131:A139"/>
    <mergeCell ref="X92:AB92"/>
    <mergeCell ref="AA69:AB69"/>
    <mergeCell ref="C115:D115"/>
    <mergeCell ref="C211:AB211"/>
    <mergeCell ref="H31:K31"/>
    <mergeCell ref="W147:AB147"/>
    <mergeCell ref="S66:T68"/>
    <mergeCell ref="F55:I55"/>
    <mergeCell ref="Z80:AB80"/>
    <mergeCell ref="AA35:AB35"/>
    <mergeCell ref="E110:I110"/>
    <mergeCell ref="AA133:AB133"/>
    <mergeCell ref="S136:T136"/>
    <mergeCell ref="C150:D150"/>
    <mergeCell ref="L82:T82"/>
    <mergeCell ref="X111:Z111"/>
    <mergeCell ref="E113:I113"/>
    <mergeCell ref="B125:P125"/>
    <mergeCell ref="S102:U102"/>
    <mergeCell ref="W158:Y158"/>
    <mergeCell ref="B41:B42"/>
    <mergeCell ref="A163:P163"/>
    <mergeCell ref="E115:I115"/>
    <mergeCell ref="C145:D145"/>
    <mergeCell ref="G158:K158"/>
    <mergeCell ref="R157:AB157"/>
    <mergeCell ref="C159:F159"/>
    <mergeCell ref="Z131:AB131"/>
    <mergeCell ref="Z106:AB106"/>
    <mergeCell ref="W159:Y159"/>
    <mergeCell ref="P132:R133"/>
    <mergeCell ref="C29:G29"/>
    <mergeCell ref="AD60:AE60"/>
    <mergeCell ref="L76:N76"/>
    <mergeCell ref="O106:R106"/>
    <mergeCell ref="F53:I53"/>
    <mergeCell ref="O105:R105"/>
    <mergeCell ref="C31:G31"/>
    <mergeCell ref="U113:W113"/>
    <mergeCell ref="R12:AB12"/>
    <mergeCell ref="O107:R107"/>
    <mergeCell ref="I137:K137"/>
    <mergeCell ref="Z59:AB59"/>
    <mergeCell ref="E89:I89"/>
    <mergeCell ref="AE137:AF137"/>
    <mergeCell ref="C119:D119"/>
    <mergeCell ref="R125:AB125"/>
    <mergeCell ref="B80:B83"/>
    <mergeCell ref="P135:R135"/>
    <mergeCell ref="AA110:AB110"/>
    <mergeCell ref="C91:Y91"/>
    <mergeCell ref="T21:W21"/>
    <mergeCell ref="J87:L87"/>
    <mergeCell ref="S132:T133"/>
    <mergeCell ref="C57:Y57"/>
    <mergeCell ref="D37:J37"/>
    <mergeCell ref="Q58:S58"/>
    <mergeCell ref="M69:O69"/>
    <mergeCell ref="C134:H134"/>
    <mergeCell ref="J89:L89"/>
    <mergeCell ref="C157:P157"/>
    <mergeCell ref="Q60:S60"/>
    <mergeCell ref="L83:T83"/>
    <mergeCell ref="X112:Z112"/>
    <mergeCell ref="C59:E59"/>
    <mergeCell ref="S103:U103"/>
    <mergeCell ref="D38:J38"/>
    <mergeCell ref="C147:D147"/>
    <mergeCell ref="A9:A31"/>
    <mergeCell ref="Q53:T53"/>
    <mergeCell ref="C61:E61"/>
    <mergeCell ref="R25:AB25"/>
    <mergeCell ref="B128:P128"/>
    <mergeCell ref="A5:U5"/>
    <mergeCell ref="F65:H68"/>
    <mergeCell ref="N149:V149"/>
    <mergeCell ref="B28:B31"/>
    <mergeCell ref="O118:S118"/>
    <mergeCell ref="C82:K82"/>
    <mergeCell ref="C75:Y75"/>
    <mergeCell ref="B123:P123"/>
    <mergeCell ref="L77:N77"/>
    <mergeCell ref="E146:M146"/>
    <mergeCell ref="Z30:AB30"/>
    <mergeCell ref="X197:AB197"/>
    <mergeCell ref="Z101:AB101"/>
    <mergeCell ref="T118:W118"/>
    <mergeCell ref="E151:M151"/>
    <mergeCell ref="Z61:AB61"/>
    <mergeCell ref="C85:P86"/>
    <mergeCell ref="E150:M150"/>
    <mergeCell ref="G159:K159"/>
    <mergeCell ref="C102:D102"/>
    <mergeCell ref="R127:AB127"/>
    <mergeCell ref="B173:F173"/>
    <mergeCell ref="J113:P113"/>
    <mergeCell ref="E111:I111"/>
    <mergeCell ref="Q110:T110"/>
    <mergeCell ref="P136:R136"/>
    <mergeCell ref="J115:P115"/>
    <mergeCell ref="R128:AB128"/>
    <mergeCell ref="E104:J104"/>
    <mergeCell ref="P134:R134"/>
    <mergeCell ref="J52:P52"/>
    <mergeCell ref="V3:AB3"/>
    <mergeCell ref="K38:L39"/>
    <mergeCell ref="L159:N159"/>
    <mergeCell ref="C25:P25"/>
    <mergeCell ref="X118:AB118"/>
    <mergeCell ref="A186:AB186"/>
    <mergeCell ref="C69:E69"/>
    <mergeCell ref="Y54:AB54"/>
    <mergeCell ref="Z105:AB105"/>
    <mergeCell ref="M87:O87"/>
    <mergeCell ref="O103:R103"/>
    <mergeCell ref="Q21:S21"/>
    <mergeCell ref="B129:P129"/>
    <mergeCell ref="C38:C39"/>
    <mergeCell ref="B132:B136"/>
    <mergeCell ref="N150:V150"/>
    <mergeCell ref="Z57:AB57"/>
    <mergeCell ref="M88:O88"/>
    <mergeCell ref="E107:J107"/>
    <mergeCell ref="X71:AB71"/>
    <mergeCell ref="B131:Y131"/>
    <mergeCell ref="C154:M154"/>
    <mergeCell ref="R14:AB14"/>
    <mergeCell ref="N152:V152"/>
    <mergeCell ref="Z102:AB102"/>
    <mergeCell ref="V5:W5"/>
    <mergeCell ref="C15:P15"/>
    <mergeCell ref="AA65:AB68"/>
    <mergeCell ref="X133:Z133"/>
    <mergeCell ref="N147:V147"/>
    <mergeCell ref="C103:D103"/>
    <mergeCell ref="L135:O135"/>
    <mergeCell ref="K34:L35"/>
    <mergeCell ref="C118:D118"/>
    <mergeCell ref="T20:W20"/>
    <mergeCell ref="L30:P30"/>
    <mergeCell ref="B124:P124"/>
    <mergeCell ref="D36:J36"/>
    <mergeCell ref="V106:Y106"/>
    <mergeCell ref="L29:P29"/>
    <mergeCell ref="A162:P162"/>
    <mergeCell ref="R129:AB129"/>
    <mergeCell ref="C19:W19"/>
    <mergeCell ref="V105:Y105"/>
    <mergeCell ref="B188:P188"/>
    <mergeCell ref="R50:AB50"/>
    <mergeCell ref="B126:P126"/>
    <mergeCell ref="J1:T2"/>
    <mergeCell ref="U69:W69"/>
    <mergeCell ref="L31:P31"/>
    <mergeCell ref="C58:E58"/>
    <mergeCell ref="A164:P164"/>
    <mergeCell ref="V107:Y107"/>
    <mergeCell ref="Q113:T113"/>
    <mergeCell ref="B57:B61"/>
    <mergeCell ref="C87:D87"/>
    <mergeCell ref="Y28:AB28"/>
    <mergeCell ref="U52:X52"/>
    <mergeCell ref="S158:V158"/>
    <mergeCell ref="C89:D89"/>
    <mergeCell ref="E148:M148"/>
    <mergeCell ref="R13:AB13"/>
    <mergeCell ref="S159:V159"/>
    <mergeCell ref="U77:AB77"/>
    <mergeCell ref="C93:D93"/>
    <mergeCell ref="R15:AB15"/>
    <mergeCell ref="Z60:AB60"/>
    <mergeCell ref="B85:B89"/>
    <mergeCell ref="K104:N104"/>
    <mergeCell ref="J59:M59"/>
    <mergeCell ref="Z103:AB103"/>
    <mergeCell ref="A49:A77"/>
    <mergeCell ref="C22:AB22"/>
    <mergeCell ref="V102:Y102"/>
    <mergeCell ref="E92:N92"/>
    <mergeCell ref="X132:AB132"/>
    <mergeCell ref="N153:V153"/>
    <mergeCell ref="L136:O136"/>
    <mergeCell ref="U34:V35"/>
    <mergeCell ref="S76:T76"/>
    <mergeCell ref="U36:V37"/>
    <mergeCell ref="C111:D111"/>
    <mergeCell ref="C209:AB209"/>
    <mergeCell ref="Y52:AB52"/>
    <mergeCell ref="C18:P18"/>
    <mergeCell ref="X21:AB21"/>
    <mergeCell ref="C41:P42"/>
    <mergeCell ref="F58:I58"/>
    <mergeCell ref="D39:J39"/>
    <mergeCell ref="F52:I52"/>
    <mergeCell ref="U135:W135"/>
    <mergeCell ref="Z58:AB58"/>
    <mergeCell ref="K101:N101"/>
    <mergeCell ref="R10:AB10"/>
    <mergeCell ref="F60:I60"/>
    <mergeCell ref="C28:X28"/>
    <mergeCell ref="N59:P59"/>
    <mergeCell ref="B64:B72"/>
    <mergeCell ref="C80:P80"/>
    <mergeCell ref="R86:AB86"/>
    <mergeCell ref="Q55:T55"/>
    <mergeCell ref="Q111:T111"/>
    <mergeCell ref="B117:B119"/>
    <mergeCell ref="B79:AB79"/>
    <mergeCell ref="AA38:AB39"/>
    <mergeCell ref="U83:AB83"/>
    <mergeCell ref="K106:N106"/>
    <mergeCell ref="M65:O68"/>
    <mergeCell ref="R81:AB81"/>
    <mergeCell ref="V30:Y30"/>
    <mergeCell ref="Q41:Q42"/>
    <mergeCell ref="W38:Z39"/>
    <mergeCell ref="C72:J72"/>
    <mergeCell ref="K105:N105"/>
    <mergeCell ref="A98:A119"/>
    <mergeCell ref="X5:AA5"/>
    <mergeCell ref="V103:Y103"/>
    <mergeCell ref="K71:Q71"/>
    <mergeCell ref="K107:N107"/>
    <mergeCell ref="T59:V59"/>
    <mergeCell ref="C137:H137"/>
    <mergeCell ref="F61:I61"/>
    <mergeCell ref="C24:P24"/>
    <mergeCell ref="E88:I88"/>
    <mergeCell ref="S77:T77"/>
    <mergeCell ref="D21:H21"/>
    <mergeCell ref="C26:P26"/>
    <mergeCell ref="C112:D112"/>
    <mergeCell ref="I69:L69"/>
    <mergeCell ref="Y53:AB53"/>
    <mergeCell ref="O102:R102"/>
    <mergeCell ref="R41:AB42"/>
    <mergeCell ref="O77:R77"/>
    <mergeCell ref="L134:O134"/>
    <mergeCell ref="C114:D114"/>
    <mergeCell ref="W17:AB17"/>
    <mergeCell ref="C14:L14"/>
    <mergeCell ref="C117:Y117"/>
    <mergeCell ref="Y55:AB55"/>
    <mergeCell ref="E119:AB119"/>
    <mergeCell ref="W148:AB148"/>
    <mergeCell ref="C212:AB212"/>
    <mergeCell ref="M38:T39"/>
    <mergeCell ref="X110:Z110"/>
    <mergeCell ref="Q30:U30"/>
    <mergeCell ref="E93:AB93"/>
    <mergeCell ref="C81:P81"/>
    <mergeCell ref="C54:E54"/>
    <mergeCell ref="C104:D104"/>
    <mergeCell ref="W153:AB153"/>
    <mergeCell ref="AA34:AB34"/>
    <mergeCell ref="T61:V61"/>
    <mergeCell ref="R24:AB24"/>
    <mergeCell ref="C50:P50"/>
    <mergeCell ref="B143:P143"/>
    <mergeCell ref="B9:AB9"/>
    <mergeCell ref="R26:AB26"/>
    <mergeCell ref="X20:AB20"/>
    <mergeCell ref="R85:Y85"/>
    <mergeCell ref="AD41:AE41"/>
    <mergeCell ref="E145:M145"/>
    <mergeCell ref="E106:J106"/>
    <mergeCell ref="B189:AB193"/>
    <mergeCell ref="W146:AB146"/>
    <mergeCell ref="C153:M153"/>
    <mergeCell ref="I20:M20"/>
    <mergeCell ref="J88:L88"/>
    <mergeCell ref="U111:W111"/>
    <mergeCell ref="A33:A42"/>
    <mergeCell ref="I135:K135"/>
    <mergeCell ref="W154:AB154"/>
    <mergeCell ref="Q64:Y64"/>
    <mergeCell ref="X201:AB201"/>
    <mergeCell ref="S101:U101"/>
    <mergeCell ref="S134:T134"/>
    <mergeCell ref="U54:X54"/>
    <mergeCell ref="AA134:AB136"/>
    <mergeCell ref="W149:AB149"/>
    <mergeCell ref="C60:E60"/>
    <mergeCell ref="C76:K76"/>
    <mergeCell ref="X67:Z68"/>
    <mergeCell ref="C146:D146"/>
    <mergeCell ref="N60:P60"/>
    <mergeCell ref="Q112:T112"/>
    <mergeCell ref="X113:Z113"/>
    <mergeCell ref="AA137:AB137"/>
    <mergeCell ref="B49:AB49"/>
    <mergeCell ref="C105:D105"/>
    <mergeCell ref="B7:AC7"/>
    <mergeCell ref="U114:W114"/>
    <mergeCell ref="X115:Z115"/>
    <mergeCell ref="Z31:AB31"/>
    <mergeCell ref="C136:H136"/>
    <mergeCell ref="F59:I59"/>
    <mergeCell ref="Z158:AB158"/>
    <mergeCell ref="C65:E68"/>
    <mergeCell ref="N145:V145"/>
    <mergeCell ref="M34:T35"/>
    <mergeCell ref="S105:U105"/>
    <mergeCell ref="C10:L12"/>
    <mergeCell ref="K72:Q72"/>
    <mergeCell ref="C149:D149"/>
    <mergeCell ref="Z159:AB159"/>
    <mergeCell ref="W34:Z35"/>
    <mergeCell ref="U132:W133"/>
    <mergeCell ref="E147:M147"/>
    <mergeCell ref="W36:Z37"/>
    <mergeCell ref="N58:P58"/>
    <mergeCell ref="J114:P114"/>
    <mergeCell ref="C158:F158"/>
    <mergeCell ref="U66:Z66"/>
    <mergeCell ref="R123:AB123"/>
    <mergeCell ref="E105:J105"/>
    <mergeCell ref="U112:W112"/>
    <mergeCell ref="C52:E52"/>
    <mergeCell ref="R16:AB16"/>
    <mergeCell ref="W155:AB155"/>
    <mergeCell ref="V101:Y101"/>
    <mergeCell ref="R17:T17"/>
    <mergeCell ref="E101:J101"/>
    <mergeCell ref="P137:R137"/>
    <mergeCell ref="R124:S124"/>
    <mergeCell ref="F54:I54"/>
    <mergeCell ref="J111:P111"/>
    <mergeCell ref="B19:B22"/>
    <mergeCell ref="W151:AB151"/>
    <mergeCell ref="B33:P33"/>
    <mergeCell ref="I21:M21"/>
    <mergeCell ref="R126:AB126"/>
    <mergeCell ref="E102:J102"/>
    <mergeCell ref="Q80:Q81"/>
    <mergeCell ref="S137:T137"/>
    <mergeCell ref="C77:K77"/>
    <mergeCell ref="V1:AB1"/>
    <mergeCell ref="K36:L37"/>
    <mergeCell ref="X206:AB206"/>
    <mergeCell ref="Z85:AB85"/>
    <mergeCell ref="B121:S121"/>
    <mergeCell ref="E112:I112"/>
    <mergeCell ref="D34:J35"/>
    <mergeCell ref="C155:M155"/>
    <mergeCell ref="N21:P21"/>
    <mergeCell ref="U4:AB4"/>
    <mergeCell ref="S107:U107"/>
    <mergeCell ref="I65:L68"/>
    <mergeCell ref="U67:W68"/>
    <mergeCell ref="A79:A93"/>
    <mergeCell ref="C151:D151"/>
    <mergeCell ref="C74:P74"/>
    <mergeCell ref="N148:V148"/>
    <mergeCell ref="U115:W115"/>
    <mergeCell ref="C152:M152"/>
    <mergeCell ref="C16:P16"/>
    <mergeCell ref="N146:V146"/>
    <mergeCell ref="B127:P127"/>
    <mergeCell ref="S69:T69"/>
    <mergeCell ref="B91:B93"/>
    <mergeCell ref="R71:W71"/>
    <mergeCell ref="C71:J71"/>
    <mergeCell ref="S65:Z65"/>
    <mergeCell ref="C106:D106"/>
    <mergeCell ref="B157:B159"/>
    <mergeCell ref="B122:P122"/>
    <mergeCell ref="Q114:T114"/>
    <mergeCell ref="P69:R69"/>
    <mergeCell ref="Z91:AB91"/>
    <mergeCell ref="U136:W136"/>
    <mergeCell ref="J54:P54"/>
    <mergeCell ref="C101:D101"/>
    <mergeCell ref="AA113:AB113"/>
    <mergeCell ref="E103:J103"/>
    <mergeCell ref="U55:X55"/>
    <mergeCell ref="C99:AB100"/>
    <mergeCell ref="AA115:AB115"/>
    <mergeCell ref="O76:R76"/>
    <mergeCell ref="M36:T37"/>
    <mergeCell ref="C64:P64"/>
    <mergeCell ref="J110:P110"/>
    <mergeCell ref="U17:V17"/>
    <mergeCell ref="V2:AB2"/>
    <mergeCell ref="L158:N158"/>
    <mergeCell ref="B10:B11"/>
    <mergeCell ref="P87:R87"/>
    <mergeCell ref="R74:AB74"/>
    <mergeCell ref="R139:AB139"/>
    <mergeCell ref="C53:E53"/>
    <mergeCell ref="U110:W110"/>
    <mergeCell ref="P89:R89"/>
    <mergeCell ref="B109:B115"/>
    <mergeCell ref="N154:V154"/>
    <mergeCell ref="P88:R88"/>
    <mergeCell ref="C132:H133"/>
    <mergeCell ref="Z104:AB104"/>
    <mergeCell ref="R122:AB122"/>
    <mergeCell ref="X134:Z136"/>
    <mergeCell ref="C17:P17"/>
    <mergeCell ref="E118:N118"/>
    <mergeCell ref="U53:X53"/>
    <mergeCell ref="K102:N102"/>
    <mergeCell ref="X72:AB72"/>
    <mergeCell ref="O158:R158"/>
    <mergeCell ref="S87:AB87"/>
    <mergeCell ref="S135:T135"/>
    <mergeCell ref="Q20:S20"/>
  </mergeCells>
  <pageMargins left="0.7" right="0.7" top="0.75" bottom="0.75" header="0.3" footer="0.3"/>
</worksheet>
</file>

<file path=xl/worksheets/sheet11.xml><?xml version="1.0" encoding="utf-8"?>
<worksheet xmlns="http://schemas.openxmlformats.org/spreadsheetml/2006/main">
  <sheetPr>
    <outlinePr summaryBelow="0"/>
    <pageSetUpPr/>
  </sheetPr>
  <dimension ref="A1:BH60"/>
  <sheetViews>
    <sheetView workbookViewId="0">
      <selection activeCell="A1" sqref="A1"/>
    </sheetView>
  </sheetViews>
  <sheetFormatPr baseColWidth="8" defaultRowHeight="15"/>
  <cols>
    <col width="3.719285714285714" bestFit="1" customWidth="1" style="63" min="1" max="1"/>
    <col width="2.719285714285714" bestFit="1" customWidth="1" style="218" min="2" max="2"/>
    <col width="2.290714285714285" bestFit="1" customWidth="1" style="64" min="3" max="3"/>
    <col width="2.290714285714285" bestFit="1" customWidth="1" style="64" min="4" max="4"/>
    <col width="2.290714285714285" bestFit="1" customWidth="1" style="64" min="5" max="5"/>
    <col width="2.290714285714285" bestFit="1" customWidth="1" style="64" min="6" max="6"/>
    <col width="2.290714285714285" bestFit="1" customWidth="1" style="64" min="7" max="7"/>
    <col width="2.290714285714285" bestFit="1" customWidth="1" style="64" min="8" max="8"/>
    <col width="1.290714285714286" bestFit="1" customWidth="1" style="64" min="9" max="9"/>
    <col width="2.719285714285714" bestFit="1" customWidth="1" style="64" min="10" max="10"/>
    <col width="2.719285714285714" bestFit="1" customWidth="1" style="64" min="11" max="11"/>
    <col width="2.290714285714285" bestFit="1" customWidth="1" style="64" min="12" max="12"/>
    <col width="2.290714285714285" bestFit="1" customWidth="1" style="64" min="13" max="13"/>
    <col width="2.290714285714285" bestFit="1" customWidth="1" style="63" min="14" max="14"/>
    <col width="2.290714285714285" bestFit="1" customWidth="1" style="63" min="15" max="15"/>
    <col width="2.290714285714285" bestFit="1" customWidth="1" style="63" min="16" max="16"/>
    <col width="4.433571428571429" bestFit="1" customWidth="1" style="63" min="17" max="17"/>
    <col width="2.290714285714285" bestFit="1" customWidth="1" style="63" min="18" max="18"/>
    <col width="2.290714285714285" bestFit="1" customWidth="1" style="63" min="19" max="19"/>
    <col width="1.719285714285714" bestFit="1" customWidth="1" style="63" min="20" max="20"/>
    <col width="1.719285714285714" bestFit="1" customWidth="1" style="63" min="21" max="21"/>
    <col width="1.719285714285714" bestFit="1" customWidth="1" style="63" min="22" max="22"/>
    <col width="1.719285714285714" bestFit="1" customWidth="1" style="63" min="23" max="23"/>
    <col width="1.719285714285714" bestFit="1" customWidth="1" style="63" min="24" max="24"/>
    <col width="1.147857142857143" bestFit="1" customWidth="1" style="63" min="25" max="25"/>
    <col width="1.719285714285714" bestFit="1" customWidth="1" style="63" min="26" max="26"/>
    <col width="1.719285714285714" bestFit="1" customWidth="1" style="63" min="27" max="27"/>
    <col width="2.290714285714285" bestFit="1" customWidth="1" style="63" min="28" max="28"/>
    <col width="2.290714285714285" bestFit="1" customWidth="1" style="63" min="29" max="29"/>
    <col width="1.862142857142857" bestFit="1" customWidth="1" style="63" min="30" max="30"/>
    <col width="2.862142857142857" bestFit="1" customWidth="1" style="63" min="31" max="31"/>
    <col width="2.862142857142857" bestFit="1" customWidth="1" style="63" min="32" max="32"/>
    <col width="2.862142857142857" bestFit="1" customWidth="1" style="63" min="33" max="33"/>
    <col width="2.290714285714285" bestFit="1" customWidth="1" style="63" min="34" max="34"/>
    <col width="2.290714285714285" bestFit="1" customWidth="1" style="63" min="35" max="35"/>
    <col width="2.290714285714285" bestFit="1" customWidth="1" style="63" min="36" max="36"/>
    <col width="2.290714285714285" bestFit="1" customWidth="1" style="63" min="37" max="37"/>
    <col width="2.290714285714285" bestFit="1" customWidth="1" style="63" min="38" max="38"/>
    <col width="2.290714285714285" bestFit="1" customWidth="1" style="63" min="39" max="39"/>
    <col width="2.290714285714285" bestFit="1" customWidth="1" style="63" min="40" max="40"/>
    <col width="2.005" bestFit="1" customWidth="1" style="63" min="41" max="41"/>
    <col width="2.005" bestFit="1" customWidth="1" style="63" min="42" max="42"/>
    <col width="2.005" bestFit="1" customWidth="1" style="63" min="43" max="43"/>
    <col width="2.005" bestFit="1" customWidth="1" style="63" min="44" max="44"/>
    <col width="2.005" bestFit="1" customWidth="1" style="63" min="45" max="45"/>
    <col width="2.005" bestFit="1" customWidth="1" style="63" min="46" max="46"/>
    <col width="13.57642857142857" bestFit="1" customWidth="1" style="64" min="47" max="47"/>
    <col width="11.43357142857143" bestFit="1" customWidth="1" style="64" min="48" max="48"/>
    <col width="11.71928571428571" bestFit="1" customWidth="1" style="64" min="49" max="49"/>
    <col width="13.57642857142857" bestFit="1" customWidth="1" style="64" min="50" max="50"/>
    <col width="13.57642857142857" bestFit="1" customWidth="1" style="64" min="51" max="51"/>
    <col width="13.57642857142857" bestFit="1" customWidth="1" style="64" min="52" max="52"/>
    <col width="13.57642857142857" bestFit="1" customWidth="1" style="64" min="53" max="53"/>
    <col width="13.57642857142857" bestFit="1" customWidth="1" style="64" min="54" max="54"/>
    <col width="13.57642857142857" bestFit="1" customWidth="1" style="64" min="55" max="55"/>
    <col width="13.57642857142857" bestFit="1" customWidth="1" style="64" min="56" max="56"/>
    <col width="13.57642857142857" bestFit="1" customWidth="1" style="64" min="57" max="57"/>
    <col width="13.57642857142857" bestFit="1" customWidth="1" style="64" min="58" max="58"/>
    <col width="13.57642857142857" bestFit="1" customWidth="1" style="64" min="59" max="59"/>
    <col width="13.57642857142857" bestFit="1" customWidth="1" style="64" min="60" max="60"/>
  </cols>
  <sheetData>
    <row r="1" ht="30.75" customFormat="1" customHeight="1" s="18">
      <c r="A1" s="419" t="n"/>
      <c r="AU1" s="103" t="n"/>
      <c r="AV1" s="103" t="n"/>
      <c r="AW1" s="103" t="n"/>
      <c r="AX1" s="103" t="n"/>
      <c r="AY1" s="69" t="n"/>
      <c r="AZ1" s="103" t="n"/>
      <c r="BA1" s="103" t="n"/>
      <c r="BB1" s="103" t="n"/>
      <c r="BC1" s="103" t="n"/>
      <c r="BD1" s="103" t="n"/>
      <c r="BE1" s="103" t="n"/>
      <c r="BF1" s="103" t="n"/>
      <c r="BG1" s="103" t="n"/>
      <c r="BH1" s="103" t="n"/>
    </row>
    <row r="2" ht="19.5" customFormat="1" customHeight="1" s="18">
      <c r="A2" s="172" t="n"/>
      <c r="AU2" s="103" t="n"/>
      <c r="AV2" s="103" t="n"/>
      <c r="AW2" s="103" t="n"/>
      <c r="AX2" s="103" t="n"/>
      <c r="AY2" s="71" t="n"/>
      <c r="AZ2" s="103" t="n"/>
      <c r="BA2" s="103" t="n"/>
      <c r="BB2" s="103" t="n"/>
      <c r="BC2" s="103" t="n"/>
      <c r="BD2" s="103" t="n"/>
      <c r="BE2" s="103" t="n"/>
      <c r="BF2" s="103" t="n"/>
      <c r="BG2" s="103" t="n"/>
      <c r="BH2" s="103" t="n"/>
    </row>
    <row r="3" ht="13.5" customFormat="1" customHeight="1" s="18">
      <c r="A3" s="173" t="n"/>
      <c r="AU3" s="103" t="n"/>
      <c r="AV3" s="103" t="n"/>
      <c r="AW3" s="103" t="n"/>
      <c r="AX3" s="103" t="n"/>
      <c r="AY3" s="73" t="n"/>
      <c r="AZ3" s="103" t="n"/>
      <c r="BA3" s="103" t="n"/>
      <c r="BB3" s="103" t="n"/>
      <c r="BC3" s="103" t="n"/>
      <c r="BD3" s="103" t="n"/>
      <c r="BE3" s="103" t="n"/>
      <c r="BF3" s="103" t="n"/>
      <c r="BG3" s="103" t="n"/>
      <c r="BH3" s="103" t="n"/>
    </row>
    <row r="4" ht="13.5" customFormat="1" customHeight="1" s="18">
      <c r="A4" s="175" t="n"/>
      <c r="B4" s="2613" t="n"/>
      <c r="C4" s="2613" t="n"/>
      <c r="D4" s="2613" t="n"/>
      <c r="E4" s="2613" t="n"/>
      <c r="F4" s="2613" t="n"/>
      <c r="G4" s="2613" t="n"/>
      <c r="H4" s="2613" t="n"/>
      <c r="I4" s="2613" t="n"/>
      <c r="J4" s="2613" t="n"/>
      <c r="K4" s="2613" t="n"/>
      <c r="L4" s="2613" t="n"/>
      <c r="M4" s="2613" t="n"/>
      <c r="N4" s="2613" t="n"/>
      <c r="O4" s="2613" t="n"/>
      <c r="P4" s="2613" t="n"/>
      <c r="Q4" s="2613" t="n"/>
      <c r="R4" s="2613" t="n"/>
      <c r="S4" s="2613" t="n"/>
      <c r="T4" s="2613" t="n"/>
      <c r="U4" s="2613" t="n"/>
      <c r="V4" s="2613" t="n"/>
      <c r="W4" s="2613" t="n"/>
      <c r="X4" s="2613" t="n"/>
      <c r="Y4" s="2613" t="n"/>
      <c r="Z4" s="2613" t="n"/>
      <c r="AA4" s="2613" t="n"/>
      <c r="AB4" s="2613" t="n"/>
      <c r="AC4" s="2613" t="n"/>
      <c r="AD4" s="2613" t="n"/>
      <c r="AE4" s="2613" t="n"/>
      <c r="AF4" s="2613" t="n"/>
      <c r="AG4" s="2613" t="n"/>
      <c r="AH4" s="2613" t="n"/>
      <c r="AI4" s="2613" t="n"/>
      <c r="AJ4" s="2613" t="n"/>
      <c r="AK4" s="2613" t="n"/>
      <c r="AL4" s="2613" t="n"/>
      <c r="AM4" s="2613" t="n"/>
      <c r="AN4" s="2613" t="n"/>
      <c r="AO4" s="2613" t="n"/>
      <c r="AP4" s="2613" t="n"/>
      <c r="AQ4" s="2613" t="n"/>
      <c r="AR4" s="2613" t="n"/>
      <c r="AS4" s="2613" t="n"/>
      <c r="AT4" s="2613" t="n"/>
      <c r="AU4" s="103" t="n"/>
      <c r="AV4" s="103" t="n"/>
      <c r="AW4" s="103" t="n"/>
      <c r="AX4" s="103" t="n"/>
      <c r="AY4" s="75" t="n"/>
      <c r="AZ4" s="103" t="n"/>
      <c r="BA4" s="103" t="n"/>
      <c r="BB4" s="103" t="n"/>
      <c r="BC4" s="103" t="n"/>
      <c r="BD4" s="103" t="n"/>
      <c r="BE4" s="103" t="n"/>
      <c r="BF4" s="103" t="n"/>
      <c r="BG4" s="103" t="n"/>
      <c r="BH4" s="103" t="n"/>
    </row>
    <row r="5" ht="16.5" customHeight="1">
      <c r="A5" s="1929">
        <f>"   "&amp;'Data Input'!B5&amp;""&amp;'Data Input'!D5</f>
        <v/>
      </c>
      <c r="B5" s="2614" t="n"/>
      <c r="C5" s="2614" t="n"/>
      <c r="D5" s="2614" t="n"/>
      <c r="E5" s="2614" t="n"/>
      <c r="F5" s="2614" t="n"/>
      <c r="G5" s="2614" t="n"/>
      <c r="H5" s="2614" t="n"/>
      <c r="I5" s="2614" t="n"/>
      <c r="J5" s="2614" t="n"/>
      <c r="K5" s="2614" t="n"/>
      <c r="L5" s="2614" t="n"/>
      <c r="M5" s="2614" t="n"/>
      <c r="N5" s="2614" t="n"/>
      <c r="O5" s="2614" t="n"/>
      <c r="P5" s="2614" t="n"/>
      <c r="Q5" s="2614" t="n"/>
      <c r="R5" s="2614" t="n"/>
      <c r="S5" s="2614" t="n"/>
      <c r="T5" s="2614" t="n"/>
      <c r="U5" s="2614" t="n"/>
      <c r="V5" s="2614" t="n"/>
      <c r="W5" s="2614" t="n"/>
      <c r="X5" s="2614" t="n"/>
      <c r="Y5" s="2614" t="n"/>
      <c r="Z5" s="2614" t="n"/>
      <c r="AA5" s="2614" t="n"/>
      <c r="AB5" s="2614" t="n"/>
      <c r="AC5" s="2614" t="n"/>
      <c r="AD5" s="2614" t="n"/>
      <c r="AE5" s="2614" t="n"/>
      <c r="AF5" s="310" t="n"/>
      <c r="AG5" s="311" t="n"/>
      <c r="AH5" s="311" t="n"/>
      <c r="AI5" s="310" t="n"/>
      <c r="AJ5" s="310" t="n"/>
      <c r="AK5" s="310" t="n"/>
      <c r="AL5" s="311" t="n"/>
      <c r="AM5" s="2614" t="n"/>
      <c r="AN5" s="2614" t="n"/>
      <c r="AO5" s="312" t="n"/>
      <c r="AP5" s="2614" t="n"/>
      <c r="AQ5" s="2614" t="n"/>
      <c r="AR5" s="2614" t="n"/>
      <c r="AS5" s="2614" t="n"/>
      <c r="AT5" s="313" t="n"/>
      <c r="AU5" s="64" t="n"/>
      <c r="AV5" s="64" t="n"/>
      <c r="AW5" s="64" t="n"/>
      <c r="AX5" s="64" t="n"/>
      <c r="AY5" s="64" t="n"/>
      <c r="AZ5" s="64" t="n"/>
      <c r="BA5" s="64" t="n"/>
      <c r="BB5" s="64" t="n"/>
      <c r="BC5" s="64" t="n"/>
      <c r="BD5" s="64" t="n"/>
      <c r="BE5" s="64" t="n"/>
      <c r="BF5" s="64" t="n"/>
      <c r="BG5" s="64" t="n"/>
      <c r="BH5" s="64" t="n"/>
    </row>
    <row r="6" ht="9" customHeight="1">
      <c r="A6" s="600" t="n"/>
      <c r="B6" s="600" t="n"/>
      <c r="C6" s="600" t="n"/>
      <c r="D6" s="600" t="n"/>
      <c r="E6" s="600" t="n"/>
      <c r="F6" s="600" t="n"/>
      <c r="G6" s="600" t="n"/>
      <c r="H6" s="600" t="n"/>
      <c r="I6" s="600" t="n"/>
      <c r="J6" s="600" t="n"/>
      <c r="K6" s="600" t="n"/>
      <c r="L6" s="600" t="n"/>
      <c r="M6" s="600" t="n"/>
      <c r="N6" s="600" t="n"/>
      <c r="O6" s="600" t="n"/>
      <c r="P6" s="600" t="n"/>
      <c r="Q6" s="600" t="n"/>
      <c r="R6" s="600" t="n"/>
      <c r="S6" s="600" t="n"/>
      <c r="T6" s="600" t="n"/>
      <c r="U6" s="600" t="n"/>
      <c r="V6" s="600" t="n"/>
      <c r="W6" s="600" t="n"/>
      <c r="X6" s="600" t="n"/>
      <c r="Y6" s="600" t="n"/>
      <c r="Z6" s="600" t="n"/>
      <c r="AA6" s="600" t="n"/>
      <c r="AB6" s="600" t="n"/>
      <c r="AC6" s="600" t="n"/>
      <c r="AD6" s="600" t="n"/>
      <c r="AE6" s="600" t="n"/>
      <c r="AF6" s="63" t="n"/>
      <c r="AG6" s="76" t="n"/>
      <c r="AH6" s="76" t="n"/>
      <c r="AI6" s="63" t="n"/>
      <c r="AJ6" s="63" t="n"/>
      <c r="AK6" s="63" t="n"/>
      <c r="AL6" s="76" t="n"/>
      <c r="AM6" s="76" t="n"/>
      <c r="AN6" s="76" t="n"/>
      <c r="AO6" s="77" t="n"/>
      <c r="AP6" s="77" t="n"/>
      <c r="AQ6" s="77" t="n"/>
      <c r="AR6" s="77" t="n"/>
      <c r="AS6" s="77" t="n"/>
      <c r="AT6" s="78" t="n"/>
      <c r="AU6" s="64" t="n"/>
      <c r="AV6" s="64" t="n"/>
      <c r="AW6" s="64" t="n"/>
      <c r="AX6" s="64" t="n"/>
      <c r="AY6" s="64" t="n"/>
      <c r="AZ6" s="64" t="n"/>
      <c r="BA6" s="64" t="n"/>
      <c r="BB6" s="64" t="n"/>
      <c r="BC6" s="64" t="n"/>
      <c r="BD6" s="64" t="n"/>
      <c r="BE6" s="64" t="n"/>
      <c r="BF6" s="64" t="n"/>
      <c r="BG6" s="64" t="n"/>
      <c r="BH6" s="64" t="n"/>
    </row>
    <row r="7" ht="16.5" customHeight="1">
      <c r="A7" s="600" t="n"/>
      <c r="B7" s="600" t="n"/>
      <c r="C7" s="600" t="n"/>
      <c r="D7" s="600" t="n"/>
      <c r="E7" s="600" t="n"/>
      <c r="F7" s="600" t="n"/>
      <c r="G7" s="600" t="n"/>
      <c r="H7" s="600" t="n"/>
      <c r="I7" s="600" t="n"/>
      <c r="J7" s="600" t="n"/>
      <c r="K7" s="600" t="n"/>
      <c r="L7" s="600" t="n"/>
      <c r="M7" s="600" t="n"/>
      <c r="N7" s="600" t="n"/>
      <c r="O7" s="600" t="n"/>
      <c r="P7" s="600" t="n"/>
      <c r="Q7" s="600" t="n"/>
      <c r="R7" s="600" t="n"/>
      <c r="S7" s="600" t="n"/>
      <c r="T7" s="600" t="n"/>
      <c r="U7" s="600" t="n"/>
      <c r="V7" s="600" t="n"/>
      <c r="W7" s="600" t="n"/>
      <c r="X7" s="600" t="n"/>
      <c r="Y7" s="600" t="n"/>
      <c r="Z7" s="600" t="n"/>
      <c r="AA7" s="600" t="n"/>
      <c r="AB7" s="600" t="n"/>
      <c r="AC7" s="600" t="n"/>
      <c r="AD7" s="600" t="n"/>
      <c r="AE7" s="600" t="n"/>
      <c r="AF7" s="63" t="n"/>
      <c r="AG7" s="76" t="n"/>
      <c r="AH7" s="76" t="n"/>
      <c r="AI7" s="63" t="n"/>
      <c r="AJ7" s="63" t="n"/>
      <c r="AK7" s="63" t="n"/>
      <c r="AL7" s="76" t="n"/>
      <c r="AM7" s="76" t="n"/>
      <c r="AN7" s="76" t="n"/>
      <c r="AO7" s="77" t="n"/>
      <c r="AP7" s="77" t="n"/>
      <c r="AQ7" s="77" t="n"/>
      <c r="AR7" s="77" t="n"/>
      <c r="AS7" s="77" t="n"/>
      <c r="AT7" s="78" t="n"/>
      <c r="AU7" s="64" t="n"/>
      <c r="AV7" s="64" t="n"/>
      <c r="AW7" s="64" t="n"/>
      <c r="AX7" s="64" t="n"/>
      <c r="AY7" s="64" t="n"/>
      <c r="AZ7" s="64" t="n"/>
      <c r="BA7" s="64" t="n"/>
      <c r="BB7" s="64" t="n"/>
      <c r="BC7" s="64" t="n"/>
      <c r="BD7" s="64" t="n"/>
      <c r="BE7" s="64" t="n"/>
      <c r="BF7" s="64" t="n"/>
      <c r="BG7" s="64" t="n"/>
      <c r="BH7" s="64" t="n"/>
    </row>
    <row r="8" ht="16.5" customHeight="1">
      <c r="A8" s="600" t="n"/>
      <c r="B8" s="600" t="n"/>
      <c r="C8" s="600" t="n"/>
      <c r="D8" s="600" t="n"/>
      <c r="E8" s="600" t="n"/>
      <c r="F8" s="600" t="n"/>
      <c r="G8" s="600" t="n"/>
      <c r="H8" s="600" t="n"/>
      <c r="I8" s="600" t="n"/>
      <c r="J8" s="600" t="n"/>
      <c r="K8" s="600" t="n"/>
      <c r="L8" s="600" t="n"/>
      <c r="M8" s="600" t="n"/>
      <c r="N8" s="600" t="n"/>
      <c r="O8" s="600" t="n"/>
      <c r="P8" s="600" t="n"/>
      <c r="Q8" s="600" t="n"/>
      <c r="R8" s="600" t="n"/>
      <c r="S8" s="600" t="n"/>
      <c r="T8" s="600" t="n"/>
      <c r="U8" s="600" t="n"/>
      <c r="V8" s="600" t="n"/>
      <c r="W8" s="600" t="n"/>
      <c r="X8" s="600" t="n"/>
      <c r="Y8" s="600" t="n"/>
      <c r="Z8" s="600" t="n"/>
      <c r="AA8" s="600" t="n"/>
      <c r="AB8" s="600" t="n"/>
      <c r="AC8" s="600" t="n"/>
      <c r="AD8" s="600" t="n"/>
      <c r="AE8" s="600" t="n"/>
      <c r="AF8" s="63" t="n"/>
      <c r="AG8" s="76" t="n"/>
      <c r="AH8" s="76" t="n"/>
      <c r="AI8" s="63" t="n"/>
      <c r="AJ8" s="63" t="n"/>
      <c r="AK8" s="63" t="n"/>
      <c r="AL8" s="76" t="n"/>
      <c r="AM8" s="76" t="n"/>
      <c r="AN8" s="76" t="n"/>
      <c r="AO8" s="77" t="n"/>
      <c r="AP8" s="77" t="n"/>
      <c r="AQ8" s="77" t="n"/>
      <c r="AR8" s="77" t="n"/>
      <c r="AS8" s="77" t="n"/>
      <c r="AT8" s="78" t="n"/>
      <c r="AU8" s="64" t="n"/>
      <c r="AV8" s="64" t="n"/>
      <c r="AW8" s="64" t="n"/>
      <c r="AX8" s="64" t="n"/>
      <c r="AY8" s="64" t="n"/>
      <c r="AZ8" s="64" t="n"/>
      <c r="BA8" s="64" t="n"/>
      <c r="BB8" s="64" t="n"/>
      <c r="BC8" s="64" t="n"/>
      <c r="BD8" s="64" t="n"/>
      <c r="BE8" s="64" t="n"/>
      <c r="BF8" s="64" t="n"/>
      <c r="BG8" s="64" t="n"/>
      <c r="BH8" s="64" t="n"/>
    </row>
    <row r="9" ht="27.75" customHeight="1">
      <c r="A9" s="86" t="inlineStr">
        <is>
          <t>m¤ú` I `v‡qi †NvlbvcÎ</t>
        </is>
      </c>
      <c r="AU9" s="64" t="n"/>
      <c r="AV9" s="64" t="n"/>
      <c r="AW9" s="64" t="n"/>
      <c r="AX9" s="64" t="n"/>
      <c r="AY9" s="64" t="n"/>
      <c r="AZ9" s="64" t="n"/>
      <c r="BA9" s="64" t="n"/>
      <c r="BB9" s="64" t="n"/>
      <c r="BC9" s="64" t="n"/>
      <c r="BD9" s="64" t="n"/>
      <c r="BE9" s="64" t="n"/>
      <c r="BF9" s="64" t="n"/>
      <c r="BG9" s="64" t="n"/>
      <c r="BH9" s="64" t="n"/>
    </row>
    <row r="10" ht="16.5" customHeight="1">
      <c r="A10" s="600" t="n"/>
      <c r="B10" s="600" t="n"/>
      <c r="C10" s="600" t="n"/>
      <c r="D10" s="600" t="n"/>
      <c r="E10" s="600" t="n"/>
      <c r="F10" s="600" t="n"/>
      <c r="G10" s="600" t="n"/>
      <c r="H10" s="600" t="n"/>
      <c r="I10" s="600" t="n"/>
      <c r="J10" s="600" t="n"/>
      <c r="K10" s="600" t="n"/>
      <c r="L10" s="600" t="n"/>
      <c r="M10" s="600" t="n"/>
      <c r="N10" s="600" t="n"/>
      <c r="O10" s="600" t="inlineStr">
        <is>
          <t xml:space="preserve">                                                   </t>
        </is>
      </c>
      <c r="P10" s="600" t="n"/>
      <c r="Q10" s="600" t="n"/>
      <c r="R10" s="600" t="n"/>
      <c r="S10" s="600" t="n"/>
      <c r="T10" s="600" t="n"/>
      <c r="U10" s="600" t="n"/>
      <c r="V10" s="600" t="n"/>
      <c r="W10" s="600" t="n"/>
      <c r="X10" s="600" t="n"/>
      <c r="Y10" s="600" t="n"/>
      <c r="Z10" s="600" t="n"/>
      <c r="AA10" s="600" t="n"/>
      <c r="AB10" s="600" t="n"/>
      <c r="AC10" s="600" t="n"/>
      <c r="AD10" s="600" t="n"/>
      <c r="AE10" s="600" t="n"/>
      <c r="AF10" s="63" t="n"/>
      <c r="AG10" s="76" t="n"/>
      <c r="AH10" s="76" t="n"/>
      <c r="AI10" s="63" t="n"/>
      <c r="AJ10" s="63" t="n"/>
      <c r="AK10" s="63" t="n"/>
      <c r="AL10" s="76" t="n"/>
      <c r="AM10" s="76" t="n"/>
      <c r="AN10" s="76" t="n"/>
      <c r="AO10" s="77" t="n"/>
      <c r="AP10" s="77" t="n"/>
      <c r="AQ10" s="77" t="n"/>
      <c r="AR10" s="77" t="n"/>
      <c r="AS10" s="77" t="n"/>
      <c r="AT10" s="78" t="n"/>
      <c r="AU10" s="64" t="n"/>
      <c r="AV10" s="64" t="n"/>
      <c r="AW10" s="64" t="n"/>
      <c r="AX10" s="64" t="n"/>
      <c r="AY10" s="64" t="n"/>
      <c r="AZ10" s="64" t="n"/>
      <c r="BA10" s="64" t="n"/>
      <c r="BB10" s="64" t="n"/>
      <c r="BC10" s="64" t="n"/>
      <c r="BD10" s="64" t="n"/>
      <c r="BE10" s="64" t="n"/>
      <c r="BF10" s="64" t="n"/>
      <c r="BG10" s="64" t="n"/>
      <c r="BH10" s="64" t="n"/>
    </row>
    <row r="11" ht="16.5" customHeight="1">
      <c r="A11" s="600" t="n"/>
      <c r="B11" s="600" t="n"/>
      <c r="C11" s="600" t="n"/>
      <c r="D11" s="600" t="n"/>
      <c r="E11" s="600" t="n"/>
      <c r="F11" s="600" t="n"/>
      <c r="G11" s="600" t="n"/>
      <c r="H11" s="600" t="n"/>
      <c r="I11" s="600" t="n"/>
      <c r="J11" s="600" t="n"/>
      <c r="K11" s="600" t="n"/>
      <c r="L11" s="600" t="n"/>
      <c r="M11" s="600" t="n"/>
      <c r="N11" s="600" t="n"/>
      <c r="O11" s="600" t="n"/>
      <c r="P11" s="600" t="n"/>
      <c r="Q11" s="600" t="n"/>
      <c r="R11" s="600" t="n"/>
      <c r="S11" s="600" t="n"/>
      <c r="T11" s="600" t="n"/>
      <c r="U11" s="600" t="n"/>
      <c r="V11" s="600" t="n"/>
      <c r="W11" s="600" t="n"/>
      <c r="X11" s="600" t="n"/>
      <c r="Y11" s="600" t="n"/>
      <c r="Z11" s="600" t="n"/>
      <c r="AA11" s="600" t="n"/>
      <c r="AB11" s="600" t="n"/>
      <c r="AC11" s="600" t="n"/>
      <c r="AD11" s="600" t="n"/>
      <c r="AE11" s="600" t="n"/>
      <c r="AF11" s="63" t="n"/>
      <c r="AG11" s="76" t="n"/>
      <c r="AH11" s="76" t="n"/>
      <c r="AI11" s="63" t="n"/>
      <c r="AJ11" s="63" t="n"/>
      <c r="AK11" s="63" t="n"/>
      <c r="AL11" s="76" t="n"/>
      <c r="AM11" s="76" t="n"/>
      <c r="AN11" s="76" t="n"/>
      <c r="AO11" s="77" t="n"/>
      <c r="AP11" s="77" t="n"/>
      <c r="AQ11" s="77" t="n"/>
      <c r="AR11" s="77" t="n"/>
      <c r="AS11" s="77" t="n"/>
      <c r="AT11" s="78" t="n"/>
      <c r="AU11" s="64" t="n"/>
      <c r="AV11" s="64" t="n"/>
      <c r="AW11" s="64" t="n"/>
      <c r="AX11" s="64" t="n"/>
      <c r="AY11" s="64" t="n"/>
      <c r="AZ11" s="64" t="n"/>
      <c r="BA11" s="64" t="n"/>
      <c r="BB11" s="64" t="n"/>
      <c r="BC11" s="64" t="n"/>
      <c r="BD11" s="64" t="n"/>
      <c r="BE11" s="64" t="n"/>
      <c r="BF11" s="64" t="n"/>
      <c r="BG11" s="64" t="n"/>
      <c r="BH11" s="64" t="n"/>
    </row>
    <row r="12" ht="16.5" customHeight="1">
      <c r="A12" s="600" t="n"/>
      <c r="B12" s="600" t="n"/>
      <c r="C12" s="600" t="n"/>
      <c r="D12" s="600" t="n"/>
      <c r="E12" s="314">
        <f>"Avwg "&amp;'Data Input'!D12&amp;", wcZv/¯^vgxi bvgt "&amp;'Data Input'!D13&amp;", gvZvi bvgt "&amp;'Data Input'!D14&amp;", wVKvbvt "&amp;+'Data Input'!D17&amp;", Dc‡Rjvt "&amp;'Data Input'!D22&amp;", ‡Rjvt "&amp;'Data Input'!D23&amp;"| GB g‡g© †Nvlbv KiwQ †h, Avgvi "&amp;'Data Input'!K2&amp;" †gŠRvq "&amp;'Data Input'!N48&amp;" kZvsk Rwg Ges "&amp;'Data Input'!D10&amp;" e¨emvq †gvU 80.00 jÿ UvKvi m¤ú` i‡q‡Q  Ges Avgvi bv‡g †Kv_vI †Kvb †`bv bvB||"</f>
        <v/>
      </c>
      <c r="AO12" s="77" t="n"/>
      <c r="AP12" s="77" t="n"/>
      <c r="AQ12" s="77" t="n"/>
      <c r="AR12" s="77" t="n"/>
      <c r="AS12" s="77" t="n"/>
      <c r="AT12" s="78" t="n"/>
      <c r="AU12" s="64" t="n"/>
      <c r="AV12" s="64" t="n"/>
      <c r="AW12" s="64" t="n"/>
      <c r="AX12" s="64" t="n"/>
      <c r="AY12" s="64" t="n"/>
      <c r="AZ12" s="64" t="n"/>
      <c r="BA12" s="64" t="n"/>
      <c r="BB12" s="64" t="n"/>
      <c r="BC12" s="64" t="n"/>
      <c r="BD12" s="64" t="n"/>
      <c r="BE12" s="64" t="n"/>
      <c r="BF12" s="64" t="n"/>
      <c r="BG12" s="64" t="n"/>
      <c r="BH12" s="64" t="n"/>
    </row>
    <row r="13" ht="16.5" customHeight="1">
      <c r="A13" s="62" t="n"/>
      <c r="B13" s="62" t="n"/>
      <c r="C13" s="62" t="n"/>
      <c r="D13" s="62" t="n"/>
      <c r="AO13" s="90" t="n"/>
      <c r="AP13" s="90" t="n"/>
      <c r="AQ13" s="90" t="n"/>
      <c r="AR13" s="90" t="n"/>
      <c r="AS13" s="90" t="n"/>
      <c r="AT13" s="91" t="n"/>
      <c r="AU13" s="64" t="n"/>
      <c r="AV13" s="64" t="n"/>
      <c r="AW13" s="64" t="n"/>
      <c r="AX13" s="64" t="n"/>
      <c r="AY13" s="64" t="n"/>
      <c r="AZ13" s="64" t="n"/>
      <c r="BA13" s="64" t="n"/>
      <c r="BB13" s="64" t="n"/>
      <c r="BC13" s="64" t="n"/>
      <c r="BD13" s="64" t="n"/>
      <c r="BE13" s="64" t="n"/>
      <c r="BF13" s="64" t="n"/>
      <c r="BG13" s="64" t="n"/>
      <c r="BH13" s="64" t="n"/>
    </row>
    <row r="14" ht="16.5" customFormat="1" customHeight="1" s="18">
      <c r="A14" s="375" t="n"/>
      <c r="B14" s="83" t="n"/>
      <c r="C14" s="83" t="n"/>
      <c r="D14" s="83" t="n"/>
      <c r="AO14" s="83" t="n"/>
      <c r="AP14" s="83" t="n"/>
      <c r="AQ14" s="83" t="n"/>
      <c r="AR14" s="83" t="n"/>
      <c r="AS14" s="83" t="n"/>
      <c r="AT14" s="83" t="n"/>
      <c r="AU14" s="103" t="n"/>
      <c r="AV14" s="103" t="n"/>
      <c r="AW14" s="103" t="n"/>
      <c r="AX14" s="103" t="n"/>
      <c r="AY14" s="103" t="n"/>
      <c r="AZ14" s="103" t="n"/>
      <c r="BA14" s="103" t="n"/>
      <c r="BB14" s="103" t="n"/>
      <c r="BC14" s="103" t="n"/>
      <c r="BD14" s="103" t="n"/>
      <c r="BE14" s="103" t="n"/>
      <c r="BF14" s="103" t="n"/>
      <c r="BG14" s="103" t="n"/>
      <c r="BH14" s="103" t="n"/>
    </row>
    <row r="15" ht="16.5" customFormat="1" customHeight="1" s="18">
      <c r="A15" s="83" t="n"/>
      <c r="B15" s="83" t="n"/>
      <c r="C15" s="83" t="n"/>
      <c r="D15" s="83" t="n"/>
      <c r="AO15" s="83" t="n"/>
      <c r="AP15" s="83" t="n"/>
      <c r="AQ15" s="83" t="n"/>
      <c r="AR15" s="83" t="n"/>
      <c r="AS15" s="83" t="n"/>
      <c r="AT15" s="83" t="n"/>
      <c r="AU15" s="103" t="n"/>
      <c r="AV15" s="103" t="n"/>
      <c r="AW15" s="103" t="n"/>
      <c r="AX15" s="103" t="n"/>
      <c r="AY15" s="103" t="n"/>
      <c r="AZ15" s="103" t="n"/>
      <c r="BA15" s="103" t="n"/>
      <c r="BB15" s="103" t="n"/>
      <c r="BC15" s="103" t="n"/>
      <c r="BD15" s="103" t="n"/>
      <c r="BE15" s="103" t="n"/>
      <c r="BF15" s="103" t="n"/>
      <c r="BG15" s="103" t="n"/>
      <c r="BH15" s="103" t="n"/>
    </row>
    <row r="16" ht="16.5" customFormat="1" customHeight="1" s="18">
      <c r="A16" s="199" t="n"/>
      <c r="B16" s="199" t="n"/>
      <c r="C16" s="199" t="n"/>
      <c r="D16" s="199" t="n"/>
      <c r="AO16" s="199" t="n"/>
      <c r="AP16" s="199" t="n"/>
      <c r="AQ16" s="199" t="n"/>
      <c r="AR16" s="199" t="n"/>
      <c r="AS16" s="199" t="n"/>
      <c r="AT16" s="199" t="n"/>
      <c r="AU16" s="103" t="n"/>
      <c r="AV16" s="103" t="n"/>
      <c r="AW16" s="103" t="n"/>
      <c r="AX16" s="103" t="n"/>
      <c r="AY16" s="103" t="n"/>
      <c r="AZ16" s="103" t="n"/>
      <c r="BA16" s="103" t="n"/>
      <c r="BB16" s="103" t="n"/>
      <c r="BC16" s="103" t="n"/>
      <c r="BD16" s="103" t="n"/>
      <c r="BE16" s="103" t="n"/>
      <c r="BF16" s="103" t="n"/>
      <c r="BG16" s="103" t="n"/>
      <c r="BH16" s="103" t="n"/>
    </row>
    <row r="17" ht="16.5" customHeight="1">
      <c r="A17" s="600" t="n"/>
      <c r="B17" s="600" t="n"/>
      <c r="C17" s="600" t="n"/>
      <c r="D17" s="600" t="n"/>
      <c r="AO17" s="77" t="n"/>
      <c r="AP17" s="77" t="n"/>
      <c r="AQ17" s="77" t="n"/>
      <c r="AR17" s="77" t="n"/>
      <c r="AS17" s="77" t="n"/>
      <c r="AT17" s="78" t="n"/>
      <c r="AU17" s="64" t="n"/>
      <c r="AV17" s="64" t="n"/>
      <c r="AW17" s="64" t="n"/>
      <c r="AX17" s="64" t="n"/>
      <c r="AY17" s="64" t="n"/>
      <c r="AZ17" s="64" t="n"/>
      <c r="BA17" s="64" t="n"/>
      <c r="BB17" s="64" t="n"/>
      <c r="BC17" s="64" t="n"/>
      <c r="BD17" s="64" t="n"/>
      <c r="BE17" s="64" t="n"/>
      <c r="BF17" s="64" t="n"/>
      <c r="BG17" s="64" t="n"/>
      <c r="BH17" s="64" t="n"/>
    </row>
    <row r="18" ht="16.5" customHeight="1">
      <c r="A18" s="600" t="n"/>
      <c r="B18" s="600" t="n"/>
      <c r="C18" s="600" t="n"/>
      <c r="D18" s="600" t="n"/>
      <c r="AO18" s="77" t="n"/>
      <c r="AP18" s="77" t="n"/>
      <c r="AQ18" s="77" t="n"/>
      <c r="AR18" s="77" t="n"/>
      <c r="AS18" s="77" t="n"/>
      <c r="AT18" s="78" t="n"/>
      <c r="AU18" s="64" t="n"/>
      <c r="AV18" s="64" t="n"/>
      <c r="AW18" s="64" t="n"/>
      <c r="AX18" s="64" t="n"/>
      <c r="AY18" s="64" t="n"/>
      <c r="AZ18" s="64" t="n"/>
      <c r="BA18" s="64" t="n"/>
      <c r="BB18" s="64" t="n"/>
      <c r="BC18" s="64" t="n"/>
      <c r="BD18" s="64" t="n"/>
      <c r="BE18" s="64" t="n"/>
      <c r="BF18" s="64" t="n"/>
      <c r="BG18" s="64" t="n"/>
      <c r="BH18" s="64" t="n"/>
    </row>
    <row r="19" ht="16.5" customHeight="1">
      <c r="A19" s="600" t="n"/>
      <c r="B19" s="600" t="n"/>
      <c r="C19" s="600" t="n"/>
      <c r="D19" s="600" t="n"/>
      <c r="AO19" s="77" t="n"/>
      <c r="AP19" s="77" t="n"/>
      <c r="AQ19" s="77" t="n"/>
      <c r="AR19" s="77" t="n"/>
      <c r="AS19" s="77" t="n"/>
      <c r="AT19" s="78" t="n"/>
      <c r="AU19" s="64" t="n"/>
      <c r="AV19" s="64" t="n"/>
      <c r="AW19" s="64" t="n"/>
      <c r="AX19" s="64" t="n"/>
      <c r="AY19" s="64" t="n"/>
      <c r="AZ19" s="64" t="n"/>
      <c r="BA19" s="64" t="n"/>
      <c r="BB19" s="64" t="n"/>
      <c r="BC19" s="64" t="n"/>
      <c r="BD19" s="64" t="n"/>
      <c r="BE19" s="64" t="n"/>
      <c r="BF19" s="64" t="n"/>
      <c r="BG19" s="64" t="n"/>
      <c r="BH19" s="64" t="n"/>
    </row>
    <row r="20" ht="78" customHeight="1">
      <c r="A20" s="600" t="n"/>
      <c r="B20" s="600" t="n"/>
      <c r="C20" s="600" t="n"/>
      <c r="D20" s="600" t="n"/>
      <c r="AO20" s="77" t="n"/>
      <c r="AP20" s="77" t="n"/>
      <c r="AQ20" s="77" t="n"/>
      <c r="AR20" s="77" t="n"/>
      <c r="AS20" s="77" t="n"/>
      <c r="AT20" s="78" t="n"/>
      <c r="AU20" s="64" t="n"/>
      <c r="AV20" s="64" t="n"/>
      <c r="AW20" s="64" t="n"/>
      <c r="AX20" s="64" t="n"/>
      <c r="AY20" s="64" t="n"/>
      <c r="AZ20" s="64" t="n"/>
      <c r="BA20" s="64" t="n"/>
      <c r="BB20" s="64" t="n"/>
      <c r="BC20" s="64" t="n"/>
      <c r="BD20" s="64" t="n"/>
      <c r="BE20" s="64" t="n"/>
      <c r="BF20" s="64" t="n"/>
      <c r="BG20" s="64" t="n"/>
      <c r="BH20" s="64" t="n"/>
    </row>
    <row r="21" ht="43.5" customHeight="1">
      <c r="A21" s="1964" t="n"/>
      <c r="B21" s="1964" t="n"/>
      <c r="C21" s="1964" t="n"/>
      <c r="D21" s="1964" t="n"/>
      <c r="E21" s="1964" t="n"/>
      <c r="F21" s="1964" t="n"/>
      <c r="G21" s="1964" t="n"/>
      <c r="H21" s="1964" t="n"/>
      <c r="I21" s="1964" t="n"/>
      <c r="J21" s="1964" t="n"/>
      <c r="K21" s="1964" t="n"/>
      <c r="L21" s="1964" t="n"/>
      <c r="M21" s="1964" t="n"/>
      <c r="N21" s="1964" t="n"/>
      <c r="O21" s="1964" t="n"/>
      <c r="P21" s="1964" t="n"/>
      <c r="Q21" s="1964" t="n"/>
      <c r="R21" s="1964" t="n"/>
      <c r="S21" s="1964" t="n"/>
      <c r="T21" s="1964" t="n"/>
      <c r="U21" s="1964" t="n"/>
      <c r="V21" s="1964" t="n"/>
      <c r="W21" s="1964" t="n"/>
      <c r="X21" s="1964" t="n"/>
      <c r="Y21" s="1964" t="n"/>
      <c r="Z21" s="1964" t="n"/>
      <c r="AA21" s="1964" t="n"/>
      <c r="AB21" s="1964" t="n"/>
      <c r="AC21" s="1964" t="n"/>
      <c r="AD21" s="1964" t="n"/>
      <c r="AE21" s="1964" t="n"/>
      <c r="AF21" s="63" t="n"/>
      <c r="AG21" s="199" t="n"/>
      <c r="AH21" s="199" t="n"/>
      <c r="AI21" s="63" t="n"/>
      <c r="AJ21" s="63" t="n"/>
      <c r="AK21" s="63" t="n"/>
      <c r="AL21" s="199" t="n"/>
      <c r="AM21" s="199" t="n"/>
      <c r="AN21" s="199" t="n"/>
      <c r="AO21" s="93" t="n"/>
      <c r="AP21" s="93" t="n"/>
      <c r="AQ21" s="93" t="n"/>
      <c r="AR21" s="93" t="n"/>
      <c r="AS21" s="93" t="n"/>
      <c r="AT21" s="94" t="n"/>
      <c r="AU21" s="64" t="n"/>
      <c r="AV21" s="64" t="n"/>
      <c r="AW21" s="64" t="n"/>
      <c r="AX21" s="64" t="n"/>
      <c r="AY21" s="64" t="n"/>
      <c r="AZ21" s="64" t="n"/>
      <c r="BA21" s="64" t="n"/>
      <c r="BB21" s="64" t="n"/>
      <c r="BC21" s="64" t="n"/>
      <c r="BD21" s="64" t="n"/>
      <c r="BE21" s="64" t="n"/>
      <c r="BF21" s="64" t="n"/>
      <c r="BG21" s="64" t="n"/>
      <c r="BH21" s="64" t="n"/>
    </row>
    <row r="22" ht="43.5" customHeight="1">
      <c r="A22" s="219" t="n"/>
      <c r="AU22" s="64" t="n"/>
      <c r="AV22" s="64" t="n"/>
      <c r="AW22" s="64" t="n"/>
      <c r="AX22" s="64" t="n"/>
      <c r="AY22" s="64" t="n"/>
      <c r="AZ22" s="64" t="n"/>
      <c r="BA22" s="64" t="n"/>
      <c r="BB22" s="64" t="n"/>
      <c r="BC22" s="64" t="n"/>
      <c r="BD22" s="64" t="n"/>
      <c r="BE22" s="64" t="n"/>
      <c r="BF22" s="64" t="n"/>
      <c r="BG22" s="64" t="n"/>
      <c r="BH22" s="64" t="n"/>
    </row>
    <row r="23" ht="102.75" customHeight="1">
      <c r="A23" s="1964" t="n"/>
      <c r="B23" s="1964" t="n"/>
      <c r="C23" s="1964" t="n"/>
      <c r="D23" s="1964" t="n"/>
      <c r="E23" s="1964" t="n"/>
      <c r="F23" s="1964" t="n"/>
      <c r="G23" s="1964" t="n"/>
      <c r="H23" s="1964" t="n"/>
      <c r="I23" s="1964" t="n"/>
      <c r="J23" s="1964" t="n"/>
      <c r="K23" s="1964" t="n"/>
      <c r="L23" s="1964" t="n"/>
      <c r="M23" s="1964" t="n"/>
      <c r="N23" s="1964" t="n"/>
      <c r="O23" s="1964" t="n"/>
      <c r="P23" s="1964" t="n"/>
      <c r="Q23" s="1964" t="n"/>
      <c r="R23" s="1964" t="n"/>
      <c r="S23" s="1964" t="n"/>
      <c r="T23" s="1964" t="n"/>
      <c r="U23" s="1964" t="n"/>
      <c r="V23" s="1964" t="n"/>
      <c r="W23" s="1964" t="n"/>
      <c r="X23" s="1964" t="n"/>
      <c r="Y23" s="1964" t="n"/>
      <c r="Z23" s="1964" t="n"/>
      <c r="AA23" s="1964" t="n"/>
      <c r="AB23" s="1964" t="n"/>
      <c r="AC23" s="1964" t="n"/>
      <c r="AD23" s="1964" t="n"/>
      <c r="AE23" s="219" t="n"/>
      <c r="AP23" s="93" t="n"/>
      <c r="AQ23" s="93" t="n"/>
      <c r="AR23" s="93" t="n"/>
      <c r="AS23" s="93" t="n"/>
      <c r="AT23" s="94" t="n"/>
      <c r="AU23" s="64" t="n"/>
      <c r="AV23" s="64" t="n"/>
      <c r="AW23" s="64" t="n"/>
      <c r="AX23" s="64" t="n"/>
      <c r="AY23" s="64" t="n"/>
      <c r="AZ23" s="64" t="n"/>
      <c r="BA23" s="64" t="n"/>
      <c r="BB23" s="64" t="n"/>
      <c r="BC23" s="64" t="n"/>
      <c r="BD23" s="64" t="n"/>
      <c r="BE23" s="64" t="n"/>
      <c r="BF23" s="64" t="n"/>
      <c r="BG23" s="64" t="n"/>
      <c r="BH23" s="64" t="n"/>
    </row>
    <row r="24" ht="17.25" customHeight="1">
      <c r="A24" s="219" t="n"/>
      <c r="L24" s="64" t="n"/>
      <c r="M24" s="64" t="n"/>
      <c r="N24" s="63" t="n"/>
      <c r="O24" s="63" t="n"/>
      <c r="P24" s="63" t="n"/>
      <c r="Q24" s="1964" t="n"/>
      <c r="R24" s="1964" t="n"/>
      <c r="S24" s="219" t="n"/>
      <c r="AD24" s="1964" t="n"/>
      <c r="AE24" s="1964" t="n"/>
      <c r="AF24" s="1964" t="n"/>
      <c r="AG24" s="1964" t="n"/>
      <c r="AH24" s="1964" t="n"/>
      <c r="AI24" s="63" t="n"/>
      <c r="AJ24" s="219" t="n"/>
      <c r="AU24" s="64" t="n"/>
      <c r="AV24" s="64" t="n"/>
      <c r="AW24" s="96" t="n"/>
      <c r="AX24" s="96" t="n"/>
      <c r="AY24" s="96" t="n"/>
      <c r="AZ24" s="96" t="n"/>
      <c r="BA24" s="96" t="n"/>
      <c r="BB24" s="96" t="n"/>
      <c r="BC24" s="96" t="n"/>
      <c r="BD24" s="96" t="n"/>
      <c r="BE24" s="96" t="n"/>
      <c r="BF24" s="96" t="n"/>
      <c r="BG24" s="96" t="n"/>
      <c r="BH24" s="96" t="n"/>
    </row>
    <row r="25" ht="17.25" customHeight="1">
      <c r="A25" s="219" t="n"/>
      <c r="L25" s="96" t="n"/>
      <c r="M25" s="96" t="n"/>
      <c r="N25" s="63" t="n"/>
      <c r="O25" s="63" t="n"/>
      <c r="P25" s="219" t="n"/>
      <c r="AG25" s="1964" t="n"/>
      <c r="AH25" s="1964" t="n"/>
      <c r="AI25" s="63" t="n"/>
      <c r="AJ25" s="219" t="n"/>
      <c r="AU25" s="64" t="n"/>
      <c r="AV25" s="64" t="n"/>
      <c r="AW25" s="96" t="n"/>
      <c r="AX25" s="96" t="n"/>
      <c r="AY25" s="96" t="n"/>
      <c r="AZ25" s="96" t="n"/>
      <c r="BA25" s="96" t="n"/>
      <c r="BB25" s="96" t="n"/>
      <c r="BC25" s="96" t="n"/>
      <c r="BD25" s="96" t="n"/>
      <c r="BE25" s="96" t="n"/>
      <c r="BF25" s="96" t="n"/>
      <c r="BG25" s="96" t="n"/>
      <c r="BH25" s="96" t="n"/>
    </row>
    <row r="26" ht="17.25" customHeight="1">
      <c r="A26" s="219" t="n"/>
      <c r="L26" s="96" t="n"/>
      <c r="M26" s="96" t="n"/>
      <c r="N26" s="63" t="n"/>
      <c r="O26" s="63" t="n"/>
      <c r="P26" s="219" t="n"/>
      <c r="AG26" s="1964" t="n"/>
      <c r="AH26" s="1964" t="n"/>
      <c r="AI26" s="63" t="n"/>
      <c r="AJ26" s="219" t="n"/>
      <c r="AU26" s="64" t="n"/>
      <c r="AV26" s="64" t="n"/>
      <c r="AW26" s="96" t="n"/>
      <c r="AX26" s="96" t="n"/>
      <c r="AY26" s="96" t="n"/>
      <c r="AZ26" s="96" t="n"/>
      <c r="BA26" s="96" t="n"/>
      <c r="BB26" s="96" t="n"/>
      <c r="BC26" s="96" t="n"/>
      <c r="BD26" s="96" t="n"/>
      <c r="BE26" s="96" t="n"/>
      <c r="BF26" s="96" t="n"/>
      <c r="BG26" s="96" t="n"/>
      <c r="BH26" s="96" t="n"/>
    </row>
    <row r="27" ht="17.25" customHeight="1">
      <c r="A27" s="97" t="n"/>
      <c r="L27" s="64" t="n"/>
      <c r="M27" s="64" t="n"/>
      <c r="N27" s="63" t="n"/>
      <c r="O27" s="63" t="n"/>
      <c r="P27" s="97" t="n"/>
      <c r="AG27" s="99" t="n"/>
      <c r="AH27" s="99" t="n"/>
      <c r="AI27" s="63" t="n"/>
      <c r="AJ27" s="97" t="n"/>
      <c r="AU27" s="64" t="n"/>
      <c r="AV27" s="64" t="n"/>
      <c r="AW27" s="64" t="n"/>
      <c r="AX27" s="64" t="n"/>
      <c r="AY27" s="64" t="n"/>
      <c r="AZ27" s="64" t="n"/>
      <c r="BA27" s="76" t="n"/>
      <c r="BB27" s="76" t="n"/>
      <c r="BC27" s="76" t="n"/>
      <c r="BD27" s="76" t="n"/>
      <c r="BE27" s="64" t="n"/>
      <c r="BF27" s="64" t="n"/>
      <c r="BG27" s="64" t="n"/>
      <c r="BH27" s="64" t="n"/>
    </row>
    <row r="28" ht="18.75" customHeight="1">
      <c r="A28" s="63" t="n"/>
      <c r="B28" s="100" t="n"/>
      <c r="C28" s="600" t="n"/>
      <c r="D28" s="600" t="n"/>
      <c r="E28" s="600" t="n"/>
      <c r="F28" s="64" t="n"/>
      <c r="G28" s="64" t="n"/>
      <c r="H28" s="64" t="n"/>
      <c r="I28" s="64" t="n"/>
      <c r="J28" s="64" t="n"/>
      <c r="K28" s="64" t="n"/>
      <c r="L28" s="64" t="n"/>
      <c r="M28" s="64" t="n"/>
      <c r="N28" s="63" t="n"/>
      <c r="O28" s="63" t="n"/>
      <c r="P28" s="63" t="n"/>
      <c r="Q28" s="63" t="n"/>
      <c r="R28" s="63" t="n"/>
      <c r="S28" s="63" t="n"/>
      <c r="T28" s="63" t="n"/>
      <c r="U28" s="63" t="n"/>
      <c r="V28" s="63" t="n"/>
      <c r="W28" s="63" t="n"/>
      <c r="X28" s="63" t="n"/>
      <c r="Y28" s="63" t="n"/>
      <c r="Z28" s="63" t="n"/>
      <c r="AA28" s="63" t="n"/>
      <c r="AB28" s="63" t="n"/>
      <c r="AC28" s="63" t="n"/>
      <c r="AD28" s="63" t="n"/>
      <c r="AE28" s="63" t="n"/>
      <c r="AF28" s="63" t="n"/>
      <c r="AG28" s="63" t="n"/>
      <c r="AH28" s="63" t="n"/>
      <c r="AI28" s="63" t="n"/>
      <c r="AJ28" s="63" t="n"/>
      <c r="AK28" s="63" t="n"/>
      <c r="AL28" s="63" t="n"/>
      <c r="AM28" s="63" t="n"/>
      <c r="AN28" s="63" t="n"/>
      <c r="AO28" s="63" t="n"/>
      <c r="AP28" s="63" t="n"/>
      <c r="AQ28" s="63" t="n"/>
      <c r="AR28" s="63" t="n"/>
      <c r="AS28" s="63" t="n"/>
      <c r="AT28" s="63" t="n"/>
      <c r="AU28" s="64" t="n"/>
      <c r="AV28" s="64" t="n"/>
      <c r="AW28" s="64" t="n"/>
      <c r="AX28" s="64" t="n"/>
      <c r="AY28" s="64" t="n"/>
      <c r="AZ28" s="64" t="n"/>
      <c r="BA28" s="76" t="n"/>
      <c r="BB28" s="76" t="n"/>
      <c r="BC28" s="76" t="n"/>
      <c r="BD28" s="76" t="n"/>
      <c r="BE28" s="64" t="n"/>
      <c r="BF28" s="64" t="n"/>
      <c r="BG28" s="64" t="n"/>
      <c r="BH28" s="64" t="n"/>
    </row>
    <row r="29" ht="18.75" customHeight="1">
      <c r="A29" s="63" t="n"/>
      <c r="B29" s="100" t="n"/>
      <c r="C29" s="600" t="n"/>
      <c r="F29" s="64" t="n"/>
      <c r="G29" s="64" t="n"/>
      <c r="H29" s="64" t="n"/>
      <c r="I29" s="64" t="n"/>
      <c r="J29" s="64" t="n"/>
      <c r="K29" s="64" t="n"/>
      <c r="L29" s="64" t="n"/>
      <c r="M29" s="64" t="n"/>
      <c r="N29" s="63" t="n"/>
      <c r="O29" s="63" t="n"/>
      <c r="P29" s="63" t="n"/>
      <c r="Q29" s="63" t="n"/>
      <c r="R29" s="63" t="n"/>
      <c r="S29" s="63" t="n"/>
      <c r="T29" s="63" t="n"/>
      <c r="U29" s="63" t="n"/>
      <c r="V29" s="63" t="n"/>
      <c r="W29" s="63" t="n"/>
      <c r="X29" s="63" t="n"/>
      <c r="Y29" s="63" t="n"/>
      <c r="Z29" s="63" t="n"/>
      <c r="AA29" s="63" t="n"/>
      <c r="AB29" s="63" t="n"/>
      <c r="AC29" s="63" t="n"/>
      <c r="AD29" s="63" t="n"/>
      <c r="AE29" s="63" t="n"/>
      <c r="AF29" s="63" t="n"/>
      <c r="AG29" s="63" t="n"/>
      <c r="AH29" s="63" t="n"/>
      <c r="AI29" s="63" t="n"/>
      <c r="AJ29" s="63" t="n"/>
      <c r="AK29" s="63" t="n"/>
      <c r="AL29" s="63" t="n"/>
      <c r="AM29" s="63" t="n"/>
      <c r="AN29" s="63" t="n"/>
      <c r="AO29" s="63" t="n"/>
      <c r="AP29" s="63" t="n"/>
      <c r="AQ29" s="63" t="n"/>
      <c r="AR29" s="63" t="n"/>
      <c r="AS29" s="63" t="n"/>
      <c r="AT29" s="63" t="n"/>
      <c r="AU29" s="64" t="n"/>
      <c r="AV29" s="64" t="n"/>
      <c r="AW29" s="64" t="n"/>
      <c r="AX29" s="64" t="n"/>
      <c r="AY29" s="64" t="n"/>
      <c r="AZ29" s="64" t="n"/>
      <c r="BA29" s="76" t="n"/>
      <c r="BB29" s="76" t="n"/>
      <c r="BC29" s="76" t="n"/>
      <c r="BD29" s="76" t="n"/>
      <c r="BE29" s="64" t="n"/>
      <c r="BF29" s="64" t="n"/>
      <c r="BG29" s="64" t="n"/>
      <c r="BH29" s="64" t="n"/>
    </row>
    <row r="30" ht="18.75" customHeight="1">
      <c r="A30" s="63" t="n"/>
      <c r="B30" s="100" t="n"/>
      <c r="C30" s="600" t="n"/>
      <c r="F30" s="64" t="n"/>
      <c r="G30" s="64" t="n"/>
      <c r="H30" s="64" t="n"/>
      <c r="I30" s="64" t="n"/>
      <c r="J30" s="64" t="n"/>
      <c r="K30" s="64" t="n"/>
      <c r="L30" s="64" t="n"/>
      <c r="M30" s="64" t="n"/>
      <c r="N30" s="63" t="n"/>
      <c r="O30" s="63" t="n"/>
      <c r="P30" s="63" t="n"/>
      <c r="Q30" s="63" t="n"/>
      <c r="R30" s="63" t="n"/>
      <c r="S30" s="63" t="n"/>
      <c r="T30" s="63" t="n"/>
      <c r="U30" s="63" t="n"/>
      <c r="V30" s="63" t="n"/>
      <c r="W30" s="63" t="n"/>
      <c r="X30" s="63" t="n"/>
      <c r="Y30" s="63" t="n"/>
      <c r="Z30" s="63" t="n"/>
      <c r="AA30" s="63" t="n"/>
      <c r="AB30" s="63" t="n"/>
      <c r="AC30" s="63" t="n"/>
      <c r="AD30" s="63" t="n"/>
      <c r="AE30" s="63" t="n"/>
      <c r="AF30" s="63" t="n"/>
      <c r="AG30" s="63" t="n"/>
      <c r="AH30" s="63" t="n"/>
      <c r="AI30" s="63" t="n"/>
      <c r="AJ30" s="63" t="n"/>
      <c r="AK30" s="63" t="n"/>
      <c r="AL30" s="63" t="n"/>
      <c r="AM30" s="63" t="n"/>
      <c r="AN30" s="63" t="n"/>
      <c r="AO30" s="63" t="n"/>
      <c r="AP30" s="63" t="n"/>
      <c r="AQ30" s="63" t="n"/>
      <c r="AR30" s="63" t="n"/>
      <c r="AS30" s="63" t="n"/>
      <c r="AT30" s="63" t="n"/>
      <c r="AU30" s="64" t="n"/>
      <c r="AV30" s="64" t="n"/>
      <c r="AW30" s="64" t="n"/>
      <c r="AX30" s="64" t="n"/>
      <c r="AY30" s="64" t="n"/>
      <c r="AZ30" s="64" t="n"/>
      <c r="BA30" s="76" t="n"/>
      <c r="BB30" s="76" t="n"/>
      <c r="BC30" s="76" t="n"/>
      <c r="BD30" s="76" t="n"/>
      <c r="BE30" s="64" t="n"/>
      <c r="BF30" s="64" t="n"/>
      <c r="BG30" s="64" t="n"/>
      <c r="BH30" s="64" t="n"/>
    </row>
    <row r="31" ht="11.25" customFormat="1" customHeight="1" s="18">
      <c r="A31" s="419" t="n"/>
      <c r="AU31" s="103" t="n"/>
      <c r="AV31" s="103" t="n"/>
      <c r="AW31" s="103" t="n"/>
      <c r="AX31" s="103" t="n"/>
      <c r="AY31" s="103" t="n"/>
      <c r="AZ31" s="103" t="n"/>
      <c r="BA31" s="103" t="n"/>
      <c r="BB31" s="103" t="n"/>
      <c r="BC31" s="103" t="n"/>
      <c r="BD31" s="103" t="n"/>
      <c r="BE31" s="103" t="n"/>
      <c r="BF31" s="103" t="n"/>
      <c r="BG31" s="103" t="n"/>
      <c r="BH31" s="103" t="n"/>
    </row>
    <row r="32" ht="18.75" customFormat="1" customHeight="1" s="18">
      <c r="A32" s="172" t="n"/>
      <c r="AU32" s="103" t="n"/>
      <c r="AV32" s="103" t="n"/>
      <c r="AW32" s="103" t="n"/>
      <c r="AX32" s="103" t="n"/>
      <c r="AY32" s="103" t="n"/>
      <c r="AZ32" s="103" t="n"/>
      <c r="BA32" s="103" t="n"/>
      <c r="BB32" s="103" t="n"/>
      <c r="BC32" s="103" t="n"/>
      <c r="BD32" s="103" t="n"/>
      <c r="BE32" s="103" t="n"/>
      <c r="BF32" s="103" t="n"/>
      <c r="BG32" s="103" t="n"/>
      <c r="BH32" s="103" t="n"/>
    </row>
    <row r="33" ht="18.75" customFormat="1" customHeight="1" s="18">
      <c r="A33" s="173" t="n"/>
      <c r="AU33" s="103" t="n"/>
      <c r="AV33" s="103" t="n"/>
      <c r="AW33" s="103" t="n"/>
      <c r="AX33" s="103" t="n"/>
      <c r="AY33" s="103" t="n"/>
      <c r="AZ33" s="103" t="n"/>
      <c r="BA33" s="103" t="n"/>
      <c r="BB33" s="103" t="n"/>
      <c r="BC33" s="103" t="n"/>
      <c r="BD33" s="103" t="n"/>
      <c r="BE33" s="103" t="n"/>
      <c r="BF33" s="103" t="n"/>
      <c r="BG33" s="103" t="n"/>
      <c r="BH33" s="103" t="n"/>
    </row>
    <row r="34" ht="18.75" customFormat="1" customHeight="1" s="18">
      <c r="A34" s="175" t="n"/>
      <c r="B34" s="2613" t="n"/>
      <c r="C34" s="2613" t="n"/>
      <c r="D34" s="2613" t="n"/>
      <c r="E34" s="2613" t="n"/>
      <c r="F34" s="2613" t="n"/>
      <c r="G34" s="2613" t="n"/>
      <c r="H34" s="2613" t="n"/>
      <c r="I34" s="2613" t="n"/>
      <c r="J34" s="2613" t="n"/>
      <c r="K34" s="2613" t="n"/>
      <c r="L34" s="2613" t="n"/>
      <c r="M34" s="2613" t="n"/>
      <c r="N34" s="2613" t="n"/>
      <c r="O34" s="2613" t="n"/>
      <c r="P34" s="2613" t="n"/>
      <c r="Q34" s="2613" t="n"/>
      <c r="R34" s="2613" t="n"/>
      <c r="S34" s="2613" t="n"/>
      <c r="T34" s="2613" t="n"/>
      <c r="U34" s="2613" t="n"/>
      <c r="V34" s="2613" t="n"/>
      <c r="W34" s="2613" t="n"/>
      <c r="X34" s="2613" t="n"/>
      <c r="Y34" s="2613" t="n"/>
      <c r="Z34" s="2613" t="n"/>
      <c r="AA34" s="2613" t="n"/>
      <c r="AB34" s="2613" t="n"/>
      <c r="AC34" s="2613" t="n"/>
      <c r="AD34" s="2613" t="n"/>
      <c r="AE34" s="2613" t="n"/>
      <c r="AF34" s="2613" t="n"/>
      <c r="AG34" s="2613" t="n"/>
      <c r="AH34" s="2613" t="n"/>
      <c r="AI34" s="2613" t="n"/>
      <c r="AJ34" s="2613" t="n"/>
      <c r="AK34" s="2613" t="n"/>
      <c r="AL34" s="2613" t="n"/>
      <c r="AM34" s="2613" t="n"/>
      <c r="AN34" s="2613" t="n"/>
      <c r="AO34" s="2613" t="n"/>
      <c r="AP34" s="2613" t="n"/>
      <c r="AQ34" s="2613" t="n"/>
      <c r="AR34" s="2613" t="n"/>
      <c r="AS34" s="2613" t="n"/>
      <c r="AT34" s="2613" t="n"/>
      <c r="AU34" s="103" t="n"/>
      <c r="AV34" s="103" t="n"/>
      <c r="AW34" s="103" t="n"/>
      <c r="AX34" s="103" t="n"/>
      <c r="AY34" s="103" t="n"/>
      <c r="AZ34" s="103" t="n"/>
      <c r="BA34" s="103" t="n"/>
      <c r="BB34" s="103" t="n"/>
      <c r="BC34" s="103" t="n"/>
      <c r="BD34" s="103" t="n"/>
      <c r="BE34" s="103" t="n"/>
      <c r="BF34" s="103" t="n"/>
      <c r="BG34" s="103" t="n"/>
      <c r="BH34" s="103" t="n"/>
    </row>
    <row r="35" ht="18.75" customHeight="1">
      <c r="A35" s="1929">
        <f>A5</f>
        <v/>
      </c>
      <c r="B35" s="2614" t="n"/>
      <c r="C35" s="2614" t="n"/>
      <c r="D35" s="2614" t="n"/>
      <c r="E35" s="2614" t="n"/>
      <c r="F35" s="2614" t="n"/>
      <c r="G35" s="2614" t="n"/>
      <c r="H35" s="2614" t="n"/>
      <c r="I35" s="2614" t="n"/>
      <c r="J35" s="2614" t="n"/>
      <c r="K35" s="2614" t="n"/>
      <c r="L35" s="2614" t="n"/>
      <c r="M35" s="2614" t="n"/>
      <c r="N35" s="2614" t="n"/>
      <c r="O35" s="2614" t="n"/>
      <c r="P35" s="2614" t="n"/>
      <c r="Q35" s="2614" t="n"/>
      <c r="R35" s="2614" t="n"/>
      <c r="S35" s="2614" t="n"/>
      <c r="T35" s="2614" t="n"/>
      <c r="U35" s="2614" t="n"/>
      <c r="V35" s="2614" t="n"/>
      <c r="W35" s="2614" t="n"/>
      <c r="X35" s="2614" t="n"/>
      <c r="Y35" s="2614" t="n"/>
      <c r="Z35" s="2614" t="n"/>
      <c r="AA35" s="2614" t="n"/>
      <c r="AB35" s="2614" t="n"/>
      <c r="AC35" s="2614" t="n"/>
      <c r="AD35" s="2614" t="n"/>
      <c r="AE35" s="2614" t="n"/>
      <c r="AF35" s="310" t="n"/>
      <c r="AG35" s="311" t="n"/>
      <c r="AH35" s="311" t="n"/>
      <c r="AI35" s="310" t="n"/>
      <c r="AJ35" s="310" t="n"/>
      <c r="AK35" s="310" t="n"/>
      <c r="AL35" s="311" t="n"/>
      <c r="AM35" s="2614" t="n"/>
      <c r="AN35" s="2614" t="n"/>
      <c r="AO35" s="312" t="n"/>
      <c r="AP35" s="2614" t="n"/>
      <c r="AQ35" s="2614" t="n"/>
      <c r="AR35" s="2614" t="n"/>
      <c r="AS35" s="2614" t="n"/>
      <c r="AT35" s="313" t="n"/>
      <c r="AU35" s="64" t="n"/>
      <c r="AV35" s="64" t="n"/>
      <c r="AW35" s="64" t="n"/>
      <c r="AX35" s="64" t="n"/>
      <c r="AY35" s="64" t="n"/>
      <c r="AZ35" s="64" t="n"/>
      <c r="BA35" s="64" t="n"/>
      <c r="BB35" s="64" t="n"/>
      <c r="BC35" s="64" t="n"/>
      <c r="BD35" s="64" t="n"/>
      <c r="BE35" s="64" t="n"/>
      <c r="BF35" s="64" t="n"/>
      <c r="BG35" s="64" t="n"/>
      <c r="BH35" s="64" t="n"/>
    </row>
    <row r="36" ht="18.75" customHeight="1">
      <c r="A36" s="600" t="n"/>
      <c r="B36" s="600" t="n"/>
      <c r="C36" s="600" t="n"/>
      <c r="D36" s="600" t="n"/>
      <c r="E36" s="600" t="n"/>
      <c r="F36" s="600" t="n"/>
      <c r="G36" s="600" t="n"/>
      <c r="H36" s="600" t="n"/>
      <c r="I36" s="600" t="n"/>
      <c r="J36" s="600" t="n"/>
      <c r="K36" s="600" t="n"/>
      <c r="L36" s="600" t="n"/>
      <c r="M36" s="600" t="n"/>
      <c r="N36" s="600" t="n"/>
      <c r="O36" s="600" t="n"/>
      <c r="P36" s="600" t="n"/>
      <c r="Q36" s="600" t="n"/>
      <c r="R36" s="600" t="n"/>
      <c r="S36" s="600" t="n"/>
      <c r="T36" s="600" t="n"/>
      <c r="U36" s="600" t="n"/>
      <c r="V36" s="600" t="n"/>
      <c r="W36" s="600" t="n"/>
      <c r="X36" s="600" t="n"/>
      <c r="Y36" s="600" t="n"/>
      <c r="Z36" s="600" t="n"/>
      <c r="AA36" s="600" t="n"/>
      <c r="AB36" s="600" t="n"/>
      <c r="AC36" s="600" t="n"/>
      <c r="AD36" s="600" t="n"/>
      <c r="AE36" s="600" t="n"/>
      <c r="AF36" s="600" t="n"/>
      <c r="AG36" s="76" t="n"/>
      <c r="AH36" s="76" t="n"/>
      <c r="AI36" s="600" t="n"/>
      <c r="AJ36" s="600" t="n"/>
      <c r="AK36" s="600" t="n"/>
      <c r="AL36" s="76" t="n"/>
      <c r="AM36" s="76" t="n"/>
      <c r="AN36" s="76" t="n"/>
      <c r="AO36" s="77" t="n"/>
      <c r="AP36" s="77" t="n"/>
      <c r="AQ36" s="77" t="n"/>
      <c r="AR36" s="77" t="n"/>
      <c r="AS36" s="77" t="n"/>
      <c r="AT36" s="78" t="n"/>
      <c r="AU36" s="64" t="n"/>
      <c r="AV36" s="64" t="n"/>
      <c r="AW36" s="64" t="n"/>
      <c r="AX36" s="64" t="n"/>
      <c r="AY36" s="64" t="n"/>
      <c r="AZ36" s="64" t="n"/>
      <c r="BA36" s="64" t="n"/>
      <c r="BB36" s="64" t="n"/>
      <c r="BC36" s="64" t="n"/>
      <c r="BD36" s="64" t="n"/>
      <c r="BE36" s="64" t="n"/>
      <c r="BF36" s="64" t="n"/>
      <c r="BG36" s="64" t="n"/>
      <c r="BH36" s="64" t="n"/>
    </row>
    <row r="37" ht="18.75" customHeight="1">
      <c r="A37" s="600" t="n"/>
      <c r="B37" s="600" t="n"/>
      <c r="C37" s="600" t="n"/>
      <c r="D37" s="600" t="n"/>
      <c r="E37" s="600" t="n"/>
      <c r="F37" s="600" t="n"/>
      <c r="G37" s="600" t="n"/>
      <c r="H37" s="600" t="n"/>
      <c r="I37" s="600" t="n"/>
      <c r="J37" s="600" t="n"/>
      <c r="K37" s="600" t="n"/>
      <c r="L37" s="600" t="n"/>
      <c r="M37" s="600" t="n"/>
      <c r="N37" s="600" t="n"/>
      <c r="O37" s="600" t="n"/>
      <c r="P37" s="600" t="n"/>
      <c r="Q37" s="600" t="n"/>
      <c r="R37" s="600" t="n"/>
      <c r="S37" s="600" t="n"/>
      <c r="T37" s="600" t="n"/>
      <c r="U37" s="600" t="n"/>
      <c r="V37" s="600" t="n"/>
      <c r="W37" s="600" t="n"/>
      <c r="X37" s="600" t="n"/>
      <c r="Y37" s="600" t="n"/>
      <c r="Z37" s="600" t="n"/>
      <c r="AA37" s="600" t="n"/>
      <c r="AB37" s="600" t="n"/>
      <c r="AC37" s="600" t="n"/>
      <c r="AD37" s="600" t="n"/>
      <c r="AE37" s="600" t="n"/>
      <c r="AF37" s="600" t="n"/>
      <c r="AG37" s="76" t="n"/>
      <c r="AH37" s="76" t="n"/>
      <c r="AI37" s="600" t="n"/>
      <c r="AJ37" s="600" t="n"/>
      <c r="AK37" s="600" t="n"/>
      <c r="AL37" s="76" t="n"/>
      <c r="AM37" s="76" t="n"/>
      <c r="AN37" s="76" t="n"/>
      <c r="AO37" s="77" t="n"/>
      <c r="AP37" s="77" t="n"/>
      <c r="AQ37" s="77" t="n"/>
      <c r="AR37" s="77" t="n"/>
      <c r="AS37" s="77" t="n"/>
      <c r="AT37" s="78" t="n"/>
      <c r="AU37" s="64" t="n"/>
      <c r="AV37" s="64" t="n"/>
      <c r="AW37" s="64" t="n"/>
      <c r="AX37" s="64" t="n"/>
      <c r="AY37" s="64" t="n"/>
      <c r="AZ37" s="64" t="n"/>
      <c r="BA37" s="64" t="n"/>
      <c r="BB37" s="64" t="n"/>
      <c r="BC37" s="64" t="n"/>
      <c r="BD37" s="64" t="n"/>
      <c r="BE37" s="64" t="n"/>
      <c r="BF37" s="64" t="n"/>
      <c r="BG37" s="64" t="n"/>
      <c r="BH37" s="64" t="n"/>
    </row>
    <row r="38" ht="18.75" customHeight="1">
      <c r="A38" s="600" t="n"/>
      <c r="B38" s="600" t="n"/>
      <c r="C38" s="600" t="n"/>
      <c r="D38" s="600" t="n"/>
      <c r="E38" s="600" t="n"/>
      <c r="F38" s="600" t="n"/>
      <c r="G38" s="600" t="n"/>
      <c r="H38" s="600" t="n"/>
      <c r="I38" s="600" t="n"/>
      <c r="J38" s="600" t="n"/>
      <c r="K38" s="600" t="n"/>
      <c r="L38" s="600" t="n"/>
      <c r="M38" s="600" t="n"/>
      <c r="N38" s="600" t="n"/>
      <c r="O38" s="600" t="n"/>
      <c r="P38" s="600" t="n"/>
      <c r="Q38" s="600" t="n"/>
      <c r="R38" s="600" t="n"/>
      <c r="S38" s="600" t="n"/>
      <c r="T38" s="600" t="n"/>
      <c r="U38" s="600" t="n"/>
      <c r="V38" s="600" t="n"/>
      <c r="W38" s="600" t="n"/>
      <c r="X38" s="600" t="n"/>
      <c r="Y38" s="600" t="n"/>
      <c r="Z38" s="600" t="n"/>
      <c r="AA38" s="600" t="n"/>
      <c r="AB38" s="600" t="n"/>
      <c r="AC38" s="600" t="n"/>
      <c r="AD38" s="600" t="n"/>
      <c r="AE38" s="600" t="n"/>
      <c r="AF38" s="600" t="n"/>
      <c r="AG38" s="76" t="n"/>
      <c r="AH38" s="76" t="n"/>
      <c r="AI38" s="600" t="n"/>
      <c r="AJ38" s="600" t="n"/>
      <c r="AK38" s="600" t="n"/>
      <c r="AL38" s="76" t="n"/>
      <c r="AM38" s="76" t="n"/>
      <c r="AN38" s="76" t="n"/>
      <c r="AO38" s="77" t="n"/>
      <c r="AP38" s="77" t="n"/>
      <c r="AQ38" s="77" t="n"/>
      <c r="AR38" s="77" t="n"/>
      <c r="AS38" s="77" t="n"/>
      <c r="AT38" s="78" t="n"/>
      <c r="AU38" s="64" t="n"/>
      <c r="AV38" s="64" t="n"/>
      <c r="AW38" s="64" t="n"/>
      <c r="AX38" s="64" t="n"/>
      <c r="AY38" s="64" t="n"/>
      <c r="AZ38" s="64" t="n"/>
      <c r="BA38" s="64" t="n"/>
      <c r="BB38" s="64" t="n"/>
      <c r="BC38" s="64" t="n"/>
      <c r="BD38" s="64" t="n"/>
      <c r="BE38" s="64" t="n"/>
      <c r="BF38" s="64" t="n"/>
      <c r="BG38" s="64" t="n"/>
      <c r="BH38" s="64" t="n"/>
    </row>
    <row r="39" ht="35.25" customHeight="1">
      <c r="A39" s="86" t="inlineStr">
        <is>
          <t>gvwR©‡bi Drm m¤ú‡K© †Nvlbv</t>
        </is>
      </c>
      <c r="AU39" s="64" t="n"/>
      <c r="AV39" s="64" t="n"/>
      <c r="AW39" s="64" t="n"/>
      <c r="AX39" s="64" t="n"/>
      <c r="AY39" s="64" t="n"/>
      <c r="AZ39" s="64" t="n"/>
      <c r="BA39" s="64" t="n"/>
      <c r="BB39" s="64" t="n"/>
      <c r="BC39" s="64" t="n"/>
      <c r="BD39" s="64" t="n"/>
      <c r="BE39" s="64" t="n"/>
      <c r="BF39" s="64" t="n"/>
      <c r="BG39" s="64" t="n"/>
      <c r="BH39" s="64" t="n"/>
    </row>
    <row r="40" ht="18.75" customHeight="1">
      <c r="A40" s="600" t="n"/>
      <c r="B40" s="600" t="n"/>
      <c r="C40" s="600" t="n"/>
      <c r="D40" s="600" t="n"/>
      <c r="E40" s="600" t="n"/>
      <c r="F40" s="600" t="n"/>
      <c r="G40" s="600" t="n"/>
      <c r="H40" s="600" t="n"/>
      <c r="I40" s="600" t="n"/>
      <c r="J40" s="600" t="n"/>
      <c r="K40" s="600" t="n"/>
      <c r="L40" s="600" t="n"/>
      <c r="M40" s="600" t="n"/>
      <c r="N40" s="600" t="n"/>
      <c r="O40" s="600" t="inlineStr">
        <is>
          <t xml:space="preserve">                                                   </t>
        </is>
      </c>
      <c r="P40" s="600" t="n"/>
      <c r="Q40" s="600" t="n"/>
      <c r="R40" s="600" t="n"/>
      <c r="S40" s="600" t="n"/>
      <c r="T40" s="600" t="n"/>
      <c r="U40" s="600" t="n"/>
      <c r="V40" s="600" t="n"/>
      <c r="W40" s="600" t="n"/>
      <c r="X40" s="600" t="n"/>
      <c r="Y40" s="600" t="n"/>
      <c r="Z40" s="600" t="n"/>
      <c r="AA40" s="600" t="n"/>
      <c r="AB40" s="600" t="n"/>
      <c r="AC40" s="600" t="n"/>
      <c r="AD40" s="600" t="n"/>
      <c r="AE40" s="600" t="n"/>
      <c r="AF40" s="600" t="n"/>
      <c r="AG40" s="76" t="n"/>
      <c r="AH40" s="76" t="n"/>
      <c r="AI40" s="600" t="n"/>
      <c r="AJ40" s="600" t="n"/>
      <c r="AK40" s="600" t="n"/>
      <c r="AL40" s="76" t="n"/>
      <c r="AM40" s="76" t="n"/>
      <c r="AN40" s="76" t="n"/>
      <c r="AO40" s="77" t="n"/>
      <c r="AP40" s="77" t="n"/>
      <c r="AQ40" s="77" t="n"/>
      <c r="AR40" s="77" t="n"/>
      <c r="AS40" s="77" t="n"/>
      <c r="AT40" s="78" t="n"/>
      <c r="AU40" s="64" t="n"/>
      <c r="AV40" s="64" t="n"/>
      <c r="AW40" s="64" t="n"/>
      <c r="AX40" s="64" t="n"/>
      <c r="AY40" s="64" t="n"/>
      <c r="AZ40" s="64" t="n"/>
      <c r="BA40" s="64" t="n"/>
      <c r="BB40" s="64" t="n"/>
      <c r="BC40" s="64" t="n"/>
      <c r="BD40" s="64" t="n"/>
      <c r="BE40" s="64" t="n"/>
      <c r="BF40" s="64" t="n"/>
      <c r="BG40" s="64" t="n"/>
      <c r="BH40" s="64" t="n"/>
    </row>
    <row r="41" ht="18.75" customHeight="1">
      <c r="A41" s="600" t="n"/>
      <c r="B41" s="600" t="n"/>
      <c r="C41" s="600" t="n"/>
      <c r="D41" s="600" t="n"/>
      <c r="E41" s="600" t="n"/>
      <c r="F41" s="600" t="n"/>
      <c r="G41" s="600" t="n"/>
      <c r="H41" s="600" t="n"/>
      <c r="I41" s="600" t="n"/>
      <c r="J41" s="600" t="n"/>
      <c r="K41" s="600" t="n"/>
      <c r="L41" s="600" t="n"/>
      <c r="M41" s="600" t="n"/>
      <c r="N41" s="600" t="n"/>
      <c r="O41" s="600" t="n"/>
      <c r="P41" s="600" t="n"/>
      <c r="Q41" s="600" t="n"/>
      <c r="R41" s="600" t="n"/>
      <c r="S41" s="600" t="n"/>
      <c r="T41" s="600" t="n"/>
      <c r="U41" s="600" t="n"/>
      <c r="V41" s="600" t="n"/>
      <c r="W41" s="600" t="n"/>
      <c r="X41" s="600" t="n"/>
      <c r="Y41" s="600" t="n"/>
      <c r="Z41" s="600" t="n"/>
      <c r="AA41" s="600" t="n"/>
      <c r="AB41" s="600" t="n"/>
      <c r="AC41" s="600" t="n"/>
      <c r="AD41" s="600" t="n"/>
      <c r="AE41" s="600" t="n"/>
      <c r="AF41" s="600" t="n"/>
      <c r="AG41" s="76" t="n"/>
      <c r="AH41" s="76" t="n"/>
      <c r="AI41" s="600" t="n"/>
      <c r="AJ41" s="600" t="n"/>
      <c r="AK41" s="600" t="n"/>
      <c r="AL41" s="76" t="n"/>
      <c r="AM41" s="76" t="n"/>
      <c r="AN41" s="76" t="n"/>
      <c r="AO41" s="77" t="n"/>
      <c r="AP41" s="77" t="n"/>
      <c r="AQ41" s="77" t="n"/>
      <c r="AR41" s="77" t="n"/>
      <c r="AS41" s="77" t="n"/>
      <c r="AT41" s="78" t="n"/>
      <c r="AU41" s="64" t="n"/>
      <c r="AV41" s="64" t="n"/>
      <c r="AW41" s="64" t="n"/>
      <c r="AX41" s="64" t="n"/>
      <c r="AY41" s="64" t="n"/>
      <c r="AZ41" s="64" t="n"/>
      <c r="BA41" s="64" t="n"/>
      <c r="BB41" s="64" t="n"/>
      <c r="BC41" s="64" t="n"/>
      <c r="BD41" s="64" t="n"/>
      <c r="BE41" s="64" t="n"/>
      <c r="BF41" s="64" t="n"/>
      <c r="BG41" s="64" t="n"/>
      <c r="BH41" s="64" t="n"/>
    </row>
    <row r="42" ht="18.75" customHeight="1">
      <c r="A42" s="600" t="n"/>
      <c r="B42" s="600" t="n"/>
      <c r="C42" s="600" t="n"/>
      <c r="D42" s="600" t="n"/>
      <c r="E42" s="314">
        <f>"Avwg "&amp;'Data Input'!D12&amp;", wcZv/¯^vgxi bvgt "&amp;'Data Input'!D13&amp;", gvZvi bvgt "&amp;'Data Input'!D14&amp;", wVKvbvt "&amp;+'Data Input'!D17&amp;", Dc‡Rjvt "&amp;'Data Input'!D22&amp;", ‡Rjvt "&amp;'Data Input'!D23&amp;"| GB g‡g© †Nvlbv KiwQ †h, Avgvi/Avgv‡`i e¨emv cÖwZôvb  "&amp;'Data Input'!D8&amp;" G wewb‡qvMK…Z A‡_©i Drm n‡”Q "&amp;'Data Input'!D10&amp;" ‡_‡K Avq|"</f>
        <v/>
      </c>
      <c r="AO42" s="77" t="n"/>
      <c r="AP42" s="77" t="n"/>
      <c r="AQ42" s="77" t="n"/>
      <c r="AR42" s="77" t="n"/>
      <c r="AS42" s="77" t="n"/>
      <c r="AT42" s="78" t="n"/>
      <c r="AU42" s="64" t="n"/>
      <c r="AV42" s="64" t="n"/>
      <c r="AW42" s="64" t="n"/>
      <c r="AX42" s="64" t="n"/>
      <c r="AY42" s="64" t="n"/>
      <c r="AZ42" s="64" t="n"/>
      <c r="BA42" s="64" t="n"/>
      <c r="BB42" s="64" t="n"/>
      <c r="BC42" s="64" t="n"/>
      <c r="BD42" s="64" t="n"/>
      <c r="BE42" s="64" t="n"/>
      <c r="BF42" s="64" t="n"/>
      <c r="BG42" s="64" t="n"/>
      <c r="BH42" s="64" t="n"/>
    </row>
    <row r="43" ht="18.75" customHeight="1">
      <c r="A43" s="62" t="n"/>
      <c r="B43" s="62" t="n"/>
      <c r="C43" s="62" t="n"/>
      <c r="D43" s="62" t="n"/>
      <c r="AO43" s="90" t="n"/>
      <c r="AP43" s="90" t="n"/>
      <c r="AQ43" s="90" t="n"/>
      <c r="AR43" s="90" t="n"/>
      <c r="AS43" s="90" t="n"/>
      <c r="AT43" s="91" t="n"/>
      <c r="AU43" s="64" t="n"/>
      <c r="AV43" s="64" t="n"/>
      <c r="AW43" s="64" t="n"/>
      <c r="AX43" s="64" t="n"/>
      <c r="AY43" s="64" t="n"/>
      <c r="AZ43" s="64" t="n"/>
      <c r="BA43" s="64" t="n"/>
      <c r="BB43" s="64" t="n"/>
      <c r="BC43" s="64" t="n"/>
      <c r="BD43" s="64" t="n"/>
      <c r="BE43" s="64" t="n"/>
      <c r="BF43" s="64" t="n"/>
      <c r="BG43" s="64" t="n"/>
      <c r="BH43" s="64" t="n"/>
    </row>
    <row r="44" ht="18.75" customHeight="1">
      <c r="A44" s="62" t="n"/>
      <c r="B44" s="83" t="n"/>
      <c r="C44" s="83" t="n"/>
      <c r="D44" s="83" t="n"/>
      <c r="AO44" s="83" t="n"/>
      <c r="AP44" s="83" t="n"/>
      <c r="AQ44" s="83" t="n"/>
      <c r="AR44" s="83" t="n"/>
      <c r="AS44" s="83" t="n"/>
      <c r="AT44" s="83" t="n"/>
      <c r="AU44" s="64" t="n"/>
      <c r="AV44" s="64" t="n"/>
      <c r="AW44" s="64" t="n"/>
      <c r="AX44" s="64" t="n"/>
      <c r="AY44" s="64" t="n"/>
      <c r="AZ44" s="64" t="n"/>
      <c r="BA44" s="64" t="n"/>
      <c r="BB44" s="64" t="n"/>
      <c r="BC44" s="64" t="n"/>
      <c r="BD44" s="64" t="n"/>
      <c r="BE44" s="64" t="n"/>
      <c r="BF44" s="64" t="n"/>
      <c r="BG44" s="64" t="n"/>
      <c r="BH44" s="64" t="n"/>
    </row>
    <row r="45" ht="18.75" customFormat="1" customHeight="1" s="18">
      <c r="A45" s="83" t="n"/>
      <c r="B45" s="83" t="n"/>
      <c r="C45" s="83" t="n"/>
      <c r="D45" s="83" t="n"/>
      <c r="AO45" s="83" t="n"/>
      <c r="AP45" s="83" t="n"/>
      <c r="AQ45" s="83" t="n"/>
      <c r="AR45" s="83" t="n"/>
      <c r="AS45" s="83" t="n"/>
      <c r="AT45" s="83" t="n"/>
      <c r="AU45" s="103" t="n"/>
      <c r="AV45" s="103" t="n"/>
      <c r="AW45" s="103" t="n"/>
      <c r="AX45" s="103" t="n"/>
      <c r="AY45" s="103" t="n"/>
      <c r="AZ45" s="103" t="n"/>
      <c r="BA45" s="103" t="n"/>
      <c r="BB45" s="103" t="n"/>
      <c r="BC45" s="103" t="n"/>
      <c r="BD45" s="103" t="n"/>
      <c r="BE45" s="103" t="n"/>
      <c r="BF45" s="103" t="n"/>
      <c r="BG45" s="103" t="n"/>
      <c r="BH45" s="103" t="n"/>
    </row>
    <row r="46" ht="18.75" customFormat="1" customHeight="1" s="18">
      <c r="A46" s="199" t="n"/>
      <c r="B46" s="199" t="n"/>
      <c r="C46" s="199" t="n"/>
      <c r="D46" s="199" t="n"/>
      <c r="AO46" s="199" t="n"/>
      <c r="AP46" s="199" t="n"/>
      <c r="AQ46" s="199" t="n"/>
      <c r="AR46" s="199" t="n"/>
      <c r="AS46" s="199" t="n"/>
      <c r="AT46" s="199" t="n"/>
      <c r="AU46" s="103" t="n"/>
      <c r="AV46" s="103" t="n"/>
      <c r="AW46" s="103" t="n"/>
      <c r="AX46" s="103" t="n"/>
      <c r="AY46" s="103" t="n"/>
      <c r="AZ46" s="103" t="n"/>
      <c r="BA46" s="103" t="n"/>
      <c r="BB46" s="103" t="n"/>
      <c r="BC46" s="103" t="n"/>
      <c r="BD46" s="103" t="n"/>
      <c r="BE46" s="103" t="n"/>
      <c r="BF46" s="103" t="n"/>
      <c r="BG46" s="103" t="n"/>
      <c r="BH46" s="103" t="n"/>
    </row>
    <row r="47" ht="18.75" customHeight="1">
      <c r="A47" s="600" t="n"/>
      <c r="B47" s="600" t="n"/>
      <c r="C47" s="600" t="n"/>
      <c r="D47" s="600" t="n"/>
      <c r="AO47" s="77" t="n"/>
      <c r="AP47" s="77" t="n"/>
      <c r="AQ47" s="77" t="n"/>
      <c r="AR47" s="77" t="n"/>
      <c r="AS47" s="77" t="n"/>
      <c r="AT47" s="78" t="n"/>
      <c r="AU47" s="64" t="n"/>
      <c r="AV47" s="64" t="n"/>
      <c r="AW47" s="64" t="n"/>
      <c r="AX47" s="64" t="n"/>
      <c r="AY47" s="64" t="n"/>
      <c r="AZ47" s="64" t="n"/>
      <c r="BA47" s="64" t="n"/>
      <c r="BB47" s="64" t="n"/>
      <c r="BC47" s="64" t="n"/>
      <c r="BD47" s="64" t="n"/>
      <c r="BE47" s="64" t="n"/>
      <c r="BF47" s="64" t="n"/>
      <c r="BG47" s="64" t="n"/>
      <c r="BH47" s="64" t="n"/>
    </row>
    <row r="48" ht="18.75" customHeight="1">
      <c r="A48" s="600" t="n"/>
      <c r="B48" s="600" t="n"/>
      <c r="C48" s="600" t="n"/>
      <c r="D48" s="600" t="n"/>
      <c r="AO48" s="77" t="n"/>
      <c r="AP48" s="77" t="n"/>
      <c r="AQ48" s="77" t="n"/>
      <c r="AR48" s="77" t="n"/>
      <c r="AS48" s="77" t="n"/>
      <c r="AT48" s="78" t="n"/>
      <c r="AU48" s="64" t="n"/>
      <c r="AV48" s="64" t="n"/>
      <c r="AW48" s="64" t="n"/>
      <c r="AX48" s="64" t="n"/>
      <c r="AY48" s="64" t="n"/>
      <c r="AZ48" s="64" t="n"/>
      <c r="BA48" s="64" t="n"/>
      <c r="BB48" s="64" t="n"/>
      <c r="BC48" s="64" t="n"/>
      <c r="BD48" s="64" t="n"/>
      <c r="BE48" s="64" t="n"/>
      <c r="BF48" s="64" t="n"/>
      <c r="BG48" s="64" t="n"/>
      <c r="BH48" s="64" t="n"/>
    </row>
    <row r="49" ht="18.75" customHeight="1">
      <c r="A49" s="600" t="n"/>
      <c r="B49" s="600" t="n"/>
      <c r="C49" s="600" t="n"/>
      <c r="D49" s="600" t="n"/>
      <c r="AO49" s="77" t="n"/>
      <c r="AP49" s="77" t="n"/>
      <c r="AQ49" s="77" t="n"/>
      <c r="AR49" s="77" t="n"/>
      <c r="AS49" s="77" t="n"/>
      <c r="AT49" s="78" t="n"/>
      <c r="AU49" s="64" t="n"/>
      <c r="AV49" s="64" t="n"/>
      <c r="AW49" s="64" t="n"/>
      <c r="AX49" s="64" t="n"/>
      <c r="AY49" s="64" t="n"/>
      <c r="AZ49" s="64" t="n"/>
      <c r="BA49" s="64" t="n"/>
      <c r="BB49" s="64" t="n"/>
      <c r="BC49" s="64" t="n"/>
      <c r="BD49" s="64" t="n"/>
      <c r="BE49" s="64" t="n"/>
      <c r="BF49" s="64" t="n"/>
      <c r="BG49" s="64" t="n"/>
      <c r="BH49" s="64" t="n"/>
    </row>
    <row r="50" ht="18.75" customHeight="1">
      <c r="A50" s="600" t="n"/>
      <c r="B50" s="600" t="n"/>
      <c r="C50" s="600" t="n"/>
      <c r="D50" s="600" t="n"/>
      <c r="AO50" s="77" t="n"/>
      <c r="AP50" s="77" t="n"/>
      <c r="AQ50" s="77" t="n"/>
      <c r="AR50" s="77" t="n"/>
      <c r="AS50" s="77" t="n"/>
      <c r="AT50" s="78" t="n"/>
      <c r="AU50" s="64" t="n"/>
      <c r="AV50" s="64" t="n"/>
      <c r="AW50" s="64" t="n"/>
      <c r="AX50" s="64" t="n"/>
      <c r="AY50" s="64" t="n"/>
      <c r="AZ50" s="64" t="n"/>
      <c r="BA50" s="64" t="n"/>
      <c r="BB50" s="64" t="n"/>
      <c r="BC50" s="64" t="n"/>
      <c r="BD50" s="64" t="n"/>
      <c r="BE50" s="64" t="n"/>
      <c r="BF50" s="64" t="n"/>
      <c r="BG50" s="64" t="n"/>
      <c r="BH50" s="64" t="n"/>
    </row>
    <row r="51" ht="18.75" customHeight="1">
      <c r="A51" s="1964" t="n"/>
      <c r="B51" s="1964" t="n"/>
      <c r="C51" s="1964" t="n"/>
      <c r="D51" s="1964" t="n"/>
      <c r="E51" s="1964" t="n"/>
      <c r="F51" s="1964" t="n"/>
      <c r="G51" s="1964" t="n"/>
      <c r="H51" s="1964" t="n"/>
      <c r="I51" s="1964" t="n"/>
      <c r="J51" s="1964" t="n"/>
      <c r="K51" s="1964" t="n"/>
      <c r="L51" s="1964" t="n"/>
      <c r="M51" s="1964" t="n"/>
      <c r="N51" s="1964" t="n"/>
      <c r="O51" s="1964" t="n"/>
      <c r="P51" s="1964" t="n"/>
      <c r="Q51" s="1964" t="n"/>
      <c r="R51" s="1964" t="n"/>
      <c r="S51" s="1964" t="n"/>
      <c r="T51" s="1964" t="n"/>
      <c r="U51" s="1964" t="n"/>
      <c r="V51" s="1964" t="n"/>
      <c r="W51" s="1964" t="n"/>
      <c r="X51" s="1964" t="n"/>
      <c r="Y51" s="1964" t="n"/>
      <c r="Z51" s="1964" t="n"/>
      <c r="AA51" s="1964" t="n"/>
      <c r="AB51" s="1964" t="n"/>
      <c r="AC51" s="1964" t="n"/>
      <c r="AD51" s="1964" t="n"/>
      <c r="AE51" s="1964" t="n"/>
      <c r="AF51" s="1964" t="n"/>
      <c r="AG51" s="199" t="n"/>
      <c r="AH51" s="199" t="n"/>
      <c r="AI51" s="1964" t="n"/>
      <c r="AJ51" s="1964" t="n"/>
      <c r="AK51" s="1964" t="n"/>
      <c r="AL51" s="199" t="n"/>
      <c r="AM51" s="199" t="n"/>
      <c r="AN51" s="199" t="n"/>
      <c r="AO51" s="93" t="n"/>
      <c r="AP51" s="93" t="n"/>
      <c r="AQ51" s="93" t="n"/>
      <c r="AR51" s="93" t="n"/>
      <c r="AS51" s="93" t="n"/>
      <c r="AT51" s="94" t="n"/>
      <c r="AU51" s="64" t="n"/>
      <c r="AV51" s="64" t="n"/>
      <c r="AW51" s="64" t="n"/>
      <c r="AX51" s="64" t="n"/>
      <c r="AY51" s="64" t="n"/>
      <c r="AZ51" s="64" t="n"/>
      <c r="BA51" s="64" t="n"/>
      <c r="BB51" s="64" t="n"/>
      <c r="BC51" s="64" t="n"/>
      <c r="BD51" s="64" t="n"/>
      <c r="BE51" s="64" t="n"/>
      <c r="BF51" s="64" t="n"/>
      <c r="BG51" s="64" t="n"/>
      <c r="BH51" s="64" t="n"/>
    </row>
    <row r="52" ht="18.75" customHeight="1">
      <c r="A52" s="219" t="n"/>
      <c r="AU52" s="64" t="n"/>
      <c r="AV52" s="64" t="n"/>
      <c r="AW52" s="64" t="n"/>
      <c r="AX52" s="64" t="n"/>
      <c r="AY52" s="64" t="n"/>
      <c r="AZ52" s="64" t="n"/>
      <c r="BA52" s="64" t="n"/>
      <c r="BB52" s="64" t="n"/>
      <c r="BC52" s="64" t="n"/>
      <c r="BD52" s="64" t="n"/>
      <c r="BE52" s="64" t="n"/>
      <c r="BF52" s="64" t="n"/>
      <c r="BG52" s="64" t="n"/>
      <c r="BH52" s="64" t="n"/>
    </row>
    <row r="53" ht="18.75" customHeight="1">
      <c r="A53" s="1964" t="n"/>
      <c r="B53" s="1964" t="n"/>
      <c r="C53" s="1964" t="n"/>
      <c r="D53" s="1964" t="n"/>
      <c r="E53" s="1964" t="n"/>
      <c r="F53" s="1964" t="n"/>
      <c r="G53" s="1964" t="n"/>
      <c r="H53" s="1964" t="n"/>
      <c r="I53" s="1964" t="n"/>
      <c r="J53" s="1964" t="n"/>
      <c r="K53" s="1964" t="n"/>
      <c r="L53" s="1964" t="n"/>
      <c r="M53" s="1964" t="n"/>
      <c r="N53" s="1964" t="n"/>
      <c r="O53" s="1964" t="n"/>
      <c r="P53" s="1964" t="n"/>
      <c r="Q53" s="1964" t="n"/>
      <c r="R53" s="1964" t="n"/>
      <c r="S53" s="1964" t="n"/>
      <c r="T53" s="1964" t="n"/>
      <c r="U53" s="1964" t="n"/>
      <c r="V53" s="1964" t="n"/>
      <c r="W53" s="1964" t="n"/>
      <c r="X53" s="1964" t="n"/>
      <c r="Y53" s="1964" t="n"/>
      <c r="Z53" s="1964" t="n"/>
      <c r="AA53" s="1964" t="n"/>
      <c r="AB53" s="1964" t="n"/>
      <c r="AC53" s="1964" t="n"/>
      <c r="AD53" s="1964" t="n"/>
      <c r="AE53" s="219" t="n"/>
      <c r="AP53" s="93" t="n"/>
      <c r="AQ53" s="93" t="n"/>
      <c r="AR53" s="93" t="n"/>
      <c r="AS53" s="93" t="n"/>
      <c r="AT53" s="94" t="n"/>
      <c r="AU53" s="64" t="n"/>
      <c r="AV53" s="64" t="n"/>
      <c r="AW53" s="64" t="n"/>
      <c r="AX53" s="64" t="n"/>
      <c r="AY53" s="64" t="n"/>
      <c r="AZ53" s="64" t="n"/>
      <c r="BA53" s="64" t="n"/>
      <c r="BB53" s="64" t="n"/>
      <c r="BC53" s="64" t="n"/>
      <c r="BD53" s="64" t="n"/>
      <c r="BE53" s="64" t="n"/>
      <c r="BF53" s="64" t="n"/>
      <c r="BG53" s="64" t="n"/>
      <c r="BH53" s="64" t="n"/>
    </row>
    <row r="54" ht="18.75" customHeight="1">
      <c r="A54" s="219" t="n"/>
      <c r="L54" s="96" t="n"/>
      <c r="M54" s="96" t="n"/>
      <c r="N54" s="96" t="n"/>
      <c r="O54" s="96" t="n"/>
      <c r="P54" s="96" t="n"/>
      <c r="Q54" s="1964" t="n"/>
      <c r="R54" s="1964" t="n"/>
      <c r="S54" s="219" t="n"/>
      <c r="AD54" s="1964" t="n"/>
      <c r="AE54" s="1964" t="n"/>
      <c r="AF54" s="1964" t="n"/>
      <c r="AG54" s="1964" t="n"/>
      <c r="AH54" s="1964" t="n"/>
      <c r="AI54" s="96" t="n"/>
      <c r="AJ54" s="219" t="n"/>
      <c r="AU54" s="64" t="n"/>
      <c r="AV54" s="64" t="n"/>
      <c r="AW54" s="64" t="n"/>
      <c r="AX54" s="64" t="n"/>
      <c r="AY54" s="64" t="n"/>
      <c r="AZ54" s="64" t="n"/>
      <c r="BA54" s="64" t="n"/>
      <c r="BB54" s="64" t="n"/>
      <c r="BC54" s="64" t="n"/>
      <c r="BD54" s="64" t="n"/>
      <c r="BE54" s="64" t="n"/>
      <c r="BF54" s="64" t="n"/>
      <c r="BG54" s="64" t="n"/>
      <c r="BH54" s="64" t="n"/>
    </row>
    <row r="55" ht="18.75" customHeight="1">
      <c r="A55" s="219" t="n"/>
      <c r="L55" s="96" t="n"/>
      <c r="M55" s="96" t="n"/>
      <c r="N55" s="96" t="n"/>
      <c r="O55" s="96" t="n"/>
      <c r="P55" s="219" t="n"/>
      <c r="AG55" s="1964" t="n"/>
      <c r="AH55" s="1964" t="n"/>
      <c r="AI55" s="96" t="n"/>
      <c r="AJ55" s="219" t="n"/>
      <c r="AU55" s="64" t="n"/>
      <c r="AV55" s="64" t="n"/>
      <c r="AW55" s="64" t="n"/>
      <c r="AX55" s="64" t="n"/>
      <c r="AY55" s="64" t="n"/>
      <c r="AZ55" s="64" t="n"/>
      <c r="BA55" s="64" t="n"/>
      <c r="BB55" s="64" t="n"/>
      <c r="BC55" s="64" t="n"/>
      <c r="BD55" s="64" t="n"/>
      <c r="BE55" s="64" t="n"/>
      <c r="BF55" s="64" t="n"/>
      <c r="BG55" s="64" t="n"/>
      <c r="BH55" s="64" t="n"/>
    </row>
    <row r="56" ht="18.75" customHeight="1">
      <c r="A56" s="219" t="n"/>
      <c r="L56" s="96" t="n"/>
      <c r="M56" s="96" t="n"/>
      <c r="N56" s="96" t="n"/>
      <c r="O56" s="96" t="n"/>
      <c r="P56" s="219" t="n"/>
      <c r="AG56" s="1964" t="n"/>
      <c r="AH56" s="1964" t="n"/>
      <c r="AI56" s="96" t="n"/>
      <c r="AJ56" s="219" t="n"/>
      <c r="AU56" s="64" t="n"/>
      <c r="AV56" s="64" t="n"/>
      <c r="AW56" s="64" t="n"/>
      <c r="AX56" s="64" t="n"/>
      <c r="AY56" s="64" t="n"/>
      <c r="AZ56" s="64" t="n"/>
      <c r="BA56" s="64" t="n"/>
      <c r="BB56" s="64" t="n"/>
      <c r="BC56" s="64" t="n"/>
      <c r="BD56" s="64" t="n"/>
      <c r="BE56" s="64" t="n"/>
      <c r="BF56" s="64" t="n"/>
      <c r="BG56" s="64" t="n"/>
      <c r="BH56" s="64" t="n"/>
    </row>
    <row r="57" ht="18.75" customHeight="1">
      <c r="A57" s="97" t="n"/>
      <c r="L57" s="64" t="n"/>
      <c r="M57" s="64" t="n"/>
      <c r="N57" s="98" t="n"/>
      <c r="O57" s="98" t="n"/>
      <c r="P57" s="97" t="n"/>
      <c r="AG57" s="99" t="n"/>
      <c r="AH57" s="99" t="n"/>
      <c r="AI57" s="98" t="n"/>
      <c r="AJ57" s="97" t="n"/>
      <c r="AU57" s="64" t="n"/>
      <c r="AV57" s="64" t="n"/>
      <c r="AW57" s="64" t="n"/>
      <c r="AX57" s="64" t="n"/>
      <c r="AY57" s="64" t="n"/>
      <c r="AZ57" s="64" t="n"/>
      <c r="BA57" s="64" t="n"/>
      <c r="BB57" s="64" t="n"/>
      <c r="BC57" s="64" t="n"/>
      <c r="BD57" s="64" t="n"/>
      <c r="BE57" s="64" t="n"/>
      <c r="BF57" s="64" t="n"/>
      <c r="BG57" s="64" t="n"/>
      <c r="BH57" s="64" t="n"/>
    </row>
    <row r="58" ht="18.75" customHeight="1">
      <c r="A58" s="98" t="n"/>
      <c r="B58" s="100" t="n"/>
      <c r="C58" s="600" t="n"/>
      <c r="D58" s="600" t="n"/>
      <c r="E58" s="600" t="n"/>
      <c r="F58" s="64" t="n"/>
      <c r="G58" s="64" t="n"/>
      <c r="H58" s="64" t="n"/>
      <c r="I58" s="64" t="n"/>
      <c r="J58" s="64" t="n"/>
      <c r="K58" s="64" t="n"/>
      <c r="L58" s="64" t="n"/>
      <c r="M58" s="64" t="n"/>
      <c r="N58" s="98" t="n"/>
      <c r="O58" s="98" t="n"/>
      <c r="P58" s="98" t="n"/>
      <c r="Q58" s="98" t="n"/>
      <c r="R58" s="98" t="n"/>
      <c r="S58" s="98" t="n"/>
      <c r="T58" s="98" t="n"/>
      <c r="U58" s="98" t="n"/>
      <c r="V58" s="98" t="n"/>
      <c r="W58" s="98" t="n"/>
      <c r="X58" s="98" t="n"/>
      <c r="Y58" s="98" t="n"/>
      <c r="Z58" s="98" t="n"/>
      <c r="AA58" s="98" t="n"/>
      <c r="AB58" s="98" t="n"/>
      <c r="AC58" s="98" t="n"/>
      <c r="AD58" s="98" t="n"/>
      <c r="AE58" s="98" t="n"/>
      <c r="AF58" s="98" t="n"/>
      <c r="AG58" s="98" t="n"/>
      <c r="AH58" s="98" t="n"/>
      <c r="AI58" s="98" t="n"/>
      <c r="AJ58" s="98" t="n"/>
      <c r="AK58" s="98" t="n"/>
      <c r="AL58" s="98" t="n"/>
      <c r="AM58" s="98" t="n"/>
      <c r="AN58" s="98" t="n"/>
      <c r="AO58" s="98" t="n"/>
      <c r="AP58" s="98" t="n"/>
      <c r="AQ58" s="98" t="n"/>
      <c r="AR58" s="98" t="n"/>
      <c r="AS58" s="98" t="n"/>
      <c r="AT58" s="98" t="n"/>
      <c r="AU58" s="64" t="n"/>
      <c r="AV58" s="64" t="n"/>
      <c r="AW58" s="64" t="n"/>
      <c r="AX58" s="64" t="n"/>
      <c r="AY58" s="64" t="n"/>
      <c r="AZ58" s="64" t="n"/>
      <c r="BA58" s="64" t="n"/>
      <c r="BB58" s="64" t="n"/>
      <c r="BC58" s="64" t="n"/>
      <c r="BD58" s="64" t="n"/>
      <c r="BE58" s="64" t="n"/>
      <c r="BF58" s="64" t="n"/>
      <c r="BG58" s="64" t="n"/>
      <c r="BH58" s="64" t="n"/>
    </row>
    <row r="59" ht="18.75" customHeight="1">
      <c r="A59" s="98" t="n"/>
      <c r="B59" s="100" t="n"/>
      <c r="C59" s="600" t="n"/>
      <c r="F59" s="64" t="n"/>
      <c r="G59" s="64" t="n"/>
      <c r="H59" s="64" t="n"/>
      <c r="I59" s="64" t="n"/>
      <c r="J59" s="64" t="n"/>
      <c r="K59" s="64" t="n"/>
      <c r="L59" s="64" t="n"/>
      <c r="M59" s="64" t="n"/>
      <c r="N59" s="98" t="n"/>
      <c r="O59" s="98" t="n"/>
      <c r="P59" s="98" t="n"/>
      <c r="Q59" s="98" t="n"/>
      <c r="R59" s="98" t="n"/>
      <c r="S59" s="98" t="n"/>
      <c r="T59" s="98" t="n"/>
      <c r="U59" s="98" t="n"/>
      <c r="V59" s="98" t="n"/>
      <c r="W59" s="98" t="n"/>
      <c r="X59" s="98" t="n"/>
      <c r="Y59" s="98" t="n"/>
      <c r="Z59" s="98" t="n"/>
      <c r="AA59" s="98" t="n"/>
      <c r="AB59" s="98" t="n"/>
      <c r="AC59" s="98" t="n"/>
      <c r="AD59" s="98" t="n"/>
      <c r="AE59" s="98" t="n"/>
      <c r="AF59" s="98" t="n"/>
      <c r="AG59" s="98" t="n"/>
      <c r="AH59" s="98" t="n"/>
      <c r="AI59" s="98" t="n"/>
      <c r="AJ59" s="98" t="n"/>
      <c r="AK59" s="98" t="n"/>
      <c r="AL59" s="98" t="n"/>
      <c r="AM59" s="98" t="n"/>
      <c r="AN59" s="98" t="n"/>
      <c r="AO59" s="98" t="n"/>
      <c r="AP59" s="98" t="n"/>
      <c r="AQ59" s="98" t="n"/>
      <c r="AR59" s="98" t="n"/>
      <c r="AS59" s="98" t="n"/>
      <c r="AT59" s="98" t="n"/>
      <c r="AU59" s="64" t="n"/>
      <c r="AV59" s="64" t="n"/>
      <c r="AW59" s="64" t="n"/>
      <c r="AX59" s="64" t="n"/>
      <c r="AY59" s="64" t="n"/>
      <c r="AZ59" s="64" t="n"/>
      <c r="BA59" s="64" t="n"/>
      <c r="BB59" s="64" t="n"/>
      <c r="BC59" s="64" t="n"/>
      <c r="BD59" s="64" t="n"/>
      <c r="BE59" s="64" t="n"/>
      <c r="BF59" s="64" t="n"/>
      <c r="BG59" s="64" t="n"/>
      <c r="BH59" s="64" t="n"/>
    </row>
    <row r="60" ht="18.75" customHeight="1">
      <c r="A60" s="98" t="n"/>
      <c r="B60" s="100" t="n"/>
      <c r="C60" s="600" t="n"/>
      <c r="F60" s="64" t="n"/>
      <c r="G60" s="64" t="n"/>
      <c r="H60" s="64" t="n"/>
      <c r="I60" s="64" t="n"/>
      <c r="J60" s="64" t="n"/>
      <c r="K60" s="64" t="n"/>
      <c r="L60" s="64" t="n"/>
      <c r="M60" s="64" t="n"/>
      <c r="N60" s="98" t="n"/>
      <c r="O60" s="98" t="n"/>
      <c r="P60" s="98" t="n"/>
      <c r="Q60" s="98" t="n"/>
      <c r="R60" s="98" t="n"/>
      <c r="S60" s="98" t="n"/>
      <c r="T60" s="98" t="n"/>
      <c r="U60" s="98" t="n"/>
      <c r="V60" s="98" t="n"/>
      <c r="W60" s="98" t="n"/>
      <c r="X60" s="98" t="n"/>
      <c r="Y60" s="98" t="n"/>
      <c r="Z60" s="98" t="n"/>
      <c r="AA60" s="98" t="n"/>
      <c r="AB60" s="98" t="n"/>
      <c r="AC60" s="98" t="n"/>
      <c r="AD60" s="98" t="n"/>
      <c r="AE60" s="98" t="n"/>
      <c r="AF60" s="98" t="n"/>
      <c r="AG60" s="98" t="n"/>
      <c r="AH60" s="98" t="n"/>
      <c r="AI60" s="98" t="n"/>
      <c r="AJ60" s="98" t="n"/>
      <c r="AK60" s="98" t="n"/>
      <c r="AL60" s="98" t="n"/>
      <c r="AM60" s="98" t="n"/>
      <c r="AN60" s="98" t="n"/>
      <c r="AO60" s="98" t="n"/>
      <c r="AP60" s="98" t="n"/>
      <c r="AQ60" s="98" t="n"/>
      <c r="AR60" s="98" t="n"/>
      <c r="AS60" s="98" t="n"/>
      <c r="AT60" s="98" t="n"/>
      <c r="AU60" s="64" t="n"/>
      <c r="AV60" s="64" t="n"/>
      <c r="AW60" s="64" t="n"/>
      <c r="AX60" s="64" t="n"/>
      <c r="AY60" s="64" t="n"/>
      <c r="AZ60" s="64" t="n"/>
      <c r="BA60" s="64" t="n"/>
      <c r="BB60" s="64" t="n"/>
      <c r="BC60" s="64" t="n"/>
      <c r="BD60" s="64" t="n"/>
      <c r="BE60" s="64" t="n"/>
      <c r="BF60" s="64" t="n"/>
      <c r="BG60" s="64" t="n"/>
      <c r="BH60" s="64" t="n"/>
    </row>
  </sheetData>
  <mergeCells count="50">
    <mergeCell ref="C29:E29"/>
    <mergeCell ref="A3:AT3"/>
    <mergeCell ref="AJ56:AT56"/>
    <mergeCell ref="P55:AF55"/>
    <mergeCell ref="A24:K24"/>
    <mergeCell ref="A5:AE5"/>
    <mergeCell ref="E12:AN20"/>
    <mergeCell ref="A2:AT2"/>
    <mergeCell ref="P26:AF26"/>
    <mergeCell ref="C59:E59"/>
    <mergeCell ref="A33:AT33"/>
    <mergeCell ref="P25:AF25"/>
    <mergeCell ref="AJ27:AT27"/>
    <mergeCell ref="A32:AT32"/>
    <mergeCell ref="A35:AE35"/>
    <mergeCell ref="C60:E60"/>
    <mergeCell ref="A22:AT22"/>
    <mergeCell ref="A4:AT4"/>
    <mergeCell ref="A54:K54"/>
    <mergeCell ref="A25:K25"/>
    <mergeCell ref="AL5:AN5"/>
    <mergeCell ref="P56:AF56"/>
    <mergeCell ref="E42:AN50"/>
    <mergeCell ref="A52:AT52"/>
    <mergeCell ref="AJ54:AT54"/>
    <mergeCell ref="A56:K56"/>
    <mergeCell ref="AE23:AO23"/>
    <mergeCell ref="A27:K27"/>
    <mergeCell ref="AL35:AN35"/>
    <mergeCell ref="A31:AT31"/>
    <mergeCell ref="AJ57:AT57"/>
    <mergeCell ref="P27:AF27"/>
    <mergeCell ref="A34:AT34"/>
    <mergeCell ref="A9:AT9"/>
    <mergeCell ref="A26:K26"/>
    <mergeCell ref="A55:K55"/>
    <mergeCell ref="AO35:AS35"/>
    <mergeCell ref="A39:AT39"/>
    <mergeCell ref="A57:K57"/>
    <mergeCell ref="AO5:AS5"/>
    <mergeCell ref="S24:AC24"/>
    <mergeCell ref="AJ24:AT24"/>
    <mergeCell ref="C30:E30"/>
    <mergeCell ref="AE53:AO53"/>
    <mergeCell ref="A1:AT1"/>
    <mergeCell ref="P57:AF57"/>
    <mergeCell ref="AJ55:AT55"/>
    <mergeCell ref="AJ26:AT26"/>
    <mergeCell ref="AJ25:AT25"/>
    <mergeCell ref="S54:AC54"/>
  </mergeCells>
  <pageMargins left="0.7" right="0.7" top="0.75" bottom="0.75" header="0.3" footer="0.3"/>
</worksheet>
</file>

<file path=xl/worksheets/sheet12.xml><?xml version="1.0" encoding="utf-8"?>
<worksheet xmlns="http://schemas.openxmlformats.org/spreadsheetml/2006/main">
  <sheetPr>
    <outlinePr summaryBelow="0"/>
    <pageSetUpPr/>
  </sheetPr>
  <dimension ref="A1:L142"/>
  <sheetViews>
    <sheetView workbookViewId="0">
      <selection activeCell="A1" sqref="A1"/>
    </sheetView>
  </sheetViews>
  <sheetFormatPr baseColWidth="8" defaultRowHeight="15"/>
  <cols>
    <col width="6.719285714285714" bestFit="1" customWidth="1" style="64" min="1" max="1"/>
    <col width="14.005" bestFit="1" customWidth="1" style="64" min="2" max="2"/>
    <col width="11.57642857142857" bestFit="1" customWidth="1" style="136" min="3" max="3"/>
    <col width="14.005" bestFit="1" customWidth="1" style="136" min="4" max="4"/>
    <col width="12.86214285714286" bestFit="1" customWidth="1" style="136" min="5" max="5"/>
    <col width="11.43357142857143" bestFit="1" customWidth="1" style="64" min="6" max="6"/>
    <col width="5.576428571428571" bestFit="1" customWidth="1" style="136" min="7" max="7"/>
    <col width="12.005" bestFit="1" customWidth="1" style="64" min="8" max="8"/>
    <col width="14.005" bestFit="1" customWidth="1" style="64" min="9" max="9"/>
    <col width="17.14785714285714" bestFit="1" customWidth="1" style="748" min="10" max="10"/>
    <col width="8.862142857142858" bestFit="1" customWidth="1" style="64" min="11" max="11"/>
    <col width="13.57642857142857" bestFit="1" customWidth="1" style="64" min="12" max="12"/>
  </cols>
  <sheetData>
    <row r="1" ht="23.25" customHeight="1">
      <c r="A1" s="64" t="n"/>
      <c r="B1" s="118" t="n"/>
      <c r="C1" s="119" t="n"/>
      <c r="D1" s="119" t="n"/>
      <c r="E1" s="119" t="n"/>
      <c r="F1" s="118" t="n"/>
      <c r="G1" s="119" t="n"/>
      <c r="H1" s="118" t="n"/>
      <c r="I1" s="118" t="n"/>
      <c r="J1" s="689" t="n"/>
      <c r="K1" s="118" t="n"/>
      <c r="L1" s="9" t="n"/>
    </row>
    <row r="2" ht="25.5" customHeight="1">
      <c r="A2" s="64" t="n"/>
      <c r="B2" s="120" t="n"/>
      <c r="C2" s="121" t="n"/>
      <c r="D2" s="121" t="n"/>
      <c r="E2" s="121" t="n"/>
      <c r="F2" s="120" t="n"/>
      <c r="G2" s="121" t="n"/>
      <c r="H2" s="120" t="n"/>
      <c r="I2" s="120" t="n"/>
      <c r="J2" s="690" t="inlineStr">
        <is>
          <t>cwikó - ÒকÓ</t>
        </is>
      </c>
      <c r="L2" s="9" t="n"/>
    </row>
    <row r="3" ht="19.5" customHeight="1">
      <c r="A3" s="64" t="n"/>
      <c r="B3" s="120" t="n"/>
      <c r="C3" s="121" t="n"/>
      <c r="D3" s="121" t="n"/>
      <c r="E3" s="121" t="n"/>
      <c r="F3" s="120" t="n"/>
      <c r="G3" s="121" t="n"/>
      <c r="H3" s="120" t="n"/>
      <c r="I3" s="120" t="n"/>
      <c r="J3" s="690" t="n"/>
      <c r="K3" s="9" t="n"/>
      <c r="L3" s="9" t="n"/>
    </row>
    <row r="4" ht="25.5" customHeight="1">
      <c r="A4" s="64" t="n"/>
      <c r="B4" s="693">
        <f>'Data Input'!D8&amp;" Gi ‡cÖvcvBUi "&amp;'Data Input'!D12&amp;" Gi "&amp;'LF-5'!Y6</f>
        <v/>
      </c>
      <c r="L4" s="9" t="n"/>
    </row>
    <row r="5" ht="31.5" customHeight="1">
      <c r="A5" s="64" t="n"/>
      <c r="B5" s="695" t="inlineStr">
        <is>
          <t>Gi wecix‡Z M„nxZ RvgvbwZ m¤úwËi gvwjKvbv/¯^Ë¡ m¤úK©xq gšÍe¨ t-</t>
        </is>
      </c>
      <c r="L5" s="698" t="n"/>
    </row>
    <row r="6" ht="22.5" customHeight="1">
      <c r="A6" s="64" t="n"/>
      <c r="B6" s="64" t="n"/>
      <c r="C6" s="136" t="n"/>
      <c r="D6" s="136" t="n"/>
      <c r="E6" s="136" t="n"/>
      <c r="F6" s="64" t="n"/>
      <c r="G6" s="136" t="n"/>
      <c r="H6" s="64" t="n"/>
      <c r="I6" s="64" t="n"/>
      <c r="J6" s="748" t="n"/>
      <c r="K6" s="64" t="n"/>
      <c r="L6" s="698" t="n"/>
    </row>
    <row r="7" ht="21.75" customHeight="1">
      <c r="A7" s="64" t="n"/>
      <c r="B7" s="1648" t="n"/>
      <c r="C7" s="701" t="n"/>
      <c r="D7" s="701" t="n"/>
      <c r="E7" s="701" t="n"/>
      <c r="F7" s="1648" t="n"/>
      <c r="G7" s="701" t="n"/>
      <c r="H7" s="1648" t="n"/>
      <c r="I7" s="1648" t="n"/>
      <c r="J7" s="702" t="n"/>
      <c r="K7" s="1648" t="n"/>
      <c r="L7" s="698" t="n"/>
    </row>
    <row r="8" ht="31.5" customHeight="1">
      <c r="A8" s="64" t="n"/>
      <c r="B8" s="703" t="inlineStr">
        <is>
          <t>cÖ¯ÍvweZ eÜKx Rwgi 25 eQ‡ii gvwjKvbvi avivµg</t>
        </is>
      </c>
      <c r="L8" s="698" t="n"/>
    </row>
    <row r="9" ht="31.5" customHeight="1">
      <c r="A9" s="64" t="n"/>
      <c r="B9" s="706" t="inlineStr">
        <is>
          <t>Zdwmj</t>
        </is>
      </c>
      <c r="C9" s="707" t="n"/>
      <c r="D9" s="707" t="n"/>
      <c r="E9" s="707" t="n"/>
      <c r="F9" s="708" t="n"/>
      <c r="G9" s="707" t="n"/>
      <c r="H9" s="708" t="n"/>
      <c r="I9" s="708" t="n"/>
      <c r="J9" s="709" t="n"/>
      <c r="K9" s="708" t="n"/>
      <c r="L9" s="698" t="n"/>
    </row>
    <row r="10" ht="31.5" customHeight="1">
      <c r="A10" s="64" t="n"/>
      <c r="B10" s="710" t="inlineStr">
        <is>
          <t>_vbv</t>
        </is>
      </c>
      <c r="C10" s="504" t="inlineStr">
        <is>
          <t>‡gŠRv/MÖvg</t>
        </is>
      </c>
      <c r="D10" s="506" t="inlineStr">
        <is>
          <t>LwZqvb bs</t>
        </is>
      </c>
      <c r="E10" s="2614" t="n"/>
      <c r="F10" s="2617" t="n"/>
      <c r="G10" s="506" t="inlineStr">
        <is>
          <t>cøU bs</t>
        </is>
      </c>
      <c r="H10" s="2614" t="n"/>
      <c r="I10" s="2617" t="n"/>
      <c r="J10" s="714" t="inlineStr">
        <is>
          <t>AvqZb (GKi)</t>
        </is>
      </c>
      <c r="K10" s="708" t="n"/>
      <c r="L10" s="698" t="n"/>
    </row>
    <row r="11" ht="31.5" customHeight="1">
      <c r="A11" s="64" t="n"/>
      <c r="B11" s="2618" t="n"/>
      <c r="C11" s="2618" t="n"/>
      <c r="D11" s="506" t="inlineStr">
        <is>
          <t>LvwiRv</t>
        </is>
      </c>
      <c r="E11" s="506" t="inlineStr">
        <is>
          <t>Gm G</t>
        </is>
      </c>
      <c r="F11" s="505" t="inlineStr">
        <is>
          <t>Avi Gm</t>
        </is>
      </c>
      <c r="G11" s="506" t="inlineStr">
        <is>
          <t>Gm G</t>
        </is>
      </c>
      <c r="H11" s="2617" t="n"/>
      <c r="I11" s="505" t="inlineStr">
        <is>
          <t>Avi Gm</t>
        </is>
      </c>
      <c r="J11" s="2618" t="n"/>
      <c r="K11" s="708" t="n"/>
      <c r="L11" s="698" t="n"/>
    </row>
    <row r="12" ht="31.5" customHeight="1">
      <c r="A12" s="64" t="n"/>
      <c r="B12" s="716">
        <f>'Data Input'!K2</f>
        <v/>
      </c>
      <c r="C12" s="717">
        <f>'Data Input'!J4</f>
        <v/>
      </c>
      <c r="D12" s="511" t="n">
        <v>5226</v>
      </c>
      <c r="E12" s="718" t="n">
        <v>161</v>
      </c>
      <c r="F12" s="719" t="inlineStr">
        <is>
          <t>101, 222</t>
        </is>
      </c>
      <c r="G12" s="718" t="n">
        <v>80</v>
      </c>
      <c r="H12" s="2617" t="n"/>
      <c r="I12" s="719" t="inlineStr">
        <is>
          <t>23, 226</t>
        </is>
      </c>
      <c r="J12" s="722">
        <f>'LF-5'!S17</f>
        <v/>
      </c>
      <c r="K12" s="708" t="n"/>
      <c r="L12" s="698" t="n"/>
    </row>
    <row r="13" ht="31.5" customHeight="1">
      <c r="A13" s="64" t="n"/>
      <c r="B13" s="716" t="n"/>
      <c r="C13" s="723" t="n"/>
      <c r="D13" s="511" t="n"/>
      <c r="E13" s="718" t="n"/>
      <c r="F13" s="719" t="n"/>
      <c r="G13" s="718" t="n"/>
      <c r="H13" s="2617" t="n"/>
      <c r="I13" s="719" t="n"/>
      <c r="J13" s="722">
        <f>'LF-5'!S20</f>
        <v/>
      </c>
      <c r="K13" s="708" t="n"/>
      <c r="L13" s="698" t="n"/>
    </row>
    <row r="14" ht="31.5" customHeight="1">
      <c r="A14" s="64" t="n"/>
      <c r="B14" s="724" t="inlineStr">
        <is>
          <t>‡gvU</t>
        </is>
      </c>
      <c r="C14" s="2614" t="n"/>
      <c r="D14" s="2614" t="n"/>
      <c r="E14" s="2614" t="n"/>
      <c r="F14" s="2614" t="n"/>
      <c r="G14" s="2614" t="n"/>
      <c r="H14" s="2614" t="n"/>
      <c r="I14" s="2617" t="n"/>
      <c r="J14" s="715">
        <f>J12+J13</f>
        <v/>
      </c>
      <c r="K14" s="708" t="n"/>
      <c r="L14" s="698" t="n"/>
    </row>
    <row r="15" ht="31.5" customHeight="1">
      <c r="A15" s="64" t="n"/>
      <c r="B15" s="708" t="n"/>
      <c r="C15" s="707" t="n"/>
      <c r="D15" s="707" t="n"/>
      <c r="E15" s="707" t="n"/>
      <c r="F15" s="708" t="n"/>
      <c r="G15" s="707" t="n"/>
      <c r="H15" s="708" t="n"/>
      <c r="I15" s="708" t="n"/>
      <c r="J15" s="709" t="n"/>
      <c r="K15" s="708" t="n"/>
      <c r="L15" s="698" t="n"/>
    </row>
    <row r="16" ht="46.5" customHeight="1">
      <c r="A16" s="64" t="n"/>
      <c r="B16" s="726" t="inlineStr">
        <is>
          <t>gvwjK : ‡gvt Avmjvg †ecvix Gi mvd Kejv `wjj bs t 10282 I 3953, ZvwiL t 13/12/2022 I 09/05/2023 Gi gvwjKvbvi avivevwnKZv</t>
        </is>
      </c>
      <c r="L16" s="698" t="n"/>
    </row>
    <row r="17" ht="18.75" customHeight="1">
      <c r="A17" s="64" t="n"/>
      <c r="B17" s="708" t="n"/>
      <c r="C17" s="707" t="n"/>
      <c r="D17" s="707" t="n"/>
      <c r="E17" s="707" t="n"/>
      <c r="F17" s="708" t="n"/>
      <c r="G17" s="707" t="n"/>
      <c r="H17" s="708" t="n"/>
      <c r="I17" s="708" t="n"/>
      <c r="J17" s="709" t="n"/>
      <c r="K17" s="708" t="n"/>
      <c r="L17" s="698" t="n"/>
    </row>
    <row r="18" ht="391.5" customHeight="1">
      <c r="A18" s="64" t="n"/>
      <c r="B18" s="729">
        <f>+'Data Input'!B32</f>
        <v/>
      </c>
      <c r="L18" s="698" t="n"/>
    </row>
    <row r="19" ht="391.5" customHeight="1">
      <c r="A19" s="64" t="n"/>
      <c r="L19" s="698" t="n"/>
    </row>
    <row r="20" ht="409.5" customHeight="1">
      <c r="A20" s="64" t="n"/>
      <c r="L20" s="698" t="n"/>
    </row>
    <row r="21" ht="9" customHeight="1">
      <c r="A21" s="64" t="n"/>
      <c r="B21" s="733" t="n"/>
      <c r="C21" s="730" t="n"/>
      <c r="D21" s="730" t="n"/>
      <c r="E21" s="730" t="n"/>
      <c r="F21" s="733" t="n"/>
      <c r="G21" s="730" t="n"/>
      <c r="H21" s="733" t="n"/>
      <c r="I21" s="733" t="n"/>
      <c r="J21" s="732" t="n"/>
      <c r="K21" s="733" t="n"/>
      <c r="L21" s="698" t="n"/>
    </row>
    <row r="22" ht="23.25" customHeight="1">
      <c r="A22" s="64" t="n"/>
      <c r="B22" s="733">
        <f>"‡PŠnÏx t "&amp;'Data Input'!J51&amp;""&amp;'Data Input'!K51&amp;""&amp;'Data Input'!J52&amp;""&amp;'Data Input'!K52&amp;""&amp;'Data Input'!J53&amp;""&amp;'Data Input'!K53&amp;""&amp;'Data Input'!J54&amp;""&amp;'Data Input'!K54</f>
        <v/>
      </c>
      <c r="L22" s="698" t="n"/>
    </row>
    <row r="23" ht="6.75" customHeight="1">
      <c r="A23" s="64" t="n"/>
      <c r="B23" s="64" t="n"/>
      <c r="C23" s="136" t="n"/>
      <c r="D23" s="136" t="n"/>
      <c r="E23" s="136" t="n"/>
      <c r="F23" s="64" t="n"/>
      <c r="G23" s="136" t="n"/>
      <c r="H23" s="64" t="n"/>
      <c r="I23" s="64" t="n"/>
      <c r="J23" s="748" t="n"/>
      <c r="K23" s="64" t="n"/>
      <c r="L23" s="64" t="n"/>
    </row>
    <row r="24" ht="19.5" customHeight="1">
      <c r="A24" s="64" t="n"/>
      <c r="B24" s="736">
        <f>"cÖ¯ÍvweZ "&amp;'Data Input'!J4&amp;" ‡gŠRvi "&amp;'Data Input'!N48&amp;" GKi Rwg RvgvbwZ m¤úwË wnmv‡e MÖnb Kiv hvq|"</f>
        <v/>
      </c>
      <c r="L24" s="219" t="n"/>
    </row>
    <row r="25" ht="22.5" customHeight="1">
      <c r="A25" s="64" t="n"/>
      <c r="B25" s="733" t="n"/>
      <c r="C25" s="730" t="n"/>
      <c r="D25" s="730" t="n"/>
      <c r="E25" s="730" t="n"/>
      <c r="F25" s="733" t="n"/>
      <c r="G25" s="730" t="n"/>
      <c r="H25" s="733" t="n"/>
      <c r="I25" s="733" t="n"/>
      <c r="J25" s="732" t="n"/>
      <c r="K25" s="733" t="n"/>
      <c r="L25" s="219" t="n"/>
    </row>
    <row r="26" ht="35.25" customHeight="1">
      <c r="A26" s="64" t="n"/>
      <c r="B26" s="733" t="n"/>
      <c r="C26" s="730" t="n"/>
      <c r="D26" s="730" t="n"/>
      <c r="E26" s="730" t="n"/>
      <c r="F26" s="733" t="n"/>
      <c r="G26" s="730" t="n"/>
      <c r="H26" s="733" t="n"/>
      <c r="I26" s="733" t="n"/>
      <c r="J26" s="732" t="n"/>
      <c r="K26" s="733" t="n"/>
      <c r="L26" s="219" t="n"/>
    </row>
    <row r="27" ht="71.25" customHeight="1">
      <c r="A27" s="64" t="n"/>
      <c r="B27" s="733" t="n"/>
      <c r="C27" s="730" t="n"/>
      <c r="D27" s="730" t="n"/>
      <c r="E27" s="730" t="n"/>
      <c r="F27" s="733" t="n"/>
      <c r="G27" s="730" t="n"/>
      <c r="H27" s="733" t="n"/>
      <c r="I27" s="733" t="n"/>
      <c r="J27" s="732" t="n"/>
      <c r="K27" s="733" t="n"/>
      <c r="L27" s="219" t="n"/>
    </row>
    <row r="28" ht="71.25" customHeight="1">
      <c r="A28" s="64" t="n"/>
      <c r="B28" s="733" t="n"/>
      <c r="C28" s="730" t="n"/>
      <c r="D28" s="730" t="n"/>
      <c r="E28" s="730" t="n"/>
      <c r="F28" s="733" t="n"/>
      <c r="G28" s="730" t="n"/>
      <c r="H28" s="733" t="n"/>
      <c r="I28" s="733" t="n"/>
      <c r="J28" s="732" t="n"/>
      <c r="K28" s="733" t="n"/>
      <c r="L28" s="219" t="n"/>
    </row>
    <row r="29" ht="71.25" customHeight="1">
      <c r="A29" s="64" t="n"/>
      <c r="B29" s="733" t="n"/>
      <c r="C29" s="730" t="n"/>
      <c r="D29" s="730" t="n"/>
      <c r="E29" s="730" t="n"/>
      <c r="F29" s="733" t="n"/>
      <c r="G29" s="730" t="n"/>
      <c r="H29" s="733" t="n"/>
      <c r="I29" s="733" t="n"/>
      <c r="J29" s="732" t="n"/>
      <c r="K29" s="733" t="n"/>
      <c r="L29" s="219" t="n"/>
    </row>
    <row r="30" ht="34.5" customHeight="1">
      <c r="A30" s="64" t="n"/>
      <c r="B30" s="64" t="n"/>
      <c r="C30" s="136" t="n"/>
      <c r="D30" s="136" t="n"/>
      <c r="E30" s="136" t="n"/>
      <c r="F30" s="64" t="n"/>
      <c r="G30" s="136" t="n"/>
      <c r="H30" s="64" t="n"/>
      <c r="I30" s="64" t="n"/>
      <c r="J30" s="748" t="n"/>
      <c r="K30" s="64" t="n"/>
      <c r="L30" s="64" t="n"/>
    </row>
    <row r="31" ht="15.75" customFormat="1" customHeight="1" s="18">
      <c r="A31" s="738" t="inlineStr">
        <is>
          <t>D‡`¨v³vi ¯^vÿi</t>
        </is>
      </c>
      <c r="B31" s="2624" t="n"/>
      <c r="C31" s="2624" t="n"/>
      <c r="D31" s="225" t="n"/>
      <c r="E31" s="740" t="inlineStr">
        <is>
          <t xml:space="preserve"> Kg©KZ©v</t>
        </is>
      </c>
      <c r="F31" s="2624" t="n"/>
      <c r="G31" s="2624" t="n"/>
      <c r="H31" s="2624" t="n"/>
      <c r="I31" s="399" t="n"/>
      <c r="J31" s="742" t="inlineStr">
        <is>
          <t>e¨e¯’vcK</t>
        </is>
      </c>
      <c r="K31" s="2624" t="n"/>
      <c r="L31" s="199" t="n"/>
    </row>
    <row r="32" ht="29.25" customHeight="1">
      <c r="A32" s="744">
        <f>+'Data Input'!D8</f>
        <v/>
      </c>
      <c r="D32" s="746" t="n"/>
      <c r="E32" s="745">
        <f>+#REF!</f>
        <v/>
      </c>
      <c r="I32" s="239" t="n"/>
      <c r="J32" s="747">
        <f>+E32</f>
        <v/>
      </c>
      <c r="L32" s="64" t="n"/>
    </row>
    <row r="33" ht="19.5" customHeight="1">
      <c r="A33" s="98" t="n"/>
      <c r="D33" s="136" t="n"/>
      <c r="E33" s="745">
        <f>+'Data Input'!D2</f>
        <v/>
      </c>
      <c r="I33" s="239" t="n"/>
      <c r="J33" s="747">
        <f>+E33</f>
        <v/>
      </c>
      <c r="L33" s="64" t="n"/>
    </row>
    <row r="34" ht="19.5" customHeight="1">
      <c r="A34" s="64" t="n"/>
      <c r="B34" s="64" t="n"/>
      <c r="C34" s="136" t="n"/>
      <c r="D34" s="136" t="n"/>
      <c r="E34" s="136" t="n"/>
      <c r="F34" s="64" t="n"/>
      <c r="G34" s="136" t="n"/>
      <c r="H34" s="64" t="n"/>
      <c r="I34" s="64" t="n"/>
      <c r="J34" s="748" t="n"/>
      <c r="K34" s="64" t="n"/>
      <c r="L34" s="64" t="n"/>
    </row>
    <row r="35" ht="19.5" customHeight="1">
      <c r="A35" s="64" t="n"/>
      <c r="B35" s="64" t="n"/>
      <c r="C35" s="136" t="n"/>
      <c r="D35" s="136" t="n"/>
      <c r="E35" s="136" t="n"/>
      <c r="F35" s="64" t="n"/>
      <c r="G35" s="136" t="n"/>
      <c r="H35" s="64" t="n"/>
      <c r="I35" s="64" t="n"/>
      <c r="J35" s="748" t="n"/>
      <c r="K35" s="64" t="n"/>
      <c r="L35" s="64" t="n"/>
    </row>
    <row r="36" ht="19.5" customHeight="1">
      <c r="A36" s="64" t="n"/>
      <c r="B36" s="64" t="n"/>
      <c r="C36" s="136" t="n"/>
      <c r="D36" s="136" t="n"/>
      <c r="E36" s="136" t="n"/>
      <c r="F36" s="64" t="n"/>
      <c r="G36" s="136" t="n"/>
      <c r="H36" s="64" t="n"/>
      <c r="I36" s="64" t="n"/>
      <c r="J36" s="748" t="n"/>
      <c r="K36" s="64" t="n"/>
      <c r="L36" s="64" t="n"/>
    </row>
    <row r="37" ht="19.5" customHeight="1">
      <c r="A37" s="64" t="n"/>
      <c r="B37" s="64" t="n"/>
      <c r="C37" s="136" t="n"/>
      <c r="D37" s="136" t="n"/>
      <c r="E37" s="136" t="n"/>
      <c r="F37" s="64" t="n"/>
      <c r="G37" s="136" t="n"/>
      <c r="H37" s="64" t="n"/>
      <c r="I37" s="64" t="n"/>
      <c r="J37" s="748" t="n"/>
      <c r="K37" s="64" t="n"/>
      <c r="L37" s="64" t="n"/>
    </row>
    <row r="38" ht="19.5" customHeight="1">
      <c r="A38" s="64" t="n"/>
      <c r="B38" s="64" t="n"/>
      <c r="C38" s="136" t="n"/>
      <c r="D38" s="136" t="n"/>
      <c r="E38" s="136" t="n"/>
      <c r="F38" s="64" t="n"/>
      <c r="G38" s="136" t="n"/>
      <c r="H38" s="64" t="n"/>
      <c r="I38" s="64" t="n"/>
      <c r="J38" s="748" t="n"/>
      <c r="K38" s="64" t="n"/>
      <c r="L38" s="64" t="n"/>
    </row>
    <row r="39" ht="19.5" customHeight="1">
      <c r="A39" s="64" t="n"/>
      <c r="B39" s="64" t="n"/>
      <c r="C39" s="136" t="n"/>
      <c r="D39" s="136" t="n"/>
      <c r="E39" s="136" t="n"/>
      <c r="F39" s="64" t="n"/>
      <c r="G39" s="136" t="n"/>
      <c r="H39" s="64" t="n"/>
      <c r="I39" s="64" t="n"/>
      <c r="J39" s="748" t="n"/>
      <c r="K39" s="64" t="n"/>
      <c r="L39" s="64" t="n"/>
    </row>
    <row r="40" ht="19.5" customHeight="1">
      <c r="A40" s="64" t="n"/>
      <c r="B40" s="64" t="n"/>
      <c r="C40" s="136" t="n"/>
      <c r="D40" s="136" t="n"/>
      <c r="E40" s="136" t="n"/>
      <c r="F40" s="64" t="n"/>
      <c r="G40" s="136" t="n"/>
      <c r="H40" s="64" t="n"/>
      <c r="I40" s="64" t="n"/>
      <c r="J40" s="748" t="n"/>
      <c r="K40" s="64" t="n"/>
      <c r="L40" s="64" t="n"/>
    </row>
    <row r="41" ht="19.5" customHeight="1">
      <c r="A41" s="64" t="n"/>
      <c r="B41" s="64" t="n"/>
      <c r="C41" s="136" t="n"/>
      <c r="D41" s="136" t="n"/>
      <c r="E41" s="136" t="n"/>
      <c r="F41" s="64" t="n"/>
      <c r="G41" s="136" t="n"/>
      <c r="H41" s="64" t="n"/>
      <c r="I41" s="64" t="n"/>
      <c r="J41" s="748" t="n"/>
      <c r="K41" s="64" t="n"/>
      <c r="L41" s="64" t="n"/>
    </row>
    <row r="42" ht="19.5" customHeight="1">
      <c r="A42" s="64" t="n"/>
      <c r="B42" s="64" t="n"/>
      <c r="C42" s="136" t="n"/>
      <c r="D42" s="136" t="n"/>
      <c r="E42" s="136" t="n"/>
      <c r="F42" s="64" t="n"/>
      <c r="G42" s="136" t="n"/>
      <c r="H42" s="64" t="n"/>
      <c r="I42" s="64" t="n"/>
      <c r="J42" s="748" t="n"/>
      <c r="K42" s="64" t="n"/>
      <c r="L42" s="64" t="n"/>
    </row>
    <row r="43" ht="19.5" customHeight="1">
      <c r="A43" s="64" t="n"/>
      <c r="B43" s="64" t="n"/>
      <c r="C43" s="136" t="n"/>
      <c r="D43" s="136" t="n"/>
      <c r="E43" s="136" t="n"/>
      <c r="F43" s="64" t="n"/>
      <c r="G43" s="136" t="n"/>
      <c r="H43" s="64" t="n"/>
      <c r="I43" s="64" t="n"/>
      <c r="J43" s="748" t="n"/>
      <c r="K43" s="64" t="n"/>
      <c r="L43" s="64" t="n"/>
    </row>
    <row r="44" ht="19.5" customHeight="1">
      <c r="A44" s="64" t="n"/>
      <c r="B44" s="64" t="n"/>
      <c r="C44" s="136" t="n"/>
      <c r="D44" s="136" t="n"/>
      <c r="E44" s="136" t="n"/>
      <c r="F44" s="64" t="n"/>
      <c r="G44" s="136" t="n"/>
      <c r="H44" s="64" t="n"/>
      <c r="I44" s="64" t="n"/>
      <c r="J44" s="748" t="n"/>
      <c r="K44" s="64" t="n"/>
      <c r="L44" s="64" t="n"/>
    </row>
    <row r="45" ht="19.5" customHeight="1">
      <c r="A45" s="64" t="n"/>
      <c r="B45" s="64" t="n"/>
      <c r="C45" s="136" t="n"/>
      <c r="D45" s="136" t="n"/>
      <c r="E45" s="136" t="n"/>
      <c r="F45" s="64" t="n"/>
      <c r="G45" s="136" t="n"/>
      <c r="H45" s="64" t="n"/>
      <c r="I45" s="64" t="n"/>
      <c r="J45" s="748" t="n"/>
      <c r="K45" s="64" t="n"/>
      <c r="L45" s="64" t="n"/>
    </row>
    <row r="46" ht="19.5" customHeight="1">
      <c r="A46" s="64" t="n"/>
      <c r="B46" s="64" t="n"/>
      <c r="C46" s="136" t="n"/>
      <c r="D46" s="136" t="n"/>
      <c r="E46" s="136" t="n"/>
      <c r="F46" s="64" t="n"/>
      <c r="G46" s="136" t="n"/>
      <c r="H46" s="64" t="n"/>
      <c r="I46" s="64" t="n"/>
      <c r="J46" s="748" t="n"/>
      <c r="K46" s="64" t="n"/>
      <c r="L46" s="64" t="n"/>
    </row>
    <row r="47" ht="19.5" customHeight="1">
      <c r="A47" s="64" t="n"/>
      <c r="B47" s="64" t="n"/>
      <c r="C47" s="136" t="n"/>
      <c r="D47" s="136" t="n"/>
      <c r="E47" s="136" t="n"/>
      <c r="F47" s="64" t="n"/>
      <c r="G47" s="136" t="n"/>
      <c r="H47" s="64" t="n"/>
      <c r="I47" s="64" t="n"/>
      <c r="J47" s="748" t="n"/>
      <c r="K47" s="64" t="n"/>
      <c r="L47" s="64" t="n"/>
    </row>
    <row r="48" ht="19.5" customHeight="1">
      <c r="A48" s="64" t="n"/>
      <c r="B48" s="64" t="n"/>
      <c r="C48" s="136" t="n"/>
      <c r="D48" s="136" t="n"/>
      <c r="E48" s="136" t="n"/>
      <c r="F48" s="64" t="n"/>
      <c r="G48" s="136" t="n"/>
      <c r="H48" s="64" t="n"/>
      <c r="I48" s="64" t="n"/>
      <c r="J48" s="748" t="n"/>
      <c r="K48" s="64" t="n"/>
      <c r="L48" s="64" t="n"/>
    </row>
    <row r="49" ht="19.5" customHeight="1">
      <c r="A49" s="64" t="n"/>
      <c r="B49" s="64" t="n"/>
      <c r="C49" s="136" t="n"/>
      <c r="D49" s="136" t="n"/>
      <c r="E49" s="136" t="n"/>
      <c r="F49" s="64" t="n"/>
      <c r="G49" s="136" t="n"/>
      <c r="H49" s="64" t="n"/>
      <c r="I49" s="64" t="n"/>
      <c r="J49" s="748" t="n"/>
      <c r="K49" s="64" t="n"/>
      <c r="L49" s="64" t="n"/>
    </row>
    <row r="50" ht="19.5" customHeight="1">
      <c r="A50" s="64" t="n"/>
      <c r="B50" s="64" t="n"/>
      <c r="C50" s="136" t="n"/>
      <c r="D50" s="136" t="n"/>
      <c r="E50" s="136" t="n"/>
      <c r="F50" s="64" t="n"/>
      <c r="G50" s="136" t="n"/>
      <c r="H50" s="64" t="n"/>
      <c r="I50" s="64" t="n"/>
      <c r="J50" s="748" t="n"/>
      <c r="K50" s="64" t="n"/>
      <c r="L50" s="64" t="n"/>
    </row>
    <row r="51" ht="19.5" customHeight="1">
      <c r="A51" s="64" t="n"/>
      <c r="B51" s="64" t="n"/>
      <c r="C51" s="136" t="n"/>
      <c r="D51" s="136" t="n"/>
      <c r="E51" s="136" t="n"/>
      <c r="F51" s="64" t="n"/>
      <c r="G51" s="136" t="n"/>
      <c r="H51" s="64" t="n"/>
      <c r="I51" s="64" t="n"/>
      <c r="J51" s="748" t="n"/>
      <c r="K51" s="64" t="n"/>
      <c r="L51" s="64" t="n"/>
    </row>
    <row r="52" ht="19.5" customHeight="1">
      <c r="A52" s="64" t="n"/>
      <c r="B52" s="64" t="n"/>
      <c r="C52" s="136" t="n"/>
      <c r="D52" s="136" t="n"/>
      <c r="E52" s="136" t="n"/>
      <c r="F52" s="64" t="n"/>
      <c r="G52" s="136" t="n"/>
      <c r="H52" s="64" t="n"/>
      <c r="I52" s="64" t="n"/>
      <c r="J52" s="748" t="n"/>
      <c r="K52" s="64" t="n"/>
      <c r="L52" s="64" t="n"/>
    </row>
    <row r="53" ht="19.5" customHeight="1">
      <c r="A53" s="64" t="n"/>
      <c r="B53" s="64" t="n"/>
      <c r="C53" s="136" t="n"/>
      <c r="D53" s="136" t="n"/>
      <c r="E53" s="136" t="n"/>
      <c r="F53" s="64" t="n"/>
      <c r="G53" s="136" t="n"/>
      <c r="H53" s="64" t="n"/>
      <c r="I53" s="64" t="n"/>
      <c r="J53" s="748" t="n"/>
      <c r="K53" s="64" t="n"/>
      <c r="L53" s="64" t="n"/>
    </row>
    <row r="54" ht="19.5" customHeight="1">
      <c r="A54" s="64" t="n"/>
      <c r="B54" s="64" t="n"/>
      <c r="C54" s="136" t="n"/>
      <c r="D54" s="136" t="n"/>
      <c r="E54" s="136" t="n"/>
      <c r="F54" s="64" t="n"/>
      <c r="G54" s="136" t="n"/>
      <c r="H54" s="64" t="n"/>
      <c r="I54" s="64" t="n"/>
      <c r="J54" s="748" t="n"/>
      <c r="K54" s="64" t="n"/>
      <c r="L54" s="64" t="n"/>
    </row>
    <row r="55" ht="19.5" customHeight="1">
      <c r="A55" s="64" t="n"/>
      <c r="B55" s="64" t="n"/>
      <c r="C55" s="136" t="n"/>
      <c r="D55" s="136" t="n"/>
      <c r="E55" s="136" t="n"/>
      <c r="F55" s="64" t="n"/>
      <c r="G55" s="136" t="n"/>
      <c r="H55" s="64" t="n"/>
      <c r="I55" s="64" t="n"/>
      <c r="J55" s="748" t="n"/>
      <c r="K55" s="64" t="n"/>
      <c r="L55" s="64" t="n"/>
    </row>
    <row r="56" ht="19.5" customHeight="1">
      <c r="A56" s="64" t="n"/>
      <c r="B56" s="64" t="n"/>
      <c r="C56" s="136" t="n"/>
      <c r="D56" s="136" t="n"/>
      <c r="E56" s="136" t="n"/>
      <c r="F56" s="64" t="n"/>
      <c r="G56" s="136" t="n"/>
      <c r="H56" s="64" t="n"/>
      <c r="I56" s="64" t="n"/>
      <c r="J56" s="748" t="n"/>
      <c r="K56" s="64" t="n"/>
      <c r="L56" s="64" t="n"/>
    </row>
    <row r="57" ht="19.5" customHeight="1">
      <c r="A57" s="64" t="n"/>
      <c r="B57" s="64" t="n"/>
      <c r="C57" s="136" t="n"/>
      <c r="D57" s="136" t="n"/>
      <c r="E57" s="136" t="n"/>
      <c r="F57" s="64" t="n"/>
      <c r="G57" s="136" t="n"/>
      <c r="H57" s="64" t="n"/>
      <c r="I57" s="64" t="n"/>
      <c r="J57" s="748" t="n"/>
      <c r="K57" s="64" t="n"/>
      <c r="L57" s="64" t="n"/>
    </row>
    <row r="58" ht="19.5" customHeight="1">
      <c r="A58" s="64" t="n"/>
      <c r="B58" s="64" t="n"/>
      <c r="C58" s="136" t="n"/>
      <c r="D58" s="136" t="n"/>
      <c r="E58" s="136" t="n"/>
      <c r="F58" s="64" t="n"/>
      <c r="G58" s="136" t="n"/>
      <c r="H58" s="64" t="n"/>
      <c r="I58" s="64" t="n"/>
      <c r="J58" s="748" t="n"/>
      <c r="K58" s="64" t="n"/>
      <c r="L58" s="64" t="n"/>
    </row>
    <row r="59" ht="19.5" customHeight="1">
      <c r="A59" s="64" t="n"/>
      <c r="B59" s="64" t="n"/>
      <c r="C59" s="136" t="n"/>
      <c r="D59" s="136" t="n"/>
      <c r="E59" s="136" t="n"/>
      <c r="F59" s="64" t="n"/>
      <c r="G59" s="136" t="n"/>
      <c r="H59" s="64" t="n"/>
      <c r="I59" s="64" t="n"/>
      <c r="J59" s="748" t="n"/>
      <c r="K59" s="64" t="n"/>
      <c r="L59" s="64" t="n"/>
    </row>
    <row r="60" ht="19.5" customHeight="1">
      <c r="A60" s="64" t="n"/>
      <c r="B60" s="64" t="n"/>
      <c r="C60" s="136" t="n"/>
      <c r="D60" s="136" t="n"/>
      <c r="E60" s="136" t="n"/>
      <c r="F60" s="64" t="n"/>
      <c r="G60" s="136" t="n"/>
      <c r="H60" s="64" t="n"/>
      <c r="I60" s="64" t="n"/>
      <c r="J60" s="748" t="n"/>
      <c r="K60" s="64" t="n"/>
      <c r="L60" s="64" t="n"/>
    </row>
    <row r="61" ht="19.5" customHeight="1">
      <c r="A61" s="64" t="n"/>
      <c r="B61" s="64" t="n"/>
      <c r="C61" s="136" t="n"/>
      <c r="D61" s="136" t="n"/>
      <c r="E61" s="136" t="n"/>
      <c r="F61" s="64" t="n"/>
      <c r="G61" s="136" t="n"/>
      <c r="H61" s="64" t="n"/>
      <c r="I61" s="64" t="n"/>
      <c r="J61" s="748" t="n"/>
      <c r="K61" s="64" t="n"/>
      <c r="L61" s="64" t="n"/>
    </row>
    <row r="62" ht="19.5" customHeight="1">
      <c r="A62" s="64" t="n"/>
      <c r="B62" s="64" t="n"/>
      <c r="C62" s="136" t="n"/>
      <c r="D62" s="136" t="n"/>
      <c r="E62" s="136" t="n"/>
      <c r="F62" s="64" t="n"/>
      <c r="G62" s="136" t="n"/>
      <c r="H62" s="64" t="n"/>
      <c r="I62" s="64" t="n"/>
      <c r="J62" s="748" t="n"/>
      <c r="K62" s="64" t="n"/>
      <c r="L62" s="64" t="n"/>
    </row>
    <row r="63" ht="19.5" customHeight="1">
      <c r="A63" s="64" t="n"/>
      <c r="B63" s="64" t="n"/>
      <c r="C63" s="136" t="n"/>
      <c r="D63" s="136" t="n"/>
      <c r="E63" s="136" t="n"/>
      <c r="F63" s="64" t="n"/>
      <c r="G63" s="136" t="n"/>
      <c r="H63" s="64" t="n"/>
      <c r="I63" s="64" t="n"/>
      <c r="J63" s="748" t="n"/>
      <c r="K63" s="64" t="n"/>
      <c r="L63" s="64" t="n"/>
    </row>
    <row r="64" ht="19.5" customHeight="1">
      <c r="A64" s="64" t="n"/>
      <c r="B64" s="64" t="n"/>
      <c r="C64" s="136" t="n"/>
      <c r="D64" s="136" t="n"/>
      <c r="E64" s="136" t="n"/>
      <c r="F64" s="64" t="n"/>
      <c r="G64" s="136" t="n"/>
      <c r="H64" s="64" t="n"/>
      <c r="I64" s="64" t="n"/>
      <c r="J64" s="748" t="n"/>
      <c r="K64" s="64" t="n"/>
      <c r="L64" s="64" t="n"/>
    </row>
    <row r="65" ht="19.5" customHeight="1">
      <c r="A65" s="64" t="n"/>
      <c r="B65" s="64" t="n"/>
      <c r="C65" s="136" t="n"/>
      <c r="D65" s="136" t="n"/>
      <c r="E65" s="136" t="n"/>
      <c r="F65" s="64" t="n"/>
      <c r="G65" s="136" t="n"/>
      <c r="H65" s="64" t="n"/>
      <c r="I65" s="64" t="n"/>
      <c r="J65" s="748" t="n"/>
      <c r="K65" s="64" t="n"/>
      <c r="L65" s="64" t="n"/>
    </row>
    <row r="66" ht="19.5" customHeight="1">
      <c r="A66" s="64" t="n"/>
      <c r="B66" s="64" t="n"/>
      <c r="C66" s="136" t="n"/>
      <c r="D66" s="136" t="n"/>
      <c r="E66" s="136" t="n"/>
      <c r="F66" s="64" t="n"/>
      <c r="G66" s="136" t="n"/>
      <c r="H66" s="64" t="n"/>
      <c r="I66" s="64" t="n"/>
      <c r="J66" s="748" t="n"/>
      <c r="K66" s="64" t="n"/>
      <c r="L66" s="64" t="n"/>
    </row>
    <row r="67" ht="19.5" customHeight="1">
      <c r="A67" s="64" t="n"/>
      <c r="B67" s="64" t="n"/>
      <c r="C67" s="136" t="n"/>
      <c r="D67" s="136" t="n"/>
      <c r="E67" s="136" t="n"/>
      <c r="F67" s="64" t="n"/>
      <c r="G67" s="136" t="n"/>
      <c r="H67" s="64" t="n"/>
      <c r="I67" s="64" t="n"/>
      <c r="J67" s="748" t="n"/>
      <c r="K67" s="64" t="n"/>
      <c r="L67" s="64" t="n"/>
    </row>
    <row r="68" ht="19.5" customHeight="1">
      <c r="A68" s="64" t="n"/>
      <c r="B68" s="64" t="n"/>
      <c r="C68" s="136" t="n"/>
      <c r="D68" s="136" t="n"/>
      <c r="E68" s="136" t="n"/>
      <c r="F68" s="64" t="n"/>
      <c r="G68" s="136" t="n"/>
      <c r="H68" s="64" t="n"/>
      <c r="I68" s="64" t="n"/>
      <c r="J68" s="748" t="n"/>
      <c r="K68" s="64" t="n"/>
      <c r="L68" s="64" t="n"/>
    </row>
    <row r="69" ht="19.5" customHeight="1">
      <c r="A69" s="64" t="n"/>
      <c r="B69" s="64" t="n"/>
      <c r="C69" s="136" t="n"/>
      <c r="D69" s="136" t="n"/>
      <c r="E69" s="136" t="n"/>
      <c r="F69" s="64" t="n"/>
      <c r="G69" s="136" t="n"/>
      <c r="H69" s="64" t="n"/>
      <c r="I69" s="64" t="n"/>
      <c r="J69" s="748" t="n"/>
      <c r="K69" s="64" t="n"/>
      <c r="L69" s="64" t="n"/>
    </row>
    <row r="70" ht="19.5" customHeight="1">
      <c r="A70" s="64" t="n"/>
      <c r="B70" s="64" t="n"/>
      <c r="C70" s="136" t="n"/>
      <c r="D70" s="136" t="n"/>
      <c r="E70" s="136" t="n"/>
      <c r="F70" s="64" t="n"/>
      <c r="G70" s="136" t="n"/>
      <c r="H70" s="64" t="n"/>
      <c r="I70" s="64" t="n"/>
      <c r="J70" s="748" t="n"/>
      <c r="K70" s="64" t="n"/>
      <c r="L70" s="64" t="n"/>
    </row>
    <row r="71" ht="19.5" customHeight="1">
      <c r="A71" s="64" t="n"/>
      <c r="B71" s="64" t="n"/>
      <c r="C71" s="136" t="n"/>
      <c r="D71" s="136" t="n"/>
      <c r="E71" s="136" t="n"/>
      <c r="F71" s="64" t="n"/>
      <c r="G71" s="136" t="n"/>
      <c r="H71" s="64" t="n"/>
      <c r="I71" s="64" t="n"/>
      <c r="J71" s="748" t="n"/>
      <c r="K71" s="64" t="n"/>
      <c r="L71" s="64" t="n"/>
    </row>
    <row r="72" ht="19.5" customHeight="1">
      <c r="A72" s="64" t="n"/>
      <c r="B72" s="64" t="n"/>
      <c r="C72" s="136" t="n"/>
      <c r="D72" s="136" t="n"/>
      <c r="E72" s="136" t="n"/>
      <c r="F72" s="64" t="n"/>
      <c r="G72" s="136" t="n"/>
      <c r="H72" s="64" t="n"/>
      <c r="I72" s="64" t="n"/>
      <c r="J72" s="748" t="n"/>
      <c r="K72" s="64" t="n"/>
      <c r="L72" s="64" t="n"/>
    </row>
    <row r="73" ht="19.5" customHeight="1">
      <c r="A73" s="64" t="n"/>
      <c r="B73" s="64" t="n"/>
      <c r="C73" s="136" t="n"/>
      <c r="D73" s="136" t="n"/>
      <c r="E73" s="136" t="n"/>
      <c r="F73" s="64" t="n"/>
      <c r="G73" s="136" t="n"/>
      <c r="H73" s="64" t="n"/>
      <c r="I73" s="64" t="n"/>
      <c r="J73" s="748" t="n"/>
      <c r="K73" s="64" t="n"/>
      <c r="L73" s="64" t="n"/>
    </row>
    <row r="74" ht="19.5" customHeight="1">
      <c r="A74" s="64" t="n"/>
      <c r="B74" s="64" t="n"/>
      <c r="C74" s="136" t="n"/>
      <c r="D74" s="136" t="n"/>
      <c r="E74" s="136" t="n"/>
      <c r="F74" s="64" t="n"/>
      <c r="G74" s="136" t="n"/>
      <c r="H74" s="64" t="n"/>
      <c r="I74" s="64" t="n"/>
      <c r="J74" s="748" t="n"/>
      <c r="K74" s="64" t="n"/>
      <c r="L74" s="64" t="n"/>
    </row>
    <row r="75" ht="19.5" customHeight="1">
      <c r="A75" s="64" t="n"/>
      <c r="B75" s="64" t="n"/>
      <c r="C75" s="136" t="n"/>
      <c r="D75" s="136" t="n"/>
      <c r="E75" s="136" t="n"/>
      <c r="F75" s="64" t="n"/>
      <c r="G75" s="136" t="n"/>
      <c r="H75" s="64" t="n"/>
      <c r="I75" s="64" t="n"/>
      <c r="J75" s="748" t="n"/>
      <c r="K75" s="64" t="n"/>
      <c r="L75" s="64" t="n"/>
    </row>
    <row r="76" ht="19.5" customHeight="1">
      <c r="A76" s="64" t="n"/>
      <c r="B76" s="64" t="n"/>
      <c r="C76" s="136" t="n"/>
      <c r="D76" s="136" t="n"/>
      <c r="E76" s="136" t="n"/>
      <c r="F76" s="64" t="n"/>
      <c r="G76" s="136" t="n"/>
      <c r="H76" s="64" t="n"/>
      <c r="I76" s="64" t="n"/>
      <c r="J76" s="748" t="n"/>
      <c r="K76" s="64" t="n"/>
      <c r="L76" s="64" t="n"/>
    </row>
    <row r="77" ht="19.5" customHeight="1">
      <c r="A77" s="64" t="n"/>
      <c r="B77" s="64" t="n"/>
      <c r="C77" s="136" t="n"/>
      <c r="D77" s="136" t="n"/>
      <c r="E77" s="136" t="n"/>
      <c r="F77" s="64" t="n"/>
      <c r="G77" s="136" t="n"/>
      <c r="H77" s="64" t="n"/>
      <c r="I77" s="64" t="n"/>
      <c r="J77" s="748" t="n"/>
      <c r="K77" s="64" t="n"/>
      <c r="L77" s="64" t="n"/>
    </row>
    <row r="78" ht="19.5" customHeight="1">
      <c r="A78" s="64" t="n"/>
      <c r="B78" s="64" t="n"/>
      <c r="C78" s="136" t="n"/>
      <c r="D78" s="136" t="n"/>
      <c r="E78" s="136" t="n"/>
      <c r="F78" s="64" t="n"/>
      <c r="G78" s="136" t="n"/>
      <c r="H78" s="64" t="n"/>
      <c r="I78" s="64" t="n"/>
      <c r="J78" s="748" t="n"/>
      <c r="K78" s="64" t="n"/>
      <c r="L78" s="64" t="n"/>
    </row>
    <row r="79" ht="19.5" customHeight="1">
      <c r="A79" s="64" t="n"/>
      <c r="B79" s="64" t="n"/>
      <c r="C79" s="136" t="n"/>
      <c r="D79" s="136" t="n"/>
      <c r="E79" s="136" t="n"/>
      <c r="F79" s="64" t="n"/>
      <c r="G79" s="136" t="n"/>
      <c r="H79" s="64" t="n"/>
      <c r="I79" s="64" t="n"/>
      <c r="J79" s="748" t="n"/>
      <c r="K79" s="64" t="n"/>
      <c r="L79" s="64" t="n"/>
    </row>
    <row r="80" ht="19.5" customHeight="1">
      <c r="A80" s="64" t="n"/>
      <c r="B80" s="64" t="n"/>
      <c r="C80" s="136" t="n"/>
      <c r="D80" s="136" t="n"/>
      <c r="E80" s="136" t="n"/>
      <c r="F80" s="64" t="n"/>
      <c r="G80" s="136" t="n"/>
      <c r="H80" s="64" t="n"/>
      <c r="I80" s="64" t="n"/>
      <c r="J80" s="748" t="n"/>
      <c r="K80" s="64" t="n"/>
      <c r="L80" s="64" t="n"/>
    </row>
    <row r="81" ht="19.5" customHeight="1">
      <c r="A81" s="64" t="n"/>
      <c r="B81" s="64" t="n"/>
      <c r="C81" s="136" t="n"/>
      <c r="D81" s="136" t="n"/>
      <c r="E81" s="136" t="n"/>
      <c r="F81" s="64" t="n"/>
      <c r="G81" s="136" t="n"/>
      <c r="H81" s="64" t="n"/>
      <c r="I81" s="64" t="n"/>
      <c r="J81" s="748" t="n"/>
      <c r="K81" s="64" t="n"/>
      <c r="L81" s="64" t="n"/>
    </row>
    <row r="82" ht="19.5" customHeight="1">
      <c r="A82" s="64" t="n"/>
      <c r="B82" s="64" t="n"/>
      <c r="C82" s="136" t="n"/>
      <c r="D82" s="136" t="n"/>
      <c r="E82" s="136" t="n"/>
      <c r="F82" s="64" t="n"/>
      <c r="G82" s="136" t="n"/>
      <c r="H82" s="64" t="n"/>
      <c r="I82" s="64" t="n"/>
      <c r="J82" s="748" t="n"/>
      <c r="K82" s="64" t="n"/>
      <c r="L82" s="64" t="n"/>
    </row>
    <row r="83" ht="19.5" customHeight="1">
      <c r="A83" s="64" t="n"/>
      <c r="B83" s="64" t="n"/>
      <c r="C83" s="136" t="n"/>
      <c r="D83" s="136" t="n"/>
      <c r="E83" s="136" t="n"/>
      <c r="F83" s="64" t="n"/>
      <c r="G83" s="136" t="n"/>
      <c r="H83" s="64" t="n"/>
      <c r="I83" s="64" t="n"/>
      <c r="J83" s="748" t="n"/>
      <c r="K83" s="64" t="n"/>
      <c r="L83" s="64" t="n"/>
    </row>
    <row r="84" ht="19.5" customHeight="1">
      <c r="A84" s="64" t="n"/>
      <c r="B84" s="64" t="n"/>
      <c r="C84" s="136" t="n"/>
      <c r="D84" s="136" t="n"/>
      <c r="E84" s="136" t="n"/>
      <c r="F84" s="64" t="n"/>
      <c r="G84" s="136" t="n"/>
      <c r="H84" s="64" t="n"/>
      <c r="I84" s="64" t="n"/>
      <c r="J84" s="748" t="n"/>
      <c r="K84" s="64" t="n"/>
      <c r="L84" s="64" t="n"/>
    </row>
    <row r="85" ht="19.5" customHeight="1">
      <c r="A85" s="64" t="n"/>
      <c r="B85" s="64" t="n"/>
      <c r="C85" s="136" t="n"/>
      <c r="D85" s="136" t="n"/>
      <c r="E85" s="136" t="n"/>
      <c r="F85" s="64" t="n"/>
      <c r="G85" s="136" t="n"/>
      <c r="H85" s="64" t="n"/>
      <c r="I85" s="64" t="n"/>
      <c r="J85" s="748" t="n"/>
      <c r="K85" s="64" t="n"/>
      <c r="L85" s="64" t="n"/>
    </row>
    <row r="86" ht="19.5" customHeight="1">
      <c r="A86" s="64" t="n"/>
      <c r="B86" s="64" t="n"/>
      <c r="C86" s="136" t="n"/>
      <c r="D86" s="136" t="n"/>
      <c r="E86" s="136" t="n"/>
      <c r="F86" s="64" t="n"/>
      <c r="G86" s="136" t="n"/>
      <c r="H86" s="64" t="n"/>
      <c r="I86" s="64" t="n"/>
      <c r="J86" s="748" t="n"/>
      <c r="K86" s="64" t="n"/>
      <c r="L86" s="64" t="n"/>
    </row>
    <row r="87" ht="19.5" customHeight="1">
      <c r="A87" s="64" t="n"/>
      <c r="B87" s="64" t="n"/>
      <c r="C87" s="136" t="n"/>
      <c r="D87" s="136" t="n"/>
      <c r="E87" s="136" t="n"/>
      <c r="F87" s="64" t="n"/>
      <c r="G87" s="136" t="n"/>
      <c r="H87" s="64" t="n"/>
      <c r="I87" s="64" t="n"/>
      <c r="J87" s="748" t="n"/>
      <c r="K87" s="64" t="n"/>
      <c r="L87" s="64" t="n"/>
    </row>
    <row r="88" ht="19.5" customHeight="1">
      <c r="A88" s="64" t="n"/>
      <c r="B88" s="64" t="n"/>
      <c r="C88" s="136" t="n"/>
      <c r="D88" s="136" t="n"/>
      <c r="E88" s="136" t="n"/>
      <c r="F88" s="64" t="n"/>
      <c r="G88" s="136" t="n"/>
      <c r="H88" s="64" t="n"/>
      <c r="I88" s="64" t="n"/>
      <c r="J88" s="748" t="n"/>
      <c r="K88" s="64" t="n"/>
      <c r="L88" s="64" t="n"/>
    </row>
    <row r="89" ht="19.5" customHeight="1">
      <c r="A89" s="64" t="n"/>
      <c r="B89" s="64" t="n"/>
      <c r="C89" s="136" t="n"/>
      <c r="D89" s="136" t="n"/>
      <c r="E89" s="136" t="n"/>
      <c r="F89" s="64" t="n"/>
      <c r="G89" s="136" t="n"/>
      <c r="H89" s="64" t="n"/>
      <c r="I89" s="64" t="n"/>
      <c r="J89" s="748" t="n"/>
      <c r="K89" s="64" t="n"/>
      <c r="L89" s="64" t="n"/>
    </row>
    <row r="90" ht="19.5" customHeight="1">
      <c r="A90" s="64" t="n"/>
      <c r="B90" s="64" t="n"/>
      <c r="C90" s="136" t="n"/>
      <c r="D90" s="136" t="n"/>
      <c r="E90" s="136" t="n"/>
      <c r="F90" s="64" t="n"/>
      <c r="G90" s="136" t="n"/>
      <c r="H90" s="64" t="n"/>
      <c r="I90" s="64" t="n"/>
      <c r="J90" s="748" t="n"/>
      <c r="K90" s="64" t="n"/>
      <c r="L90" s="64" t="n"/>
    </row>
    <row r="91" ht="19.5" customHeight="1">
      <c r="A91" s="64" t="n"/>
      <c r="B91" s="64" t="n"/>
      <c r="C91" s="136" t="n"/>
      <c r="D91" s="136" t="n"/>
      <c r="E91" s="136" t="n"/>
      <c r="F91" s="64" t="n"/>
      <c r="G91" s="136" t="n"/>
      <c r="H91" s="64" t="n"/>
      <c r="I91" s="64" t="n"/>
      <c r="J91" s="748" t="n"/>
      <c r="K91" s="64" t="n"/>
      <c r="L91" s="64" t="n"/>
    </row>
    <row r="92" ht="19.5" customHeight="1">
      <c r="A92" s="64" t="n"/>
      <c r="B92" s="64" t="n"/>
      <c r="C92" s="136" t="n"/>
      <c r="D92" s="136" t="n"/>
      <c r="E92" s="136" t="n"/>
      <c r="F92" s="64" t="n"/>
      <c r="G92" s="136" t="n"/>
      <c r="H92" s="64" t="n"/>
      <c r="I92" s="64" t="n"/>
      <c r="J92" s="748" t="n"/>
      <c r="K92" s="64" t="n"/>
      <c r="L92" s="64" t="n"/>
    </row>
    <row r="93" ht="19.5" customHeight="1">
      <c r="A93" s="64" t="n"/>
      <c r="B93" s="64" t="n"/>
      <c r="C93" s="136" t="n"/>
      <c r="D93" s="136" t="n"/>
      <c r="E93" s="136" t="n"/>
      <c r="F93" s="64" t="n"/>
      <c r="G93" s="136" t="n"/>
      <c r="H93" s="64" t="n"/>
      <c r="I93" s="64" t="n"/>
      <c r="J93" s="748" t="n"/>
      <c r="K93" s="64" t="n"/>
      <c r="L93" s="64" t="n"/>
    </row>
    <row r="94" ht="19.5" customHeight="1">
      <c r="A94" s="64" t="n"/>
      <c r="B94" s="64" t="n"/>
      <c r="C94" s="136" t="n"/>
      <c r="D94" s="136" t="n"/>
      <c r="E94" s="136" t="n"/>
      <c r="F94" s="64" t="n"/>
      <c r="G94" s="136" t="n"/>
      <c r="H94" s="64" t="n"/>
      <c r="I94" s="64" t="n"/>
      <c r="J94" s="748" t="n"/>
      <c r="K94" s="64" t="n"/>
      <c r="L94" s="64" t="n"/>
    </row>
    <row r="95" ht="19.5" customHeight="1">
      <c r="A95" s="64" t="n"/>
      <c r="B95" s="64" t="n"/>
      <c r="C95" s="136" t="n"/>
      <c r="D95" s="136" t="n"/>
      <c r="E95" s="136" t="n"/>
      <c r="F95" s="64" t="n"/>
      <c r="G95" s="136" t="n"/>
      <c r="H95" s="64" t="n"/>
      <c r="I95" s="64" t="n"/>
      <c r="J95" s="748" t="n"/>
      <c r="K95" s="64" t="n"/>
      <c r="L95" s="64" t="n"/>
    </row>
    <row r="96" ht="19.5" customHeight="1">
      <c r="A96" s="64" t="n"/>
      <c r="B96" s="64" t="n"/>
      <c r="C96" s="136" t="n"/>
      <c r="D96" s="136" t="n"/>
      <c r="E96" s="136" t="n"/>
      <c r="F96" s="64" t="n"/>
      <c r="G96" s="136" t="n"/>
      <c r="H96" s="64" t="n"/>
      <c r="I96" s="64" t="n"/>
      <c r="J96" s="748" t="n"/>
      <c r="K96" s="64" t="n"/>
      <c r="L96" s="64" t="n"/>
    </row>
    <row r="97" ht="19.5" customHeight="1">
      <c r="A97" s="64" t="n"/>
      <c r="B97" s="64" t="n"/>
      <c r="C97" s="136" t="n"/>
      <c r="D97" s="136" t="n"/>
      <c r="E97" s="136" t="n"/>
      <c r="F97" s="64" t="n"/>
      <c r="G97" s="136" t="n"/>
      <c r="H97" s="64" t="n"/>
      <c r="I97" s="64" t="n"/>
      <c r="J97" s="748" t="n"/>
      <c r="K97" s="64" t="n"/>
      <c r="L97" s="64" t="n"/>
    </row>
    <row r="98" ht="19.5" customHeight="1">
      <c r="A98" s="64" t="n"/>
      <c r="B98" s="64" t="n"/>
      <c r="C98" s="136" t="n"/>
      <c r="D98" s="136" t="n"/>
      <c r="E98" s="136" t="n"/>
      <c r="F98" s="64" t="n"/>
      <c r="G98" s="136" t="n"/>
      <c r="H98" s="64" t="n"/>
      <c r="I98" s="64" t="n"/>
      <c r="J98" s="748" t="n"/>
      <c r="K98" s="64" t="n"/>
      <c r="L98" s="64" t="n"/>
    </row>
    <row r="99" ht="19.5" customHeight="1">
      <c r="A99" s="64" t="n"/>
      <c r="B99" s="64" t="n"/>
      <c r="C99" s="136" t="n"/>
      <c r="D99" s="136" t="n"/>
      <c r="E99" s="136" t="n"/>
      <c r="F99" s="64" t="n"/>
      <c r="G99" s="136" t="n"/>
      <c r="H99" s="64" t="n"/>
      <c r="I99" s="64" t="n"/>
      <c r="J99" s="748" t="n"/>
      <c r="K99" s="64" t="n"/>
      <c r="L99" s="64" t="n"/>
    </row>
    <row r="100" ht="19.5" customHeight="1">
      <c r="A100" s="64" t="n"/>
      <c r="B100" s="64" t="n"/>
      <c r="C100" s="136" t="n"/>
      <c r="D100" s="136" t="n"/>
      <c r="E100" s="136" t="n"/>
      <c r="F100" s="64" t="n"/>
      <c r="G100" s="136" t="n"/>
      <c r="H100" s="64" t="n"/>
      <c r="I100" s="64" t="n"/>
      <c r="J100" s="748" t="n"/>
      <c r="K100" s="64" t="n"/>
      <c r="L100" s="64" t="n"/>
    </row>
    <row r="101" ht="19.5" customHeight="1">
      <c r="A101" s="64" t="n"/>
      <c r="B101" s="64" t="n"/>
      <c r="C101" s="136" t="n"/>
      <c r="D101" s="136" t="n"/>
      <c r="E101" s="136" t="n"/>
      <c r="F101" s="64" t="n"/>
      <c r="G101" s="136" t="n"/>
      <c r="H101" s="64" t="n"/>
      <c r="I101" s="64" t="n"/>
      <c r="J101" s="748" t="n"/>
      <c r="K101" s="64" t="n"/>
      <c r="L101" s="64" t="n"/>
    </row>
    <row r="102" ht="19.5" customHeight="1">
      <c r="A102" s="64" t="n"/>
      <c r="B102" s="64" t="n"/>
      <c r="C102" s="136" t="n"/>
      <c r="D102" s="136" t="n"/>
      <c r="E102" s="136" t="n"/>
      <c r="F102" s="64" t="n"/>
      <c r="G102" s="136" t="n"/>
      <c r="H102" s="64" t="n"/>
      <c r="I102" s="64" t="n"/>
      <c r="J102" s="748" t="n"/>
      <c r="K102" s="64" t="n"/>
      <c r="L102" s="64" t="n"/>
    </row>
    <row r="103" ht="19.5" customHeight="1">
      <c r="A103" s="64" t="n"/>
      <c r="B103" s="64" t="n"/>
      <c r="C103" s="136" t="n"/>
      <c r="D103" s="136" t="n"/>
      <c r="E103" s="136" t="n"/>
      <c r="F103" s="64" t="n"/>
      <c r="G103" s="136" t="n"/>
      <c r="H103" s="64" t="n"/>
      <c r="I103" s="64" t="n"/>
      <c r="J103" s="748" t="n"/>
      <c r="K103" s="64" t="n"/>
      <c r="L103" s="64" t="n"/>
    </row>
    <row r="104" ht="19.5" customHeight="1">
      <c r="A104" s="64" t="n"/>
      <c r="B104" s="64" t="n"/>
      <c r="C104" s="136" t="n"/>
      <c r="D104" s="136" t="n"/>
      <c r="E104" s="136" t="n"/>
      <c r="F104" s="64" t="n"/>
      <c r="G104" s="136" t="n"/>
      <c r="H104" s="64" t="n"/>
      <c r="I104" s="64" t="n"/>
      <c r="J104" s="748" t="n"/>
      <c r="K104" s="64" t="n"/>
      <c r="L104" s="64" t="n"/>
    </row>
    <row r="105" ht="19.5" customHeight="1">
      <c r="A105" s="64" t="n"/>
      <c r="B105" s="64" t="n"/>
      <c r="C105" s="136" t="n"/>
      <c r="D105" s="136" t="n"/>
      <c r="E105" s="136" t="n"/>
      <c r="F105" s="64" t="n"/>
      <c r="G105" s="136" t="n"/>
      <c r="H105" s="64" t="n"/>
      <c r="I105" s="64" t="n"/>
      <c r="J105" s="748" t="n"/>
      <c r="K105" s="64" t="n"/>
      <c r="L105" s="64" t="n"/>
    </row>
    <row r="106" ht="19.5" customHeight="1">
      <c r="A106" s="64" t="n"/>
      <c r="B106" s="64" t="n"/>
      <c r="C106" s="136" t="n"/>
      <c r="D106" s="136" t="n"/>
      <c r="E106" s="136" t="n"/>
      <c r="F106" s="64" t="n"/>
      <c r="G106" s="136" t="n"/>
      <c r="H106" s="64" t="n"/>
      <c r="I106" s="64" t="n"/>
      <c r="J106" s="748" t="n"/>
      <c r="K106" s="64" t="n"/>
      <c r="L106" s="64" t="n"/>
    </row>
    <row r="107" ht="19.5" customHeight="1">
      <c r="A107" s="64" t="n"/>
      <c r="B107" s="64" t="n"/>
      <c r="C107" s="136" t="n"/>
      <c r="D107" s="136" t="n"/>
      <c r="E107" s="136" t="n"/>
      <c r="F107" s="64" t="n"/>
      <c r="G107" s="136" t="n"/>
      <c r="H107" s="64" t="n"/>
      <c r="I107" s="64" t="n"/>
      <c r="J107" s="748" t="n"/>
      <c r="K107" s="64" t="n"/>
      <c r="L107" s="64" t="n"/>
    </row>
    <row r="108" ht="19.5" customHeight="1">
      <c r="A108" s="64" t="n"/>
      <c r="B108" s="64" t="n"/>
      <c r="C108" s="136" t="n"/>
      <c r="D108" s="136" t="n"/>
      <c r="E108" s="136" t="n"/>
      <c r="F108" s="64" t="n"/>
      <c r="G108" s="136" t="n"/>
      <c r="H108" s="64" t="n"/>
      <c r="I108" s="64" t="n"/>
      <c r="J108" s="748" t="n"/>
      <c r="K108" s="64" t="n"/>
      <c r="L108" s="64" t="n"/>
    </row>
    <row r="109" ht="19.5" customHeight="1">
      <c r="A109" s="64" t="n"/>
      <c r="B109" s="64" t="n"/>
      <c r="C109" s="136" t="n"/>
      <c r="D109" s="136" t="n"/>
      <c r="E109" s="136" t="n"/>
      <c r="F109" s="64" t="n"/>
      <c r="G109" s="136" t="n"/>
      <c r="H109" s="64" t="n"/>
      <c r="I109" s="64" t="n"/>
      <c r="J109" s="748" t="n"/>
      <c r="K109" s="64" t="n"/>
      <c r="L109" s="64" t="n"/>
    </row>
    <row r="110" ht="19.5" customHeight="1">
      <c r="A110" s="64" t="n"/>
      <c r="B110" s="64" t="n"/>
      <c r="C110" s="136" t="n"/>
      <c r="D110" s="136" t="n"/>
      <c r="E110" s="136" t="n"/>
      <c r="F110" s="64" t="n"/>
      <c r="G110" s="136" t="n"/>
      <c r="H110" s="64" t="n"/>
      <c r="I110" s="64" t="n"/>
      <c r="J110" s="748" t="n"/>
      <c r="K110" s="64" t="n"/>
      <c r="L110" s="64" t="n"/>
    </row>
    <row r="111" ht="19.5" customHeight="1">
      <c r="A111" s="64" t="n"/>
      <c r="B111" s="64" t="n"/>
      <c r="C111" s="136" t="n"/>
      <c r="D111" s="136" t="n"/>
      <c r="E111" s="136" t="n"/>
      <c r="F111" s="64" t="n"/>
      <c r="G111" s="136" t="n"/>
      <c r="H111" s="64" t="n"/>
      <c r="I111" s="64" t="n"/>
      <c r="J111" s="748" t="n"/>
      <c r="K111" s="64" t="n"/>
      <c r="L111" s="64" t="n"/>
    </row>
    <row r="112" ht="19.5" customHeight="1">
      <c r="A112" s="64" t="n"/>
      <c r="B112" s="64" t="n"/>
      <c r="C112" s="136" t="n"/>
      <c r="D112" s="136" t="n"/>
      <c r="E112" s="136" t="n"/>
      <c r="F112" s="64" t="n"/>
      <c r="G112" s="136" t="n"/>
      <c r="H112" s="64" t="n"/>
      <c r="I112" s="64" t="n"/>
      <c r="J112" s="748" t="n"/>
      <c r="K112" s="64" t="n"/>
      <c r="L112" s="64" t="n"/>
    </row>
    <row r="113" ht="19.5" customHeight="1">
      <c r="A113" s="64" t="n"/>
      <c r="B113" s="64" t="n"/>
      <c r="C113" s="136" t="n"/>
      <c r="D113" s="136" t="n"/>
      <c r="E113" s="136" t="n"/>
      <c r="F113" s="64" t="n"/>
      <c r="G113" s="136" t="n"/>
      <c r="H113" s="64" t="n"/>
      <c r="I113" s="64" t="n"/>
      <c r="J113" s="748" t="n"/>
      <c r="K113" s="64" t="n"/>
      <c r="L113" s="64" t="n"/>
    </row>
    <row r="114" ht="19.5" customHeight="1">
      <c r="A114" s="64" t="n"/>
      <c r="B114" s="64" t="n"/>
      <c r="C114" s="136" t="n"/>
      <c r="D114" s="136" t="n"/>
      <c r="E114" s="136" t="n"/>
      <c r="F114" s="64" t="n"/>
      <c r="G114" s="136" t="n"/>
      <c r="H114" s="64" t="n"/>
      <c r="I114" s="64" t="n"/>
      <c r="J114" s="748" t="n"/>
      <c r="K114" s="64" t="n"/>
      <c r="L114" s="64" t="n"/>
    </row>
    <row r="115" ht="19.5" customHeight="1">
      <c r="A115" s="64" t="n"/>
      <c r="B115" s="64" t="n"/>
      <c r="C115" s="136" t="n"/>
      <c r="D115" s="136" t="n"/>
      <c r="E115" s="136" t="n"/>
      <c r="F115" s="64" t="n"/>
      <c r="G115" s="136" t="n"/>
      <c r="H115" s="64" t="n"/>
      <c r="I115" s="64" t="n"/>
      <c r="J115" s="748" t="n"/>
      <c r="K115" s="64" t="n"/>
      <c r="L115" s="64" t="n"/>
    </row>
    <row r="116" ht="19.5" customHeight="1">
      <c r="A116" s="64" t="n"/>
      <c r="B116" s="64" t="n"/>
      <c r="C116" s="136" t="n"/>
      <c r="D116" s="136" t="n"/>
      <c r="E116" s="136" t="n"/>
      <c r="F116" s="64" t="n"/>
      <c r="G116" s="136" t="n"/>
      <c r="H116" s="64" t="n"/>
      <c r="I116" s="64" t="n"/>
      <c r="J116" s="748" t="n"/>
      <c r="K116" s="64" t="n"/>
      <c r="L116" s="64" t="n"/>
    </row>
    <row r="117" ht="19.5" customHeight="1">
      <c r="A117" s="64" t="n"/>
      <c r="B117" s="64" t="n"/>
      <c r="C117" s="136" t="n"/>
      <c r="D117" s="136" t="n"/>
      <c r="E117" s="136" t="n"/>
      <c r="F117" s="64" t="n"/>
      <c r="G117" s="136" t="n"/>
      <c r="H117" s="64" t="n"/>
      <c r="I117" s="64" t="n"/>
      <c r="J117" s="748" t="n"/>
      <c r="K117" s="64" t="n"/>
      <c r="L117" s="64" t="n"/>
    </row>
    <row r="118" ht="19.5" customHeight="1">
      <c r="A118" s="64" t="n"/>
      <c r="B118" s="64" t="n"/>
      <c r="C118" s="136" t="n"/>
      <c r="D118" s="136" t="n"/>
      <c r="E118" s="136" t="n"/>
      <c r="F118" s="64" t="n"/>
      <c r="G118" s="136" t="n"/>
      <c r="H118" s="64" t="n"/>
      <c r="I118" s="64" t="n"/>
      <c r="J118" s="748" t="n"/>
      <c r="K118" s="64" t="n"/>
      <c r="L118" s="64" t="n"/>
    </row>
    <row r="119" ht="19.5" customHeight="1">
      <c r="A119" s="64" t="n"/>
      <c r="B119" s="64" t="n"/>
      <c r="C119" s="136" t="n"/>
      <c r="D119" s="136" t="n"/>
      <c r="E119" s="136" t="n"/>
      <c r="F119" s="64" t="n"/>
      <c r="G119" s="136" t="n"/>
      <c r="H119" s="64" t="n"/>
      <c r="I119" s="64" t="n"/>
      <c r="J119" s="748" t="n"/>
      <c r="K119" s="64" t="n"/>
      <c r="L119" s="64" t="n"/>
    </row>
    <row r="120" ht="19.5" customHeight="1">
      <c r="A120" s="64" t="n"/>
      <c r="B120" s="64" t="n"/>
      <c r="C120" s="136" t="n"/>
      <c r="D120" s="136" t="n"/>
      <c r="E120" s="136" t="n"/>
      <c r="F120" s="64" t="n"/>
      <c r="G120" s="136" t="n"/>
      <c r="H120" s="64" t="n"/>
      <c r="I120" s="64" t="n"/>
      <c r="J120" s="748" t="n"/>
      <c r="K120" s="64" t="n"/>
      <c r="L120" s="64" t="n"/>
    </row>
    <row r="121" ht="19.5" customHeight="1">
      <c r="A121" s="64" t="n"/>
      <c r="B121" s="64" t="n"/>
      <c r="C121" s="136" t="n"/>
      <c r="D121" s="136" t="n"/>
      <c r="E121" s="136" t="n"/>
      <c r="F121" s="64" t="n"/>
      <c r="G121" s="136" t="n"/>
      <c r="H121" s="64" t="n"/>
      <c r="I121" s="64" t="n"/>
      <c r="J121" s="748" t="n"/>
      <c r="K121" s="64" t="n"/>
      <c r="L121" s="64" t="n"/>
    </row>
    <row r="122" ht="19.5" customHeight="1">
      <c r="A122" s="64" t="n"/>
      <c r="B122" s="64" t="n"/>
      <c r="C122" s="136" t="n"/>
      <c r="D122" s="136" t="n"/>
      <c r="E122" s="136" t="n"/>
      <c r="F122" s="64" t="n"/>
      <c r="G122" s="136" t="n"/>
      <c r="H122" s="64" t="n"/>
      <c r="I122" s="64" t="n"/>
      <c r="J122" s="748" t="n"/>
      <c r="K122" s="64" t="n"/>
      <c r="L122" s="64" t="n"/>
    </row>
    <row r="123" ht="19.5" customHeight="1">
      <c r="A123" s="64" t="n"/>
      <c r="B123" s="64" t="n"/>
      <c r="C123" s="136" t="n"/>
      <c r="D123" s="136" t="n"/>
      <c r="E123" s="136" t="n"/>
      <c r="F123" s="64" t="n"/>
      <c r="G123" s="136" t="n"/>
      <c r="H123" s="64" t="n"/>
      <c r="I123" s="64" t="n"/>
      <c r="J123" s="748" t="n"/>
      <c r="K123" s="64" t="n"/>
      <c r="L123" s="64" t="n"/>
    </row>
    <row r="124" ht="19.5" customHeight="1">
      <c r="A124" s="64" t="n"/>
      <c r="B124" s="64" t="n"/>
      <c r="C124" s="136" t="n"/>
      <c r="D124" s="136" t="n"/>
      <c r="E124" s="136" t="n"/>
      <c r="F124" s="64" t="n"/>
      <c r="G124" s="136" t="n"/>
      <c r="H124" s="64" t="n"/>
      <c r="I124" s="64" t="n"/>
      <c r="J124" s="748" t="n"/>
      <c r="K124" s="64" t="n"/>
      <c r="L124" s="64" t="n"/>
    </row>
    <row r="125" ht="19.5" customHeight="1">
      <c r="A125" s="64" t="n"/>
      <c r="B125" s="64" t="n"/>
      <c r="C125" s="136" t="n"/>
      <c r="D125" s="136" t="n"/>
      <c r="E125" s="136" t="n"/>
      <c r="F125" s="64" t="n"/>
      <c r="G125" s="136" t="n"/>
      <c r="H125" s="64" t="n"/>
      <c r="I125" s="64" t="n"/>
      <c r="J125" s="748" t="n"/>
      <c r="K125" s="64" t="n"/>
      <c r="L125" s="64" t="n"/>
    </row>
    <row r="126" ht="19.5" customHeight="1">
      <c r="A126" s="64" t="n"/>
      <c r="B126" s="64" t="n"/>
      <c r="C126" s="136" t="n"/>
      <c r="D126" s="136" t="n"/>
      <c r="E126" s="136" t="n"/>
      <c r="F126" s="64" t="n"/>
      <c r="G126" s="136" t="n"/>
      <c r="H126" s="64" t="n"/>
      <c r="I126" s="64" t="n"/>
      <c r="J126" s="748" t="n"/>
      <c r="K126" s="64" t="n"/>
      <c r="L126" s="64" t="n"/>
    </row>
    <row r="127" ht="19.5" customHeight="1">
      <c r="A127" s="64" t="n"/>
      <c r="B127" s="64" t="n"/>
      <c r="C127" s="136" t="n"/>
      <c r="D127" s="136" t="n"/>
      <c r="E127" s="136" t="n"/>
      <c r="F127" s="64" t="n"/>
      <c r="G127" s="136" t="n"/>
      <c r="H127" s="64" t="n"/>
      <c r="I127" s="64" t="n"/>
      <c r="J127" s="748" t="n"/>
      <c r="K127" s="64" t="n"/>
      <c r="L127" s="64" t="n"/>
    </row>
    <row r="128" ht="19.5" customHeight="1">
      <c r="A128" s="64" t="n"/>
      <c r="B128" s="64" t="n"/>
      <c r="C128" s="136" t="n"/>
      <c r="D128" s="136" t="n"/>
      <c r="E128" s="136" t="n"/>
      <c r="F128" s="64" t="n"/>
      <c r="G128" s="136" t="n"/>
      <c r="H128" s="64" t="n"/>
      <c r="I128" s="64" t="n"/>
      <c r="J128" s="748" t="n"/>
      <c r="K128" s="64" t="n"/>
      <c r="L128" s="64" t="n"/>
    </row>
    <row r="129" ht="19.5" customHeight="1">
      <c r="A129" s="64" t="n"/>
      <c r="B129" s="64" t="n"/>
      <c r="C129" s="136" t="n"/>
      <c r="D129" s="136" t="n"/>
      <c r="E129" s="136" t="n"/>
      <c r="F129" s="64" t="n"/>
      <c r="G129" s="136" t="n"/>
      <c r="H129" s="64" t="n"/>
      <c r="I129" s="64" t="n"/>
      <c r="J129" s="748" t="n"/>
      <c r="K129" s="64" t="n"/>
      <c r="L129" s="64" t="n"/>
    </row>
    <row r="130" ht="19.5" customHeight="1">
      <c r="A130" s="64" t="n"/>
      <c r="B130" s="64" t="n"/>
      <c r="C130" s="136" t="n"/>
      <c r="D130" s="136" t="n"/>
      <c r="E130" s="136" t="n"/>
      <c r="F130" s="64" t="n"/>
      <c r="G130" s="136" t="n"/>
      <c r="H130" s="64" t="n"/>
      <c r="I130" s="64" t="n"/>
      <c r="J130" s="748" t="n"/>
      <c r="K130" s="64" t="n"/>
      <c r="L130" s="64" t="n"/>
    </row>
    <row r="131" ht="19.5" customHeight="1">
      <c r="A131" s="64" t="n"/>
      <c r="B131" s="64" t="n"/>
      <c r="C131" s="136" t="n"/>
      <c r="D131" s="136" t="n"/>
      <c r="E131" s="136" t="n"/>
      <c r="F131" s="64" t="n"/>
      <c r="G131" s="136" t="n"/>
      <c r="H131" s="64" t="n"/>
      <c r="I131" s="64" t="n"/>
      <c r="J131" s="748" t="n"/>
      <c r="K131" s="64" t="n"/>
      <c r="L131" s="64" t="n"/>
    </row>
    <row r="132" ht="19.5" customHeight="1">
      <c r="A132" s="64" t="n"/>
      <c r="B132" s="64" t="n"/>
      <c r="C132" s="136" t="n"/>
      <c r="D132" s="136" t="n"/>
      <c r="E132" s="136" t="n"/>
      <c r="F132" s="64" t="n"/>
      <c r="G132" s="136" t="n"/>
      <c r="H132" s="64" t="n"/>
      <c r="I132" s="64" t="n"/>
      <c r="J132" s="748" t="n"/>
      <c r="K132" s="64" t="n"/>
      <c r="L132" s="64" t="n"/>
    </row>
    <row r="133" ht="19.5" customHeight="1">
      <c r="A133" s="64" t="n"/>
      <c r="B133" s="64" t="n"/>
      <c r="C133" s="136" t="n"/>
      <c r="D133" s="136" t="n"/>
      <c r="E133" s="136" t="n"/>
      <c r="F133" s="64" t="n"/>
      <c r="G133" s="136" t="n"/>
      <c r="H133" s="64" t="n"/>
      <c r="I133" s="64" t="n"/>
      <c r="J133" s="748" t="n"/>
      <c r="K133" s="64" t="n"/>
      <c r="L133" s="64" t="n"/>
    </row>
    <row r="134" ht="19.5" customHeight="1">
      <c r="A134" s="64" t="n"/>
      <c r="B134" s="64" t="n"/>
      <c r="C134" s="136" t="n"/>
      <c r="D134" s="136" t="n"/>
      <c r="E134" s="136" t="n"/>
      <c r="F134" s="64" t="n"/>
      <c r="G134" s="136" t="n"/>
      <c r="H134" s="64" t="n"/>
      <c r="I134" s="64" t="n"/>
      <c r="J134" s="748" t="n"/>
      <c r="K134" s="64" t="n"/>
      <c r="L134" s="64" t="n"/>
    </row>
    <row r="135" ht="19.5" customHeight="1">
      <c r="A135" s="64" t="n"/>
      <c r="B135" s="64" t="n"/>
      <c r="C135" s="136" t="n"/>
      <c r="D135" s="136" t="n"/>
      <c r="E135" s="136" t="n"/>
      <c r="F135" s="64" t="n"/>
      <c r="G135" s="136" t="n"/>
      <c r="H135" s="64" t="n"/>
      <c r="I135" s="64" t="n"/>
      <c r="J135" s="748" t="n"/>
      <c r="K135" s="64" t="n"/>
      <c r="L135" s="64" t="n"/>
    </row>
    <row r="136" ht="19.5" customHeight="1">
      <c r="A136" s="64" t="n"/>
      <c r="B136" s="64" t="n"/>
      <c r="C136" s="136" t="n"/>
      <c r="D136" s="136" t="n"/>
      <c r="E136" s="136" t="n"/>
      <c r="F136" s="64" t="n"/>
      <c r="G136" s="136" t="n"/>
      <c r="H136" s="64" t="n"/>
      <c r="I136" s="64" t="n"/>
      <c r="J136" s="748" t="n"/>
      <c r="K136" s="64" t="n"/>
      <c r="L136" s="64" t="n"/>
    </row>
    <row r="137" ht="19.5" customHeight="1">
      <c r="A137" s="64" t="n"/>
      <c r="B137" s="64" t="n"/>
      <c r="C137" s="136" t="n"/>
      <c r="D137" s="136" t="n"/>
      <c r="E137" s="136" t="n"/>
      <c r="F137" s="64" t="n"/>
      <c r="G137" s="136" t="n"/>
      <c r="H137" s="64" t="n"/>
      <c r="I137" s="64" t="n"/>
      <c r="J137" s="748" t="n"/>
      <c r="K137" s="64" t="n"/>
      <c r="L137" s="64" t="n"/>
    </row>
    <row r="138" ht="19.5" customHeight="1">
      <c r="A138" s="64" t="n"/>
      <c r="B138" s="64" t="n"/>
      <c r="C138" s="136" t="n"/>
      <c r="D138" s="136" t="n"/>
      <c r="E138" s="136" t="n"/>
      <c r="F138" s="64" t="n"/>
      <c r="G138" s="136" t="n"/>
      <c r="H138" s="64" t="n"/>
      <c r="I138" s="64" t="n"/>
      <c r="J138" s="748" t="n"/>
      <c r="K138" s="64" t="n"/>
      <c r="L138" s="64" t="n"/>
    </row>
    <row r="139" ht="19.5" customHeight="1">
      <c r="A139" s="64" t="n"/>
      <c r="B139" s="64" t="n"/>
      <c r="C139" s="136" t="n"/>
      <c r="D139" s="136" t="n"/>
      <c r="E139" s="136" t="n"/>
      <c r="F139" s="64" t="n"/>
      <c r="G139" s="136" t="n"/>
      <c r="H139" s="64" t="n"/>
      <c r="I139" s="64" t="n"/>
      <c r="J139" s="748" t="n"/>
      <c r="K139" s="64" t="n"/>
      <c r="L139" s="64" t="n"/>
    </row>
    <row r="140" ht="19.5" customHeight="1">
      <c r="A140" s="64" t="n"/>
      <c r="B140" s="64" t="n"/>
      <c r="C140" s="136" t="n"/>
      <c r="D140" s="136" t="n"/>
      <c r="E140" s="136" t="n"/>
      <c r="F140" s="64" t="n"/>
      <c r="G140" s="136" t="n"/>
      <c r="H140" s="64" t="n"/>
      <c r="I140" s="64" t="n"/>
      <c r="J140" s="748" t="n"/>
      <c r="K140" s="64" t="n"/>
      <c r="L140" s="64" t="n"/>
    </row>
    <row r="141" ht="19.5" customHeight="1">
      <c r="A141" s="64" t="n"/>
      <c r="B141" s="64" t="n"/>
      <c r="C141" s="136" t="n"/>
      <c r="D141" s="136" t="n"/>
      <c r="E141" s="136" t="n"/>
      <c r="F141" s="64" t="n"/>
      <c r="G141" s="136" t="n"/>
      <c r="H141" s="64" t="n"/>
      <c r="I141" s="64" t="n"/>
      <c r="J141" s="748" t="n"/>
      <c r="K141" s="64" t="n"/>
      <c r="L141" s="64" t="n"/>
    </row>
    <row r="142" ht="19.5" customHeight="1">
      <c r="A142" s="64" t="n"/>
      <c r="B142" s="64" t="n"/>
      <c r="C142" s="136" t="n"/>
      <c r="D142" s="136" t="n"/>
      <c r="E142" s="136" t="n"/>
      <c r="F142" s="64" t="n"/>
      <c r="G142" s="136" t="n"/>
      <c r="H142" s="64" t="n"/>
      <c r="I142" s="64" t="n"/>
      <c r="J142" s="748" t="n"/>
      <c r="K142" s="64" t="n"/>
      <c r="L142" s="64" t="n"/>
    </row>
  </sheetData>
  <mergeCells count="26">
    <mergeCell ref="G12:H12"/>
    <mergeCell ref="G10:I10"/>
    <mergeCell ref="G11:H11"/>
    <mergeCell ref="B24:K24"/>
    <mergeCell ref="C10:C11"/>
    <mergeCell ref="E32:H32"/>
    <mergeCell ref="B5:K5"/>
    <mergeCell ref="A33:C33"/>
    <mergeCell ref="B4:K4"/>
    <mergeCell ref="A32:C32"/>
    <mergeCell ref="B14:I14"/>
    <mergeCell ref="B16:K16"/>
    <mergeCell ref="E33:H33"/>
    <mergeCell ref="B10:B11"/>
    <mergeCell ref="G13:H13"/>
    <mergeCell ref="B22:K22"/>
    <mergeCell ref="A31:C31"/>
    <mergeCell ref="J32:K32"/>
    <mergeCell ref="J31:K31"/>
    <mergeCell ref="D10:F10"/>
    <mergeCell ref="B18:K20"/>
    <mergeCell ref="B8:K8"/>
    <mergeCell ref="E31:H31"/>
    <mergeCell ref="J2:K2"/>
    <mergeCell ref="J33:K33"/>
    <mergeCell ref="J10:J11"/>
  </mergeCells>
  <pageMargins left="0.7" right="0.7" top="0.75" bottom="0.75" header="0.3" footer="0.3"/>
</worksheet>
</file>

<file path=xl/worksheets/sheet13.xml><?xml version="1.0" encoding="utf-8"?>
<worksheet xmlns="http://schemas.openxmlformats.org/spreadsheetml/2006/main">
  <sheetPr>
    <outlinePr summaryBelow="0"/>
    <pageSetUpPr/>
  </sheetPr>
  <dimension ref="A1:BH32"/>
  <sheetViews>
    <sheetView workbookViewId="0">
      <selection activeCell="A1" sqref="A1"/>
    </sheetView>
  </sheetViews>
  <sheetFormatPr baseColWidth="8" defaultRowHeight="15"/>
  <cols>
    <col width="3.719285714285714" bestFit="1" customWidth="1" style="63" min="1" max="1"/>
    <col width="4.433571428571429" bestFit="1" customWidth="1" style="218" min="2" max="2"/>
    <col width="2.290714285714285" bestFit="1" customWidth="1" style="64" min="3" max="3"/>
    <col width="2.290714285714285" bestFit="1" customWidth="1" style="64" min="4" max="4"/>
    <col width="2.290714285714285" bestFit="1" customWidth="1" style="64" min="5" max="5"/>
    <col width="2.290714285714285" bestFit="1" customWidth="1" style="64" min="6" max="6"/>
    <col width="2.290714285714285" bestFit="1" customWidth="1" style="64" min="7" max="7"/>
    <col width="2.290714285714285" bestFit="1" customWidth="1" style="64" min="8" max="8"/>
    <col width="1.290714285714286" bestFit="1" customWidth="1" style="64" min="9" max="9"/>
    <col width="2.719285714285714" bestFit="1" customWidth="1" style="64" min="10" max="10"/>
    <col width="2.719285714285714" bestFit="1" customWidth="1" style="64" min="11" max="11"/>
    <col width="2.290714285714285" bestFit="1" customWidth="1" style="64" min="12" max="12"/>
    <col width="2.290714285714285" bestFit="1" customWidth="1" style="64" min="13" max="13"/>
    <col width="2.290714285714285" bestFit="1" customWidth="1" style="64" min="14" max="14"/>
    <col width="2.290714285714285" bestFit="1" customWidth="1" style="64" min="15" max="15"/>
    <col width="2.290714285714285" bestFit="1" customWidth="1" style="64" min="16" max="16"/>
    <col width="2.290714285714285" bestFit="1" customWidth="1" style="64" min="17" max="17"/>
    <col width="2.290714285714285" bestFit="1" customWidth="1" style="64" min="18" max="18"/>
    <col width="2.290714285714285" bestFit="1" customWidth="1" style="64" min="19" max="19"/>
    <col width="1.719285714285714" bestFit="1" customWidth="1" style="64" min="20" max="20"/>
    <col width="1.719285714285714" bestFit="1" customWidth="1" style="64" min="21" max="21"/>
    <col width="1.719285714285714" bestFit="1" customWidth="1" style="64" min="22" max="22"/>
    <col width="1.719285714285714" bestFit="1" customWidth="1" style="64" min="23" max="23"/>
    <col width="1.719285714285714" bestFit="1" customWidth="1" style="64" min="24" max="24"/>
    <col width="1.147857142857143" bestFit="1" customWidth="1" style="64" min="25" max="25"/>
    <col width="1.719285714285714" bestFit="1" customWidth="1" style="64" min="26" max="26"/>
    <col width="1.719285714285714" bestFit="1" customWidth="1" style="64" min="27" max="27"/>
    <col width="2.290714285714285" bestFit="1" customWidth="1" style="64" min="28" max="28"/>
    <col width="2.290714285714285" bestFit="1" customWidth="1" style="64" min="29" max="29"/>
    <col width="1.862142857142857" bestFit="1" customWidth="1" style="64" min="30" max="30"/>
    <col width="2.862142857142857" bestFit="1" customWidth="1" style="64" min="31" max="31"/>
    <col width="2.862142857142857" bestFit="1" customWidth="1" style="64" min="32" max="32"/>
    <col width="2.862142857142857" bestFit="1" customWidth="1" style="64" min="33" max="33"/>
    <col width="2.290714285714285" bestFit="1" customWidth="1" style="64" min="34" max="34"/>
    <col width="2.290714285714285" bestFit="1" customWidth="1" style="64" min="35" max="35"/>
    <col width="2.290714285714285" bestFit="1" customWidth="1" style="64" min="36" max="36"/>
    <col width="2.290714285714285" bestFit="1" customWidth="1" style="64" min="37" max="37"/>
    <col width="2.290714285714285" bestFit="1" customWidth="1" style="64" min="38" max="38"/>
    <col width="2.290714285714285" bestFit="1" customWidth="1" style="64" min="39" max="39"/>
    <col width="2.290714285714285" bestFit="1" customWidth="1" style="64" min="40" max="40"/>
    <col width="2.290714285714285" bestFit="1" customWidth="1" style="64" min="41" max="41"/>
    <col width="3.147857142857143" bestFit="1" customWidth="1" style="64" min="42" max="42"/>
    <col width="2.290714285714285" bestFit="1" customWidth="1" style="64" min="43" max="43"/>
    <col width="2.147857142857143" bestFit="1" customWidth="1" style="64" min="44" max="44"/>
    <col width="1.719285714285714" bestFit="1" customWidth="1" style="64" min="45" max="45"/>
    <col width="3.147857142857143" bestFit="1" customWidth="1" style="64" min="46" max="46"/>
    <col width="13.57642857142857" bestFit="1" customWidth="1" style="64" min="47" max="47"/>
    <col width="11.43357142857143" bestFit="1" customWidth="1" style="64" min="48" max="48"/>
    <col width="11.71928571428571" bestFit="1" customWidth="1" style="64" min="49" max="49"/>
    <col width="26.86214285714286" bestFit="1" customWidth="1" style="64" min="50" max="50"/>
    <col width="26.86214285714286" bestFit="1" customWidth="1" style="64" min="51" max="51"/>
    <col width="13.57642857142857" bestFit="1" customWidth="1" style="64" min="52" max="52"/>
    <col width="13.57642857142857" bestFit="1" customWidth="1" style="64" min="53" max="53"/>
    <col width="13.57642857142857" bestFit="1" customWidth="1" style="64" min="54" max="54"/>
    <col width="13.57642857142857" bestFit="1" customWidth="1" style="64" min="55" max="55"/>
    <col width="13.57642857142857" bestFit="1" customWidth="1" style="64" min="56" max="56"/>
    <col width="13.57642857142857" bestFit="1" customWidth="1" style="64" min="57" max="57"/>
    <col width="13.57642857142857" bestFit="1" customWidth="1" style="64" min="58" max="58"/>
    <col width="13.57642857142857" bestFit="1" customWidth="1" style="64" min="59" max="59"/>
    <col width="13.57642857142857" bestFit="1" customWidth="1" style="64" min="60" max="60"/>
  </cols>
  <sheetData>
    <row r="1" ht="30.75" customFormat="1" customHeight="1" s="18">
      <c r="A1" s="419" t="n"/>
      <c r="AU1" s="103" t="n"/>
      <c r="AV1" s="103" t="n"/>
      <c r="AW1" s="103" t="n"/>
      <c r="AX1" s="103" t="n"/>
      <c r="AY1" s="69" t="n"/>
      <c r="AZ1" s="103" t="n"/>
      <c r="BA1" s="103" t="n"/>
      <c r="BB1" s="103" t="n"/>
      <c r="BC1" s="103" t="n"/>
      <c r="BD1" s="103" t="n"/>
      <c r="BE1" s="103" t="n"/>
      <c r="BF1" s="103" t="n"/>
      <c r="BG1" s="103" t="n"/>
      <c r="BH1" s="103" t="n"/>
    </row>
    <row r="2" ht="19.5" customFormat="1" customHeight="1" s="18">
      <c r="A2" s="172" t="n"/>
      <c r="AU2" s="103" t="n"/>
      <c r="AV2" s="103" t="n"/>
      <c r="AW2" s="103" t="n"/>
      <c r="AX2" s="103" t="n"/>
      <c r="AY2" s="71" t="n"/>
      <c r="AZ2" s="103" t="n"/>
      <c r="BA2" s="103" t="n"/>
      <c r="BB2" s="103" t="n"/>
      <c r="BC2" s="103" t="n"/>
      <c r="BD2" s="103" t="n"/>
      <c r="BE2" s="103" t="n"/>
      <c r="BF2" s="103" t="n"/>
      <c r="BG2" s="103" t="n"/>
      <c r="BH2" s="103" t="n"/>
    </row>
    <row r="3" ht="13.5" customFormat="1" customHeight="1" s="18">
      <c r="A3" s="173" t="n"/>
      <c r="AU3" s="103" t="n"/>
      <c r="AV3" s="103" t="n"/>
      <c r="AW3" s="103" t="n"/>
      <c r="AX3" s="103" t="n"/>
      <c r="AY3" s="73" t="n"/>
      <c r="AZ3" s="103" t="n"/>
      <c r="BA3" s="103" t="n"/>
      <c r="BB3" s="103" t="n"/>
      <c r="BC3" s="103" t="n"/>
      <c r="BD3" s="103" t="n"/>
      <c r="BE3" s="103" t="n"/>
      <c r="BF3" s="103" t="n"/>
      <c r="BG3" s="103" t="n"/>
      <c r="BH3" s="103" t="n"/>
    </row>
    <row r="4" ht="13.5" customFormat="1" customHeight="1" s="18">
      <c r="A4" s="74" t="n"/>
      <c r="AU4" s="103" t="n"/>
      <c r="AV4" s="103" t="n"/>
      <c r="AW4" s="103" t="n"/>
      <c r="AX4" s="103" t="n"/>
      <c r="AY4" s="75" t="n"/>
      <c r="AZ4" s="103" t="n"/>
      <c r="BA4" s="103" t="n"/>
      <c r="BB4" s="103" t="n"/>
      <c r="BC4" s="103" t="n"/>
      <c r="BD4" s="103" t="n"/>
      <c r="BE4" s="103" t="n"/>
      <c r="BF4" s="103" t="n"/>
      <c r="BG4" s="103" t="n"/>
      <c r="BH4" s="103" t="n"/>
    </row>
    <row r="5" ht="16.5" customHeight="1">
      <c r="A5" s="1964" t="n"/>
      <c r="AF5" s="64" t="n"/>
      <c r="AG5" s="199" t="n"/>
      <c r="AH5" s="199" t="n"/>
      <c r="AI5" s="64" t="n"/>
      <c r="AJ5" s="64" t="n"/>
      <c r="AK5" s="64" t="n"/>
      <c r="AL5" s="199" t="n"/>
      <c r="AO5" s="93" t="n"/>
      <c r="AT5" s="94" t="n"/>
      <c r="AU5" s="64" t="n"/>
      <c r="AV5" s="64" t="n"/>
      <c r="AW5" s="64" t="n"/>
      <c r="AX5" s="64" t="n"/>
      <c r="AY5" s="64" t="n"/>
      <c r="AZ5" s="64" t="n"/>
      <c r="BA5" s="64" t="n"/>
      <c r="BB5" s="64" t="n"/>
      <c r="BC5" s="64" t="n"/>
      <c r="BD5" s="64" t="n"/>
      <c r="BE5" s="64" t="n"/>
      <c r="BF5" s="64" t="n"/>
      <c r="BG5" s="64" t="n"/>
      <c r="BH5" s="64" t="n"/>
    </row>
    <row r="6" ht="9" customHeight="1">
      <c r="A6" s="600" t="n"/>
      <c r="B6" s="600" t="n"/>
      <c r="C6" s="600" t="n"/>
      <c r="D6" s="600" t="n"/>
      <c r="E6" s="600" t="n"/>
      <c r="F6" s="600" t="n"/>
      <c r="G6" s="600" t="n"/>
      <c r="H6" s="600" t="n"/>
      <c r="I6" s="600" t="n"/>
      <c r="J6" s="600" t="n"/>
      <c r="K6" s="600" t="n"/>
      <c r="L6" s="600" t="n"/>
      <c r="M6" s="600" t="n"/>
      <c r="N6" s="600" t="n"/>
      <c r="O6" s="600" t="n"/>
      <c r="P6" s="600" t="n"/>
      <c r="Q6" s="600" t="n"/>
      <c r="R6" s="600" t="n"/>
      <c r="S6" s="600" t="n"/>
      <c r="T6" s="600" t="n"/>
      <c r="U6" s="600" t="n"/>
      <c r="V6" s="600" t="n"/>
      <c r="W6" s="600" t="n"/>
      <c r="X6" s="600" t="n"/>
      <c r="Y6" s="600" t="n"/>
      <c r="Z6" s="600" t="n"/>
      <c r="AA6" s="600" t="n"/>
      <c r="AB6" s="600" t="n"/>
      <c r="AC6" s="600" t="n"/>
      <c r="AD6" s="600" t="n"/>
      <c r="AE6" s="600" t="n"/>
      <c r="AF6" s="64" t="n"/>
      <c r="AG6" s="76" t="n"/>
      <c r="AH6" s="76" t="n"/>
      <c r="AI6" s="64" t="n"/>
      <c r="AJ6" s="64" t="n"/>
      <c r="AK6" s="64" t="n"/>
      <c r="AL6" s="76" t="n"/>
      <c r="AM6" s="76" t="n"/>
      <c r="AN6" s="76" t="n"/>
      <c r="AO6" s="77" t="n"/>
      <c r="AP6" s="77" t="n"/>
      <c r="AQ6" s="77" t="n"/>
      <c r="AR6" s="77" t="n"/>
      <c r="AS6" s="77" t="n"/>
      <c r="AT6" s="78" t="n"/>
      <c r="AU6" s="64" t="n"/>
      <c r="AV6" s="64" t="n"/>
      <c r="AW6" s="64" t="n"/>
      <c r="AX6" s="64" t="n"/>
      <c r="AY6" s="64" t="n"/>
      <c r="AZ6" s="64" t="n"/>
      <c r="BA6" s="64" t="n"/>
      <c r="BB6" s="64" t="n"/>
      <c r="BC6" s="64" t="n"/>
      <c r="BD6" s="64" t="n"/>
      <c r="BE6" s="64" t="n"/>
      <c r="BF6" s="64" t="n"/>
      <c r="BG6" s="64" t="n"/>
      <c r="BH6" s="64" t="n"/>
    </row>
    <row r="7" ht="16.5" customHeight="1">
      <c r="A7" s="600" t="n"/>
      <c r="B7" s="600" t="n"/>
      <c r="C7" s="600" t="n"/>
      <c r="D7" s="600" t="n"/>
      <c r="E7" s="600" t="n"/>
      <c r="F7" s="600" t="n"/>
      <c r="G7" s="600" t="n"/>
      <c r="H7" s="600" t="n"/>
      <c r="I7" s="600" t="n"/>
      <c r="J7" s="600" t="n"/>
      <c r="K7" s="600" t="n"/>
      <c r="L7" s="600" t="n"/>
      <c r="M7" s="600" t="n"/>
      <c r="N7" s="600" t="n"/>
      <c r="O7" s="600" t="n"/>
      <c r="P7" s="600" t="n"/>
      <c r="Q7" s="600" t="n"/>
      <c r="R7" s="600" t="n"/>
      <c r="S7" s="600" t="n"/>
      <c r="T7" s="600" t="n"/>
      <c r="U7" s="600" t="n"/>
      <c r="V7" s="600" t="n"/>
      <c r="W7" s="600" t="n"/>
      <c r="X7" s="600" t="n"/>
      <c r="Y7" s="600" t="n"/>
      <c r="Z7" s="600" t="n"/>
      <c r="AA7" s="600" t="n"/>
      <c r="AB7" s="600" t="n"/>
      <c r="AC7" s="600" t="n"/>
      <c r="AD7" s="600" t="n"/>
      <c r="AE7" s="600" t="n"/>
      <c r="AF7" s="64" t="n"/>
      <c r="AG7" s="76" t="n"/>
      <c r="AH7" s="76" t="n"/>
      <c r="AI7" s="64" t="n"/>
      <c r="AJ7" s="64" t="n"/>
      <c r="AK7" s="64" t="n"/>
      <c r="AL7" s="76" t="n"/>
      <c r="AM7" s="76" t="n"/>
      <c r="AN7" s="76" t="n"/>
      <c r="AO7" s="77" t="n"/>
      <c r="AP7" s="77" t="n"/>
      <c r="AQ7" s="77" t="n"/>
      <c r="AR7" s="77" t="n"/>
      <c r="AS7" s="77" t="n"/>
      <c r="AT7" s="78" t="n"/>
      <c r="AU7" s="64" t="n"/>
      <c r="AV7" s="64" t="n"/>
      <c r="AW7" s="64" t="n"/>
      <c r="AX7" s="64" t="n"/>
      <c r="AY7" s="64" t="n"/>
      <c r="AZ7" s="64" t="n"/>
      <c r="BA7" s="64" t="n"/>
      <c r="BB7" s="64" t="n"/>
      <c r="BC7" s="64" t="n"/>
      <c r="BD7" s="64" t="n"/>
      <c r="BE7" s="64" t="n"/>
      <c r="BF7" s="64" t="n"/>
      <c r="BG7" s="64" t="n"/>
      <c r="BH7" s="64" t="n"/>
    </row>
    <row r="8" ht="16.5" customHeight="1">
      <c r="A8" s="600" t="n"/>
      <c r="B8" s="600" t="n"/>
      <c r="C8" s="600" t="n"/>
      <c r="D8" s="600" t="n"/>
      <c r="E8" s="600" t="n"/>
      <c r="F8" s="600" t="n"/>
      <c r="G8" s="600" t="n"/>
      <c r="H8" s="600" t="n"/>
      <c r="I8" s="600" t="n"/>
      <c r="J8" s="600" t="n"/>
      <c r="K8" s="600" t="n"/>
      <c r="L8" s="600" t="n"/>
      <c r="M8" s="600" t="n"/>
      <c r="N8" s="600" t="n"/>
      <c r="O8" s="600" t="n"/>
      <c r="P8" s="600" t="n"/>
      <c r="Q8" s="600" t="n"/>
      <c r="R8" s="600" t="n"/>
      <c r="S8" s="600" t="n"/>
      <c r="T8" s="600" t="n"/>
      <c r="U8" s="600" t="n"/>
      <c r="V8" s="600" t="n"/>
      <c r="W8" s="600" t="n"/>
      <c r="X8" s="600" t="n"/>
      <c r="Y8" s="600" t="n"/>
      <c r="Z8" s="600" t="n"/>
      <c r="AA8" s="600" t="n"/>
      <c r="AB8" s="600" t="n"/>
      <c r="AC8" s="600" t="n"/>
      <c r="AD8" s="600" t="n"/>
      <c r="AE8" s="600" t="n"/>
      <c r="AF8" s="64" t="n"/>
      <c r="AG8" s="76" t="n"/>
      <c r="AH8" s="76" t="n"/>
      <c r="AI8" s="64" t="n"/>
      <c r="AJ8" s="64" t="n"/>
      <c r="AK8" s="64" t="n"/>
      <c r="AL8" s="76" t="n"/>
      <c r="AM8" s="76" t="n"/>
      <c r="AN8" s="76" t="n"/>
      <c r="AO8" s="77" t="n"/>
      <c r="AP8" s="77" t="n"/>
      <c r="AQ8" s="77" t="n"/>
      <c r="AR8" s="77" t="n"/>
      <c r="AS8" s="77" t="n"/>
      <c r="AT8" s="78" t="n"/>
      <c r="AU8" s="64" t="n"/>
      <c r="AV8" s="64" t="n"/>
      <c r="AW8" s="64" t="n"/>
      <c r="AX8" s="64" t="n"/>
      <c r="AY8" s="64" t="n"/>
      <c r="AZ8" s="64" t="n"/>
      <c r="BA8" s="64" t="n"/>
      <c r="BB8" s="64" t="n"/>
      <c r="BC8" s="64" t="n"/>
      <c r="BD8" s="64" t="n"/>
      <c r="BE8" s="64" t="n"/>
      <c r="BF8" s="64" t="n"/>
      <c r="BG8" s="64" t="n"/>
      <c r="BH8" s="64" t="n"/>
    </row>
    <row r="9" ht="27.75" customHeight="1">
      <c r="A9" s="14" t="inlineStr">
        <is>
          <t>cÖZ¨qb cÎ</t>
        </is>
      </c>
      <c r="AU9" s="64" t="n"/>
      <c r="AV9" s="64" t="n"/>
      <c r="AW9" s="64" t="n"/>
      <c r="AX9" s="64" t="n"/>
      <c r="AY9" s="64" t="n"/>
      <c r="AZ9" s="64" t="n"/>
      <c r="BA9" s="64" t="n"/>
      <c r="BB9" s="64" t="n"/>
      <c r="BC9" s="64" t="n"/>
      <c r="BD9" s="64" t="n"/>
      <c r="BE9" s="64" t="n"/>
      <c r="BF9" s="64" t="n"/>
      <c r="BG9" s="64" t="n"/>
      <c r="BH9" s="64" t="n"/>
    </row>
    <row r="10" ht="16.5" customHeight="1">
      <c r="A10" s="600" t="n"/>
      <c r="B10" s="600" t="n"/>
      <c r="C10" s="600" t="n"/>
      <c r="D10" s="600" t="n"/>
      <c r="E10" s="600" t="n"/>
      <c r="F10" s="600" t="n"/>
      <c r="G10" s="600" t="n"/>
      <c r="H10" s="600" t="n"/>
      <c r="I10" s="600" t="n"/>
      <c r="J10" s="600" t="n"/>
      <c r="K10" s="600" t="n"/>
      <c r="L10" s="600" t="n"/>
      <c r="M10" s="600" t="n"/>
      <c r="N10" s="600" t="n"/>
      <c r="O10" s="600" t="inlineStr">
        <is>
          <t xml:space="preserve">                                                   </t>
        </is>
      </c>
      <c r="P10" s="600" t="n"/>
      <c r="Q10" s="600" t="n"/>
      <c r="R10" s="600" t="n"/>
      <c r="S10" s="600" t="n"/>
      <c r="T10" s="600" t="n"/>
      <c r="U10" s="600" t="n"/>
      <c r="V10" s="600" t="n"/>
      <c r="W10" s="600" t="n"/>
      <c r="X10" s="600" t="n"/>
      <c r="Y10" s="600" t="n"/>
      <c r="Z10" s="600" t="n"/>
      <c r="AA10" s="600" t="n"/>
      <c r="AB10" s="600" t="n"/>
      <c r="AC10" s="600" t="n"/>
      <c r="AD10" s="600" t="n"/>
      <c r="AE10" s="600" t="n"/>
      <c r="AF10" s="64" t="n"/>
      <c r="AG10" s="76" t="n"/>
      <c r="AH10" s="76" t="n"/>
      <c r="AI10" s="64" t="n"/>
      <c r="AJ10" s="64" t="n"/>
      <c r="AK10" s="64" t="n"/>
      <c r="AL10" s="76" t="n"/>
      <c r="AM10" s="76" t="n"/>
      <c r="AN10" s="76" t="n"/>
      <c r="AO10" s="77" t="n"/>
      <c r="AP10" s="77" t="n"/>
      <c r="AQ10" s="77" t="n"/>
      <c r="AR10" s="77" t="n"/>
      <c r="AS10" s="77" t="n"/>
      <c r="AT10" s="78" t="n"/>
      <c r="AU10" s="64" t="n"/>
      <c r="AV10" s="64" t="n"/>
      <c r="AW10" s="64" t="n"/>
      <c r="AX10" s="64" t="n"/>
      <c r="AY10" s="64" t="n"/>
      <c r="AZ10" s="64" t="n"/>
      <c r="BA10" s="64" t="n"/>
      <c r="BB10" s="64" t="n"/>
      <c r="BC10" s="64" t="n"/>
      <c r="BD10" s="64" t="n"/>
      <c r="BE10" s="64" t="n"/>
      <c r="BF10" s="64" t="n"/>
      <c r="BG10" s="64" t="n"/>
      <c r="BH10" s="64" t="n"/>
    </row>
    <row r="11" ht="16.5" customHeight="1">
      <c r="A11" s="600" t="n"/>
      <c r="B11" s="600" t="n"/>
      <c r="C11" s="600" t="n"/>
      <c r="D11" s="600" t="n"/>
      <c r="E11" s="600" t="n"/>
      <c r="F11" s="600" t="n"/>
      <c r="G11" s="600" t="n"/>
      <c r="H11" s="600" t="n"/>
      <c r="I11" s="600" t="n"/>
      <c r="J11" s="600" t="n"/>
      <c r="K11" s="600" t="n"/>
      <c r="L11" s="600" t="n"/>
      <c r="M11" s="600" t="n"/>
      <c r="N11" s="600" t="n"/>
      <c r="O11" s="600" t="n"/>
      <c r="P11" s="600" t="n"/>
      <c r="Q11" s="600" t="n"/>
      <c r="R11" s="600" t="n"/>
      <c r="S11" s="600" t="n"/>
      <c r="T11" s="600" t="n"/>
      <c r="U11" s="600" t="n"/>
      <c r="V11" s="600" t="n"/>
      <c r="W11" s="600" t="n"/>
      <c r="X11" s="600" t="n"/>
      <c r="Y11" s="600" t="n"/>
      <c r="Z11" s="600" t="n"/>
      <c r="AA11" s="600" t="n"/>
      <c r="AB11" s="600" t="n"/>
      <c r="AC11" s="600" t="n"/>
      <c r="AD11" s="600" t="n"/>
      <c r="AE11" s="600" t="n"/>
      <c r="AF11" s="64" t="n"/>
      <c r="AG11" s="76" t="n"/>
      <c r="AH11" s="76" t="n"/>
      <c r="AI11" s="64" t="n"/>
      <c r="AJ11" s="64" t="n"/>
      <c r="AK11" s="64" t="n"/>
      <c r="AL11" s="76" t="n"/>
      <c r="AM11" s="76" t="n"/>
      <c r="AN11" s="76" t="n"/>
      <c r="AO11" s="77" t="n"/>
      <c r="AP11" s="77" t="n"/>
      <c r="AQ11" s="77" t="n"/>
      <c r="AR11" s="77" t="n"/>
      <c r="AS11" s="77" t="n"/>
      <c r="AT11" s="78" t="n"/>
      <c r="AU11" s="64" t="n"/>
      <c r="AV11" s="64" t="n"/>
      <c r="AW11" s="64" t="n"/>
      <c r="AX11" s="64" t="n"/>
      <c r="AY11" s="64" t="n"/>
      <c r="AZ11" s="64" t="n"/>
      <c r="BA11" s="64" t="n"/>
      <c r="BB11" s="64" t="n"/>
      <c r="BC11" s="64" t="n"/>
      <c r="BD11" s="64" t="n"/>
      <c r="BE11" s="64" t="n"/>
      <c r="BF11" s="64" t="n"/>
      <c r="BG11" s="64" t="n"/>
      <c r="BH11" s="64" t="n"/>
    </row>
    <row r="12" ht="16.5" customHeight="1">
      <c r="A12" s="600" t="n"/>
      <c r="B12" s="600" t="n"/>
      <c r="C12" s="600" t="n"/>
      <c r="D12" s="600" t="n"/>
      <c r="E12" s="314">
        <f>"Ò"&amp;'Data Input'!D8&amp;"Ó Gi gvwjK "&amp;'Data Input'!D12&amp;", wcZv/¯^vgxi bvg t "&amp;'Data Input'!D13&amp;", gvZvi bvg t "&amp;'Data Input'!D14&amp;", mvs t "&amp;+'Data Input'!D17&amp;" Avgiv wb¤œ ¯^vÿiKvix weMZ "&amp;IF('LF-5'!R33="","    /       /20     ",TEXT('LF-5'!R33,"dd/mm/yyyy"))&amp;" Zvwi‡L Ò"&amp;'Data Input'!D8&amp;"Ó Gi e¨emv cÖwZôvbwU m‡iRwg‡b Z`šÍ K‡i Pvjy Ae¯’vq cvB|"</f>
        <v/>
      </c>
      <c r="AO12" s="77" t="n"/>
      <c r="AP12" s="77" t="n"/>
      <c r="AQ12" s="77" t="n"/>
      <c r="AR12" s="77" t="n"/>
      <c r="AS12" s="77" t="n"/>
      <c r="AT12" s="78" t="n"/>
      <c r="AU12" s="64" t="n"/>
      <c r="AV12" s="64" t="n"/>
      <c r="AW12" s="64" t="n"/>
      <c r="AX12" s="64" t="n"/>
      <c r="AY12" s="64" t="n"/>
      <c r="AZ12" s="64" t="n"/>
      <c r="BA12" s="64" t="n"/>
      <c r="BB12" s="64" t="n"/>
      <c r="BC12" s="64" t="n"/>
      <c r="BD12" s="64" t="n"/>
      <c r="BE12" s="64" t="n"/>
      <c r="BF12" s="64" t="n"/>
      <c r="BG12" s="64" t="n"/>
      <c r="BH12" s="64" t="n"/>
    </row>
    <row r="13" ht="60" customHeight="1">
      <c r="A13" s="600" t="n"/>
      <c r="B13" s="600" t="n"/>
      <c r="C13" s="600" t="n"/>
      <c r="D13" s="600" t="n"/>
      <c r="AO13" s="77" t="n"/>
      <c r="AP13" s="77" t="n"/>
      <c r="AQ13" s="77" t="n"/>
      <c r="AR13" s="77" t="n"/>
      <c r="AS13" s="77" t="n"/>
      <c r="AT13" s="78" t="n"/>
      <c r="AU13" s="64" t="n"/>
      <c r="AV13" s="64" t="n"/>
      <c r="AW13" s="64" t="n"/>
      <c r="AX13" s="64" t="n"/>
      <c r="AY13" s="64" t="n"/>
      <c r="AZ13" s="64" t="n"/>
      <c r="BA13" s="64" t="n"/>
      <c r="BB13" s="64" t="n"/>
      <c r="BC13" s="64" t="n"/>
      <c r="BD13" s="64" t="n"/>
      <c r="BE13" s="64" t="n"/>
      <c r="BF13" s="64" t="n"/>
      <c r="BG13" s="64" t="n"/>
      <c r="BH13" s="64" t="n"/>
    </row>
    <row r="14" ht="57.75" customFormat="1" customHeight="1" s="18">
      <c r="A14" s="375" t="n"/>
      <c r="B14" s="199" t="n"/>
      <c r="C14" s="199" t="n"/>
      <c r="D14" s="199" t="n"/>
      <c r="AO14" s="199" t="n"/>
      <c r="AP14" s="199" t="n"/>
      <c r="AQ14" s="199" t="n"/>
      <c r="AR14" s="199" t="n"/>
      <c r="AS14" s="199" t="n"/>
      <c r="AT14" s="199" t="n"/>
      <c r="AU14" s="103" t="n"/>
      <c r="AV14" s="103" t="n"/>
      <c r="AW14" s="103" t="n"/>
      <c r="AX14" s="103" t="n"/>
      <c r="AY14" s="103" t="n"/>
      <c r="AZ14" s="103" t="n"/>
      <c r="BA14" s="103" t="n"/>
      <c r="BB14" s="103" t="n"/>
      <c r="BC14" s="103" t="n"/>
      <c r="BD14" s="103" t="n"/>
      <c r="BE14" s="103" t="n"/>
      <c r="BF14" s="103" t="n"/>
      <c r="BG14" s="103" t="n"/>
      <c r="BH14" s="103" t="n"/>
    </row>
    <row r="15" ht="57.75" customFormat="1" customHeight="1" s="18">
      <c r="A15" s="199" t="n"/>
      <c r="B15" s="199" t="n"/>
      <c r="C15" s="199" t="n"/>
      <c r="D15" s="199" t="n"/>
      <c r="AO15" s="199" t="n"/>
      <c r="AP15" s="199" t="n"/>
      <c r="AQ15" s="199" t="n"/>
      <c r="AR15" s="199" t="n"/>
      <c r="AS15" s="199" t="n"/>
      <c r="AT15" s="199" t="n"/>
      <c r="AU15" s="103" t="n"/>
      <c r="AV15" s="103" t="n"/>
      <c r="AW15" s="103" t="n"/>
      <c r="AX15" s="103" t="n"/>
      <c r="AY15" s="103" t="n"/>
      <c r="AZ15" s="103" t="n"/>
      <c r="BA15" s="103" t="n"/>
      <c r="BB15" s="103" t="n"/>
      <c r="BC15" s="103" t="n"/>
      <c r="BD15" s="103" t="n"/>
      <c r="BE15" s="103" t="n"/>
      <c r="BF15" s="103" t="n"/>
      <c r="BG15" s="103" t="n"/>
      <c r="BH15" s="103" t="n"/>
    </row>
    <row r="16" ht="21" customFormat="1" customHeight="1" s="18">
      <c r="A16" s="199" t="n"/>
      <c r="B16" s="199" t="n"/>
      <c r="C16" s="199" t="n"/>
      <c r="D16" s="199" t="n"/>
      <c r="E16" s="199" t="n"/>
      <c r="F16" s="199" t="n"/>
      <c r="G16" s="199" t="n"/>
      <c r="H16" s="199" t="n"/>
      <c r="I16" s="199" t="n"/>
      <c r="J16" s="199" t="n"/>
      <c r="K16" s="199" t="n"/>
      <c r="L16" s="199" t="n"/>
      <c r="M16" s="199" t="n"/>
      <c r="N16" s="199" t="n"/>
      <c r="O16" s="199" t="n"/>
      <c r="P16" s="199" t="n"/>
      <c r="Q16" s="199" t="n"/>
      <c r="R16" s="199" t="n"/>
      <c r="S16" s="199" t="n"/>
      <c r="T16" s="199" t="n"/>
      <c r="U16" s="199" t="n"/>
      <c r="V16" s="199" t="n"/>
      <c r="W16" s="199" t="n"/>
      <c r="X16" s="199" t="n"/>
      <c r="Y16" s="199" t="n"/>
      <c r="Z16" s="199" t="n"/>
      <c r="AA16" s="199" t="n"/>
      <c r="AB16" s="199" t="n"/>
      <c r="AC16" s="199" t="n"/>
      <c r="AD16" s="199" t="n"/>
      <c r="AE16" s="199" t="n"/>
      <c r="AF16" s="199" t="n"/>
      <c r="AG16" s="199" t="n"/>
      <c r="AH16" s="199" t="n"/>
      <c r="AI16" s="199" t="n"/>
      <c r="AJ16" s="199" t="n"/>
      <c r="AK16" s="199" t="n"/>
      <c r="AL16" s="199" t="n"/>
      <c r="AM16" s="199" t="n"/>
      <c r="AN16" s="199" t="n"/>
      <c r="AO16" s="199" t="n"/>
      <c r="AP16" s="199" t="n"/>
      <c r="AQ16" s="199" t="n"/>
      <c r="AR16" s="199" t="n"/>
      <c r="AS16" s="199" t="n"/>
      <c r="AT16" s="199" t="n"/>
      <c r="AU16" s="103" t="n"/>
      <c r="AV16" s="103" t="n"/>
      <c r="AW16" s="103" t="n"/>
      <c r="AX16" s="103" t="n"/>
      <c r="AY16" s="103" t="n"/>
      <c r="AZ16" s="103" t="n"/>
      <c r="BA16" s="103" t="n"/>
      <c r="BB16" s="103" t="n"/>
      <c r="BC16" s="103" t="n"/>
      <c r="BD16" s="103" t="n"/>
      <c r="BE16" s="103" t="n"/>
      <c r="BF16" s="103" t="n"/>
      <c r="BG16" s="103" t="n"/>
      <c r="BH16" s="103" t="n"/>
    </row>
    <row r="17" ht="16.5" customHeight="1">
      <c r="A17" s="600" t="n"/>
      <c r="B17" s="600" t="n"/>
      <c r="C17" s="600" t="n"/>
      <c r="D17" s="600" t="n"/>
      <c r="E17" s="600" t="n"/>
      <c r="F17" s="600" t="n"/>
      <c r="G17" s="600" t="n"/>
      <c r="H17" s="600" t="n"/>
      <c r="I17" s="600" t="n"/>
      <c r="J17" s="600" t="n"/>
      <c r="K17" s="600" t="n"/>
      <c r="L17" s="600" t="n"/>
      <c r="M17" s="600" t="n"/>
      <c r="N17" s="600" t="n"/>
      <c r="O17" s="600" t="n"/>
      <c r="P17" s="600" t="n"/>
      <c r="Q17" s="600" t="n"/>
      <c r="R17" s="600" t="n"/>
      <c r="S17" s="600" t="n"/>
      <c r="T17" s="600" t="n"/>
      <c r="U17" s="600" t="n"/>
      <c r="V17" s="600" t="n"/>
      <c r="W17" s="600" t="n"/>
      <c r="X17" s="600" t="n"/>
      <c r="Y17" s="600" t="n"/>
      <c r="Z17" s="600" t="n"/>
      <c r="AA17" s="600" t="n"/>
      <c r="AB17" s="600" t="n"/>
      <c r="AC17" s="600" t="n"/>
      <c r="AD17" s="600" t="n"/>
      <c r="AE17" s="600" t="n"/>
      <c r="AF17" s="64" t="n"/>
      <c r="AG17" s="76" t="n"/>
      <c r="AH17" s="76" t="n"/>
      <c r="AI17" s="64" t="n"/>
      <c r="AJ17" s="64" t="n"/>
      <c r="AK17" s="64" t="n"/>
      <c r="AL17" s="76" t="n"/>
      <c r="AM17" s="76" t="n"/>
      <c r="AN17" s="76" t="n"/>
      <c r="AO17" s="77" t="n"/>
      <c r="AP17" s="77" t="n"/>
      <c r="AQ17" s="77" t="n"/>
      <c r="AR17" s="77" t="n"/>
      <c r="AS17" s="77" t="n"/>
      <c r="AT17" s="78" t="n"/>
      <c r="AU17" s="64" t="n"/>
      <c r="AV17" s="64" t="n"/>
      <c r="AW17" s="64" t="n"/>
      <c r="AX17" s="399" t="n"/>
      <c r="AY17" s="316" t="n"/>
      <c r="AZ17" s="64" t="n"/>
      <c r="BA17" s="64" t="n"/>
      <c r="BB17" s="64" t="n"/>
      <c r="BC17" s="64" t="n"/>
      <c r="BD17" s="64" t="n"/>
      <c r="BE17" s="64" t="n"/>
      <c r="BF17" s="64" t="n"/>
      <c r="BG17" s="64" t="n"/>
      <c r="BH17" s="64" t="n"/>
    </row>
    <row r="18" ht="18.75" customHeight="1">
      <c r="A18" s="1964" t="n"/>
      <c r="B18" s="1964" t="n"/>
      <c r="C18" s="1964" t="n"/>
      <c r="D18" s="1964" t="n"/>
      <c r="E18" s="1964" t="n"/>
      <c r="F18" s="1964" t="n"/>
      <c r="G18" s="1964" t="n"/>
      <c r="H18" s="1964" t="n"/>
      <c r="I18" s="1964" t="n"/>
      <c r="J18" s="1964" t="n"/>
      <c r="K18" s="1964" t="n"/>
      <c r="L18" s="1964" t="n"/>
      <c r="M18" s="1964" t="n"/>
      <c r="N18" s="1964" t="n"/>
      <c r="O18" s="1964" t="n"/>
      <c r="P18" s="1964" t="n"/>
      <c r="Q18" s="1964" t="n"/>
      <c r="R18" s="1964" t="n"/>
      <c r="S18" s="1964" t="n"/>
      <c r="T18" s="1964" t="n"/>
      <c r="U18" s="1964" t="n"/>
      <c r="V18" s="1964" t="n"/>
      <c r="W18" s="1964" t="n"/>
      <c r="X18" s="1964" t="n"/>
      <c r="Y18" s="1964" t="n"/>
      <c r="Z18" s="1964" t="n"/>
      <c r="AA18" s="1964" t="n"/>
      <c r="AB18" s="1964" t="n"/>
      <c r="AC18" s="1964" t="n"/>
      <c r="AD18" s="1964" t="n"/>
      <c r="AE18" s="1964" t="n"/>
      <c r="AF18" s="64" t="n"/>
      <c r="AG18" s="199" t="n"/>
      <c r="AH18" s="199" t="n"/>
      <c r="AI18" s="64" t="n"/>
      <c r="AJ18" s="64" t="n"/>
      <c r="AK18" s="64" t="n"/>
      <c r="AL18" s="199" t="n"/>
      <c r="AM18" s="199" t="n"/>
      <c r="AN18" s="199" t="n"/>
      <c r="AO18" s="93" t="n"/>
      <c r="AP18" s="93" t="n"/>
      <c r="AQ18" s="93" t="n"/>
      <c r="AR18" s="93" t="n"/>
      <c r="AS18" s="93" t="n"/>
      <c r="AT18" s="94" t="n"/>
      <c r="AU18" s="64" t="n"/>
      <c r="AV18" s="64" t="n"/>
      <c r="AW18" s="64" t="n"/>
      <c r="AX18" s="64" t="n"/>
      <c r="AY18" s="64" t="n"/>
      <c r="AZ18" s="64" t="n"/>
      <c r="BA18" s="64" t="n"/>
      <c r="BB18" s="64" t="n"/>
      <c r="BC18" s="64" t="n"/>
      <c r="BD18" s="64" t="n"/>
      <c r="BE18" s="64" t="n"/>
      <c r="BF18" s="64" t="n"/>
      <c r="BG18" s="64" t="n"/>
      <c r="BH18" s="64" t="n"/>
    </row>
    <row r="19" ht="22.5" customHeight="1">
      <c r="A19" s="1964" t="n"/>
      <c r="B19" s="1964" t="n"/>
      <c r="C19" s="1964" t="n"/>
      <c r="D19" s="1964" t="n"/>
      <c r="E19" s="1964" t="n"/>
      <c r="F19" s="1964" t="n"/>
      <c r="G19" s="1964" t="n"/>
      <c r="H19" s="1964" t="n"/>
      <c r="I19" s="1964" t="n"/>
      <c r="J19" s="1964" t="n"/>
      <c r="K19" s="1964" t="n"/>
      <c r="L19" s="1964" t="n"/>
      <c r="M19" s="1964" t="n"/>
      <c r="N19" s="1964" t="n"/>
      <c r="O19" s="1964" t="n"/>
      <c r="P19" s="1964" t="n"/>
      <c r="Q19" s="1964" t="n"/>
      <c r="R19" s="1964" t="n"/>
      <c r="S19" s="1964" t="n"/>
      <c r="T19" s="1964" t="n"/>
      <c r="U19" s="1964" t="n"/>
      <c r="V19" s="1964" t="n"/>
      <c r="W19" s="1964" t="n"/>
      <c r="X19" s="1964" t="n"/>
      <c r="Y19" s="1964" t="n"/>
      <c r="Z19" s="1964" t="n"/>
      <c r="AA19" s="1964" t="n"/>
      <c r="AB19" s="1964" t="n"/>
      <c r="AC19" s="219" t="n"/>
      <c r="AQ19" s="93" t="n"/>
      <c r="AR19" s="93" t="n"/>
      <c r="AS19" s="93" t="n"/>
      <c r="AT19" s="94" t="n"/>
      <c r="AU19" s="64" t="n"/>
      <c r="AV19" s="64" t="n"/>
      <c r="AW19" s="64" t="n"/>
      <c r="AX19" s="64" t="n"/>
      <c r="AY19" s="64" t="n"/>
      <c r="AZ19" s="64" t="n"/>
      <c r="BA19" s="64" t="n"/>
      <c r="BB19" s="64" t="n"/>
      <c r="BC19" s="64" t="n"/>
      <c r="BD19" s="64" t="n"/>
      <c r="BE19" s="64" t="n"/>
      <c r="BF19" s="64" t="n"/>
      <c r="BG19" s="64" t="n"/>
      <c r="BH19" s="64" t="n"/>
    </row>
    <row r="20" ht="82.5" customHeight="1">
      <c r="A20" s="1964" t="n"/>
      <c r="B20" s="1964" t="n"/>
      <c r="C20" s="1964" t="n"/>
      <c r="D20" s="1964" t="n"/>
      <c r="E20" s="1964" t="n"/>
      <c r="F20" s="1964" t="n"/>
      <c r="G20" s="1964" t="n"/>
      <c r="H20" s="1964" t="n"/>
      <c r="I20" s="1964" t="n"/>
      <c r="J20" s="1964" t="n"/>
      <c r="K20" s="1964" t="n"/>
      <c r="L20" s="1964" t="n"/>
      <c r="M20" s="1964" t="n"/>
      <c r="N20" s="1964" t="n"/>
      <c r="O20" s="1964" t="n"/>
      <c r="P20" s="1964" t="n"/>
      <c r="Q20" s="1964" t="n"/>
      <c r="R20" s="1964" t="n"/>
      <c r="S20" s="1964" t="n"/>
      <c r="T20" s="1964" t="n"/>
      <c r="U20" s="1964" t="n"/>
      <c r="V20" s="1964" t="n"/>
      <c r="W20" s="1964" t="n"/>
      <c r="X20" s="1964" t="n"/>
      <c r="Y20" s="1964" t="n"/>
      <c r="Z20" s="1964" t="n"/>
      <c r="AA20" s="1964" t="n"/>
      <c r="AB20" s="1964" t="n"/>
      <c r="AC20" s="1964" t="n"/>
      <c r="AD20" s="1964" t="n"/>
      <c r="AE20" s="219" t="n"/>
      <c r="AP20" s="93" t="n"/>
      <c r="AQ20" s="93" t="n"/>
      <c r="AR20" s="93" t="n"/>
      <c r="AS20" s="93" t="n"/>
      <c r="AT20" s="94" t="n"/>
      <c r="AU20" s="64" t="n"/>
      <c r="AV20" s="64" t="n"/>
      <c r="AW20" s="64" t="n"/>
      <c r="AX20" s="64" t="n"/>
      <c r="AY20" s="64" t="n"/>
      <c r="AZ20" s="64" t="n"/>
      <c r="BA20" s="64" t="n"/>
      <c r="BB20" s="64" t="n"/>
      <c r="BC20" s="64" t="n"/>
      <c r="BD20" s="64" t="n"/>
      <c r="BE20" s="64" t="n"/>
      <c r="BF20" s="64" t="n"/>
      <c r="BG20" s="64" t="n"/>
      <c r="BH20" s="64" t="n"/>
    </row>
    <row r="21" ht="17.25" customHeight="1">
      <c r="A21" s="63" t="n"/>
      <c r="B21" s="222">
        <f>Valuation!A95</f>
        <v/>
      </c>
      <c r="Q21" s="64" t="n"/>
      <c r="R21" s="64" t="n"/>
      <c r="S21" s="64" t="n"/>
      <c r="T21" s="64" t="n"/>
      <c r="U21" s="64" t="n"/>
      <c r="V21" s="64" t="n"/>
      <c r="W21" s="64" t="n"/>
      <c r="X21" s="64" t="n"/>
      <c r="Y21" s="64" t="n"/>
      <c r="Z21" s="64" t="n"/>
      <c r="AA21" s="64" t="n"/>
      <c r="AB21" s="64" t="n"/>
      <c r="AC21" s="219" t="inlineStr">
        <is>
          <t>e¨e¯’vcK</t>
        </is>
      </c>
      <c r="AR21" s="64" t="n"/>
      <c r="AS21" s="64" t="n"/>
      <c r="AT21" s="64" t="n"/>
      <c r="AU21" s="64" t="n"/>
      <c r="AV21" s="64" t="n"/>
      <c r="AW21" s="96" t="n"/>
      <c r="AX21" s="96" t="n"/>
      <c r="AY21" s="96" t="n"/>
      <c r="AZ21" s="96" t="n"/>
      <c r="BA21" s="96" t="n"/>
      <c r="BB21" s="96" t="n"/>
      <c r="BC21" s="96" t="n"/>
      <c r="BD21" s="96" t="n"/>
      <c r="BE21" s="96" t="n"/>
      <c r="BF21" s="96" t="n"/>
      <c r="BG21" s="96" t="n"/>
      <c r="BH21" s="96" t="n"/>
    </row>
    <row r="22" ht="17.25" customHeight="1">
      <c r="A22" s="63" t="n"/>
      <c r="B22" s="168" t="n"/>
      <c r="C22" s="64" t="n"/>
      <c r="D22" s="64" t="n"/>
      <c r="E22" s="64" t="n"/>
      <c r="F22" s="96" t="n"/>
      <c r="G22" s="96" t="n"/>
      <c r="H22" s="96" t="n"/>
      <c r="I22" s="96" t="n"/>
      <c r="J22" s="96" t="n"/>
      <c r="K22" s="96" t="n"/>
      <c r="L22" s="96" t="n"/>
      <c r="M22" s="96" t="n"/>
      <c r="N22" s="64" t="n"/>
      <c r="O22" s="64" t="n"/>
      <c r="P22" s="64" t="n"/>
      <c r="Q22" s="64" t="n"/>
      <c r="R22" s="64" t="n"/>
      <c r="S22" s="64" t="n"/>
      <c r="T22" s="64" t="n"/>
      <c r="U22" s="64" t="n"/>
      <c r="V22" s="64" t="n"/>
      <c r="W22" s="64" t="n"/>
      <c r="X22" s="64" t="n"/>
      <c r="Y22" s="64" t="n"/>
      <c r="Z22" s="64" t="n"/>
      <c r="AA22" s="64" t="n"/>
      <c r="AB22" s="64" t="n"/>
      <c r="AC22" s="219" t="n"/>
      <c r="AR22" s="64" t="n"/>
      <c r="AS22" s="64" t="n"/>
      <c r="AT22" s="64" t="n"/>
      <c r="AU22" s="64" t="n"/>
      <c r="AV22" s="64" t="n"/>
      <c r="AW22" s="96" t="n"/>
      <c r="AX22" s="96" t="n"/>
      <c r="AY22" s="96" t="n"/>
      <c r="AZ22" s="96" t="n"/>
      <c r="BA22" s="96" t="n"/>
      <c r="BB22" s="96" t="n"/>
      <c r="BC22" s="96" t="n"/>
      <c r="BD22" s="96" t="n"/>
      <c r="BE22" s="96" t="n"/>
      <c r="BF22" s="96" t="n"/>
      <c r="BG22" s="96" t="n"/>
      <c r="BH22" s="96" t="n"/>
    </row>
    <row r="23" ht="17.25" customHeight="1">
      <c r="A23" s="63" t="n"/>
      <c r="B23" s="168" t="n"/>
      <c r="C23" s="1964" t="n"/>
      <c r="F23" s="96" t="n"/>
      <c r="G23" s="96" t="n"/>
      <c r="H23" s="96" t="n"/>
      <c r="I23" s="96" t="n"/>
      <c r="J23" s="96" t="n"/>
      <c r="K23" s="96" t="n"/>
      <c r="L23" s="96" t="n"/>
      <c r="M23" s="96" t="n"/>
      <c r="N23" s="64" t="n"/>
      <c r="O23" s="64" t="n"/>
      <c r="P23" s="64" t="n"/>
      <c r="Q23" s="64" t="n"/>
      <c r="R23" s="64" t="n"/>
      <c r="S23" s="64" t="n"/>
      <c r="T23" s="64" t="n"/>
      <c r="U23" s="64" t="n"/>
      <c r="V23" s="64" t="n"/>
      <c r="W23" s="64" t="n"/>
      <c r="X23" s="64" t="n"/>
      <c r="Y23" s="64" t="n"/>
      <c r="Z23" s="64" t="n"/>
      <c r="AA23" s="64" t="n"/>
      <c r="AB23" s="64" t="n"/>
      <c r="AC23" s="219" t="n"/>
      <c r="AR23" s="64" t="n"/>
      <c r="AS23" s="64" t="n"/>
      <c r="AT23" s="64" t="n"/>
      <c r="AU23" s="64" t="n"/>
      <c r="AV23" s="64" t="n"/>
      <c r="AW23" s="96" t="n"/>
      <c r="AX23" s="96" t="n"/>
      <c r="AY23" s="96" t="n"/>
      <c r="AZ23" s="96" t="n"/>
      <c r="BA23" s="96" t="n"/>
      <c r="BB23" s="96" t="n"/>
      <c r="BC23" s="96" t="n"/>
      <c r="BD23" s="96" t="n"/>
      <c r="BE23" s="96" t="n"/>
      <c r="BF23" s="96" t="n"/>
      <c r="BG23" s="96" t="n"/>
      <c r="BH23" s="96" t="n"/>
    </row>
    <row r="24" ht="17.25" customHeight="1">
      <c r="A24" s="63" t="n"/>
      <c r="B24" s="168" t="n"/>
      <c r="C24" s="1964" t="n"/>
      <c r="D24" s="1964" t="n"/>
      <c r="E24" s="1964" t="n"/>
      <c r="F24" s="96" t="n"/>
      <c r="G24" s="96" t="n"/>
      <c r="H24" s="96" t="n"/>
      <c r="I24" s="96" t="n"/>
      <c r="J24" s="96" t="n"/>
      <c r="K24" s="96" t="n"/>
      <c r="L24" s="96" t="n"/>
      <c r="M24" s="96" t="n"/>
      <c r="N24" s="64" t="n"/>
      <c r="O24" s="64" t="n"/>
      <c r="P24" s="64" t="n"/>
      <c r="Q24" s="64" t="n"/>
      <c r="R24" s="64" t="n"/>
      <c r="S24" s="64" t="n"/>
      <c r="T24" s="64" t="n"/>
      <c r="U24" s="64" t="n"/>
      <c r="V24" s="64" t="n"/>
      <c r="W24" s="64" t="n"/>
      <c r="X24" s="64" t="n"/>
      <c r="Y24" s="64" t="n"/>
      <c r="Z24" s="64" t="n"/>
      <c r="AA24" s="64" t="n"/>
      <c r="AB24" s="64" t="n"/>
      <c r="AC24" s="1324" t="n"/>
      <c r="AR24" s="64" t="n"/>
      <c r="AS24" s="64" t="n"/>
      <c r="AT24" s="64" t="n"/>
      <c r="AU24" s="64" t="n"/>
      <c r="AV24" s="64" t="n"/>
      <c r="AW24" s="96" t="n"/>
      <c r="AX24" s="96" t="n"/>
      <c r="AY24" s="96" t="n"/>
      <c r="AZ24" s="96" t="n"/>
      <c r="BA24" s="199" t="n"/>
      <c r="BB24" s="199" t="n"/>
      <c r="BC24" s="199" t="n"/>
      <c r="BD24" s="199" t="n"/>
      <c r="BE24" s="64" t="n"/>
      <c r="BF24" s="64" t="n"/>
      <c r="BG24" s="64" t="n"/>
      <c r="BH24" s="64" t="n"/>
    </row>
    <row r="25" ht="18.75" customHeight="1">
      <c r="A25" s="63" t="n"/>
      <c r="B25" s="168" t="n"/>
      <c r="C25" s="1964" t="n"/>
      <c r="D25" s="1964" t="n"/>
      <c r="E25" s="1964" t="n"/>
      <c r="F25" s="96" t="n"/>
      <c r="G25" s="96" t="n"/>
      <c r="H25" s="96" t="n"/>
      <c r="I25" s="96" t="n"/>
      <c r="J25" s="96" t="n"/>
      <c r="K25" s="96" t="n"/>
      <c r="L25" s="96" t="n"/>
      <c r="M25" s="96" t="n"/>
      <c r="N25" s="64" t="n"/>
      <c r="O25" s="64" t="n"/>
      <c r="P25" s="64" t="n"/>
      <c r="Q25" s="64" t="n"/>
      <c r="R25" s="64" t="n"/>
      <c r="S25" s="64" t="n"/>
      <c r="T25" s="64" t="n"/>
      <c r="U25" s="64" t="n"/>
      <c r="V25" s="64" t="n"/>
      <c r="W25" s="64" t="n"/>
      <c r="X25" s="64" t="n"/>
      <c r="Y25" s="64" t="n"/>
      <c r="Z25" s="64" t="n"/>
      <c r="AA25" s="64" t="n"/>
      <c r="AB25" s="64" t="n"/>
      <c r="AC25" s="64" t="n"/>
      <c r="AD25" s="64" t="n"/>
      <c r="AE25" s="64" t="n"/>
      <c r="AF25" s="64" t="n"/>
      <c r="AG25" s="64" t="n"/>
      <c r="AH25" s="64" t="n"/>
      <c r="AI25" s="64" t="n"/>
      <c r="AJ25" s="64" t="n"/>
      <c r="AK25" s="64" t="n"/>
      <c r="AL25" s="64" t="n"/>
      <c r="AM25" s="64" t="n"/>
      <c r="AN25" s="64" t="n"/>
      <c r="AO25" s="64" t="n"/>
      <c r="AP25" s="64" t="n"/>
      <c r="AQ25" s="64" t="n"/>
      <c r="AR25" s="64" t="n"/>
      <c r="AS25" s="64" t="n"/>
      <c r="AT25" s="64" t="n"/>
      <c r="AU25" s="64" t="n"/>
      <c r="AV25" s="64" t="n"/>
      <c r="AW25" s="96" t="n"/>
      <c r="AX25" s="96" t="n"/>
      <c r="AY25" s="96" t="n"/>
      <c r="AZ25" s="96" t="n"/>
      <c r="BA25" s="199" t="n"/>
      <c r="BB25" s="199" t="n"/>
      <c r="BC25" s="199" t="n"/>
      <c r="BD25" s="199" t="n"/>
      <c r="BE25" s="64" t="n"/>
      <c r="BF25" s="64" t="n"/>
      <c r="BG25" s="64" t="n"/>
      <c r="BH25" s="64" t="n"/>
    </row>
    <row r="26" ht="18.75" customHeight="1">
      <c r="A26" s="63" t="n"/>
      <c r="B26" s="100" t="n"/>
      <c r="C26" s="600" t="n"/>
      <c r="F26" s="64" t="n"/>
      <c r="G26" s="64" t="n"/>
      <c r="H26" s="64" t="n"/>
      <c r="I26" s="64" t="n"/>
      <c r="J26" s="64" t="n"/>
      <c r="K26" s="64" t="n"/>
      <c r="L26" s="64" t="n"/>
      <c r="M26" s="64" t="n"/>
      <c r="N26" s="64" t="n"/>
      <c r="O26" s="64" t="n"/>
      <c r="P26" s="64" t="n"/>
      <c r="Q26" s="64" t="n"/>
      <c r="R26" s="64" t="n"/>
      <c r="S26" s="64" t="n"/>
      <c r="T26" s="64" t="n"/>
      <c r="U26" s="64" t="n"/>
      <c r="V26" s="64" t="n"/>
      <c r="W26" s="64" t="n"/>
      <c r="X26" s="64" t="n"/>
      <c r="Y26" s="64" t="n"/>
      <c r="Z26" s="64" t="n"/>
      <c r="AA26" s="64" t="n"/>
      <c r="AB26" s="64" t="n"/>
      <c r="AC26" s="64" t="n"/>
      <c r="AD26" s="64" t="n"/>
      <c r="AE26" s="64" t="n"/>
      <c r="AF26" s="64" t="n"/>
      <c r="AG26" s="64" t="n"/>
      <c r="AH26" s="64" t="n"/>
      <c r="AI26" s="64" t="n"/>
      <c r="AJ26" s="64" t="n"/>
      <c r="AK26" s="64" t="n"/>
      <c r="AL26" s="64" t="n"/>
      <c r="AM26" s="64" t="n"/>
      <c r="AN26" s="64" t="n"/>
      <c r="AO26" s="64" t="n"/>
      <c r="AP26" s="64" t="n"/>
      <c r="AQ26" s="64" t="n"/>
      <c r="AR26" s="64" t="n"/>
      <c r="AS26" s="64" t="n"/>
      <c r="AT26" s="64" t="n"/>
      <c r="AU26" s="64" t="n"/>
      <c r="AV26" s="64" t="n"/>
      <c r="AW26" s="64" t="n"/>
      <c r="AX26" s="64" t="n"/>
      <c r="AY26" s="64" t="n"/>
      <c r="AZ26" s="64" t="n"/>
      <c r="BA26" s="76" t="n"/>
      <c r="BB26" s="76" t="n"/>
      <c r="BC26" s="76" t="n"/>
      <c r="BD26" s="76" t="n"/>
      <c r="BE26" s="64" t="n"/>
      <c r="BF26" s="64" t="n"/>
      <c r="BG26" s="64" t="n"/>
      <c r="BH26" s="64" t="n"/>
    </row>
    <row r="27" ht="18.75" customHeight="1">
      <c r="A27" s="63" t="n"/>
      <c r="B27" s="100" t="n"/>
      <c r="C27" s="600" t="n"/>
      <c r="F27" s="64" t="n"/>
      <c r="G27" s="64" t="n"/>
      <c r="H27" s="64" t="n"/>
      <c r="I27" s="64" t="n"/>
      <c r="J27" s="64" t="n"/>
      <c r="K27" s="64" t="n"/>
      <c r="L27" s="64" t="n"/>
      <c r="M27" s="64" t="n"/>
      <c r="N27" s="64" t="n"/>
      <c r="O27" s="64" t="n"/>
      <c r="P27" s="64" t="n"/>
      <c r="Q27" s="64" t="n"/>
      <c r="R27" s="64" t="n"/>
      <c r="S27" s="64" t="n"/>
      <c r="T27" s="64" t="n"/>
      <c r="U27" s="64" t="n"/>
      <c r="V27" s="64" t="n"/>
      <c r="W27" s="64" t="n"/>
      <c r="X27" s="64" t="n"/>
      <c r="Y27" s="64" t="n"/>
      <c r="Z27" s="64" t="n"/>
      <c r="AA27" s="64" t="n"/>
      <c r="AB27" s="64" t="n"/>
      <c r="AC27" s="64" t="n"/>
      <c r="AD27" s="64" t="n"/>
      <c r="AE27" s="64" t="n"/>
      <c r="AF27" s="64" t="n"/>
      <c r="AG27" s="64" t="n"/>
      <c r="AH27" s="64" t="n"/>
      <c r="AI27" s="64" t="n"/>
      <c r="AJ27" s="64" t="n"/>
      <c r="AK27" s="64" t="n"/>
      <c r="AL27" s="64" t="n"/>
      <c r="AM27" s="64" t="n"/>
      <c r="AN27" s="64" t="n"/>
      <c r="AO27" s="64" t="n"/>
      <c r="AP27" s="64" t="n"/>
      <c r="AQ27" s="64" t="n"/>
      <c r="AR27" s="64" t="n"/>
      <c r="AS27" s="64" t="n"/>
      <c r="AT27" s="64" t="n"/>
      <c r="AU27" s="64" t="n"/>
      <c r="AV27" s="64" t="n"/>
      <c r="AW27" s="64" t="n"/>
      <c r="AX27" s="64" t="n"/>
      <c r="AY27" s="64" t="n"/>
      <c r="AZ27" s="64" t="n"/>
      <c r="BA27" s="76" t="n"/>
      <c r="BB27" s="76" t="n"/>
      <c r="BC27" s="76" t="n"/>
      <c r="BD27" s="76" t="n"/>
      <c r="BE27" s="64" t="n"/>
      <c r="BF27" s="64" t="n"/>
      <c r="BG27" s="64" t="n"/>
      <c r="BH27" s="64" t="n"/>
    </row>
    <row r="28" ht="11.25" customFormat="1" customHeight="1" s="18">
      <c r="A28" s="375" t="n"/>
      <c r="B28" s="100" t="n"/>
      <c r="C28" s="103" t="n"/>
      <c r="D28" s="103" t="n"/>
      <c r="E28" s="103" t="n"/>
      <c r="F28" s="103" t="n"/>
      <c r="G28" s="103" t="n"/>
      <c r="H28" s="103" t="n"/>
      <c r="I28" s="103" t="n"/>
      <c r="J28" s="103" t="n"/>
      <c r="K28" s="103" t="n"/>
      <c r="L28" s="103" t="n"/>
      <c r="M28" s="103" t="n"/>
      <c r="N28" s="103" t="n"/>
      <c r="O28" s="103" t="n"/>
      <c r="P28" s="103" t="n"/>
      <c r="Q28" s="103" t="n"/>
      <c r="R28" s="103" t="n"/>
      <c r="S28" s="103" t="n"/>
      <c r="T28" s="103" t="n"/>
      <c r="U28" s="103" t="n"/>
      <c r="V28" s="103" t="n"/>
      <c r="W28" s="103" t="n"/>
      <c r="X28" s="103" t="n"/>
      <c r="Y28" s="103" t="n"/>
      <c r="Z28" s="103" t="n"/>
      <c r="AA28" s="103" t="n"/>
      <c r="AB28" s="103" t="n"/>
      <c r="AC28" s="103" t="n"/>
      <c r="AD28" s="103" t="n"/>
      <c r="AE28" s="103" t="n"/>
      <c r="AF28" s="103" t="n"/>
      <c r="AG28" s="103" t="n"/>
      <c r="AH28" s="103" t="n"/>
      <c r="AI28" s="103" t="n"/>
      <c r="AJ28" s="103" t="n"/>
      <c r="AK28" s="103" t="n"/>
      <c r="AL28" s="103" t="n"/>
      <c r="AM28" s="103" t="n"/>
      <c r="AN28" s="103" t="n"/>
      <c r="AO28" s="103" t="n"/>
      <c r="AP28" s="103" t="n"/>
      <c r="AQ28" s="103" t="n"/>
      <c r="AR28" s="103" t="n"/>
      <c r="AS28" s="103" t="n"/>
      <c r="AT28" s="103" t="n"/>
      <c r="AU28" s="103" t="n"/>
      <c r="AV28" s="103" t="n"/>
      <c r="AW28" s="103" t="n"/>
      <c r="AX28" s="103" t="n"/>
      <c r="AY28" s="103" t="n"/>
      <c r="AZ28" s="103" t="n"/>
      <c r="BA28" s="103" t="n"/>
      <c r="BB28" s="103" t="n"/>
      <c r="BC28" s="103" t="n"/>
      <c r="BD28" s="103" t="n"/>
      <c r="BE28" s="103" t="n"/>
      <c r="BF28" s="103" t="n"/>
      <c r="BG28" s="103" t="n"/>
      <c r="BH28" s="103" t="n"/>
    </row>
    <row r="29" ht="18.75" customFormat="1" customHeight="1" s="18">
      <c r="A29" s="375" t="n"/>
      <c r="B29" s="100" t="n"/>
      <c r="C29" s="103" t="n"/>
      <c r="D29" s="103" t="n"/>
      <c r="E29" s="103" t="n"/>
      <c r="F29" s="103" t="n"/>
      <c r="G29" s="103" t="n"/>
      <c r="H29" s="103" t="n"/>
      <c r="I29" s="103" t="n"/>
      <c r="J29" s="103" t="n"/>
      <c r="K29" s="103" t="n"/>
      <c r="L29" s="103" t="n"/>
      <c r="M29" s="103" t="n"/>
      <c r="N29" s="103" t="n"/>
      <c r="O29" s="103" t="n"/>
      <c r="P29" s="103" t="n"/>
      <c r="Q29" s="103" t="n"/>
      <c r="R29" s="103" t="n"/>
      <c r="S29" s="103" t="n"/>
      <c r="T29" s="103" t="n"/>
      <c r="U29" s="103" t="n"/>
      <c r="V29" s="103" t="n"/>
      <c r="W29" s="103" t="n"/>
      <c r="X29" s="103" t="n"/>
      <c r="Y29" s="103" t="n"/>
      <c r="Z29" s="103" t="n"/>
      <c r="AA29" s="103" t="n"/>
      <c r="AB29" s="103" t="n"/>
      <c r="AC29" s="103" t="n"/>
      <c r="AD29" s="103" t="n"/>
      <c r="AE29" s="103" t="n"/>
      <c r="AF29" s="103" t="n"/>
      <c r="AG29" s="103" t="n"/>
      <c r="AH29" s="103" t="n"/>
      <c r="AI29" s="103" t="n"/>
      <c r="AJ29" s="103" t="n"/>
      <c r="AK29" s="103" t="n"/>
      <c r="AL29" s="103" t="n"/>
      <c r="AM29" s="103" t="n"/>
      <c r="AN29" s="103" t="n"/>
      <c r="AO29" s="103" t="n"/>
      <c r="AP29" s="103" t="n"/>
      <c r="AQ29" s="103" t="n"/>
      <c r="AR29" s="103" t="n"/>
      <c r="AS29" s="103" t="n"/>
      <c r="AT29" s="103" t="n"/>
      <c r="AU29" s="103" t="n"/>
      <c r="AV29" s="103" t="n"/>
      <c r="AW29" s="103" t="n"/>
      <c r="AX29" s="103" t="n"/>
      <c r="AY29" s="103" t="n"/>
      <c r="AZ29" s="103" t="n"/>
      <c r="BA29" s="103" t="n"/>
      <c r="BB29" s="103" t="n"/>
      <c r="BC29" s="103" t="n"/>
      <c r="BD29" s="103" t="n"/>
      <c r="BE29" s="103" t="n"/>
      <c r="BF29" s="103" t="n"/>
      <c r="BG29" s="103" t="n"/>
      <c r="BH29" s="103" t="n"/>
    </row>
    <row r="30" ht="18.75" customHeight="1">
      <c r="A30" s="600" t="n"/>
      <c r="B30" s="186" t="n"/>
      <c r="C30" s="64" t="n"/>
      <c r="D30" s="64" t="n"/>
      <c r="E30" s="64" t="n"/>
      <c r="F30" s="64" t="n"/>
      <c r="G30" s="64" t="n"/>
      <c r="H30" s="64" t="n"/>
      <c r="I30" s="64" t="n"/>
      <c r="J30" s="64" t="n"/>
      <c r="K30" s="64" t="n"/>
      <c r="L30" s="64" t="n"/>
      <c r="M30" s="64" t="n"/>
      <c r="N30" s="64" t="n"/>
      <c r="O30" s="64" t="n"/>
      <c r="P30" s="64" t="n"/>
      <c r="Q30" s="64" t="n"/>
      <c r="R30" s="64" t="n"/>
      <c r="S30" s="64" t="n"/>
      <c r="T30" s="64" t="n"/>
      <c r="U30" s="64" t="n"/>
      <c r="V30" s="64" t="n"/>
      <c r="W30" s="64" t="n"/>
      <c r="X30" s="64" t="n"/>
      <c r="Y30" s="64" t="n"/>
      <c r="Z30" s="64" t="n"/>
      <c r="AA30" s="64" t="n"/>
      <c r="AB30" s="64" t="n"/>
      <c r="AC30" s="64" t="n"/>
      <c r="AD30" s="64" t="n"/>
      <c r="AE30" s="64" t="n"/>
      <c r="AF30" s="64" t="n"/>
      <c r="AG30" s="64" t="n"/>
      <c r="AH30" s="64" t="n"/>
      <c r="AI30" s="64" t="n"/>
      <c r="AJ30" s="64" t="n"/>
      <c r="AK30" s="64" t="n"/>
      <c r="AL30" s="64" t="n"/>
      <c r="AM30" s="64" t="n"/>
      <c r="AN30" s="64" t="n"/>
      <c r="AO30" s="64" t="n"/>
      <c r="AP30" s="64" t="n"/>
      <c r="AQ30" s="64" t="n"/>
      <c r="AR30" s="64" t="n"/>
      <c r="AS30" s="64" t="n"/>
      <c r="AT30" s="64" t="n"/>
      <c r="AU30" s="64" t="n"/>
      <c r="AV30" s="64" t="n"/>
      <c r="AW30" s="64" t="n"/>
      <c r="AX30" s="64" t="n"/>
      <c r="AY30" s="64" t="n"/>
      <c r="AZ30" s="64" t="n"/>
      <c r="BA30" s="64" t="n"/>
      <c r="BB30" s="64" t="n"/>
      <c r="BC30" s="64" t="n"/>
      <c r="BD30" s="64" t="n"/>
      <c r="BE30" s="64" t="n"/>
      <c r="BF30" s="64" t="n"/>
      <c r="BG30" s="64" t="n"/>
      <c r="BH30" s="64" t="n"/>
    </row>
    <row r="31" ht="18.75" customHeight="1">
      <c r="A31" s="600" t="n"/>
      <c r="B31" s="186" t="n"/>
      <c r="C31" s="64" t="n"/>
      <c r="D31" s="64" t="n"/>
      <c r="E31" s="64" t="n"/>
      <c r="F31" s="64" t="n"/>
      <c r="G31" s="64" t="n"/>
      <c r="H31" s="64" t="n"/>
      <c r="I31" s="64" t="n"/>
      <c r="J31" s="64" t="n"/>
      <c r="K31" s="64" t="n"/>
      <c r="L31" s="64" t="n"/>
      <c r="M31" s="64" t="n"/>
      <c r="N31" s="64" t="n"/>
      <c r="O31" s="64" t="n"/>
      <c r="P31" s="64" t="n"/>
      <c r="Q31" s="64" t="n"/>
      <c r="R31" s="64" t="n"/>
      <c r="S31" s="64" t="n"/>
      <c r="T31" s="64" t="n"/>
      <c r="U31" s="64" t="n"/>
      <c r="V31" s="64" t="n"/>
      <c r="W31" s="64" t="n"/>
      <c r="X31" s="64" t="n"/>
      <c r="Y31" s="64" t="n"/>
      <c r="Z31" s="64" t="n"/>
      <c r="AA31" s="64" t="n"/>
      <c r="AB31" s="64" t="n"/>
      <c r="AC31" s="64" t="n"/>
      <c r="AD31" s="64" t="n"/>
      <c r="AE31" s="64" t="n"/>
      <c r="AF31" s="64" t="n"/>
      <c r="AG31" s="64" t="n"/>
      <c r="AH31" s="64" t="n"/>
      <c r="AI31" s="64" t="n"/>
      <c r="AJ31" s="64" t="n"/>
      <c r="AK31" s="64" t="n"/>
      <c r="AL31" s="64" t="n"/>
      <c r="AM31" s="64" t="n"/>
      <c r="AN31" s="64" t="n"/>
      <c r="AO31" s="64" t="n"/>
      <c r="AP31" s="64" t="n"/>
      <c r="AQ31" s="64" t="n"/>
      <c r="AR31" s="64" t="n"/>
      <c r="AS31" s="64" t="n"/>
      <c r="AT31" s="64" t="n"/>
      <c r="AU31" s="64" t="n"/>
      <c r="AV31" s="64" t="n"/>
      <c r="AW31" s="64" t="n"/>
      <c r="AX31" s="64" t="n"/>
      <c r="AY31" s="64" t="n"/>
      <c r="AZ31" s="64" t="n"/>
      <c r="BA31" s="64" t="n"/>
      <c r="BB31" s="64" t="n"/>
      <c r="BC31" s="64" t="n"/>
      <c r="BD31" s="64" t="n"/>
      <c r="BE31" s="64" t="n"/>
      <c r="BF31" s="64" t="n"/>
      <c r="BG31" s="64" t="n"/>
      <c r="BH31" s="64" t="n"/>
    </row>
    <row r="32" ht="18.75" customHeight="1">
      <c r="A32" s="600" t="n"/>
      <c r="B32" s="186" t="n"/>
      <c r="C32" s="64" t="n"/>
      <c r="D32" s="64" t="n"/>
      <c r="E32" s="64" t="n"/>
      <c r="F32" s="64" t="n"/>
      <c r="G32" s="64" t="n"/>
      <c r="H32" s="64" t="n"/>
      <c r="I32" s="64" t="n"/>
      <c r="J32" s="64" t="n"/>
      <c r="K32" s="64" t="n"/>
      <c r="L32" s="64" t="n"/>
      <c r="M32" s="64" t="n"/>
      <c r="N32" s="64" t="n"/>
      <c r="O32" s="64" t="n"/>
      <c r="P32" s="64" t="n"/>
      <c r="Q32" s="64" t="n"/>
      <c r="R32" s="64" t="n"/>
      <c r="S32" s="64" t="n"/>
      <c r="T32" s="64" t="n"/>
      <c r="U32" s="64" t="n"/>
      <c r="V32" s="64" t="n"/>
      <c r="W32" s="64" t="n"/>
      <c r="X32" s="64" t="n"/>
      <c r="Y32" s="64" t="n"/>
      <c r="Z32" s="64" t="n"/>
      <c r="AA32" s="64" t="n"/>
      <c r="AB32" s="64" t="n"/>
      <c r="AC32" s="64" t="n"/>
      <c r="AD32" s="64" t="n"/>
      <c r="AE32" s="64" t="n"/>
      <c r="AF32" s="64" t="n"/>
      <c r="AG32" s="64" t="n"/>
      <c r="AH32" s="64" t="n"/>
      <c r="AI32" s="64" t="n"/>
      <c r="AJ32" s="64" t="n"/>
      <c r="AK32" s="64" t="n"/>
      <c r="AL32" s="64" t="n"/>
      <c r="AM32" s="64" t="n"/>
      <c r="AN32" s="64" t="n"/>
      <c r="AO32" s="64" t="n"/>
      <c r="AP32" s="64" t="n"/>
      <c r="AQ32" s="64" t="n"/>
      <c r="AR32" s="64" t="n"/>
      <c r="AS32" s="64" t="n"/>
      <c r="AT32" s="64" t="n"/>
      <c r="AU32" s="64" t="n"/>
      <c r="AV32" s="64" t="n"/>
      <c r="AW32" s="64" t="n"/>
      <c r="AX32" s="64" t="n"/>
      <c r="AY32" s="64" t="n"/>
      <c r="AZ32" s="64" t="n"/>
      <c r="BA32" s="64" t="n"/>
      <c r="BB32" s="64" t="n"/>
      <c r="BC32" s="64" t="n"/>
      <c r="BD32" s="64" t="n"/>
      <c r="BE32" s="64" t="n"/>
      <c r="BF32" s="64" t="n"/>
      <c r="BG32" s="64" t="n"/>
      <c r="BH32" s="64" t="n"/>
    </row>
  </sheetData>
  <mergeCells count="19">
    <mergeCell ref="A3:AT3"/>
    <mergeCell ref="AE20:AO20"/>
    <mergeCell ref="AC24:AQ24"/>
    <mergeCell ref="A5:AE5"/>
    <mergeCell ref="A2:AT2"/>
    <mergeCell ref="AC23:AQ23"/>
    <mergeCell ref="C27:E27"/>
    <mergeCell ref="A4:AT4"/>
    <mergeCell ref="C23:E23"/>
    <mergeCell ref="AL5:AN5"/>
    <mergeCell ref="E12:AN15"/>
    <mergeCell ref="AC22:AQ22"/>
    <mergeCell ref="A9:AT9"/>
    <mergeCell ref="AC21:AQ21"/>
    <mergeCell ref="AO5:AS5"/>
    <mergeCell ref="AC19:AP19"/>
    <mergeCell ref="A1:AT1"/>
    <mergeCell ref="C26:E26"/>
    <mergeCell ref="B21:P21"/>
  </mergeCells>
  <pageMargins left="0.7" right="0.7" top="0.75" bottom="0.75" header="0.3" footer="0.3"/>
</worksheet>
</file>

<file path=xl/worksheets/sheet14.xml><?xml version="1.0" encoding="utf-8"?>
<worksheet xmlns="http://schemas.openxmlformats.org/spreadsheetml/2006/main">
  <sheetPr>
    <outlinePr summaryBelow="0"/>
    <pageSetUpPr/>
  </sheetPr>
  <dimension ref="A1:N34"/>
  <sheetViews>
    <sheetView workbookViewId="0">
      <selection activeCell="A1" sqref="A1"/>
    </sheetView>
  </sheetViews>
  <sheetFormatPr baseColWidth="8" defaultRowHeight="15"/>
  <cols>
    <col width="7.005" bestFit="1" customWidth="1" style="64" min="1" max="1"/>
    <col width="9.290714285714287" bestFit="1" customWidth="1" style="64" min="2" max="2"/>
    <col width="2.719285714285714" bestFit="1" customWidth="1" style="64" min="3" max="3"/>
    <col width="7.862142857142857" bestFit="1" customWidth="1" style="64" min="4" max="4"/>
    <col width="7.719285714285714" bestFit="1" customWidth="1" style="64" min="5" max="5"/>
    <col width="6.576428571428571" bestFit="1" customWidth="1" style="64" min="6" max="6"/>
    <col width="7.719285714285714" bestFit="1" customWidth="1" style="64" min="7" max="7"/>
    <col width="8.43357142857143" bestFit="1" customWidth="1" style="64" min="8" max="8"/>
    <col width="3.005" bestFit="1" customWidth="1" style="64" min="9" max="9"/>
    <col width="13.57642857142857" bestFit="1" customWidth="1" style="64" min="10" max="10"/>
    <col width="6.576428571428571" bestFit="1" customWidth="1" style="64" min="11" max="11"/>
    <col width="13.57642857142857" bestFit="1" customWidth="1" style="64" min="12" max="12"/>
    <col width="7.576428571428571" bestFit="1" customWidth="1" style="64" min="13" max="13"/>
    <col width="7.719285714285714" bestFit="1" customWidth="1" style="64" min="14" max="14"/>
  </cols>
  <sheetData>
    <row r="1" ht="18.75" customHeight="1">
      <c r="A1" s="664" t="inlineStr">
        <is>
          <t>iæUg¨vc</t>
        </is>
      </c>
    </row>
    <row r="2" ht="18.75" customHeight="1">
      <c r="A2" s="665">
        <f>+'Data Input'!D8</f>
        <v/>
      </c>
    </row>
    <row r="3" ht="18.75" customHeight="1">
      <c r="A3" s="184">
        <f>'Data Input'!B12&amp;" "&amp;'Data Input'!C12&amp;" "&amp;'Data Input'!D12&amp;""</f>
        <v/>
      </c>
    </row>
    <row r="4" ht="18.75" customHeight="1">
      <c r="A4" s="184">
        <f>+'Data Input'!D9</f>
        <v/>
      </c>
    </row>
    <row r="5" ht="18.75" customHeight="1">
      <c r="A5" s="614" t="n"/>
      <c r="B5" s="614" t="n"/>
      <c r="C5" s="64" t="n"/>
      <c r="D5" s="64" t="n"/>
      <c r="E5" s="64" t="n"/>
      <c r="F5" s="64" t="n"/>
      <c r="G5" s="64" t="n"/>
      <c r="H5" s="64" t="n"/>
      <c r="I5" s="64" t="n"/>
      <c r="J5" s="64" t="n"/>
      <c r="K5" s="64" t="n"/>
      <c r="L5" s="64" t="n"/>
      <c r="M5" s="64" t="n"/>
      <c r="N5" s="64" t="n"/>
    </row>
    <row r="6" ht="18.75" customHeight="1">
      <c r="A6" s="62" t="n"/>
      <c r="B6" s="62" t="n"/>
      <c r="C6" s="64" t="n"/>
      <c r="D6" s="64" t="n"/>
      <c r="E6" s="64" t="n"/>
      <c r="F6" s="64" t="n"/>
      <c r="G6" s="64" t="n"/>
      <c r="H6" s="64" t="n"/>
      <c r="I6" s="64" t="n"/>
      <c r="J6" s="64" t="n"/>
      <c r="K6" s="64" t="n"/>
      <c r="L6" s="64" t="n"/>
      <c r="M6" s="64" t="n"/>
      <c r="N6" s="64" t="n"/>
    </row>
    <row r="7" ht="18.75" customHeight="1">
      <c r="A7" s="98" t="n"/>
      <c r="B7" s="98" t="n"/>
      <c r="C7" s="64" t="n"/>
      <c r="D7" s="64" t="n"/>
      <c r="E7" s="64" t="n"/>
      <c r="F7" s="64" t="n"/>
      <c r="G7" s="64" t="n"/>
      <c r="H7" s="64" t="n"/>
      <c r="I7" s="64" t="n"/>
      <c r="J7" s="64" t="n"/>
      <c r="K7" s="64" t="n"/>
      <c r="L7" s="64" t="n"/>
      <c r="M7" s="64" t="n"/>
      <c r="N7" s="64" t="n"/>
    </row>
    <row r="8" ht="18.75" customHeight="1">
      <c r="A8" s="64" t="n"/>
      <c r="B8" s="64" t="n"/>
      <c r="C8" s="64" t="n"/>
      <c r="D8" s="64" t="n"/>
      <c r="E8" s="64" t="n"/>
      <c r="F8" s="64" t="n"/>
      <c r="G8" s="64" t="n"/>
      <c r="H8" s="64" t="n"/>
      <c r="I8" s="64" t="n"/>
      <c r="J8" s="64" t="n"/>
      <c r="K8" s="64" t="n"/>
      <c r="L8" s="64" t="n"/>
      <c r="M8" s="64" t="n"/>
      <c r="N8" s="64" t="n"/>
    </row>
    <row r="9" ht="18.75" customHeight="1">
      <c r="A9" s="64" t="n"/>
      <c r="B9" s="64" t="n"/>
      <c r="C9" s="64" t="n"/>
      <c r="D9" s="666" t="n"/>
      <c r="E9" s="666" t="n"/>
      <c r="F9" s="666" t="n"/>
      <c r="G9" s="666" t="n"/>
      <c r="H9" s="666" t="n"/>
      <c r="I9" s="666" t="n"/>
      <c r="J9" s="666" t="n"/>
      <c r="K9" s="666" t="n"/>
      <c r="L9" s="64" t="n"/>
      <c r="M9" s="64" t="n"/>
      <c r="N9" s="64" t="n"/>
    </row>
    <row r="10" ht="18.75" customHeight="1">
      <c r="A10" s="184" t="n"/>
      <c r="B10" s="184" t="n"/>
      <c r="C10" s="666" t="n"/>
      <c r="D10" s="667" t="n"/>
      <c r="E10" s="666" t="n"/>
      <c r="F10" s="666" t="n"/>
      <c r="G10" s="666" t="n"/>
      <c r="H10" s="666" t="n"/>
      <c r="I10" s="666" t="n"/>
      <c r="J10" s="666" t="n"/>
      <c r="K10" s="666" t="n"/>
      <c r="L10" s="64" t="n"/>
      <c r="M10" s="64" t="n"/>
      <c r="N10" s="64" t="n"/>
    </row>
    <row r="11" ht="21.75" customHeight="1">
      <c r="A11" s="2741" t="inlineStr">
        <is>
          <t>RvgvbwZ m¤úwË</t>
        </is>
      </c>
      <c r="B11" s="2624" t="n"/>
      <c r="C11" s="670" t="n"/>
      <c r="D11" s="562" t="n"/>
      <c r="E11" s="671" t="n"/>
      <c r="F11" s="666" t="n"/>
      <c r="G11" s="666" t="n"/>
      <c r="H11" s="666" t="n"/>
      <c r="I11" s="666" t="n"/>
      <c r="J11" s="666" t="n"/>
      <c r="K11" s="666" t="n"/>
      <c r="L11" s="64" t="n"/>
      <c r="M11" s="64" t="n"/>
      <c r="N11" s="64" t="n"/>
    </row>
    <row r="12" ht="15" customHeight="1">
      <c r="A12" s="2648" t="n"/>
      <c r="B12" s="2613" t="n"/>
      <c r="C12" s="670" t="n"/>
      <c r="D12" s="562" t="n"/>
      <c r="E12" s="674" t="n"/>
      <c r="F12" s="64" t="n"/>
      <c r="G12" s="64" t="n"/>
      <c r="H12" s="675" t="n"/>
      <c r="I12" s="64" t="n"/>
      <c r="J12" s="64" t="n"/>
      <c r="K12" s="64" t="n"/>
      <c r="L12" s="64" t="n"/>
      <c r="M12" s="64" t="n"/>
      <c r="N12" s="64" t="n"/>
    </row>
    <row r="13" ht="18.75" customHeight="1">
      <c r="A13" s="184" t="n"/>
      <c r="B13" s="184" t="n"/>
      <c r="C13" s="64" t="n"/>
      <c r="D13" s="675" t="n"/>
      <c r="E13" s="64" t="n"/>
      <c r="F13" s="64" t="n"/>
      <c r="G13" s="64" t="n"/>
      <c r="H13" s="675" t="n"/>
      <c r="I13" s="64" t="n"/>
      <c r="J13" s="64" t="n"/>
      <c r="K13" s="64" t="n"/>
      <c r="L13" s="64" t="n"/>
      <c r="M13" s="64" t="n"/>
      <c r="N13" s="64" t="n"/>
    </row>
    <row r="14" ht="18.75" customHeight="1">
      <c r="A14" s="184" t="n"/>
      <c r="B14" s="184" t="n"/>
      <c r="C14" s="64" t="n"/>
      <c r="D14" s="675" t="n"/>
      <c r="E14" s="64" t="n"/>
      <c r="F14" s="64" t="n"/>
      <c r="G14" s="64" t="n"/>
      <c r="H14" s="675" t="n"/>
      <c r="I14" s="64" t="n"/>
      <c r="J14" s="64" t="n"/>
      <c r="K14" s="64" t="n"/>
      <c r="L14" s="64" t="n"/>
      <c r="M14" s="64" t="n"/>
      <c r="N14" s="64" t="n"/>
    </row>
    <row r="15" ht="18.75" customHeight="1">
      <c r="A15" s="184" t="n"/>
      <c r="B15" s="184" t="n"/>
      <c r="C15" s="676" t="n"/>
      <c r="D15" s="64" t="n"/>
      <c r="E15" s="674" t="n"/>
      <c r="F15" s="64" t="n"/>
      <c r="G15" s="64" t="n"/>
      <c r="H15" s="675" t="n"/>
      <c r="I15" s="64" t="n"/>
      <c r="J15" s="64" t="n"/>
      <c r="K15" s="64" t="n"/>
      <c r="L15" s="64" t="n"/>
      <c r="M15" s="64" t="n"/>
      <c r="N15" s="64" t="n"/>
    </row>
    <row r="16" ht="42" customHeight="1">
      <c r="A16" s="1324" t="n"/>
      <c r="B16" s="1324" t="n"/>
      <c r="C16" s="64" t="n"/>
      <c r="D16" s="677" t="n"/>
      <c r="E16" s="394" t="n"/>
      <c r="F16" s="394" t="n"/>
      <c r="G16" s="394" t="n"/>
      <c r="H16" s="676" t="n"/>
      <c r="I16" s="64" t="n"/>
      <c r="J16" s="2742" t="inlineStr">
        <is>
          <t>evsjv‡`k K…wl e¨vsK</t>
        </is>
      </c>
      <c r="K16" s="2630" t="n"/>
      <c r="L16" s="2660" t="n"/>
      <c r="M16" s="64" t="n"/>
      <c r="N16" s="64" t="n"/>
    </row>
    <row r="17" ht="18.75" customHeight="1">
      <c r="A17" s="681" t="n"/>
      <c r="B17" s="681" t="n"/>
      <c r="C17" s="64" t="n"/>
      <c r="D17" s="64" t="n"/>
      <c r="E17" s="64" t="n"/>
      <c r="F17" s="64" t="n"/>
      <c r="G17" s="64" t="n"/>
      <c r="H17" s="675" t="n"/>
      <c r="I17" s="64" t="n"/>
      <c r="J17" s="2743">
        <f>+'Data Input'!D2</f>
        <v/>
      </c>
      <c r="K17" s="2705" t="n"/>
      <c r="L17" s="2744" t="n"/>
      <c r="M17" s="64" t="n"/>
      <c r="N17" s="64" t="n"/>
    </row>
    <row r="18" ht="18.75" customHeight="1">
      <c r="A18" s="219" t="n"/>
      <c r="B18" s="219" t="n"/>
      <c r="C18" s="64" t="n"/>
      <c r="D18" s="64" t="n"/>
      <c r="E18" s="64" t="n"/>
      <c r="F18" s="64" t="n"/>
      <c r="G18" s="64" t="n"/>
      <c r="H18" s="675" t="n"/>
      <c r="I18" s="64" t="n"/>
      <c r="J18" s="64" t="n"/>
      <c r="K18" s="64" t="n"/>
      <c r="L18" s="64" t="n"/>
      <c r="M18" s="64" t="n"/>
      <c r="N18" s="64" t="n"/>
    </row>
    <row r="19" ht="15.75" customHeight="1">
      <c r="A19" s="1324" t="n"/>
      <c r="B19" s="1324" t="n"/>
      <c r="C19" s="64" t="n"/>
      <c r="D19" s="64" t="n"/>
      <c r="E19" s="64" t="n"/>
      <c r="F19" s="64" t="n"/>
      <c r="G19" s="64" t="n"/>
      <c r="H19" s="675" t="n"/>
      <c r="I19" s="64" t="n"/>
      <c r="J19" s="64" t="n"/>
      <c r="K19" s="64" t="n"/>
      <c r="L19" s="64" t="n"/>
      <c r="M19" s="64" t="n"/>
      <c r="N19" s="64" t="n"/>
    </row>
    <row r="20" ht="21.75" customHeight="1">
      <c r="A20" s="64" t="n"/>
      <c r="B20" s="64" t="n"/>
      <c r="C20" s="64" t="n"/>
      <c r="D20" s="64" t="n"/>
      <c r="E20" s="665" t="n"/>
      <c r="F20" s="665" t="n"/>
      <c r="G20" s="665" t="n"/>
      <c r="H20" s="685" t="n"/>
      <c r="I20" s="665" t="n"/>
      <c r="J20" s="2745">
        <f>+'Data Input'!D8</f>
        <v/>
      </c>
      <c r="K20" s="2624" t="n"/>
      <c r="L20" s="2642" t="n"/>
      <c r="M20" s="64" t="n"/>
      <c r="N20" s="64" t="n"/>
    </row>
    <row r="21" ht="18.75" customHeight="1">
      <c r="A21" s="64" t="n"/>
      <c r="B21" s="64" t="n"/>
      <c r="C21" s="64" t="n"/>
      <c r="D21" s="64" t="n"/>
      <c r="E21" s="665" t="n"/>
      <c r="F21" s="665" t="n"/>
      <c r="G21" s="665" t="n"/>
      <c r="H21" s="685" t="n"/>
      <c r="I21" s="665" t="n"/>
      <c r="J21" s="2648" t="n"/>
      <c r="K21" s="2613" t="n"/>
      <c r="L21" s="2649" t="n"/>
      <c r="M21" s="64" t="n"/>
      <c r="N21" s="64" t="n"/>
    </row>
    <row r="22" ht="18.75" customHeight="1">
      <c r="A22" s="666" t="n"/>
      <c r="B22" s="666" t="n"/>
      <c r="C22" s="666" t="n"/>
      <c r="D22" s="666" t="n"/>
      <c r="E22" s="666" t="n"/>
      <c r="F22" s="665" t="n"/>
      <c r="G22" s="665" t="n"/>
      <c r="H22" s="685" t="n"/>
      <c r="I22" s="665" t="n"/>
      <c r="J22" s="64" t="n"/>
      <c r="K22" s="64" t="n"/>
      <c r="L22" s="64" t="n"/>
      <c r="M22" s="64" t="n"/>
      <c r="N22" s="64" t="n"/>
    </row>
    <row r="23" ht="18.75" customHeight="1">
      <c r="A23" s="184" t="n"/>
      <c r="B23" s="184" t="n"/>
      <c r="C23" s="64" t="n"/>
      <c r="D23" s="64" t="n"/>
      <c r="E23" s="64" t="n"/>
      <c r="F23" s="64" t="n"/>
      <c r="G23" s="64" t="n"/>
      <c r="H23" s="675" t="n"/>
      <c r="I23" s="64" t="n"/>
      <c r="J23" s="219" t="n"/>
      <c r="K23" s="219" t="n"/>
      <c r="L23" s="219" t="n"/>
      <c r="M23" s="64" t="n"/>
      <c r="N23" s="64" t="n"/>
    </row>
    <row r="24" ht="12.75" customHeight="1">
      <c r="A24" s="134" t="n"/>
      <c r="B24" s="134" t="n"/>
      <c r="C24" s="64" t="n"/>
      <c r="D24" s="64" t="n"/>
      <c r="E24" s="64" t="n"/>
      <c r="F24" s="64" t="n"/>
      <c r="G24" s="64" t="n"/>
      <c r="H24" s="675" t="n"/>
      <c r="I24" s="64" t="n"/>
      <c r="J24" s="64" t="n"/>
      <c r="K24" s="64" t="n"/>
      <c r="L24" s="64" t="n"/>
      <c r="M24" s="64" t="n"/>
      <c r="N24" s="64" t="n"/>
    </row>
    <row r="25" ht="18.75" customHeight="1">
      <c r="A25" s="184" t="n"/>
      <c r="B25" s="184" t="n"/>
      <c r="C25" s="64" t="n"/>
      <c r="D25" s="64" t="n"/>
      <c r="E25" s="64" t="n"/>
      <c r="F25" s="64" t="n"/>
      <c r="G25" s="64" t="n"/>
      <c r="H25" s="64" t="n"/>
      <c r="I25" s="64" t="n"/>
      <c r="J25" s="64" t="n"/>
      <c r="K25" s="64" t="n"/>
      <c r="L25" s="64" t="n"/>
      <c r="M25" s="64" t="n"/>
      <c r="N25" s="64" t="n"/>
    </row>
    <row r="26" ht="18.75" customHeight="1">
      <c r="A26" s="184" t="n"/>
      <c r="B26" s="184" t="n"/>
      <c r="C26" s="64" t="n"/>
      <c r="D26" s="64" t="n"/>
      <c r="E26" s="64" t="n"/>
      <c r="F26" s="64" t="n"/>
      <c r="G26" s="64" t="n"/>
      <c r="H26" s="64" t="n"/>
      <c r="I26" s="64" t="n"/>
      <c r="J26" s="64" t="n"/>
      <c r="K26" s="64" t="n"/>
      <c r="L26" s="64" t="n"/>
      <c r="M26" s="64" t="n"/>
      <c r="N26" s="64" t="n"/>
    </row>
    <row r="27" ht="18.75" customHeight="1">
      <c r="A27" s="184" t="n"/>
      <c r="B27" s="184" t="n"/>
      <c r="C27" s="64" t="n"/>
      <c r="D27" s="64" t="n"/>
      <c r="E27" s="64" t="n"/>
      <c r="F27" s="64" t="n"/>
      <c r="G27" s="64" t="n"/>
      <c r="H27" s="64" t="n"/>
      <c r="I27" s="64" t="n"/>
      <c r="J27" s="64" t="n"/>
      <c r="K27" s="64" t="n"/>
      <c r="L27" s="64" t="n"/>
      <c r="M27" s="64" t="n"/>
      <c r="N27" s="64" t="n"/>
    </row>
    <row r="28" ht="18.75" customHeight="1">
      <c r="A28" s="184" t="n"/>
      <c r="B28" s="184" t="n"/>
      <c r="C28" s="64" t="n"/>
      <c r="D28" s="64" t="n"/>
      <c r="E28" s="64" t="n"/>
      <c r="F28" s="64" t="n"/>
      <c r="G28" s="64" t="n"/>
      <c r="H28" s="64" t="n"/>
      <c r="I28" s="64" t="n"/>
      <c r="J28" s="64" t="n"/>
      <c r="K28" s="64" t="n"/>
      <c r="L28" s="64" t="n"/>
      <c r="M28" s="64" t="n"/>
      <c r="N28" s="64" t="n"/>
    </row>
    <row r="29" ht="18.75" customHeight="1">
      <c r="A29" s="64" t="n"/>
      <c r="B29" s="64" t="n"/>
      <c r="C29" s="64" t="n"/>
      <c r="D29" s="64" t="n"/>
      <c r="E29" s="64" t="n"/>
      <c r="F29" s="64" t="n"/>
      <c r="G29" s="64" t="n"/>
      <c r="H29" s="64" t="n"/>
      <c r="I29" s="64" t="n"/>
      <c r="J29" s="64" t="n"/>
      <c r="K29" s="64" t="n"/>
      <c r="L29" s="64" t="n"/>
      <c r="M29" s="64" t="n"/>
      <c r="N29" s="64" t="n"/>
    </row>
    <row r="30" ht="18.75" customHeight="1">
      <c r="A30" s="64" t="n"/>
      <c r="B30" s="64" t="n"/>
      <c r="C30" s="64" t="n"/>
      <c r="D30" s="64" t="n"/>
      <c r="E30" s="64" t="n"/>
      <c r="F30" s="64" t="n"/>
      <c r="G30" s="64" t="n"/>
      <c r="H30" s="64" t="n"/>
      <c r="I30" s="64" t="n"/>
      <c r="J30" s="64" t="n"/>
      <c r="K30" s="64" t="n"/>
      <c r="L30" s="64" t="n"/>
      <c r="M30" s="64" t="n"/>
      <c r="N30" s="64" t="n"/>
    </row>
    <row r="31" ht="15.75" customHeight="1">
      <c r="A31" s="64" t="n"/>
      <c r="B31" s="64" t="n"/>
      <c r="C31" s="64" t="n"/>
      <c r="D31" s="64" t="n"/>
      <c r="E31" s="64" t="n"/>
      <c r="F31" s="64" t="n"/>
      <c r="G31" s="64" t="n"/>
      <c r="H31" s="64" t="n"/>
      <c r="I31" s="64" t="n"/>
      <c r="J31" s="64" t="n"/>
      <c r="K31" s="64" t="n"/>
      <c r="L31" s="64" t="n"/>
      <c r="M31" s="64" t="n"/>
      <c r="N31" s="64" t="n"/>
    </row>
    <row r="32" ht="15" customHeight="1">
      <c r="A32" s="64" t="n"/>
      <c r="B32" s="64" t="n"/>
      <c r="C32" s="64" t="n"/>
      <c r="D32" s="64" t="n"/>
      <c r="E32" s="64" t="n"/>
      <c r="F32" s="64" t="n"/>
      <c r="G32" s="64" t="n"/>
      <c r="H32" s="64" t="n"/>
      <c r="I32" s="64" t="n"/>
      <c r="J32" s="64" t="n"/>
      <c r="K32" s="64" t="n"/>
      <c r="L32" s="64" t="n"/>
      <c r="M32" s="64" t="n"/>
      <c r="N32" s="64" t="n"/>
    </row>
    <row r="33" ht="15" customHeight="1">
      <c r="A33" s="64" t="n"/>
      <c r="B33" s="64" t="n"/>
      <c r="C33" s="64" t="n"/>
      <c r="D33" s="64" t="n"/>
      <c r="E33" s="64" t="n"/>
      <c r="F33" s="64" t="n"/>
      <c r="G33" s="64" t="n"/>
      <c r="H33" s="64" t="n"/>
      <c r="I33" s="64" t="n"/>
      <c r="J33" s="64" t="n"/>
      <c r="K33" s="64" t="n"/>
      <c r="L33" s="64" t="n"/>
      <c r="M33" s="64" t="n"/>
      <c r="N33" s="64" t="n"/>
    </row>
    <row r="34" ht="15.75" customHeight="1">
      <c r="A34" s="64" t="n"/>
      <c r="B34" s="64" t="n"/>
      <c r="C34" s="64" t="n"/>
      <c r="D34" s="64" t="n"/>
      <c r="E34" s="64" t="n"/>
      <c r="F34" s="64" t="n"/>
      <c r="G34" s="64" t="n"/>
      <c r="H34" s="64" t="n"/>
      <c r="I34" s="64" t="n"/>
      <c r="J34" s="64" t="n"/>
      <c r="K34" s="64" t="n"/>
      <c r="L34" s="64" t="n"/>
      <c r="M34" s="64" t="n"/>
      <c r="N34" s="64" t="n"/>
    </row>
  </sheetData>
  <mergeCells count="8">
    <mergeCell ref="J16:L16"/>
    <mergeCell ref="A3:N3"/>
    <mergeCell ref="A4:N4"/>
    <mergeCell ref="A2:N2"/>
    <mergeCell ref="A11:B12"/>
    <mergeCell ref="J17:L17"/>
    <mergeCell ref="J20:L21"/>
    <mergeCell ref="A1:N1"/>
  </mergeCells>
  <pageMargins left="0.7" right="0.7" top="0.75" bottom="0.75" header="0.3" footer="0.3"/>
</worksheet>
</file>

<file path=xl/worksheets/sheet15.xml><?xml version="1.0" encoding="utf-8"?>
<worksheet xmlns="http://schemas.openxmlformats.org/spreadsheetml/2006/main">
  <sheetPr>
    <outlinePr summaryBelow="0"/>
    <pageSetUpPr/>
  </sheetPr>
  <dimension ref="A1:BI53"/>
  <sheetViews>
    <sheetView workbookViewId="0">
      <selection activeCell="A1" sqref="A1"/>
    </sheetView>
  </sheetViews>
  <sheetFormatPr baseColWidth="8" defaultRowHeight="15"/>
  <cols>
    <col width="2.862142857142857" bestFit="1" customWidth="1" style="64" min="1" max="1"/>
    <col width="2.290714285714285" bestFit="1" customWidth="1" style="64" min="2" max="2"/>
    <col width="2.290714285714285" bestFit="1" customWidth="1" style="64" min="3" max="3"/>
    <col width="2.290714285714285" bestFit="1" customWidth="1" style="64" min="4" max="4"/>
    <col width="3.433571428571428" bestFit="1" customWidth="1" style="64" min="5" max="5"/>
    <col width="2.290714285714285" bestFit="1" customWidth="1" style="308" min="6" max="6"/>
    <col width="2.290714285714285" bestFit="1" customWidth="1" style="64" min="7" max="7"/>
    <col width="2.290714285714285" bestFit="1" customWidth="1" style="64" min="8" max="8"/>
    <col width="2.147857142857143" bestFit="1" customWidth="1" style="64" min="9" max="9"/>
    <col width="2.147857142857143" bestFit="1" customWidth="1" style="64" min="10" max="10"/>
    <col width="2.147857142857143" bestFit="1" customWidth="1" style="64" min="11" max="11"/>
    <col width="2.147857142857143" bestFit="1" customWidth="1" style="64" min="12" max="12"/>
    <col width="2.147857142857143" bestFit="1" customWidth="1" style="64" min="13" max="13"/>
    <col width="2.147857142857143" bestFit="1" customWidth="1" style="64" min="14" max="14"/>
    <col width="2.147857142857143" bestFit="1" customWidth="1" style="64" min="15" max="15"/>
    <col width="2.147857142857143" bestFit="1" customWidth="1" style="64" min="16" max="16"/>
    <col width="2.147857142857143" bestFit="1" customWidth="1" style="64" min="17" max="17"/>
    <col width="2.147857142857143" bestFit="1" customWidth="1" style="64" min="18" max="18"/>
    <col width="2.147857142857143" bestFit="1" customWidth="1" style="64" min="19" max="19"/>
    <col width="2.147857142857143" bestFit="1" customWidth="1" style="64" min="20" max="20"/>
    <col width="2.147857142857143" bestFit="1" customWidth="1" style="64" min="21" max="21"/>
    <col width="2.147857142857143" bestFit="1" customWidth="1" style="64" min="22" max="22"/>
    <col width="2.147857142857143" bestFit="1" customWidth="1" style="64" min="23" max="23"/>
    <col width="2.147857142857143" bestFit="1" customWidth="1" style="64" min="24" max="24"/>
    <col width="2.433571428571428" bestFit="1" customWidth="1" style="64" min="25" max="25"/>
    <col width="2.433571428571428" bestFit="1" customWidth="1" style="64" min="26" max="26"/>
    <col width="2.147857142857143" bestFit="1" customWidth="1" style="64" min="27" max="27"/>
    <col width="2.147857142857143" bestFit="1" customWidth="1" style="64" min="28" max="28"/>
    <col width="2.147857142857143" bestFit="1" customWidth="1" style="64" min="29" max="29"/>
    <col width="2.147857142857143" bestFit="1" customWidth="1" style="64" min="30" max="30"/>
    <col width="2.290714285714285" bestFit="1" customWidth="1" style="64" min="31" max="31"/>
    <col width="2.290714285714285" bestFit="1" customWidth="1" style="64" min="32" max="32"/>
    <col width="4.005" bestFit="1" customWidth="1" style="308" min="33" max="33"/>
    <col width="3.433571428571428" bestFit="1" customWidth="1" style="64" min="34" max="34"/>
    <col width="3.719285714285714" bestFit="1" customWidth="1" style="136" min="35" max="35"/>
    <col width="3.005" bestFit="1" customWidth="1" style="64" min="36" max="36"/>
    <col width="2.290714285714285" bestFit="1" customWidth="1" style="663" min="37" max="37"/>
    <col width="2.290714285714285" bestFit="1" customWidth="1" style="64" min="38" max="38"/>
    <col width="2.290714285714285" bestFit="1" customWidth="1" style="64" min="39" max="39"/>
    <col width="3.290714285714285" bestFit="1" customWidth="1" style="64" min="40" max="40"/>
    <col width="2.290714285714285" bestFit="1" customWidth="1" style="64" min="41" max="41"/>
    <col width="2.290714285714285" bestFit="1" customWidth="1" style="64" min="42" max="42"/>
    <col width="2.290714285714285" bestFit="1" customWidth="1" style="64" min="43" max="43"/>
    <col width="7.862142857142857" bestFit="1" customWidth="1" style="64" min="44" max="44"/>
    <col width="2.290714285714285" bestFit="1" customWidth="1" style="308" min="45" max="45"/>
    <col width="13.57642857142857" bestFit="1" customWidth="1" style="64" min="46" max="46"/>
    <col width="13.57642857142857" bestFit="1" customWidth="1" style="64" min="47" max="47"/>
    <col width="13.57642857142857" bestFit="1" customWidth="1" style="64" min="48" max="48"/>
    <col width="13.57642857142857" bestFit="1" customWidth="1" style="64" min="49" max="49"/>
    <col width="13.57642857142857" bestFit="1" customWidth="1" style="64" min="50" max="50"/>
    <col width="13.57642857142857" bestFit="1" customWidth="1" style="64" min="51" max="51"/>
    <col width="13.57642857142857" bestFit="1" customWidth="1" style="64" min="52" max="52"/>
    <col width="13.57642857142857" bestFit="1" customWidth="1" style="64" min="53" max="53"/>
    <col width="13.57642857142857" bestFit="1" customWidth="1" style="64" min="54" max="54"/>
    <col width="13.57642857142857" bestFit="1" customWidth="1" style="64" min="55" max="55"/>
    <col width="13.57642857142857" bestFit="1" customWidth="1" style="64" min="56" max="56"/>
    <col width="13.57642857142857" bestFit="1" customWidth="1" style="64" min="57" max="57"/>
    <col width="13.57642857142857" bestFit="1" customWidth="1" style="64" min="58" max="58"/>
    <col width="13.57642857142857" bestFit="1" customWidth="1" style="64" min="59" max="59"/>
    <col width="13.57642857142857" bestFit="1" customWidth="1" style="64" min="60" max="60"/>
    <col width="13.57642857142857" bestFit="1" customWidth="1" style="64" min="61" max="61"/>
  </cols>
  <sheetData>
    <row r="1" ht="19.5" customFormat="1" customHeight="1" s="18">
      <c r="A1" s="546" t="n"/>
      <c r="B1" s="103" t="n"/>
      <c r="C1" s="103" t="n"/>
      <c r="D1" s="124" t="n"/>
      <c r="E1" s="103" t="n"/>
      <c r="F1" s="547" t="n"/>
      <c r="G1" s="124" t="n"/>
      <c r="H1" s="167" t="n"/>
      <c r="I1" s="548" t="n"/>
      <c r="J1" s="548" t="n"/>
      <c r="K1" s="548" t="n"/>
      <c r="L1" s="548" t="n"/>
      <c r="M1" s="549" t="inlineStr">
        <is>
          <t>evsjv‡`k K…wl e¨vsK</t>
        </is>
      </c>
      <c r="AC1" s="167" t="n"/>
      <c r="AD1" s="551" t="n"/>
      <c r="AE1" s="551" t="inlineStr">
        <is>
          <t>Òcwi‡ek evÜe e¨vwKs KiæbÓ</t>
        </is>
      </c>
      <c r="AO1" s="103" t="n"/>
      <c r="AP1" s="103" t="n"/>
      <c r="AQ1" s="103" t="n"/>
      <c r="AR1" s="103" t="n"/>
      <c r="AS1" s="555" t="n"/>
      <c r="AT1" s="103" t="n"/>
      <c r="AU1" s="103" t="n"/>
      <c r="AV1" s="103" t="n"/>
      <c r="AW1" s="103" t="n"/>
      <c r="AX1" s="103" t="n"/>
      <c r="AY1" s="103" t="n"/>
      <c r="AZ1" s="103" t="n"/>
      <c r="BA1" s="103" t="n"/>
      <c r="BB1" s="103" t="n"/>
      <c r="BC1" s="103" t="n"/>
      <c r="BD1" s="103" t="n"/>
      <c r="BE1" s="103" t="n"/>
      <c r="BF1" s="103" t="n"/>
      <c r="BG1" s="103" t="n"/>
      <c r="BH1" s="103" t="n"/>
      <c r="BI1" s="103" t="n"/>
    </row>
    <row r="2" ht="15" customFormat="1" customHeight="1" s="18">
      <c r="A2" s="546" t="n"/>
      <c r="B2" s="103" t="n"/>
      <c r="C2" s="124" t="n"/>
      <c r="D2" s="124" t="n"/>
      <c r="E2" s="103" t="n"/>
      <c r="F2" s="547" t="n"/>
      <c r="G2" s="124" t="n"/>
      <c r="H2" s="548" t="n"/>
      <c r="I2" s="548" t="n"/>
      <c r="J2" s="548" t="n"/>
      <c r="K2" s="548" t="n"/>
      <c r="L2" s="548" t="n"/>
      <c r="AC2" s="556" t="n"/>
      <c r="AD2" s="565" t="n"/>
      <c r="AE2" s="565" t="inlineStr">
        <is>
          <t>Web: www.krishibank.org.bd</t>
        </is>
      </c>
      <c r="AO2" s="103" t="n"/>
      <c r="AP2" s="103" t="n"/>
      <c r="AQ2" s="103" t="n"/>
      <c r="AR2" s="103" t="n"/>
      <c r="AS2" s="555" t="n"/>
      <c r="AT2" s="103" t="n"/>
      <c r="AU2" s="103" t="n"/>
      <c r="AV2" s="103" t="n"/>
      <c r="AW2" s="103" t="n"/>
      <c r="AX2" s="103" t="n"/>
      <c r="AY2" s="103" t="n"/>
      <c r="AZ2" s="103" t="n"/>
      <c r="BA2" s="103" t="n"/>
      <c r="BB2" s="103" t="n"/>
      <c r="BC2" s="103" t="n"/>
      <c r="BD2" s="103" t="n"/>
      <c r="BE2" s="103" t="n"/>
      <c r="BF2" s="103" t="n"/>
      <c r="BG2" s="103" t="n"/>
      <c r="BH2" s="103" t="n"/>
      <c r="BI2" s="103" t="n"/>
    </row>
    <row r="3" ht="11.25" customFormat="1" customHeight="1" s="18">
      <c r="A3" s="546" t="n"/>
      <c r="B3" s="540" t="n"/>
      <c r="C3" s="103" t="n"/>
      <c r="D3" s="199" t="n"/>
      <c r="E3" s="103" t="n"/>
      <c r="F3" s="561" t="n"/>
      <c r="G3" s="199" t="n"/>
      <c r="H3" s="103" t="n"/>
      <c r="I3" s="562" t="n"/>
      <c r="J3" s="562" t="n"/>
      <c r="K3" s="167" t="n"/>
      <c r="L3" s="562" t="n"/>
      <c r="M3" s="167" t="n"/>
      <c r="N3" s="2746">
        <f>+'Data Input'!D2</f>
        <v/>
      </c>
      <c r="AC3" s="556" t="n"/>
      <c r="AD3" s="565" t="n"/>
      <c r="AE3" s="565">
        <f>'Data Input'!D3</f>
        <v/>
      </c>
      <c r="AO3" s="103" t="n"/>
      <c r="AP3" s="103" t="n"/>
      <c r="AQ3" s="103" t="n"/>
      <c r="AR3" s="103" t="n"/>
      <c r="AS3" s="555" t="n"/>
      <c r="AT3" s="103" t="n"/>
      <c r="AU3" s="103" t="n"/>
      <c r="AV3" s="103" t="n"/>
      <c r="AW3" s="103" t="n"/>
      <c r="AX3" s="103" t="n"/>
      <c r="AY3" s="103" t="n"/>
      <c r="AZ3" s="103" t="n"/>
      <c r="BA3" s="103" t="n"/>
      <c r="BB3" s="103" t="n"/>
      <c r="BC3" s="103" t="n"/>
      <c r="BD3" s="103" t="n"/>
      <c r="BE3" s="103" t="n"/>
      <c r="BF3" s="103" t="n"/>
      <c r="BG3" s="103" t="n"/>
      <c r="BH3" s="103" t="n"/>
      <c r="BI3" s="103" t="n"/>
    </row>
    <row r="4" ht="15" customFormat="1" customHeight="1" s="18">
      <c r="A4" s="546" t="n"/>
      <c r="B4" s="540" t="n"/>
      <c r="C4" s="199" t="n"/>
      <c r="D4" s="199" t="n"/>
      <c r="E4" s="103" t="n"/>
      <c r="F4" s="561" t="n"/>
      <c r="G4" s="199" t="n"/>
      <c r="H4" s="562" t="n"/>
      <c r="I4" s="562" t="n"/>
      <c r="J4" s="562" t="n"/>
      <c r="K4" s="562" t="n"/>
      <c r="L4" s="562" t="n"/>
      <c r="M4" s="562" t="n"/>
      <c r="N4" s="2613" t="n"/>
      <c r="O4" s="2613" t="n"/>
      <c r="P4" s="2613" t="n"/>
      <c r="Q4" s="2613" t="n"/>
      <c r="R4" s="2613" t="n"/>
      <c r="S4" s="2613" t="n"/>
      <c r="T4" s="2613" t="n"/>
      <c r="U4" s="2613" t="n"/>
      <c r="V4" s="2613" t="n"/>
      <c r="W4" s="2613" t="n"/>
      <c r="X4" s="2613" t="n"/>
      <c r="Y4" s="2613" t="n"/>
      <c r="Z4" s="2613" t="n"/>
      <c r="AA4" s="2613" t="n"/>
      <c r="AB4" s="2613" t="n"/>
      <c r="AC4" s="567" t="n"/>
      <c r="AD4" s="569">
        <f>+'Data Input'!D4</f>
        <v/>
      </c>
      <c r="AO4" s="103" t="n"/>
      <c r="AP4" s="103" t="n"/>
      <c r="AQ4" s="103" t="n"/>
      <c r="AR4" s="103" t="n"/>
      <c r="AS4" s="555" t="n"/>
      <c r="AT4" s="103" t="n"/>
      <c r="AU4" s="103" t="n"/>
      <c r="AV4" s="103" t="n"/>
      <c r="AW4" s="103" t="n"/>
      <c r="AX4" s="103" t="n"/>
      <c r="AY4" s="103" t="n"/>
      <c r="AZ4" s="103" t="n"/>
      <c r="BA4" s="103" t="n"/>
      <c r="BB4" s="103" t="n"/>
      <c r="BC4" s="103" t="n"/>
      <c r="BD4" s="103" t="n"/>
      <c r="BE4" s="103" t="n"/>
      <c r="BF4" s="103" t="n"/>
      <c r="BG4" s="103" t="n"/>
      <c r="BH4" s="103" t="n"/>
      <c r="BI4" s="103" t="n"/>
    </row>
    <row r="5" ht="16.5" customHeight="1">
      <c r="A5" s="176">
        <f>"   "&amp;'Data Input'!B5&amp;""&amp;'Data Input'!D5</f>
        <v/>
      </c>
      <c r="B5" s="2614" t="n"/>
      <c r="C5" s="2614" t="n"/>
      <c r="D5" s="2614" t="n"/>
      <c r="E5" s="2614" t="n"/>
      <c r="F5" s="2614" t="n"/>
      <c r="G5" s="2614" t="n"/>
      <c r="H5" s="2614" t="n"/>
      <c r="I5" s="2614" t="n"/>
      <c r="J5" s="2614" t="n"/>
      <c r="K5" s="2614" t="n"/>
      <c r="L5" s="2614" t="n"/>
      <c r="M5" s="2614" t="n"/>
      <c r="N5" s="2614" t="n"/>
      <c r="O5" s="2614" t="n"/>
      <c r="P5" s="2614" t="n"/>
      <c r="Q5" s="2614" t="n"/>
      <c r="R5" s="2614" t="n"/>
      <c r="S5" s="2614" t="n"/>
      <c r="T5" s="2614" t="n"/>
      <c r="U5" s="2614" t="n"/>
      <c r="V5" s="2614" t="n"/>
      <c r="W5" s="2614" t="n"/>
      <c r="X5" s="2614" t="n"/>
      <c r="Y5" s="2614" t="n"/>
      <c r="Z5" s="2614" t="n"/>
      <c r="AA5" s="2614" t="n"/>
      <c r="AB5" s="2614" t="n"/>
      <c r="AC5" s="2614" t="n"/>
      <c r="AD5" s="2614" t="n"/>
      <c r="AE5" s="2614" t="n"/>
      <c r="AF5" s="177" t="n"/>
      <c r="AG5" s="2614" t="n"/>
      <c r="AH5" s="2614" t="n"/>
      <c r="AI5" s="574" t="n"/>
      <c r="AJ5" s="574" t="n"/>
      <c r="AK5" s="2747" t="inlineStr">
        <is>
          <t>Gj.Gd-58</t>
        </is>
      </c>
      <c r="AL5" s="2614" t="n"/>
      <c r="AM5" s="2614" t="n"/>
      <c r="AN5" s="2617" t="n"/>
      <c r="AO5" s="64" t="n"/>
      <c r="AP5" s="64" t="n"/>
      <c r="AQ5" s="64" t="n"/>
      <c r="AR5" s="64" t="n"/>
      <c r="AS5" s="308" t="n"/>
      <c r="AT5" s="64" t="n"/>
      <c r="AU5" s="64" t="n"/>
      <c r="AV5" s="64" t="n"/>
      <c r="AW5" s="64" t="n"/>
      <c r="AX5" s="64" t="n"/>
      <c r="AY5" s="64" t="n"/>
      <c r="AZ5" s="64" t="n"/>
      <c r="BA5" s="64" t="n"/>
      <c r="BB5" s="64" t="n"/>
      <c r="BC5" s="64" t="n"/>
      <c r="BD5" s="64" t="n"/>
      <c r="BE5" s="64" t="n"/>
      <c r="BF5" s="64" t="n"/>
      <c r="BG5" s="64" t="n"/>
      <c r="BH5" s="64" t="n"/>
      <c r="BI5" s="64" t="n"/>
    </row>
    <row r="6" ht="5.25" customHeight="1">
      <c r="A6" s="600" t="n"/>
      <c r="B6" s="600" t="n"/>
      <c r="C6" s="600" t="n"/>
      <c r="D6" s="600" t="n"/>
      <c r="E6" s="600" t="n"/>
      <c r="F6" s="578" t="n"/>
      <c r="G6" s="600" t="n"/>
      <c r="H6" s="600" t="n"/>
      <c r="I6" s="600" t="n"/>
      <c r="J6" s="600" t="n"/>
      <c r="K6" s="600" t="n"/>
      <c r="L6" s="600" t="n"/>
      <c r="M6" s="600" t="n"/>
      <c r="N6" s="600" t="n"/>
      <c r="O6" s="600" t="n"/>
      <c r="P6" s="600" t="n"/>
      <c r="Q6" s="600" t="n"/>
      <c r="R6" s="600" t="n"/>
      <c r="S6" s="600" t="n"/>
      <c r="T6" s="600" t="n"/>
      <c r="U6" s="600" t="n"/>
      <c r="V6" s="600" t="n"/>
      <c r="W6" s="600" t="n"/>
      <c r="X6" s="600" t="n"/>
      <c r="Y6" s="600" t="n"/>
      <c r="Z6" s="600" t="n"/>
      <c r="AA6" s="600" t="n"/>
      <c r="AB6" s="600" t="n"/>
      <c r="AC6" s="600" t="n"/>
      <c r="AD6" s="600" t="n"/>
      <c r="AE6" s="600" t="n"/>
      <c r="AF6" s="600" t="n"/>
      <c r="AG6" s="578" t="n"/>
      <c r="AH6" s="600" t="n"/>
      <c r="AI6" s="80" t="n"/>
      <c r="AJ6" s="80" t="n"/>
      <c r="AK6" s="579" t="n"/>
      <c r="AL6" s="80" t="n"/>
      <c r="AM6" s="80" t="n"/>
      <c r="AN6" s="80" t="n"/>
      <c r="AO6" s="64" t="n"/>
      <c r="AP6" s="64" t="n"/>
      <c r="AQ6" s="64" t="n"/>
      <c r="AR6" s="64" t="n"/>
      <c r="AS6" s="308" t="n"/>
      <c r="AT6" s="64" t="n"/>
      <c r="AU6" s="64" t="n"/>
      <c r="AV6" s="64" t="n"/>
      <c r="AW6" s="64" t="n"/>
      <c r="AX6" s="64" t="n"/>
      <c r="AY6" s="64" t="n"/>
      <c r="AZ6" s="64" t="n"/>
      <c r="BA6" s="64" t="n"/>
      <c r="BB6" s="64" t="n"/>
      <c r="BC6" s="64" t="n"/>
      <c r="BD6" s="64" t="n"/>
      <c r="BE6" s="64" t="n"/>
      <c r="BF6" s="64" t="n"/>
      <c r="BG6" s="64" t="n"/>
      <c r="BH6" s="64" t="n"/>
      <c r="BI6" s="64" t="n"/>
    </row>
    <row r="7" ht="18.75" customHeight="1">
      <c r="A7" s="580" t="inlineStr">
        <is>
          <t>(bM` FY/PjwZ gyjab FY bevqb dig)</t>
        </is>
      </c>
      <c r="AO7" s="64" t="n"/>
      <c r="AP7" s="64" t="n"/>
      <c r="AQ7" s="64" t="n"/>
      <c r="AR7" s="64" t="n"/>
      <c r="AS7" s="308" t="n"/>
      <c r="AT7" s="64" t="n"/>
      <c r="AU7" s="64" t="n"/>
      <c r="AV7" s="64" t="n"/>
      <c r="AW7" s="64" t="n"/>
      <c r="AX7" s="64" t="n"/>
      <c r="AY7" s="64" t="n"/>
      <c r="AZ7" s="64" t="n"/>
      <c r="BA7" s="64" t="n"/>
      <c r="BB7" s="64" t="n"/>
      <c r="BC7" s="64" t="n"/>
      <c r="BD7" s="64" t="n"/>
      <c r="BE7" s="64" t="n"/>
      <c r="BF7" s="64" t="n"/>
      <c r="BG7" s="64" t="n"/>
      <c r="BH7" s="64" t="n"/>
      <c r="BI7" s="64" t="n"/>
    </row>
    <row r="8" ht="16.5" customHeight="1">
      <c r="A8" s="584" t="inlineStr">
        <is>
          <t>Ask-K</t>
        </is>
      </c>
      <c r="B8" s="2613" t="n"/>
      <c r="C8" s="2613" t="n"/>
      <c r="D8" s="2613" t="n"/>
      <c r="E8" s="2613" t="n"/>
      <c r="F8" s="2613" t="n"/>
      <c r="G8" s="2613" t="n"/>
      <c r="H8" s="2613" t="n"/>
      <c r="I8" s="2613" t="n"/>
      <c r="J8" s="2613" t="n"/>
      <c r="K8" s="2613" t="n"/>
      <c r="L8" s="2613" t="n"/>
      <c r="M8" s="2613" t="n"/>
      <c r="N8" s="2613" t="n"/>
      <c r="O8" s="2613" t="n"/>
      <c r="P8" s="2613" t="n"/>
      <c r="Q8" s="2613" t="n"/>
      <c r="R8" s="2613" t="n"/>
      <c r="S8" s="2613" t="n"/>
      <c r="T8" s="2613" t="n"/>
      <c r="U8" s="2613" t="n"/>
      <c r="V8" s="2613" t="n"/>
      <c r="W8" s="2613" t="n"/>
      <c r="X8" s="2613" t="n"/>
      <c r="Y8" s="2613" t="n"/>
      <c r="Z8" s="2613" t="n"/>
      <c r="AA8" s="2613" t="n"/>
      <c r="AB8" s="2613" t="n"/>
      <c r="AC8" s="2613" t="n"/>
      <c r="AD8" s="2613" t="n"/>
      <c r="AE8" s="2613" t="n"/>
      <c r="AF8" s="2613" t="n"/>
      <c r="AG8" s="2613" t="n"/>
      <c r="AH8" s="2613" t="n"/>
      <c r="AI8" s="2613" t="n"/>
      <c r="AJ8" s="2613" t="n"/>
      <c r="AK8" s="2613" t="n"/>
      <c r="AL8" s="2613" t="n"/>
      <c r="AM8" s="2613" t="n"/>
      <c r="AN8" s="2613" t="n"/>
      <c r="AO8" s="64" t="n"/>
      <c r="AP8" s="64" t="n"/>
      <c r="AQ8" s="64" t="n"/>
      <c r="AR8" s="64" t="n"/>
      <c r="AS8" s="308" t="n"/>
      <c r="AT8" s="64" t="n"/>
      <c r="AU8" s="64" t="n"/>
      <c r="AV8" s="64" t="n"/>
      <c r="AW8" s="64" t="n"/>
      <c r="AX8" s="64" t="n"/>
      <c r="AY8" s="64" t="n"/>
      <c r="AZ8" s="64" t="n"/>
      <c r="BA8" s="64" t="n"/>
      <c r="BB8" s="64" t="n"/>
      <c r="BC8" s="64" t="n"/>
      <c r="BD8" s="64" t="n"/>
      <c r="BE8" s="64" t="n"/>
      <c r="BF8" s="64" t="n"/>
      <c r="BG8" s="64" t="n"/>
      <c r="BH8" s="64" t="n"/>
      <c r="BI8" s="64" t="n"/>
    </row>
    <row r="9" ht="9.75" customHeight="1">
      <c r="A9" s="64" t="n"/>
      <c r="B9" s="614" t="n"/>
      <c r="C9" s="614" t="n"/>
      <c r="D9" s="614" t="n"/>
      <c r="E9" s="614" t="n"/>
      <c r="F9" s="293" t="n"/>
      <c r="G9" s="614" t="n"/>
      <c r="H9" s="614" t="n"/>
      <c r="I9" s="614" t="n"/>
      <c r="J9" s="614" t="n"/>
      <c r="K9" s="614" t="n"/>
      <c r="L9" s="64" t="n"/>
      <c r="M9" s="64" t="n"/>
      <c r="N9" s="64" t="n"/>
      <c r="O9" s="64" t="n"/>
      <c r="P9" s="64" t="n"/>
      <c r="Q9" s="64" t="n"/>
      <c r="R9" s="64" t="n"/>
      <c r="S9" s="64" t="n"/>
      <c r="T9" s="64" t="n"/>
      <c r="U9" s="64" t="n"/>
      <c r="V9" s="64" t="n"/>
      <c r="W9" s="64" t="n"/>
      <c r="X9" s="64" t="n"/>
      <c r="Y9" s="64" t="n"/>
      <c r="Z9" s="64" t="n"/>
      <c r="AA9" s="64" t="n"/>
      <c r="AB9" s="64" t="n"/>
      <c r="AC9" s="64" t="n"/>
      <c r="AD9" s="64" t="n"/>
      <c r="AE9" s="64" t="n"/>
      <c r="AF9" s="64" t="n"/>
      <c r="AG9" s="308" t="n"/>
      <c r="AH9" s="64" t="n"/>
      <c r="AI9" s="136" t="n"/>
      <c r="AJ9" s="64" t="n"/>
      <c r="AK9" s="663" t="n"/>
      <c r="AL9" s="64" t="n"/>
      <c r="AM9" s="64" t="n"/>
      <c r="AN9" s="64" t="n"/>
      <c r="AO9" s="64" t="n"/>
      <c r="AP9" s="64" t="n"/>
      <c r="AQ9" s="64" t="n"/>
      <c r="AR9" s="64" t="n"/>
      <c r="AS9" s="308" t="n"/>
      <c r="AT9" s="64" t="n"/>
      <c r="AU9" s="64" t="n"/>
      <c r="AV9" s="64" t="n"/>
      <c r="AW9" s="64" t="n"/>
      <c r="AX9" s="64" t="n"/>
      <c r="AY9" s="64" t="n"/>
      <c r="AZ9" s="64" t="n"/>
      <c r="BA9" s="64" t="n"/>
      <c r="BB9" s="64" t="n"/>
      <c r="BC9" s="64" t="n"/>
      <c r="BD9" s="64" t="n"/>
      <c r="BE9" s="64" t="n"/>
      <c r="BF9" s="64" t="n"/>
      <c r="BG9" s="64" t="n"/>
      <c r="BH9" s="64" t="n"/>
      <c r="BI9" s="64" t="n"/>
    </row>
    <row r="10" ht="34.5" customHeight="1">
      <c r="A10" s="600" t="inlineStr">
        <is>
          <t xml:space="preserve">1| </t>
        </is>
      </c>
      <c r="B10" s="600" t="inlineStr">
        <is>
          <t>FY MÖnxZvi bvg</t>
        </is>
      </c>
      <c r="J10" s="600" t="inlineStr">
        <is>
          <t>t</t>
        </is>
      </c>
      <c r="K10" s="589">
        <f>'Data Input'!D8&amp;",  ‡cÖvcvBUit "&amp;'Data Input'!D12</f>
        <v/>
      </c>
      <c r="AE10" s="590" t="inlineStr">
        <is>
          <t>m~Î bst-‡jvb †Km bs- wmwm t     /(wmwm)/2023-24</t>
        </is>
      </c>
      <c r="AF10" s="2619" t="n"/>
      <c r="AG10" s="2619" t="n"/>
      <c r="AH10" s="2619" t="n"/>
      <c r="AI10" s="2619" t="n"/>
      <c r="AJ10" s="2619" t="n"/>
      <c r="AK10" s="2619" t="n"/>
      <c r="AL10" s="2619" t="n"/>
      <c r="AM10" s="2619" t="n"/>
      <c r="AN10" s="2620" t="n"/>
      <c r="AO10" s="64" t="n"/>
      <c r="AP10" s="64" t="n"/>
      <c r="AQ10" s="64" t="n"/>
      <c r="AR10" s="600" t="inlineStr">
        <is>
          <t>c~e© FY</t>
        </is>
      </c>
      <c r="AS10" s="1156" t="n">
        <v>700000</v>
      </c>
      <c r="AT10" s="2617" t="n"/>
      <c r="AU10" s="64" t="n"/>
      <c r="AV10" s="64" t="n"/>
      <c r="AW10" s="64" t="n"/>
      <c r="AX10" s="64" t="n"/>
      <c r="AY10" s="64" t="n"/>
      <c r="AZ10" s="64" t="n"/>
      <c r="BA10" s="64" t="n"/>
      <c r="BB10" s="64" t="n"/>
      <c r="BC10" s="64" t="n"/>
      <c r="BD10" s="64" t="n"/>
      <c r="BE10" s="64" t="n"/>
      <c r="BF10" s="64" t="n"/>
      <c r="BG10" s="64" t="n"/>
      <c r="BH10" s="64" t="n"/>
      <c r="BI10" s="64" t="n"/>
    </row>
    <row r="11" ht="18" customHeight="1">
      <c r="A11" s="600" t="inlineStr">
        <is>
          <t xml:space="preserve">2| </t>
        </is>
      </c>
      <c r="B11" s="600" t="inlineStr">
        <is>
          <t>wVKvbv</t>
        </is>
      </c>
      <c r="J11" s="600" t="inlineStr">
        <is>
          <t>t</t>
        </is>
      </c>
      <c r="K11" s="492">
        <f>+'Data Input'!D17&amp;", Dc‡Rjvt "&amp;'Data Input'!D22&amp;", ‡Rjvt "&amp;'Data Input'!D23</f>
        <v/>
      </c>
      <c r="AE11" s="2621" t="n"/>
      <c r="AF11" s="2622" t="n"/>
      <c r="AG11" s="2622" t="n"/>
      <c r="AH11" s="2622" t="n"/>
      <c r="AI11" s="2622" t="n"/>
      <c r="AJ11" s="2622" t="n"/>
      <c r="AK11" s="2622" t="n"/>
      <c r="AL11" s="2622" t="n"/>
      <c r="AM11" s="2622" t="n"/>
      <c r="AN11" s="2623" t="n"/>
      <c r="AO11" s="64" t="n"/>
      <c r="AP11" s="64" t="n"/>
      <c r="AQ11" s="64" t="n"/>
      <c r="AR11" s="64" t="n"/>
      <c r="AS11" s="308" t="n"/>
      <c r="AT11" s="64" t="n"/>
      <c r="AU11" s="64" t="n"/>
      <c r="AV11" s="64" t="n"/>
      <c r="AW11" s="64" t="n"/>
      <c r="AX11" s="64" t="n"/>
      <c r="AY11" s="64" t="n"/>
      <c r="AZ11" s="64" t="n"/>
      <c r="BA11" s="64" t="n"/>
      <c r="BB11" s="64" t="n"/>
      <c r="BC11" s="64" t="n"/>
      <c r="BD11" s="64" t="n"/>
      <c r="BE11" s="64" t="n"/>
      <c r="BF11" s="64" t="n"/>
      <c r="BG11" s="64" t="n"/>
      <c r="BH11" s="64" t="n"/>
      <c r="BI11" s="64" t="n"/>
    </row>
    <row r="12" ht="18" customHeight="1">
      <c r="A12" s="600" t="n"/>
      <c r="B12" s="600" t="n"/>
      <c r="J12" s="600" t="n"/>
      <c r="AE12" s="600" t="inlineStr">
        <is>
          <t>Aemvq‡bi ZvwiLt</t>
        </is>
      </c>
      <c r="AF12" s="600" t="n"/>
      <c r="AG12" s="578" t="n"/>
      <c r="AH12" s="600" t="n"/>
      <c r="AI12" s="111" t="n"/>
      <c r="AJ12" s="597" t="n"/>
      <c r="AO12" s="64" t="n"/>
      <c r="AP12" s="64" t="n"/>
      <c r="AQ12" s="64" t="n"/>
      <c r="AR12" s="64" t="n"/>
      <c r="AS12" s="308" t="n"/>
      <c r="AT12" s="64" t="n"/>
      <c r="AU12" s="64" t="n"/>
      <c r="AV12" s="64" t="n"/>
      <c r="AW12" s="64" t="n"/>
      <c r="AX12" s="64" t="n"/>
      <c r="AY12" s="64" t="n"/>
      <c r="AZ12" s="64" t="n"/>
      <c r="BA12" s="64" t="n"/>
      <c r="BB12" s="64" t="n"/>
      <c r="BC12" s="64" t="n"/>
      <c r="BD12" s="64" t="n"/>
      <c r="BE12" s="64" t="n"/>
      <c r="BF12" s="64" t="n"/>
      <c r="BG12" s="64" t="n"/>
      <c r="BH12" s="64" t="n"/>
      <c r="BI12" s="64" t="n"/>
    </row>
    <row r="13" ht="18" customHeight="1">
      <c r="A13" s="600" t="inlineStr">
        <is>
          <t xml:space="preserve">3| </t>
        </is>
      </c>
      <c r="B13" s="600" t="inlineStr">
        <is>
          <t>gÄyixi cwigvb</t>
        </is>
      </c>
      <c r="J13" s="600" t="inlineStr">
        <is>
          <t>t</t>
        </is>
      </c>
      <c r="K13" s="600">
        <f>AS10&amp;"/- ("&amp;ConvertCurrencyToBangla(AS10)&amp;" )"</f>
        <v/>
      </c>
      <c r="AE13" s="600" t="n"/>
      <c r="AF13" s="600" t="n"/>
      <c r="AG13" s="578" t="n"/>
      <c r="AH13" s="600" t="n"/>
      <c r="AI13" s="111" t="n"/>
      <c r="AJ13" s="600" t="n"/>
      <c r="AK13" s="601" t="n"/>
      <c r="AL13" s="600" t="n"/>
      <c r="AM13" s="600" t="n"/>
      <c r="AN13" s="600" t="n"/>
      <c r="AO13" s="64" t="n"/>
      <c r="AP13" s="64" t="n"/>
      <c r="AQ13" s="64" t="n"/>
      <c r="AR13" s="64" t="n"/>
      <c r="AS13" s="308" t="n"/>
      <c r="AT13" s="64" t="n"/>
      <c r="AU13" s="64" t="n"/>
      <c r="AV13" s="64" t="n"/>
      <c r="AW13" s="64" t="n"/>
      <c r="AX13" s="64" t="n"/>
      <c r="AY13" s="64" t="n"/>
      <c r="AZ13" s="64" t="n"/>
      <c r="BA13" s="64" t="n"/>
      <c r="BB13" s="64" t="n"/>
      <c r="BC13" s="64" t="n"/>
      <c r="BD13" s="64" t="n"/>
      <c r="BE13" s="64" t="n"/>
      <c r="BF13" s="64" t="n"/>
      <c r="BG13" s="64" t="n"/>
      <c r="BH13" s="64" t="n"/>
      <c r="BI13" s="64" t="n"/>
    </row>
    <row r="14" ht="20.25" customHeight="1">
      <c r="A14" s="600" t="inlineStr">
        <is>
          <t xml:space="preserve">4| </t>
        </is>
      </c>
      <c r="B14" s="600" t="inlineStr">
        <is>
          <t>FY mxgvi D‡Ïk¨</t>
        </is>
      </c>
      <c r="J14" s="600" t="inlineStr">
        <is>
          <t>t</t>
        </is>
      </c>
      <c r="K14" s="600">
        <f>+'Data Input'!D10</f>
        <v/>
      </c>
      <c r="AE14" s="600" t="inlineStr">
        <is>
          <t>6| FYmxgvi cÖK…Z</t>
        </is>
      </c>
      <c r="AF14" s="600" t="n"/>
      <c r="AG14" s="578" t="n"/>
      <c r="AH14" s="600" t="n"/>
      <c r="AI14" s="111" t="n"/>
      <c r="AJ14" s="480" t="inlineStr">
        <is>
          <t>wjwgU</t>
        </is>
      </c>
      <c r="AO14" s="64" t="n"/>
      <c r="AP14" s="64" t="n"/>
      <c r="AQ14" s="64" t="n"/>
      <c r="AR14" s="64" t="n"/>
      <c r="AS14" s="308" t="n"/>
      <c r="AT14" s="64" t="n"/>
      <c r="AU14" s="64" t="n"/>
      <c r="AV14" s="64" t="n"/>
      <c r="AW14" s="64" t="n"/>
      <c r="AX14" s="64" t="n"/>
      <c r="AY14" s="64" t="n"/>
      <c r="AZ14" s="64" t="n"/>
      <c r="BA14" s="64" t="n"/>
      <c r="BB14" s="64" t="n"/>
      <c r="BC14" s="64" t="n"/>
      <c r="BD14" s="64" t="n"/>
      <c r="BE14" s="64" t="n"/>
      <c r="BF14" s="64" t="n"/>
      <c r="BG14" s="64" t="n"/>
      <c r="BH14" s="64" t="n"/>
      <c r="BI14" s="64" t="n"/>
    </row>
    <row r="15" ht="18" customHeight="1">
      <c r="A15" s="600" t="inlineStr">
        <is>
          <t xml:space="preserve">5| </t>
        </is>
      </c>
      <c r="B15" s="600" t="inlineStr">
        <is>
          <t>eÜK-`vqe‡Üi AbycvZ</t>
        </is>
      </c>
      <c r="J15" s="600" t="inlineStr">
        <is>
          <t>t</t>
        </is>
      </c>
      <c r="K15" s="64" t="n"/>
      <c r="L15" s="603">
        <f>+'Data Input'!G16/('Data Input'!D11+'Data Input'!G16)</f>
        <v/>
      </c>
      <c r="O15" s="600" t="inlineStr">
        <is>
          <t>t</t>
        </is>
      </c>
      <c r="P15" s="603">
        <f>+'Data Input'!D11/('Data Input'!D11+'Data Input'!G16)</f>
        <v/>
      </c>
      <c r="T15" s="600" t="n"/>
      <c r="U15" s="600" t="n"/>
      <c r="V15" s="600" t="n"/>
      <c r="W15" s="600" t="n"/>
      <c r="X15" s="600" t="n"/>
      <c r="Y15" s="600" t="n"/>
      <c r="Z15" s="600" t="n"/>
      <c r="AA15" s="600" t="n"/>
      <c r="AB15" s="600" t="n"/>
      <c r="AC15" s="600" t="n"/>
      <c r="AD15" s="600" t="n"/>
      <c r="AE15" s="600" t="inlineStr">
        <is>
          <t>7| FY MÖnxZvi DcvË</t>
        </is>
      </c>
      <c r="AF15" s="600" t="n"/>
      <c r="AG15" s="578" t="n"/>
      <c r="AH15" s="600" t="n"/>
      <c r="AI15" s="111" t="n"/>
      <c r="AJ15" s="480" t="n"/>
      <c r="AK15" s="602" t="n">
        <v>1</v>
      </c>
      <c r="AO15" s="64" t="n"/>
      <c r="AP15" s="64" t="n"/>
      <c r="AQ15" s="64" t="n"/>
      <c r="AR15" s="64" t="n"/>
      <c r="AS15" s="308" t="n"/>
      <c r="AT15" s="64" t="n"/>
      <c r="AU15" s="64" t="n"/>
      <c r="AV15" s="64" t="n"/>
      <c r="AW15" s="64" t="n"/>
      <c r="AX15" s="64" t="n"/>
      <c r="AY15" s="64" t="n"/>
      <c r="AZ15" s="64" t="n"/>
      <c r="BA15" s="64" t="n"/>
      <c r="BB15" s="64" t="n"/>
      <c r="BC15" s="64" t="n"/>
      <c r="BD15" s="64" t="n"/>
      <c r="BE15" s="64" t="n"/>
      <c r="BF15" s="64" t="n"/>
      <c r="BG15" s="64" t="n"/>
      <c r="BH15" s="64" t="n"/>
      <c r="BI15" s="64" t="n"/>
    </row>
    <row r="16" ht="16.5" customHeight="1">
      <c r="A16" s="584" t="inlineStr">
        <is>
          <t>Ask-L</t>
        </is>
      </c>
      <c r="B16" s="2613" t="n"/>
      <c r="C16" s="2613" t="n"/>
      <c r="D16" s="2613" t="n"/>
      <c r="E16" s="2613" t="n"/>
      <c r="F16" s="2613" t="n"/>
      <c r="G16" s="2613" t="n"/>
      <c r="H16" s="2613" t="n"/>
      <c r="I16" s="2613" t="n"/>
      <c r="J16" s="2613" t="n"/>
      <c r="K16" s="2613" t="n"/>
      <c r="L16" s="2613" t="n"/>
      <c r="M16" s="2613" t="n"/>
      <c r="N16" s="2613" t="n"/>
      <c r="O16" s="2613" t="n"/>
      <c r="P16" s="2613" t="n"/>
      <c r="Q16" s="2613" t="n"/>
      <c r="R16" s="2613" t="n"/>
      <c r="S16" s="2613" t="n"/>
      <c r="T16" s="2613" t="n"/>
      <c r="U16" s="2613" t="n"/>
      <c r="V16" s="2613" t="n"/>
      <c r="W16" s="2613" t="n"/>
      <c r="X16" s="2613" t="n"/>
      <c r="Y16" s="2613" t="n"/>
      <c r="Z16" s="2613" t="n"/>
      <c r="AA16" s="2613" t="n"/>
      <c r="AB16" s="2613" t="n"/>
      <c r="AC16" s="2613" t="n"/>
      <c r="AD16" s="2613" t="n"/>
      <c r="AE16" s="2613" t="n"/>
      <c r="AF16" s="2613" t="n"/>
      <c r="AG16" s="2613" t="n"/>
      <c r="AH16" s="2613" t="n"/>
      <c r="AI16" s="2613" t="n"/>
      <c r="AJ16" s="2613" t="n"/>
      <c r="AK16" s="2613" t="n"/>
      <c r="AL16" s="2613" t="n"/>
      <c r="AM16" s="2613" t="n"/>
      <c r="AN16" s="2613" t="n"/>
      <c r="AO16" s="64" t="n"/>
      <c r="AP16" s="64" t="n"/>
      <c r="AQ16" s="64" t="n"/>
      <c r="AR16" s="64" t="n"/>
      <c r="AS16" s="308" t="n"/>
      <c r="AT16" s="64" t="n"/>
      <c r="AU16" s="64" t="n"/>
      <c r="AV16" s="64" t="n"/>
      <c r="AW16" s="64" t="n"/>
      <c r="AX16" s="64" t="n"/>
      <c r="AY16" s="64" t="n"/>
      <c r="AZ16" s="64" t="n"/>
      <c r="BA16" s="64" t="n"/>
      <c r="BB16" s="64" t="n"/>
      <c r="BC16" s="64" t="n"/>
      <c r="BD16" s="64" t="n"/>
      <c r="BE16" s="64" t="n"/>
      <c r="BF16" s="64" t="n"/>
      <c r="BG16" s="64" t="n"/>
      <c r="BH16" s="64" t="n"/>
      <c r="BI16" s="64" t="n"/>
    </row>
    <row r="17" ht="18" customHeight="1">
      <c r="A17" s="600" t="n"/>
      <c r="B17" s="64" t="n"/>
      <c r="C17" s="64" t="n"/>
      <c r="D17" s="64" t="n"/>
      <c r="E17" s="64" t="n"/>
      <c r="F17" s="308" t="n"/>
      <c r="G17" s="64" t="n"/>
      <c r="H17" s="64" t="n"/>
      <c r="I17" s="64" t="n"/>
      <c r="J17" s="64" t="n"/>
      <c r="K17" s="64" t="n"/>
      <c r="L17" s="600" t="n"/>
      <c r="M17" s="600" t="n"/>
      <c r="N17" s="600" t="n"/>
      <c r="O17" s="600" t="n"/>
      <c r="P17" s="600" t="n"/>
      <c r="Q17" s="600" t="n"/>
      <c r="R17" s="600" t="n"/>
      <c r="S17" s="600" t="n"/>
      <c r="T17" s="600" t="n"/>
      <c r="U17" s="600" t="n"/>
      <c r="V17" s="600" t="n"/>
      <c r="W17" s="600" t="n"/>
      <c r="X17" s="600" t="n"/>
      <c r="Y17" s="600" t="n"/>
      <c r="Z17" s="600" t="n"/>
      <c r="AA17" s="600" t="n"/>
      <c r="AB17" s="600" t="n"/>
      <c r="AC17" s="600" t="n"/>
      <c r="AD17" s="600" t="n"/>
      <c r="AE17" s="600" t="n"/>
      <c r="AF17" s="600" t="n"/>
      <c r="AG17" s="578" t="n"/>
      <c r="AH17" s="600" t="n"/>
      <c r="AI17" s="111" t="n"/>
      <c r="AJ17" s="600" t="n"/>
      <c r="AK17" s="601" t="n"/>
      <c r="AL17" s="600" t="n"/>
      <c r="AM17" s="600" t="n"/>
      <c r="AN17" s="600" t="n"/>
      <c r="AO17" s="64" t="n"/>
      <c r="AP17" s="64" t="n"/>
      <c r="AQ17" s="64" t="n"/>
      <c r="AR17" s="64" t="n"/>
      <c r="AS17" s="308" t="n"/>
      <c r="AT17" s="64" t="n"/>
      <c r="AU17" s="64" t="n"/>
      <c r="AV17" s="64" t="n"/>
      <c r="AW17" s="64" t="n"/>
      <c r="AX17" s="64" t="n"/>
      <c r="AY17" s="64" t="n"/>
      <c r="AZ17" s="64" t="n"/>
      <c r="BA17" s="64" t="n"/>
      <c r="BB17" s="64" t="n"/>
      <c r="BC17" s="64" t="n"/>
      <c r="BD17" s="64" t="n"/>
      <c r="BE17" s="64" t="n"/>
      <c r="BF17" s="64" t="n"/>
      <c r="BG17" s="64" t="n"/>
      <c r="BH17" s="64" t="n"/>
      <c r="BI17" s="64" t="n"/>
    </row>
    <row r="18" ht="18" customHeight="1">
      <c r="A18" s="600" t="inlineStr">
        <is>
          <t xml:space="preserve">K) </t>
        </is>
      </c>
      <c r="B18" s="600" t="inlineStr">
        <is>
          <t>me©vwaK cwigv‡b e¨eüZ</t>
        </is>
      </c>
      <c r="R18" s="600" t="inlineStr">
        <is>
          <t>t</t>
        </is>
      </c>
      <c r="S18" s="604" t="inlineStr">
        <is>
          <t>1| wnmv‡ei m‡e©v”P AvniY</t>
        </is>
      </c>
      <c r="T18" s="604" t="n"/>
      <c r="U18" s="600" t="n"/>
      <c r="V18" s="600" t="n"/>
      <c r="W18" s="600" t="n"/>
      <c r="X18" s="600" t="n"/>
      <c r="Y18" s="600" t="n"/>
      <c r="Z18" s="600" t="n"/>
      <c r="AA18" s="64" t="n"/>
      <c r="AB18" s="64" t="n"/>
      <c r="AC18" s="600" t="n"/>
      <c r="AD18" s="600" t="n"/>
      <c r="AE18" s="600" t="n"/>
      <c r="AF18" s="600" t="n"/>
      <c r="AG18" s="605" t="n"/>
      <c r="AO18" s="64" t="n"/>
      <c r="AP18" s="64" t="n"/>
      <c r="AQ18" s="64" t="n"/>
      <c r="AR18" s="64" t="n"/>
      <c r="AS18" s="308" t="n"/>
      <c r="AT18" s="64" t="n"/>
      <c r="AU18" s="64" t="n"/>
      <c r="AV18" s="64" t="n"/>
      <c r="AW18" s="64" t="n"/>
      <c r="AX18" s="64" t="n"/>
      <c r="AY18" s="64" t="n"/>
      <c r="AZ18" s="64" t="n"/>
      <c r="BA18" s="64" t="n"/>
      <c r="BB18" s="64" t="n"/>
      <c r="BC18" s="64" t="n"/>
      <c r="BD18" s="64" t="n"/>
      <c r="BE18" s="64" t="n"/>
      <c r="BF18" s="64" t="n"/>
      <c r="BG18" s="64" t="n"/>
      <c r="BH18" s="64" t="n"/>
      <c r="BI18" s="64" t="n"/>
    </row>
    <row r="19" ht="18" customHeight="1">
      <c r="A19" s="64" t="n"/>
      <c r="B19" s="614" t="n"/>
      <c r="R19" s="600" t="n"/>
      <c r="S19" s="604" t="inlineStr">
        <is>
          <t>2| wnmv‡ei m‡e©v”P cwi‡kva/Rgv</t>
        </is>
      </c>
      <c r="T19" s="604" t="n"/>
      <c r="U19" s="600" t="n"/>
      <c r="V19" s="600" t="n"/>
      <c r="W19" s="600" t="n"/>
      <c r="X19" s="600" t="n"/>
      <c r="Y19" s="600" t="n"/>
      <c r="Z19" s="600" t="n"/>
      <c r="AA19" s="64" t="n"/>
      <c r="AB19" s="64" t="n"/>
      <c r="AC19" s="600" t="n"/>
      <c r="AD19" s="600" t="n"/>
      <c r="AE19" s="600" t="n"/>
      <c r="AF19" s="600" t="n"/>
      <c r="AG19" s="606" t="n"/>
      <c r="AO19" s="64" t="n"/>
      <c r="AP19" s="64" t="n"/>
      <c r="AQ19" s="64" t="n"/>
      <c r="AR19" s="64" t="n"/>
      <c r="AS19" s="308" t="n"/>
      <c r="AT19" s="64" t="n"/>
      <c r="AU19" s="64" t="n"/>
      <c r="AV19" s="64" t="n"/>
      <c r="AW19" s="64" t="n"/>
      <c r="AX19" s="64" t="n"/>
      <c r="AY19" s="64" t="n"/>
      <c r="AZ19" s="64" t="n"/>
      <c r="BA19" s="64" t="n"/>
      <c r="BB19" s="64" t="n"/>
      <c r="BC19" s="64" t="n"/>
      <c r="BD19" s="64" t="n"/>
      <c r="BE19" s="64" t="n"/>
      <c r="BF19" s="64" t="n"/>
      <c r="BG19" s="64" t="n"/>
      <c r="BH19" s="64" t="n"/>
      <c r="BI19" s="64" t="n"/>
    </row>
    <row r="20" ht="18" customHeight="1">
      <c r="A20" s="600" t="inlineStr">
        <is>
          <t xml:space="preserve">L) </t>
        </is>
      </c>
      <c r="B20" s="600" t="inlineStr">
        <is>
          <t>Rvgvb‡Zi weeiY (eÜKx e¨ZxZ)</t>
        </is>
      </c>
      <c r="R20" s="600" t="inlineStr">
        <is>
          <t>t</t>
        </is>
      </c>
      <c r="S20" s="600" t="n"/>
      <c r="T20" s="600" t="n"/>
      <c r="U20" s="600" t="n"/>
      <c r="V20" s="600" t="n"/>
      <c r="W20" s="600" t="n"/>
      <c r="X20" s="600" t="n"/>
      <c r="Y20" s="600" t="n"/>
      <c r="Z20" s="600" t="n"/>
      <c r="AA20" s="600" t="n"/>
      <c r="AB20" s="600" t="n"/>
      <c r="AC20" s="600" t="n"/>
      <c r="AD20" s="600" t="n"/>
      <c r="AE20" s="604" t="n"/>
      <c r="AF20" s="600" t="n"/>
      <c r="AG20" s="111" t="n"/>
      <c r="AH20" s="111" t="n"/>
      <c r="AI20" s="111" t="n"/>
      <c r="AJ20" s="111" t="n"/>
      <c r="AK20" s="111" t="n"/>
      <c r="AL20" s="111" t="n"/>
      <c r="AM20" s="111" t="n"/>
      <c r="AN20" s="111" t="n"/>
      <c r="AO20" s="64" t="n"/>
      <c r="AP20" s="64" t="n"/>
      <c r="AQ20" s="64" t="n"/>
      <c r="AR20" s="64" t="n"/>
      <c r="AS20" s="308" t="n"/>
      <c r="AT20" s="64" t="n"/>
      <c r="AU20" s="64" t="n"/>
      <c r="AV20" s="64" t="n"/>
      <c r="AW20" s="64" t="n"/>
      <c r="AX20" s="64" t="n"/>
      <c r="AY20" s="64" t="n"/>
      <c r="AZ20" s="64" t="n"/>
      <c r="BA20" s="64" t="n"/>
      <c r="BB20" s="64" t="n"/>
      <c r="BC20" s="64" t="n"/>
      <c r="BD20" s="64" t="n"/>
      <c r="BE20" s="64" t="n"/>
      <c r="BF20" s="64" t="n"/>
      <c r="BG20" s="64" t="n"/>
      <c r="BH20" s="64" t="n"/>
      <c r="BI20" s="64" t="n"/>
    </row>
    <row r="21" ht="18" customHeight="1">
      <c r="A21" s="600" t="inlineStr">
        <is>
          <t xml:space="preserve">M) </t>
        </is>
      </c>
      <c r="B21" s="600" t="inlineStr">
        <is>
          <t>Rvgvb‡Zi g~j¨vqb</t>
        </is>
      </c>
      <c r="R21" s="600" t="inlineStr">
        <is>
          <t>t</t>
        </is>
      </c>
      <c r="S21" s="600" t="inlineStr">
        <is>
          <t>1| e¨e¯’vcK KZ…©K wbiƒwcZ g~j¨</t>
        </is>
      </c>
      <c r="AE21" s="604" t="inlineStr">
        <is>
          <t>t</t>
        </is>
      </c>
      <c r="AF21" s="64" t="n"/>
      <c r="AG21" s="607" t="n"/>
      <c r="AH21" s="607" t="n"/>
      <c r="AI21" s="111">
        <f>+'LF-5'!Y65</f>
        <v/>
      </c>
      <c r="AO21" s="64" t="n"/>
      <c r="AP21" s="64" t="n"/>
      <c r="AQ21" s="64" t="n"/>
      <c r="AR21" s="64" t="n"/>
      <c r="AS21" s="308" t="n"/>
      <c r="AT21" s="64" t="n"/>
      <c r="AU21" s="64" t="n"/>
      <c r="AV21" s="64" t="n"/>
      <c r="AW21" s="64" t="n"/>
      <c r="AX21" s="64" t="n"/>
      <c r="AY21" s="64" t="n"/>
      <c r="AZ21" s="64" t="n"/>
      <c r="BA21" s="64" t="n"/>
      <c r="BB21" s="64" t="n"/>
      <c r="BC21" s="64" t="n"/>
      <c r="BD21" s="64" t="n"/>
      <c r="BE21" s="64" t="n"/>
      <c r="BF21" s="64" t="n"/>
      <c r="BG21" s="64" t="n"/>
      <c r="BH21" s="64" t="n"/>
      <c r="BI21" s="64" t="n"/>
    </row>
    <row r="22" ht="18" customHeight="1">
      <c r="A22" s="64" t="n"/>
      <c r="B22" s="614" t="n"/>
      <c r="R22" s="608" t="n"/>
      <c r="S22" s="600" t="inlineStr">
        <is>
          <t>2| Rvgvb‡Zi Gg. wm. Gj  g~j¨</t>
        </is>
      </c>
      <c r="AE22" s="604" t="inlineStr">
        <is>
          <t>t</t>
        </is>
      </c>
      <c r="AF22" s="600" t="n"/>
      <c r="AG22" s="578" t="n"/>
      <c r="AH22" s="600" t="n"/>
      <c r="AI22" s="481">
        <f>'LF-5'!#REF!</f>
        <v/>
      </c>
      <c r="AO22" s="64" t="n"/>
      <c r="AP22" s="64" t="n"/>
      <c r="AQ22" s="64" t="n"/>
      <c r="AR22" s="64" t="n"/>
      <c r="AS22" s="308" t="n"/>
      <c r="AT22" s="64" t="n"/>
      <c r="AU22" s="64" t="n"/>
      <c r="AV22" s="64" t="n"/>
      <c r="AW22" s="64" t="n"/>
      <c r="AX22" s="64" t="n"/>
      <c r="AY22" s="64" t="n"/>
      <c r="AZ22" s="64" t="n"/>
      <c r="BA22" s="64" t="n"/>
      <c r="BB22" s="64" t="n"/>
      <c r="BC22" s="64" t="n"/>
      <c r="BD22" s="64" t="n"/>
      <c r="BE22" s="64" t="n"/>
      <c r="BF22" s="64" t="n"/>
      <c r="BG22" s="64" t="n"/>
      <c r="BH22" s="64" t="n"/>
      <c r="BI22" s="64" t="n"/>
    </row>
    <row r="23" ht="18" customHeight="1">
      <c r="A23" s="600" t="inlineStr">
        <is>
          <t xml:space="preserve">  </t>
        </is>
      </c>
      <c r="B23" s="614" t="n"/>
      <c r="R23" s="600" t="n"/>
      <c r="S23" s="600" t="n"/>
      <c r="T23" s="600" t="n"/>
      <c r="U23" s="600" t="n"/>
      <c r="V23" s="600" t="n"/>
      <c r="W23" s="600" t="n"/>
      <c r="X23" s="600" t="n"/>
      <c r="Y23" s="600" t="n"/>
      <c r="Z23" s="600" t="n"/>
      <c r="AA23" s="600" t="n"/>
      <c r="AB23" s="600" t="n"/>
      <c r="AC23" s="600" t="n"/>
      <c r="AD23" s="600" t="n"/>
      <c r="AE23" s="600" t="n"/>
      <c r="AF23" s="600" t="n"/>
      <c r="AG23" s="578" t="n"/>
      <c r="AH23" s="600" t="n"/>
      <c r="AI23" s="111" t="n"/>
      <c r="AJ23" s="600" t="n"/>
      <c r="AK23" s="601" t="n"/>
      <c r="AL23" s="600" t="n"/>
      <c r="AM23" s="600" t="n"/>
      <c r="AN23" s="600" t="n"/>
      <c r="AO23" s="64" t="n"/>
      <c r="AP23" s="64" t="n"/>
      <c r="AQ23" s="64" t="n"/>
      <c r="AR23" s="64" t="n"/>
      <c r="AS23" s="308" t="n"/>
      <c r="AT23" s="64" t="n"/>
      <c r="AU23" s="64" t="n"/>
      <c r="AV23" s="64" t="n"/>
      <c r="AW23" s="64" t="n"/>
      <c r="AX23" s="64" t="n"/>
      <c r="AY23" s="64" t="n"/>
      <c r="AZ23" s="64" t="n"/>
      <c r="BA23" s="64" t="n"/>
      <c r="BB23" s="64" t="n"/>
      <c r="BC23" s="64" t="n"/>
      <c r="BD23" s="64" t="n"/>
      <c r="BE23" s="64" t="n"/>
      <c r="BF23" s="64" t="n"/>
      <c r="BG23" s="64" t="n"/>
      <c r="BH23" s="64" t="n"/>
      <c r="BI23" s="64" t="n"/>
    </row>
    <row r="24" ht="18" customHeight="1">
      <c r="A24" s="600" t="inlineStr">
        <is>
          <t xml:space="preserve">N) </t>
        </is>
      </c>
      <c r="B24" s="600" t="inlineStr">
        <is>
          <t>Rvgvb‡Zi (eÜKx) weeiY</t>
        </is>
      </c>
      <c r="R24" s="600" t="inlineStr">
        <is>
          <t>t</t>
        </is>
      </c>
      <c r="S24" s="609" t="inlineStr">
        <is>
          <t>Gj Gd-5 c~e©vbygvb cÖwZ‡e`‡b ewY©Z bvj Rwg, 0.36  GKi RvgvbZ wn‡m‡e eÜK _vK‡e| cÖPwjZ wbq‡g cÖ_g PvR© m„wó Ki‡Z n‡e|</t>
        </is>
      </c>
      <c r="T24" s="2619" t="n"/>
      <c r="U24" s="2619" t="n"/>
      <c r="V24" s="2619" t="n"/>
      <c r="W24" s="2619" t="n"/>
      <c r="X24" s="2619" t="n"/>
      <c r="Y24" s="2619" t="n"/>
      <c r="Z24" s="2619" t="n"/>
      <c r="AA24" s="2619" t="n"/>
      <c r="AB24" s="2619" t="n"/>
      <c r="AC24" s="2619" t="n"/>
      <c r="AD24" s="2619" t="n"/>
      <c r="AE24" s="2619" t="n"/>
      <c r="AF24" s="2619" t="n"/>
      <c r="AG24" s="2619" t="n"/>
      <c r="AH24" s="2619" t="n"/>
      <c r="AI24" s="2619" t="n"/>
      <c r="AJ24" s="2619" t="n"/>
      <c r="AK24" s="2619" t="n"/>
      <c r="AL24" s="2619" t="n"/>
      <c r="AM24" s="2619" t="n"/>
      <c r="AN24" s="2620" t="n"/>
      <c r="AO24" s="64" t="n"/>
      <c r="AP24" s="64" t="n"/>
      <c r="AQ24" s="64" t="n"/>
      <c r="AR24" s="614" t="inlineStr">
        <is>
          <t>webv Rvgvb‡Z e¨w³MZ/¯úDm M¨vivw›U wb‡q, Z‡e cÖPwjZ wbq‡g cÖ_g PvR© m„wó Ki‡Z n‡e|</t>
        </is>
      </c>
      <c r="AS24" s="308" t="n"/>
      <c r="AT24" s="64" t="n"/>
      <c r="AU24" s="64" t="n"/>
      <c r="AV24" s="64" t="n"/>
      <c r="AW24" s="64" t="n"/>
      <c r="AX24" s="64" t="n"/>
      <c r="AY24" s="64" t="n"/>
      <c r="AZ24" s="64" t="n"/>
      <c r="BA24" s="64" t="n"/>
      <c r="BB24" s="64" t="n"/>
      <c r="BC24" s="64" t="n"/>
      <c r="BD24" s="64" t="n"/>
      <c r="BE24" s="64" t="n"/>
      <c r="BF24" s="64" t="n"/>
      <c r="BG24" s="64" t="n"/>
      <c r="BH24" s="64" t="n"/>
      <c r="BI24" s="64" t="n"/>
    </row>
    <row r="25" ht="18" customHeight="1">
      <c r="A25" s="600" t="inlineStr">
        <is>
          <t xml:space="preserve">    </t>
        </is>
      </c>
      <c r="B25" s="600" t="inlineStr">
        <is>
          <t>A_©vr eÜKx gRy‡`i cÖK…wZ, cwigvY I g~j¨</t>
        </is>
      </c>
      <c r="R25" s="600" t="n"/>
      <c r="S25" s="2621" t="n"/>
      <c r="T25" s="2622" t="n"/>
      <c r="U25" s="2622" t="n"/>
      <c r="V25" s="2622" t="n"/>
      <c r="W25" s="2622" t="n"/>
      <c r="X25" s="2622" t="n"/>
      <c r="Y25" s="2622" t="n"/>
      <c r="Z25" s="2622" t="n"/>
      <c r="AA25" s="2622" t="n"/>
      <c r="AB25" s="2622" t="n"/>
      <c r="AC25" s="2622" t="n"/>
      <c r="AD25" s="2622" t="n"/>
      <c r="AE25" s="2622" t="n"/>
      <c r="AF25" s="2622" t="n"/>
      <c r="AG25" s="2622" t="n"/>
      <c r="AH25" s="2622" t="n"/>
      <c r="AI25" s="2622" t="n"/>
      <c r="AJ25" s="2622" t="n"/>
      <c r="AK25" s="2622" t="n"/>
      <c r="AL25" s="2622" t="n"/>
      <c r="AM25" s="2622" t="n"/>
      <c r="AN25" s="2623" t="n"/>
      <c r="AO25" s="64" t="n"/>
      <c r="AP25" s="64" t="n"/>
      <c r="AQ25" s="64" t="n"/>
      <c r="AR25" s="614">
        <f>"Gj Gd-5 c~e©vbygvb cÖwZ‡e`‡b ewY©Z bvj Rwg, "&amp;TEXT('LF-5'!G65,"0.00")&amp;"  GKi RvgvbZ wn‡m‡e eÜK _vK‡e| cÖPwjZ wbq‡g cÖ_g PvR© m„wó Ki‡Z n‡e|"</f>
        <v/>
      </c>
      <c r="AS25" s="308" t="n"/>
      <c r="AT25" s="64" t="n"/>
      <c r="AU25" s="64" t="n"/>
      <c r="AV25" s="64" t="n"/>
      <c r="AW25" s="64" t="n"/>
      <c r="AX25" s="64" t="n"/>
      <c r="AY25" s="64" t="n"/>
      <c r="AZ25" s="64" t="n"/>
      <c r="BA25" s="64" t="n"/>
      <c r="BB25" s="64" t="n"/>
      <c r="BC25" s="64" t="n"/>
      <c r="BD25" s="64" t="n"/>
      <c r="BE25" s="64" t="n"/>
      <c r="BF25" s="64" t="n"/>
      <c r="BG25" s="64" t="n"/>
      <c r="BH25" s="64" t="n"/>
      <c r="BI25" s="64" t="n"/>
    </row>
    <row r="26" ht="18" customHeight="1">
      <c r="A26" s="600" t="inlineStr">
        <is>
          <t xml:space="preserve">O) </t>
        </is>
      </c>
      <c r="B26" s="600" t="inlineStr">
        <is>
          <t>eÜKx `ªe¨vw` msi¶Y msµvšÍ</t>
        </is>
      </c>
      <c r="R26" s="600" t="inlineStr">
        <is>
          <t>t</t>
        </is>
      </c>
      <c r="S26" s="615" t="n"/>
      <c r="T26" s="600" t="n"/>
      <c r="U26" s="600" t="n"/>
      <c r="V26" s="600" t="n"/>
      <c r="W26" s="600" t="n"/>
      <c r="X26" s="600" t="n"/>
      <c r="Y26" s="600" t="n"/>
      <c r="Z26" s="600" t="n"/>
      <c r="AA26" s="600" t="n"/>
      <c r="AB26" s="600" t="n"/>
      <c r="AC26" s="600" t="n"/>
      <c r="AD26" s="600" t="n"/>
      <c r="AE26" s="600" t="n"/>
      <c r="AF26" s="600" t="n"/>
      <c r="AG26" s="578" t="n"/>
      <c r="AH26" s="600" t="n"/>
      <c r="AI26" s="111" t="n"/>
      <c r="AJ26" s="600" t="n"/>
      <c r="AK26" s="601" t="n"/>
      <c r="AL26" s="600" t="n"/>
      <c r="AM26" s="600" t="n"/>
      <c r="AN26" s="600" t="n"/>
      <c r="AO26" s="64" t="n"/>
      <c r="AP26" s="64" t="n"/>
      <c r="AQ26" s="64" t="n"/>
      <c r="AR26" s="64" t="n"/>
      <c r="AS26" s="308" t="n"/>
      <c r="AT26" s="64" t="n"/>
      <c r="AU26" s="64" t="n"/>
      <c r="AV26" s="64" t="n"/>
      <c r="AW26" s="64" t="n"/>
      <c r="AX26" s="64" t="n"/>
      <c r="AY26" s="64" t="n"/>
      <c r="AZ26" s="64" t="n"/>
      <c r="BA26" s="64" t="n"/>
      <c r="BB26" s="64" t="n"/>
      <c r="BC26" s="64" t="n"/>
      <c r="BD26" s="64" t="n"/>
      <c r="BE26" s="64" t="n"/>
      <c r="BF26" s="64" t="n"/>
      <c r="BG26" s="64" t="n"/>
      <c r="BH26" s="64" t="n"/>
      <c r="BI26" s="64" t="n"/>
    </row>
    <row r="27" ht="18" customHeight="1">
      <c r="A27" s="600" t="inlineStr">
        <is>
          <t xml:space="preserve">P) </t>
        </is>
      </c>
      <c r="B27" s="600" t="inlineStr">
        <is>
          <t>cÖvß `wjjcÎ</t>
        </is>
      </c>
      <c r="R27" s="600" t="inlineStr">
        <is>
          <t>t</t>
        </is>
      </c>
      <c r="S27" s="616" t="inlineStr">
        <is>
          <t>LvRbv `vwLjvmg~n, cP©vmg~n, `wjj mg~n I Iqvwik mb` cÎmg~n BZ¨vw`</t>
        </is>
      </c>
      <c r="T27" s="2615" t="n"/>
      <c r="U27" s="2615" t="n"/>
      <c r="V27" s="2615" t="n"/>
      <c r="W27" s="2615" t="n"/>
      <c r="X27" s="2615" t="n"/>
      <c r="Y27" s="2615" t="n"/>
      <c r="Z27" s="2615" t="n"/>
      <c r="AA27" s="2615" t="n"/>
      <c r="AB27" s="2615" t="n"/>
      <c r="AC27" s="2615" t="n"/>
      <c r="AD27" s="2615" t="n"/>
      <c r="AE27" s="2615" t="n"/>
      <c r="AF27" s="2615" t="n"/>
      <c r="AG27" s="2615" t="n"/>
      <c r="AH27" s="2615" t="n"/>
      <c r="AI27" s="2615" t="n"/>
      <c r="AJ27" s="2615" t="n"/>
      <c r="AK27" s="2615" t="n"/>
      <c r="AL27" s="2615" t="n"/>
      <c r="AM27" s="2615" t="n"/>
      <c r="AN27" s="2616" t="n"/>
      <c r="AO27" s="64" t="n"/>
      <c r="AP27" s="64" t="n"/>
      <c r="AQ27" s="64" t="n"/>
      <c r="AR27" s="64" t="n"/>
      <c r="AS27" s="308" t="n"/>
      <c r="AT27" s="64" t="n"/>
      <c r="AU27" s="64" t="n"/>
      <c r="AV27" s="64" t="n"/>
      <c r="AW27" s="64" t="n"/>
      <c r="AX27" s="64" t="n"/>
      <c r="AY27" s="64" t="n"/>
      <c r="AZ27" s="64" t="n"/>
      <c r="BA27" s="64" t="n"/>
      <c r="BB27" s="64" t="n"/>
      <c r="BC27" s="64" t="n"/>
      <c r="BD27" s="64" t="n"/>
      <c r="BE27" s="64" t="n"/>
      <c r="BF27" s="64" t="n"/>
      <c r="BG27" s="64" t="n"/>
      <c r="BH27" s="64" t="n"/>
      <c r="BI27" s="64" t="n"/>
    </row>
    <row r="28" ht="18" customHeight="1">
      <c r="A28" s="600" t="inlineStr">
        <is>
          <t xml:space="preserve">Q) </t>
        </is>
      </c>
      <c r="B28" s="600" t="inlineStr">
        <is>
          <t>c~e© K…wZ</t>
        </is>
      </c>
      <c r="R28" s="600" t="n"/>
      <c r="S28" s="600" t="n"/>
      <c r="T28" s="600" t="n"/>
      <c r="U28" s="600" t="n"/>
      <c r="V28" s="600" t="n"/>
      <c r="W28" s="600" t="n"/>
      <c r="X28" s="600" t="n"/>
      <c r="Y28" s="600" t="n"/>
      <c r="Z28" s="600" t="n"/>
      <c r="AA28" s="600" t="n"/>
      <c r="AB28" s="600" t="n"/>
      <c r="AC28" s="600" t="n"/>
      <c r="AD28" s="600" t="n"/>
      <c r="AE28" s="600" t="n"/>
      <c r="AF28" s="600" t="n"/>
      <c r="AG28" s="578" t="n"/>
      <c r="AH28" s="600" t="n"/>
      <c r="AI28" s="111" t="n"/>
      <c r="AJ28" s="600" t="n"/>
      <c r="AK28" s="601" t="n"/>
      <c r="AL28" s="600" t="n"/>
      <c r="AM28" s="600" t="n"/>
      <c r="AN28" s="600" t="n"/>
      <c r="AO28" s="64" t="n"/>
      <c r="AP28" s="64" t="n"/>
      <c r="AQ28" s="64" t="n"/>
      <c r="AR28" s="64" t="n"/>
      <c r="AS28" s="308" t="n"/>
      <c r="AT28" s="64" t="n"/>
      <c r="AU28" s="64" t="n"/>
      <c r="AV28" s="64" t="n"/>
      <c r="AW28" s="64" t="n"/>
      <c r="AX28" s="64" t="n"/>
      <c r="AY28" s="64" t="n"/>
      <c r="AZ28" s="64" t="n"/>
      <c r="BA28" s="64" t="n"/>
      <c r="BB28" s="64" t="n"/>
      <c r="BC28" s="64" t="n"/>
      <c r="BD28" s="64" t="n"/>
      <c r="BE28" s="64" t="n"/>
      <c r="BF28" s="64" t="n"/>
      <c r="BG28" s="64" t="n"/>
      <c r="BH28" s="64" t="n"/>
      <c r="BI28" s="64" t="n"/>
    </row>
    <row r="29" ht="18" customHeight="1">
      <c r="A29" s="64" t="n"/>
      <c r="B29" s="620" t="inlineStr">
        <is>
          <t>ermi</t>
        </is>
      </c>
      <c r="C29" s="2748" t="n"/>
      <c r="D29" s="2748" t="n"/>
      <c r="E29" s="2749" t="n"/>
      <c r="F29" s="622" t="inlineStr">
        <is>
          <t>Aby‡gvw`Z mxgv</t>
        </is>
      </c>
      <c r="G29" s="2748" t="n"/>
      <c r="H29" s="2748" t="n"/>
      <c r="I29" s="2748" t="n"/>
      <c r="J29" s="2748" t="n"/>
      <c r="K29" s="2748" t="n"/>
      <c r="L29" s="2749" t="n"/>
      <c r="M29" s="621" t="inlineStr">
        <is>
          <t>‡gvU †Wwe‡Ui †hvMdj</t>
        </is>
      </c>
      <c r="N29" s="2748" t="n"/>
      <c r="O29" s="2748" t="n"/>
      <c r="P29" s="2748" t="n"/>
      <c r="Q29" s="2748" t="n"/>
      <c r="R29" s="2748" t="n"/>
      <c r="S29" s="2748" t="n"/>
      <c r="T29" s="2748" t="n"/>
      <c r="U29" s="2748" t="n"/>
      <c r="V29" s="2749" t="n"/>
      <c r="W29" s="621" t="inlineStr">
        <is>
          <t>‡gvU †µwW‡Ui †hvMdj</t>
        </is>
      </c>
      <c r="X29" s="2748" t="n"/>
      <c r="Y29" s="2748" t="n"/>
      <c r="Z29" s="2748" t="n"/>
      <c r="AA29" s="2748" t="n"/>
      <c r="AB29" s="2748" t="n"/>
      <c r="AC29" s="2748" t="n"/>
      <c r="AD29" s="2748" t="n"/>
      <c r="AE29" s="2748" t="n"/>
      <c r="AF29" s="2749" t="n"/>
      <c r="AG29" s="622" t="inlineStr">
        <is>
          <t>w¯’wZ</t>
        </is>
      </c>
      <c r="AH29" s="2748" t="n"/>
      <c r="AI29" s="2748" t="n"/>
      <c r="AJ29" s="2748" t="n"/>
      <c r="AK29" s="2748" t="n"/>
      <c r="AL29" s="2748" t="n"/>
      <c r="AM29" s="2748" t="n"/>
      <c r="AN29" s="2749" t="n"/>
      <c r="AO29" s="64" t="n"/>
      <c r="AP29" s="64" t="n"/>
      <c r="AQ29" s="64" t="n"/>
      <c r="AR29" s="64" t="n"/>
      <c r="AS29" s="308" t="n"/>
      <c r="AT29" s="64" t="n"/>
      <c r="AU29" s="64" t="n"/>
      <c r="AV29" s="64" t="n"/>
      <c r="AW29" s="64" t="n"/>
      <c r="AX29" s="64" t="n"/>
      <c r="AY29" s="64" t="n"/>
      <c r="AZ29" s="64" t="n"/>
      <c r="BA29" s="64" t="n"/>
      <c r="BB29" s="64" t="n"/>
      <c r="BC29" s="64" t="n"/>
      <c r="BD29" s="64" t="n"/>
      <c r="BE29" s="64" t="n"/>
      <c r="BF29" s="64" t="n"/>
      <c r="BG29" s="64" t="n"/>
      <c r="BH29" s="64" t="n"/>
      <c r="BI29" s="64" t="n"/>
    </row>
    <row r="30" ht="18" customHeight="1">
      <c r="A30" s="600" t="n"/>
      <c r="B30" s="625">
        <f>+#REF!</f>
        <v/>
      </c>
      <c r="C30" s="2750" t="n"/>
      <c r="D30" s="2750" t="n"/>
      <c r="E30" s="2751" t="n"/>
      <c r="F30" s="627" t="n">
        <v>3</v>
      </c>
      <c r="G30" s="2750" t="n"/>
      <c r="H30" s="2750" t="n"/>
      <c r="I30" s="2750" t="n"/>
      <c r="J30" s="2750" t="n"/>
      <c r="K30" s="2750" t="n"/>
      <c r="L30" s="2751" t="n"/>
      <c r="M30" s="628" t="n"/>
      <c r="N30" s="2750" t="n"/>
      <c r="O30" s="2750" t="n"/>
      <c r="P30" s="2750" t="n"/>
      <c r="Q30" s="2750" t="n"/>
      <c r="R30" s="2750" t="n"/>
      <c r="S30" s="2750" t="n"/>
      <c r="T30" s="2750" t="n"/>
      <c r="U30" s="2750" t="n"/>
      <c r="V30" s="2751" t="n"/>
      <c r="W30" s="628" t="n"/>
      <c r="X30" s="2750" t="n"/>
      <c r="Y30" s="2750" t="n"/>
      <c r="Z30" s="2750" t="n"/>
      <c r="AA30" s="2750" t="n"/>
      <c r="AB30" s="2750" t="n"/>
      <c r="AC30" s="2750" t="n"/>
      <c r="AD30" s="2750" t="n"/>
      <c r="AE30" s="2750" t="n"/>
      <c r="AF30" s="2751" t="n"/>
      <c r="AG30" s="629">
        <f>+M30-W30</f>
        <v/>
      </c>
      <c r="AH30" s="2750" t="n"/>
      <c r="AI30" s="2750" t="n"/>
      <c r="AJ30" s="2750" t="n"/>
      <c r="AK30" s="2750" t="n"/>
      <c r="AL30" s="2750" t="n"/>
      <c r="AM30" s="2750" t="n"/>
      <c r="AN30" s="2751" t="n"/>
      <c r="AO30" s="64" t="n"/>
      <c r="AP30" s="64" t="n"/>
      <c r="AQ30" s="64" t="n"/>
      <c r="AR30" s="64" t="n"/>
      <c r="AS30" s="308" t="n"/>
      <c r="AT30" s="631" t="n"/>
      <c r="AU30" s="64" t="n"/>
      <c r="AV30" s="64" t="n"/>
      <c r="AW30" s="64" t="n"/>
      <c r="AX30" s="64" t="n"/>
      <c r="AY30" s="64" t="n"/>
      <c r="AZ30" s="64" t="n"/>
      <c r="BA30" s="64" t="n"/>
      <c r="BB30" s="64" t="n"/>
      <c r="BC30" s="64" t="n"/>
      <c r="BD30" s="64" t="n"/>
      <c r="BE30" s="64" t="n"/>
      <c r="BF30" s="64" t="n"/>
      <c r="BG30" s="64" t="n"/>
      <c r="BH30" s="64" t="n"/>
      <c r="BI30" s="64" t="n"/>
    </row>
    <row r="31" ht="18" customHeight="1">
      <c r="A31" s="600" t="n"/>
      <c r="B31" s="625">
        <f>+#REF!</f>
        <v/>
      </c>
      <c r="C31" s="2750" t="n"/>
      <c r="D31" s="2750" t="n"/>
      <c r="E31" s="2751" t="n"/>
      <c r="F31" s="627" t="n"/>
      <c r="G31" s="2750" t="n"/>
      <c r="H31" s="2750" t="n"/>
      <c r="I31" s="2750" t="n"/>
      <c r="J31" s="2750" t="n"/>
      <c r="K31" s="2750" t="n"/>
      <c r="L31" s="2751" t="n"/>
      <c r="M31" s="632" t="n"/>
      <c r="N31" s="2750" t="n"/>
      <c r="O31" s="2750" t="n"/>
      <c r="P31" s="2750" t="n"/>
      <c r="Q31" s="2750" t="n"/>
      <c r="R31" s="2750" t="n"/>
      <c r="S31" s="2750" t="n"/>
      <c r="T31" s="2750" t="n"/>
      <c r="U31" s="2750" t="n"/>
      <c r="V31" s="2751" t="n"/>
      <c r="W31" s="632" t="n"/>
      <c r="X31" s="2750" t="n"/>
      <c r="Y31" s="2750" t="n"/>
      <c r="Z31" s="2750" t="n"/>
      <c r="AA31" s="2750" t="n"/>
      <c r="AB31" s="2750" t="n"/>
      <c r="AC31" s="2750" t="n"/>
      <c r="AD31" s="2750" t="n"/>
      <c r="AE31" s="2750" t="n"/>
      <c r="AF31" s="2751" t="n"/>
      <c r="AG31" s="630">
        <f>+M31-W31</f>
        <v/>
      </c>
      <c r="AH31" s="2750" t="n"/>
      <c r="AI31" s="2750" t="n"/>
      <c r="AJ31" s="2750" t="n"/>
      <c r="AK31" s="2750" t="n"/>
      <c r="AL31" s="2750" t="n"/>
      <c r="AM31" s="2750" t="n"/>
      <c r="AN31" s="2752" t="n"/>
      <c r="AO31" s="64" t="n"/>
      <c r="AP31" s="64" t="n"/>
      <c r="AQ31" s="64" t="n"/>
      <c r="AR31" s="64" t="n"/>
      <c r="AS31" s="308" t="n"/>
      <c r="AT31" s="64" t="n"/>
      <c r="AU31" s="64" t="n"/>
      <c r="AV31" s="64" t="n"/>
      <c r="AW31" s="64" t="n"/>
      <c r="AX31" s="64" t="n"/>
      <c r="AY31" s="64" t="n"/>
      <c r="AZ31" s="64" t="n"/>
      <c r="BA31" s="64" t="n"/>
      <c r="BB31" s="64" t="n"/>
      <c r="BC31" s="64" t="n"/>
      <c r="BD31" s="64" t="n"/>
      <c r="BE31" s="64" t="n"/>
      <c r="BF31" s="64" t="n"/>
      <c r="BG31" s="64" t="n"/>
      <c r="BH31" s="64" t="n"/>
      <c r="BI31" s="64" t="n"/>
    </row>
    <row r="32" ht="18" customHeight="1">
      <c r="A32" s="600" t="n"/>
      <c r="B32" s="625">
        <f>+#REF!</f>
        <v/>
      </c>
      <c r="C32" s="2750" t="n"/>
      <c r="D32" s="2750" t="n"/>
      <c r="E32" s="2751" t="n"/>
      <c r="F32" s="627" t="n"/>
      <c r="G32" s="2750" t="n"/>
      <c r="H32" s="2750" t="n"/>
      <c r="I32" s="2750" t="n"/>
      <c r="J32" s="2750" t="n"/>
      <c r="K32" s="2750" t="n"/>
      <c r="L32" s="2751" t="n"/>
      <c r="M32" s="636" t="n"/>
      <c r="N32" s="2614" t="n"/>
      <c r="O32" s="2614" t="n"/>
      <c r="P32" s="2614" t="n"/>
      <c r="Q32" s="2614" t="n"/>
      <c r="R32" s="2614" t="n"/>
      <c r="S32" s="2614" t="n"/>
      <c r="T32" s="2614" t="n"/>
      <c r="U32" s="2614" t="n"/>
      <c r="V32" s="2753" t="n"/>
      <c r="W32" s="637" t="n"/>
      <c r="X32" s="2614" t="n"/>
      <c r="Y32" s="2614" t="n"/>
      <c r="Z32" s="2614" t="n"/>
      <c r="AA32" s="2614" t="n"/>
      <c r="AB32" s="2614" t="n"/>
      <c r="AC32" s="2614" t="n"/>
      <c r="AD32" s="2614" t="n"/>
      <c r="AE32" s="2614" t="n"/>
      <c r="AF32" s="2753" t="n"/>
      <c r="AG32" s="2754">
        <f>+M32-W32</f>
        <v/>
      </c>
      <c r="AH32" s="2614" t="n"/>
      <c r="AI32" s="2614" t="n"/>
      <c r="AJ32" s="2614" t="n"/>
      <c r="AK32" s="2614" t="n"/>
      <c r="AL32" s="2614" t="n"/>
      <c r="AM32" s="2614" t="n"/>
      <c r="AN32" s="2617" t="n"/>
      <c r="AO32" s="64" t="n"/>
      <c r="AP32" s="64" t="n"/>
      <c r="AQ32" s="64" t="n"/>
      <c r="AR32" s="64" t="n"/>
      <c r="AS32" s="308" t="n"/>
      <c r="AT32" s="64" t="n"/>
      <c r="AU32" s="64" t="n"/>
      <c r="AV32" s="64" t="n"/>
      <c r="AW32" s="64" t="n"/>
      <c r="AX32" s="64" t="n"/>
      <c r="AY32" s="64" t="n"/>
      <c r="AZ32" s="64" t="n"/>
      <c r="BA32" s="64" t="n"/>
      <c r="BB32" s="64" t="n"/>
      <c r="BC32" s="64" t="n"/>
      <c r="BD32" s="64" t="n"/>
      <c r="BE32" s="64" t="n"/>
      <c r="BF32" s="64" t="n"/>
      <c r="BG32" s="64" t="n"/>
      <c r="BH32" s="64" t="n"/>
      <c r="BI32" s="64" t="n"/>
    </row>
    <row r="33" ht="18" customHeight="1">
      <c r="A33" s="600" t="inlineStr">
        <is>
          <t xml:space="preserve">R) </t>
        </is>
      </c>
      <c r="B33" s="492" t="inlineStr">
        <is>
          <t>weMZ erm‡ii ißvwbK…Z `ª‡e¨ I g~j¨ (cÖ‡hvR¨ †ÿ‡Î)</t>
        </is>
      </c>
      <c r="R33" s="600" t="inlineStr">
        <is>
          <t>t</t>
        </is>
      </c>
      <c r="S33" s="600" t="n"/>
      <c r="T33" s="600" t="inlineStr">
        <is>
          <t>gvwK©b Wjv‡i</t>
        </is>
      </c>
      <c r="U33" s="600" t="n"/>
      <c r="V33" s="600" t="n"/>
      <c r="W33" s="600" t="n"/>
      <c r="X33" s="600" t="n"/>
      <c r="Y33" s="600" t="n"/>
      <c r="Z33" s="600" t="n"/>
      <c r="AA33" s="600" t="n"/>
      <c r="AB33" s="600" t="inlineStr">
        <is>
          <t>t cÖ‡hvR¨ bq|</t>
        </is>
      </c>
      <c r="AC33" s="600" t="n"/>
      <c r="AD33" s="600" t="n"/>
      <c r="AE33" s="600" t="n"/>
      <c r="AF33" s="600" t="n"/>
      <c r="AG33" s="578" t="n"/>
      <c r="AH33" s="600" t="n"/>
      <c r="AI33" s="111" t="n"/>
      <c r="AJ33" s="600" t="n"/>
      <c r="AK33" s="601" t="n"/>
      <c r="AL33" s="600" t="n"/>
      <c r="AM33" s="600" t="n"/>
      <c r="AN33" s="600" t="n"/>
      <c r="AO33" s="64" t="n"/>
      <c r="AP33" s="64" t="n"/>
      <c r="AQ33" s="64" t="n"/>
      <c r="AR33" s="64" t="n"/>
      <c r="AS33" s="308" t="n"/>
      <c r="AT33" s="64" t="n"/>
      <c r="AU33" s="64" t="n"/>
      <c r="AV33" s="64" t="n"/>
      <c r="AW33" s="64" t="n"/>
      <c r="AX33" s="64" t="n"/>
      <c r="AY33" s="64" t="n"/>
      <c r="AZ33" s="64" t="n"/>
      <c r="BA33" s="64" t="n"/>
      <c r="BB33" s="64" t="n"/>
      <c r="BC33" s="64" t="n"/>
      <c r="BD33" s="64" t="n"/>
      <c r="BE33" s="64" t="n"/>
      <c r="BF33" s="64" t="n"/>
      <c r="BG33" s="64" t="n"/>
      <c r="BH33" s="64" t="n"/>
      <c r="BI33" s="64" t="n"/>
    </row>
    <row r="34" ht="18" customHeight="1">
      <c r="A34" s="64" t="n"/>
      <c r="R34" s="600" t="n"/>
      <c r="S34" s="600" t="n"/>
      <c r="T34" s="600" t="inlineStr">
        <is>
          <t xml:space="preserve">A_v©r UvKvq </t>
        </is>
      </c>
      <c r="U34" s="600" t="n"/>
      <c r="V34" s="64" t="n"/>
      <c r="W34" s="600" t="n"/>
      <c r="X34" s="600" t="n"/>
      <c r="Y34" s="600" t="n"/>
      <c r="Z34" s="600" t="n"/>
      <c r="AA34" s="600" t="n"/>
      <c r="AB34" s="600" t="inlineStr">
        <is>
          <t>t cÖ‡hvR¨ bq|</t>
        </is>
      </c>
      <c r="AC34" s="600" t="n"/>
      <c r="AD34" s="600" t="n"/>
      <c r="AE34" s="600" t="n"/>
      <c r="AF34" s="600" t="n"/>
      <c r="AG34" s="578" t="n"/>
      <c r="AH34" s="600" t="n"/>
      <c r="AI34" s="111" t="n"/>
      <c r="AJ34" s="600" t="n"/>
      <c r="AK34" s="601" t="n"/>
      <c r="AL34" s="600" t="n"/>
      <c r="AM34" s="600" t="n"/>
      <c r="AN34" s="600" t="n"/>
      <c r="AO34" s="64" t="n"/>
      <c r="AP34" s="64" t="n"/>
      <c r="AQ34" s="64" t="n"/>
      <c r="AR34" s="64" t="n"/>
      <c r="AS34" s="308" t="n"/>
      <c r="AT34" s="64" t="n"/>
      <c r="AU34" s="64" t="n"/>
      <c r="AV34" s="64" t="n"/>
      <c r="AW34" s="64" t="n"/>
      <c r="AX34" s="64" t="n"/>
      <c r="AY34" s="64" t="n"/>
      <c r="AZ34" s="64" t="n"/>
      <c r="BA34" s="64" t="n"/>
      <c r="BB34" s="64" t="n"/>
      <c r="BC34" s="64" t="n"/>
      <c r="BD34" s="64" t="n"/>
      <c r="BE34" s="64" t="n"/>
      <c r="BF34" s="64" t="n"/>
      <c r="BG34" s="64" t="n"/>
      <c r="BH34" s="64" t="n"/>
      <c r="BI34" s="64" t="n"/>
    </row>
    <row r="35" ht="18" customHeight="1">
      <c r="A35" s="600" t="inlineStr">
        <is>
          <t xml:space="preserve">S) </t>
        </is>
      </c>
      <c r="B35" s="492" t="inlineStr">
        <is>
          <t xml:space="preserve">exgv (AšÍeZ©xKvwjb exgvmn c~b© exgv Kfv‡iR cvIqv wMqv‡Q wK bv?) </t>
        </is>
      </c>
      <c r="R35" s="600" t="inlineStr">
        <is>
          <t xml:space="preserve">t </t>
        </is>
      </c>
      <c r="S35" s="600" t="n"/>
      <c r="T35" s="642" t="inlineStr">
        <is>
          <t>n¨uv</t>
        </is>
      </c>
      <c r="V35" s="600" t="inlineStr">
        <is>
          <t xml:space="preserve">‰eaZvi †gqv` </t>
        </is>
      </c>
      <c r="W35" s="615" t="n"/>
      <c r="X35" s="615" t="n"/>
      <c r="Y35" s="615" t="n"/>
      <c r="Z35" s="615" t="n"/>
      <c r="AA35" s="615" t="n"/>
      <c r="AB35" s="615" t="inlineStr">
        <is>
          <t xml:space="preserve">t </t>
        </is>
      </c>
      <c r="AC35" s="615" t="n"/>
      <c r="AD35" s="615" t="n"/>
      <c r="AE35" s="615" t="n"/>
      <c r="AF35" s="615" t="n"/>
      <c r="AG35" s="643" t="n"/>
      <c r="AH35" s="615" t="n"/>
      <c r="AI35" s="644" t="n"/>
      <c r="AJ35" s="615" t="n"/>
      <c r="AK35" s="645" t="n"/>
      <c r="AL35" s="615" t="n"/>
      <c r="AM35" s="615" t="n"/>
      <c r="AN35" s="615" t="n"/>
      <c r="AO35" s="64" t="n"/>
      <c r="AP35" s="64" t="n"/>
      <c r="AQ35" s="64" t="n"/>
      <c r="AR35" s="64" t="n"/>
      <c r="AS35" s="308" t="n"/>
      <c r="AT35" s="64" t="n"/>
      <c r="AU35" s="64" t="n"/>
      <c r="AV35" s="64" t="n"/>
      <c r="AW35" s="64" t="n"/>
      <c r="AX35" s="64" t="n"/>
      <c r="AY35" s="64" t="n"/>
      <c r="AZ35" s="64" t="n"/>
      <c r="BA35" s="64" t="n"/>
      <c r="BB35" s="64" t="n"/>
      <c r="BC35" s="64" t="n"/>
      <c r="BD35" s="64" t="n"/>
      <c r="BE35" s="64" t="n"/>
      <c r="BF35" s="64" t="n"/>
      <c r="BG35" s="64" t="n"/>
      <c r="BH35" s="64" t="n"/>
      <c r="BI35" s="64" t="n"/>
    </row>
    <row r="36" ht="18" customHeight="1">
      <c r="A36" s="600" t="inlineStr">
        <is>
          <t xml:space="preserve">                                                                 </t>
        </is>
      </c>
      <c r="R36" s="600" t="n"/>
      <c r="S36" s="600" t="n"/>
      <c r="T36" s="64" t="n"/>
      <c r="U36" s="600" t="n"/>
      <c r="V36" s="64" t="n"/>
      <c r="W36" s="64" t="n"/>
      <c r="X36" s="600" t="n"/>
      <c r="Y36" s="600" t="n"/>
      <c r="Z36" s="64" t="n"/>
      <c r="AA36" s="600" t="n"/>
      <c r="AB36" s="64" t="n"/>
      <c r="AC36" s="646" t="n"/>
      <c r="AO36" s="64" t="n"/>
      <c r="AP36" s="64" t="n"/>
      <c r="AQ36" s="64" t="n"/>
      <c r="AR36" s="64" t="n"/>
      <c r="AS36" s="308" t="n"/>
      <c r="AT36" s="64" t="n"/>
      <c r="AU36" s="64" t="n"/>
      <c r="AV36" s="64" t="n"/>
      <c r="AW36" s="64" t="n"/>
      <c r="AX36" s="64" t="n"/>
      <c r="AY36" s="64" t="n"/>
      <c r="AZ36" s="64" t="n"/>
      <c r="BA36" s="64" t="n"/>
      <c r="BB36" s="64" t="n"/>
      <c r="BC36" s="64" t="n"/>
      <c r="BD36" s="64" t="n"/>
      <c r="BE36" s="64" t="n"/>
      <c r="BF36" s="64" t="n"/>
      <c r="BG36" s="64" t="n"/>
      <c r="BH36" s="64" t="n"/>
      <c r="BI36" s="64" t="n"/>
    </row>
    <row r="37" ht="22.5" customHeight="1">
      <c r="A37" s="600" t="inlineStr">
        <is>
          <t xml:space="preserve">T) </t>
        </is>
      </c>
      <c r="B37" s="600" t="inlineStr">
        <is>
          <t xml:space="preserve"> Abv`vqx FY</t>
        </is>
      </c>
      <c r="C37" s="64" t="n"/>
      <c r="D37" s="64" t="n"/>
      <c r="E37" s="64" t="n"/>
      <c r="F37" s="308" t="n"/>
      <c r="G37" s="64" t="n"/>
      <c r="H37" s="64" t="n"/>
      <c r="I37" s="64" t="n"/>
      <c r="J37" s="64" t="n"/>
      <c r="K37" s="64" t="n"/>
      <c r="L37" s="64" t="n"/>
      <c r="M37" s="64" t="n"/>
      <c r="N37" s="64" t="n"/>
      <c r="O37" s="64" t="n"/>
      <c r="P37" s="64" t="n"/>
      <c r="Q37" s="64" t="n"/>
      <c r="R37" s="614" t="inlineStr">
        <is>
          <t>t</t>
        </is>
      </c>
      <c r="S37" s="600">
        <f>TEXT(AG30, "0.00")&amp;" jÿ UvKv"</f>
        <v/>
      </c>
      <c r="T37" s="64" t="n"/>
      <c r="U37" s="64" t="n"/>
      <c r="V37" s="64" t="n"/>
      <c r="W37" s="64" t="n"/>
      <c r="X37" s="64" t="n"/>
      <c r="Y37" s="64" t="n"/>
      <c r="Z37" s="64" t="n"/>
      <c r="AA37" s="64" t="n"/>
      <c r="AB37" s="600" t="n"/>
      <c r="AC37" s="600" t="n"/>
      <c r="AD37" s="64" t="n"/>
      <c r="AE37" s="64" t="n"/>
      <c r="AF37" s="64" t="n"/>
      <c r="AG37" s="308" t="n"/>
      <c r="AH37" s="64" t="n"/>
      <c r="AI37" s="136" t="n"/>
      <c r="AJ37" s="64" t="n"/>
      <c r="AK37" s="663" t="n"/>
      <c r="AL37" s="64" t="n"/>
      <c r="AM37" s="64" t="n"/>
      <c r="AN37" s="64" t="n"/>
      <c r="AO37" s="64" t="n"/>
      <c r="AP37" s="64" t="n"/>
      <c r="AQ37" s="64" t="n"/>
      <c r="AR37" s="64" t="n"/>
      <c r="AS37" s="308" t="n"/>
      <c r="AT37" s="64" t="n"/>
      <c r="AU37" s="64" t="n"/>
      <c r="AV37" s="64" t="n"/>
      <c r="AW37" s="64" t="n"/>
      <c r="AX37" s="64" t="n"/>
      <c r="AY37" s="64" t="n"/>
      <c r="AZ37" s="64" t="n"/>
      <c r="BA37" s="64" t="n"/>
      <c r="BB37" s="64" t="n"/>
      <c r="BC37" s="64" t="n"/>
      <c r="BD37" s="64" t="n"/>
      <c r="BE37" s="64" t="n"/>
      <c r="BF37" s="64" t="n"/>
      <c r="BG37" s="64" t="n"/>
      <c r="BH37" s="64" t="n"/>
      <c r="BI37" s="64" t="n"/>
    </row>
    <row r="38" ht="18" customHeight="1">
      <c r="A38" s="600" t="inlineStr">
        <is>
          <t xml:space="preserve">U) </t>
        </is>
      </c>
      <c r="B38" s="600" t="inlineStr">
        <is>
          <t>†gŠRy` Ae¯’v t</t>
        </is>
      </c>
      <c r="C38" s="64" t="n"/>
      <c r="D38" s="64" t="n"/>
      <c r="E38" s="64" t="n"/>
      <c r="F38" s="308" t="n"/>
      <c r="G38" s="64" t="n"/>
      <c r="H38" s="64" t="n"/>
      <c r="I38" s="64" t="n"/>
      <c r="J38" s="64" t="n"/>
      <c r="K38" s="64" t="n"/>
      <c r="L38" s="600" t="n"/>
      <c r="M38" s="600" t="n"/>
      <c r="N38" s="600" t="n"/>
      <c r="O38" s="600" t="n"/>
      <c r="P38" s="600" t="n"/>
      <c r="Q38" s="600" t="n"/>
      <c r="R38" s="600" t="n"/>
      <c r="S38" s="600" t="n"/>
      <c r="T38" s="600" t="n"/>
      <c r="U38" s="600" t="n"/>
      <c r="V38" s="600" t="n"/>
      <c r="W38" s="600" t="n"/>
      <c r="X38" s="600" t="n"/>
      <c r="Y38" s="600" t="n"/>
      <c r="Z38" s="600" t="n"/>
      <c r="AA38" s="600" t="n"/>
      <c r="AB38" s="600" t="n"/>
      <c r="AC38" s="600" t="n"/>
      <c r="AD38" s="600" t="n"/>
      <c r="AE38" s="600" t="n"/>
      <c r="AF38" s="600" t="n"/>
      <c r="AG38" s="578" t="n"/>
      <c r="AH38" s="600" t="n"/>
      <c r="AI38" s="111" t="n"/>
      <c r="AJ38" s="600" t="n"/>
      <c r="AK38" s="601" t="n"/>
      <c r="AL38" s="600" t="n"/>
      <c r="AM38" s="600" t="n"/>
      <c r="AN38" s="600" t="n"/>
      <c r="AO38" s="64" t="n"/>
      <c r="AP38" s="64" t="n"/>
      <c r="AQ38" s="64" t="n"/>
      <c r="AR38" s="64" t="n"/>
      <c r="AS38" s="308" t="n"/>
      <c r="AT38" s="64" t="n"/>
      <c r="AU38" s="64" t="n"/>
      <c r="AV38" s="64" t="n"/>
      <c r="AW38" s="64" t="n"/>
      <c r="AX38" s="64" t="n"/>
      <c r="AY38" s="64" t="n"/>
      <c r="AZ38" s="64" t="n"/>
      <c r="BA38" s="64" t="n"/>
      <c r="BB38" s="64" t="n"/>
      <c r="BC38" s="64" t="n"/>
      <c r="BD38" s="64" t="n"/>
      <c r="BE38" s="64" t="n"/>
      <c r="BF38" s="64" t="n"/>
      <c r="BG38" s="64" t="n"/>
      <c r="BH38" s="64" t="n"/>
      <c r="BI38" s="64" t="n"/>
    </row>
    <row r="39" ht="18" customHeight="1">
      <c r="A39" s="64" t="n"/>
      <c r="B39" s="647" t="inlineStr">
        <is>
          <t>¸`v‡g (eÜKx wnmv‡e)</t>
        </is>
      </c>
      <c r="C39" s="2614" t="n"/>
      <c r="D39" s="2614" t="n"/>
      <c r="E39" s="2614" t="n"/>
      <c r="F39" s="2614" t="n"/>
      <c r="G39" s="2614" t="n"/>
      <c r="H39" s="2614" t="n"/>
      <c r="I39" s="2614" t="n"/>
      <c r="J39" s="2617" t="n"/>
      <c r="K39" s="647" t="inlineStr">
        <is>
          <t>nvi</t>
        </is>
      </c>
      <c r="L39" s="2614" t="n"/>
      <c r="M39" s="2614" t="n"/>
      <c r="N39" s="2614" t="n"/>
      <c r="O39" s="2617" t="n"/>
      <c r="P39" s="647" t="inlineStr">
        <is>
          <t>‡gvU g~j¨ (j¶ UvKvq)</t>
        </is>
      </c>
      <c r="Q39" s="2614" t="n"/>
      <c r="R39" s="2614" t="n"/>
      <c r="S39" s="2614" t="n"/>
      <c r="T39" s="2614" t="n"/>
      <c r="U39" s="2614" t="n"/>
      <c r="V39" s="2614" t="n"/>
      <c r="W39" s="2614" t="n"/>
      <c r="X39" s="2614" t="n"/>
      <c r="Y39" s="2614" t="n"/>
      <c r="Z39" s="2614" t="n"/>
      <c r="AA39" s="2614" t="n"/>
      <c r="AB39" s="2614" t="n"/>
      <c r="AC39" s="2617" t="n"/>
      <c r="AD39" s="647" t="inlineStr">
        <is>
          <t>gšÍe¨</t>
        </is>
      </c>
      <c r="AE39" s="2614" t="n"/>
      <c r="AF39" s="2614" t="n"/>
      <c r="AG39" s="2614" t="n"/>
      <c r="AH39" s="2614" t="n"/>
      <c r="AI39" s="2614" t="n"/>
      <c r="AJ39" s="2614" t="n"/>
      <c r="AK39" s="2614" t="n"/>
      <c r="AL39" s="2614" t="n"/>
      <c r="AM39" s="2614" t="n"/>
      <c r="AN39" s="2617" t="n"/>
      <c r="AO39" s="64" t="n"/>
      <c r="AP39" s="64" t="n"/>
      <c r="AQ39" s="64" t="n"/>
      <c r="AR39" s="64" t="n"/>
      <c r="AS39" s="308" t="n"/>
      <c r="AT39" s="64" t="n"/>
      <c r="AU39" s="64" t="n"/>
      <c r="AV39" s="64" t="n"/>
      <c r="AW39" s="64" t="n"/>
      <c r="AX39" s="64" t="n"/>
      <c r="AY39" s="64" t="n"/>
      <c r="AZ39" s="64" t="n"/>
      <c r="BA39" s="64" t="n"/>
      <c r="BB39" s="64" t="n"/>
      <c r="BC39" s="64" t="n"/>
      <c r="BD39" s="64" t="n"/>
      <c r="BE39" s="64" t="n"/>
      <c r="BF39" s="64" t="n"/>
      <c r="BG39" s="64" t="n"/>
      <c r="BH39" s="64" t="n"/>
      <c r="BI39" s="64" t="n"/>
    </row>
    <row r="40" ht="18" customHeight="1">
      <c r="A40" s="600" t="n"/>
      <c r="B40" s="515" t="n"/>
      <c r="C40" s="2614" t="n"/>
      <c r="D40" s="2614" t="n"/>
      <c r="E40" s="2614" t="n"/>
      <c r="F40" s="2614" t="n"/>
      <c r="G40" s="2614" t="n"/>
      <c r="H40" s="2614" t="n"/>
      <c r="I40" s="2614" t="n"/>
      <c r="J40" s="2617" t="n"/>
      <c r="K40" s="652" t="n"/>
      <c r="L40" s="2614" t="n"/>
      <c r="M40" s="2614" t="n"/>
      <c r="N40" s="2614" t="n"/>
      <c r="O40" s="2617" t="n"/>
      <c r="P40" s="653" t="n"/>
      <c r="Q40" s="2614" t="n"/>
      <c r="R40" s="2614" t="n"/>
      <c r="S40" s="2614" t="n"/>
      <c r="T40" s="2614" t="n"/>
      <c r="U40" s="2614" t="n"/>
      <c r="V40" s="2614" t="n"/>
      <c r="W40" s="2614" t="n"/>
      <c r="X40" s="2614" t="n"/>
      <c r="Y40" s="2614" t="n"/>
      <c r="Z40" s="2614" t="n"/>
      <c r="AA40" s="2614" t="n"/>
      <c r="AB40" s="2614" t="n"/>
      <c r="AC40" s="2617" t="n"/>
      <c r="AD40" s="653" t="n"/>
      <c r="AE40" s="2614" t="n"/>
      <c r="AF40" s="2614" t="n"/>
      <c r="AG40" s="2614" t="n"/>
      <c r="AH40" s="2614" t="n"/>
      <c r="AI40" s="2614" t="n"/>
      <c r="AJ40" s="2614" t="n"/>
      <c r="AK40" s="2614" t="n"/>
      <c r="AL40" s="2614" t="n"/>
      <c r="AM40" s="2614" t="n"/>
      <c r="AN40" s="2617" t="n"/>
      <c r="AO40" s="64" t="n"/>
      <c r="AP40" s="64" t="n"/>
      <c r="AQ40" s="64" t="n"/>
      <c r="AR40" s="64" t="n"/>
      <c r="AS40" s="308" t="n"/>
      <c r="AT40" s="64" t="n"/>
      <c r="AU40" s="64" t="n"/>
      <c r="AV40" s="64" t="n"/>
      <c r="AW40" s="64" t="n"/>
      <c r="AX40" s="64" t="n"/>
      <c r="AY40" s="64" t="n"/>
      <c r="AZ40" s="64" t="n"/>
      <c r="BA40" s="64" t="n"/>
      <c r="BB40" s="64" t="n"/>
      <c r="BC40" s="64" t="n"/>
      <c r="BD40" s="64" t="n"/>
      <c r="BE40" s="64" t="n"/>
      <c r="BF40" s="64" t="n"/>
      <c r="BG40" s="64" t="n"/>
      <c r="BH40" s="64" t="n"/>
      <c r="BI40" s="64" t="n"/>
    </row>
    <row r="41" ht="4.5" customHeight="1">
      <c r="A41" s="600" t="n"/>
      <c r="B41" s="64" t="n"/>
      <c r="C41" s="64" t="n"/>
      <c r="D41" s="64" t="n"/>
      <c r="E41" s="64" t="n"/>
      <c r="F41" s="308" t="n"/>
      <c r="G41" s="64" t="n"/>
      <c r="H41" s="64" t="n"/>
      <c r="I41" s="64" t="n"/>
      <c r="J41" s="64" t="n"/>
      <c r="K41" s="64" t="n"/>
      <c r="L41" s="64" t="n"/>
      <c r="M41" s="64" t="n"/>
      <c r="N41" s="64" t="n"/>
      <c r="O41" s="64" t="n"/>
      <c r="P41" s="64" t="n"/>
      <c r="Q41" s="64" t="n"/>
      <c r="R41" s="64" t="n"/>
      <c r="S41" s="64" t="n"/>
      <c r="T41" s="64" t="n"/>
      <c r="U41" s="64" t="n"/>
      <c r="V41" s="64" t="n"/>
      <c r="W41" s="64" t="n"/>
      <c r="X41" s="64" t="n"/>
      <c r="Y41" s="64" t="n"/>
      <c r="Z41" s="64" t="n"/>
      <c r="AA41" s="64" t="n"/>
      <c r="AB41" s="64" t="n"/>
      <c r="AC41" s="64" t="n"/>
      <c r="AD41" s="64" t="n"/>
      <c r="AE41" s="64" t="n"/>
      <c r="AF41" s="64" t="n"/>
      <c r="AG41" s="308" t="n"/>
      <c r="AH41" s="64" t="n"/>
      <c r="AI41" s="136" t="n"/>
      <c r="AJ41" s="64" t="n"/>
      <c r="AK41" s="663" t="n"/>
      <c r="AL41" s="64" t="n"/>
      <c r="AM41" s="64" t="n"/>
      <c r="AN41" s="64" t="n"/>
      <c r="AO41" s="64" t="n"/>
      <c r="AP41" s="64" t="n"/>
      <c r="AQ41" s="64" t="n"/>
      <c r="AR41" s="64" t="n"/>
      <c r="AS41" s="308" t="n"/>
      <c r="AT41" s="64" t="n"/>
      <c r="AU41" s="64" t="n"/>
      <c r="AV41" s="64" t="n"/>
      <c r="AW41" s="64" t="n"/>
      <c r="AX41" s="64" t="n"/>
      <c r="AY41" s="64" t="n"/>
      <c r="AZ41" s="64" t="n"/>
      <c r="BA41" s="64" t="n"/>
      <c r="BB41" s="64" t="n"/>
      <c r="BC41" s="64" t="n"/>
      <c r="BD41" s="64" t="n"/>
      <c r="BE41" s="64" t="n"/>
      <c r="BF41" s="64" t="n"/>
      <c r="BG41" s="64" t="n"/>
      <c r="BH41" s="64" t="n"/>
      <c r="BI41" s="64" t="n"/>
    </row>
    <row r="42" ht="32.25" customHeight="1">
      <c r="A42" s="600" t="inlineStr">
        <is>
          <t xml:space="preserve">V) </t>
        </is>
      </c>
      <c r="B42" s="600" t="inlineStr">
        <is>
          <t>cwi‡kva c×wZ</t>
        </is>
      </c>
      <c r="C42" s="64" t="n"/>
      <c r="D42" s="64" t="n"/>
      <c r="E42" s="64" t="n"/>
      <c r="F42" s="308" t="n"/>
      <c r="G42" s="64" t="n"/>
      <c r="H42" s="64" t="n"/>
      <c r="I42" s="64" t="n"/>
      <c r="J42" s="614" t="inlineStr">
        <is>
          <t>t</t>
        </is>
      </c>
      <c r="K42" s="589" t="inlineStr">
        <is>
          <t>‰ÎgvwmK wfwË‡Z my`v‡ivc Ki‡Z n‡e Ges Zv †WweU K¨vk fvDPv‡ii gva¨‡g Av`vq Ki‡Z n‡e|  1g D‡Ëvj‡bi ZvwiL n‡Z cieZx© 1 eQi ‡gqv‡` my`mn cwi‡kva‡hvM¨/ bevqb‡hvM¨ n‡e|</t>
        </is>
      </c>
      <c r="AO42" s="64" t="n"/>
      <c r="AP42" s="64" t="n"/>
      <c r="AQ42" s="64" t="n"/>
      <c r="AR42" s="64" t="n"/>
      <c r="AS42" s="308" t="n"/>
      <c r="AT42" s="64" t="n"/>
      <c r="AU42" s="64" t="n"/>
      <c r="AV42" s="64" t="n"/>
      <c r="AW42" s="64" t="n"/>
      <c r="AX42" s="64" t="n"/>
      <c r="AY42" s="64" t="n"/>
      <c r="AZ42" s="64" t="n"/>
      <c r="BA42" s="64" t="n"/>
      <c r="BB42" s="64" t="n"/>
      <c r="BC42" s="64" t="n"/>
      <c r="BD42" s="64" t="n"/>
      <c r="BE42" s="64" t="n"/>
      <c r="BF42" s="64" t="n"/>
      <c r="BG42" s="64" t="n"/>
      <c r="BH42" s="64" t="n"/>
      <c r="BI42" s="64" t="n"/>
    </row>
    <row r="43" ht="21" customHeight="1">
      <c r="A43" s="600" t="inlineStr">
        <is>
          <t xml:space="preserve">W) </t>
        </is>
      </c>
      <c r="B43" s="600" t="inlineStr">
        <is>
          <t xml:space="preserve">mvaviY gšÍe¨ </t>
        </is>
      </c>
      <c r="C43" s="64" t="n"/>
      <c r="D43" s="64" t="n"/>
      <c r="E43" s="64" t="n"/>
      <c r="F43" s="308" t="n"/>
      <c r="G43" s="64" t="n"/>
      <c r="H43" s="64" t="n"/>
      <c r="I43" s="64" t="n"/>
      <c r="J43" s="614" t="inlineStr">
        <is>
          <t>t</t>
        </is>
      </c>
      <c r="K43" s="600">
        <f>'Data Input'!G18*30&amp;" w`‡bi P‡µ mgš^q mn 1 eQ‡ii g‡a¨ PzovšÍfv‡e cwi‡kva †hvM¨|"</f>
        <v/>
      </c>
      <c r="AO43" s="64" t="n"/>
      <c r="AP43" s="64" t="n"/>
      <c r="AQ43" s="64" t="n"/>
      <c r="AR43" s="64" t="n"/>
      <c r="AS43" s="308" t="n"/>
      <c r="AT43" s="64" t="n"/>
      <c r="AU43" s="64" t="n"/>
      <c r="AV43" s="64" t="n"/>
      <c r="AW43" s="64" t="n"/>
      <c r="AX43" s="64" t="n"/>
      <c r="AY43" s="64" t="n"/>
      <c r="AZ43" s="64" t="n"/>
      <c r="BA43" s="64" t="n"/>
      <c r="BB43" s="64" t="n"/>
      <c r="BC43" s="64" t="n"/>
      <c r="BD43" s="64" t="n"/>
      <c r="BE43" s="64" t="n"/>
      <c r="BF43" s="64" t="n"/>
      <c r="BG43" s="64" t="n"/>
      <c r="BH43" s="64" t="n"/>
      <c r="BI43" s="64" t="n"/>
    </row>
    <row r="44" ht="21" customHeight="1">
      <c r="A44" s="600" t="inlineStr">
        <is>
          <t xml:space="preserve">X) </t>
        </is>
      </c>
      <c r="B44" s="658" t="inlineStr">
        <is>
          <t>mycvwikK„Z A‡_©i cwigvY
(wba©viYx weeiY mshy³ nB‡e)</t>
        </is>
      </c>
      <c r="J44" s="614" t="inlineStr">
        <is>
          <t>t</t>
        </is>
      </c>
      <c r="K44" s="600">
        <f>'Data Input'!D11&amp;" UvKv ("&amp;ConvertCurrencyToBangla('Data Input'!D11)&amp;" ) gvÎ|"</f>
        <v/>
      </c>
      <c r="AO44" s="64" t="n"/>
      <c r="AP44" s="64" t="n"/>
      <c r="AQ44" s="64" t="n"/>
      <c r="AR44" s="64" t="n"/>
      <c r="AS44" s="308" t="n"/>
      <c r="AT44" s="64" t="n"/>
      <c r="AU44" s="64" t="n"/>
      <c r="AV44" s="64" t="n"/>
      <c r="AW44" s="64" t="n"/>
      <c r="AX44" s="64" t="n"/>
      <c r="AY44" s="64" t="n"/>
      <c r="AZ44" s="64" t="n"/>
      <c r="BA44" s="64" t="n"/>
      <c r="BB44" s="64" t="n"/>
      <c r="BC44" s="64" t="n"/>
      <c r="BD44" s="64" t="n"/>
      <c r="BE44" s="64" t="n"/>
      <c r="BF44" s="64" t="n"/>
      <c r="BG44" s="64" t="n"/>
      <c r="BH44" s="64" t="n"/>
      <c r="BI44" s="64" t="n"/>
    </row>
    <row r="45" ht="18" customHeight="1">
      <c r="A45" s="64" t="n"/>
      <c r="J45" s="64" t="n"/>
      <c r="K45" s="2575" t="inlineStr">
        <is>
          <t xml:space="preserve">                     </t>
        </is>
      </c>
      <c r="L45" s="64" t="n"/>
      <c r="M45" s="64" t="n"/>
      <c r="N45" s="64" t="n"/>
      <c r="O45" s="64" t="n"/>
      <c r="P45" s="64" t="n"/>
      <c r="Q45" s="64" t="n"/>
      <c r="R45" s="64" t="n"/>
      <c r="S45" s="64" t="n"/>
      <c r="T45" s="64" t="n"/>
      <c r="U45" s="64" t="n"/>
      <c r="V45" s="64" t="n"/>
      <c r="W45" s="64" t="n"/>
      <c r="X45" s="64" t="n"/>
      <c r="Y45" s="64" t="n"/>
      <c r="Z45" s="64" t="n"/>
      <c r="AA45" s="64" t="n"/>
      <c r="AB45" s="64" t="n"/>
      <c r="AC45" s="64" t="n"/>
      <c r="AD45" s="64" t="n"/>
      <c r="AE45" s="64" t="n"/>
      <c r="AF45" s="64" t="n"/>
      <c r="AG45" s="308" t="n"/>
      <c r="AH45" s="64" t="n"/>
      <c r="AI45" s="136" t="n"/>
      <c r="AJ45" s="64" t="n"/>
      <c r="AK45" s="663" t="n"/>
      <c r="AL45" s="64" t="n"/>
      <c r="AM45" s="64" t="n"/>
      <c r="AN45" s="64" t="n"/>
      <c r="AO45" s="64" t="n"/>
      <c r="AP45" s="64" t="n"/>
      <c r="AQ45" s="64" t="n"/>
      <c r="AR45" s="64" t="n"/>
      <c r="AS45" s="308" t="n"/>
      <c r="AT45" s="64" t="n"/>
      <c r="AU45" s="64" t="n"/>
      <c r="AV45" s="64" t="n"/>
      <c r="AW45" s="64" t="n"/>
      <c r="AX45" s="64" t="n"/>
      <c r="AY45" s="64" t="n"/>
      <c r="AZ45" s="64" t="n"/>
      <c r="BA45" s="64" t="n"/>
      <c r="BB45" s="64" t="n"/>
      <c r="BC45" s="64" t="n"/>
      <c r="BD45" s="64" t="n"/>
      <c r="BE45" s="64" t="n"/>
      <c r="BF45" s="64" t="n"/>
      <c r="BG45" s="64" t="n"/>
      <c r="BH45" s="64" t="n"/>
      <c r="BI45" s="64" t="n"/>
    </row>
    <row r="46" ht="15" customHeight="1">
      <c r="A46" s="64" t="n"/>
      <c r="B46" s="64" t="n"/>
      <c r="C46" s="64" t="n"/>
      <c r="D46" s="64" t="n"/>
      <c r="E46" s="64" t="n"/>
      <c r="F46" s="308" t="n"/>
      <c r="G46" s="64" t="n"/>
      <c r="H46" s="64" t="n"/>
      <c r="I46" s="64" t="n"/>
      <c r="J46" s="64" t="n"/>
      <c r="K46" s="64" t="n"/>
      <c r="L46" s="64" t="n"/>
      <c r="M46" s="64" t="n"/>
      <c r="N46" s="64" t="n"/>
      <c r="O46" s="64" t="n"/>
      <c r="P46" s="64" t="n"/>
      <c r="Q46" s="64" t="n"/>
      <c r="R46" s="64" t="n"/>
      <c r="S46" s="64" t="n"/>
      <c r="T46" s="64" t="n"/>
      <c r="U46" s="64" t="n"/>
      <c r="V46" s="64" t="n"/>
      <c r="W46" s="64" t="n"/>
      <c r="X46" s="64" t="n"/>
      <c r="Y46" s="64" t="n"/>
      <c r="Z46" s="64" t="n"/>
      <c r="AA46" s="64" t="n"/>
      <c r="AB46" s="64" t="n"/>
      <c r="AC46" s="64" t="n"/>
      <c r="AD46" s="64" t="n"/>
      <c r="AE46" s="603" t="inlineStr">
        <is>
          <t>e¨e¯’vcK</t>
        </is>
      </c>
      <c r="AO46" s="64" t="n"/>
      <c r="AP46" s="64" t="n"/>
      <c r="AQ46" s="64" t="n"/>
      <c r="AR46" s="64" t="n"/>
      <c r="AS46" s="308" t="n"/>
      <c r="AT46" s="64" t="n"/>
      <c r="AU46" s="64" t="n"/>
      <c r="AV46" s="64" t="n"/>
      <c r="AW46" s="64" t="n"/>
      <c r="AX46" s="64" t="n"/>
      <c r="AY46" s="64" t="n"/>
      <c r="AZ46" s="64" t="n"/>
      <c r="BA46" s="64" t="n"/>
      <c r="BB46" s="64" t="n"/>
      <c r="BC46" s="64" t="n"/>
      <c r="BD46" s="64" t="n"/>
      <c r="BE46" s="64" t="n"/>
      <c r="BF46" s="64" t="n"/>
      <c r="BG46" s="64" t="n"/>
      <c r="BH46" s="64" t="n"/>
      <c r="BI46" s="64" t="n"/>
    </row>
    <row r="47" ht="15" customHeight="1">
      <c r="A47" s="64" t="n"/>
      <c r="B47" s="64" t="n"/>
      <c r="C47" s="64" t="n"/>
      <c r="D47" s="64" t="n"/>
      <c r="E47" s="64" t="n"/>
      <c r="F47" s="308" t="n"/>
      <c r="G47" s="64" t="n"/>
      <c r="H47" s="64" t="n"/>
      <c r="I47" s="64" t="n"/>
      <c r="J47" s="64" t="n"/>
      <c r="K47" s="64" t="n"/>
      <c r="L47" s="64" t="n"/>
      <c r="M47" s="64" t="n"/>
      <c r="N47" s="64" t="n"/>
      <c r="O47" s="64" t="n"/>
      <c r="P47" s="64" t="n"/>
      <c r="Q47" s="64" t="n"/>
      <c r="R47" s="64" t="n"/>
      <c r="S47" s="64" t="n"/>
      <c r="T47" s="64" t="n"/>
      <c r="U47" s="64" t="n"/>
      <c r="V47" s="64" t="n"/>
      <c r="W47" s="64" t="n"/>
      <c r="X47" s="64" t="n"/>
      <c r="Y47" s="64" t="n"/>
      <c r="Z47" s="64" t="n"/>
      <c r="AA47" s="64" t="n"/>
      <c r="AB47" s="64" t="n"/>
      <c r="AC47" s="64" t="n"/>
      <c r="AD47" s="64" t="n"/>
      <c r="AE47" s="603" t="inlineStr">
        <is>
          <t>evsjv‡`k K…wl e¨vsK,</t>
        </is>
      </c>
      <c r="AO47" s="64" t="n"/>
      <c r="AP47" s="64" t="n"/>
      <c r="AQ47" s="64" t="n"/>
      <c r="AR47" s="64" t="n"/>
      <c r="AS47" s="308" t="n"/>
      <c r="AT47" s="64" t="n"/>
      <c r="AU47" s="64" t="n"/>
      <c r="AV47" s="64" t="n"/>
      <c r="AW47" s="64" t="n"/>
      <c r="AX47" s="64" t="n"/>
      <c r="AY47" s="64" t="n"/>
      <c r="AZ47" s="64" t="n"/>
      <c r="BA47" s="64" t="n"/>
      <c r="BB47" s="64" t="n"/>
      <c r="BC47" s="64" t="n"/>
      <c r="BD47" s="64" t="n"/>
      <c r="BE47" s="64" t="n"/>
      <c r="BF47" s="64" t="n"/>
      <c r="BG47" s="64" t="n"/>
      <c r="BH47" s="64" t="n"/>
      <c r="BI47" s="64" t="n"/>
    </row>
    <row r="48" ht="15" customHeight="1">
      <c r="A48" s="600" t="n"/>
      <c r="B48" s="64" t="n"/>
      <c r="C48" s="64" t="n"/>
      <c r="D48" s="64" t="n"/>
      <c r="E48" s="64" t="n"/>
      <c r="F48" s="308" t="n"/>
      <c r="G48" s="64" t="n"/>
      <c r="H48" s="64" t="n"/>
      <c r="I48" s="64" t="n"/>
      <c r="J48" s="64" t="n"/>
      <c r="K48" s="64" t="n"/>
      <c r="L48" s="64" t="n"/>
      <c r="M48" s="64" t="n"/>
      <c r="N48" s="64" t="n"/>
      <c r="O48" s="64" t="n"/>
      <c r="P48" s="64" t="n"/>
      <c r="Q48" s="64" t="n"/>
      <c r="R48" s="64" t="n"/>
      <c r="S48" s="64" t="n"/>
      <c r="T48" s="64" t="n"/>
      <c r="U48" s="64" t="n"/>
      <c r="V48" s="64" t="n"/>
      <c r="W48" s="64" t="n"/>
      <c r="X48" s="64" t="n"/>
      <c r="Y48" s="64" t="n"/>
      <c r="Z48" s="64" t="n"/>
      <c r="AA48" s="64" t="n"/>
      <c r="AB48" s="64" t="n"/>
      <c r="AC48" s="64" t="n"/>
      <c r="AD48" s="64" t="n"/>
      <c r="AE48" s="603">
        <f>+'Data Input'!D2</f>
        <v/>
      </c>
      <c r="AO48" s="64" t="n"/>
      <c r="AP48" s="64" t="n"/>
      <c r="AQ48" s="64" t="n"/>
      <c r="AR48" s="64" t="n"/>
      <c r="AS48" s="308" t="n"/>
      <c r="AT48" s="64" t="n"/>
      <c r="AU48" s="64" t="n"/>
      <c r="AV48" s="64" t="n"/>
      <c r="AW48" s="64" t="n"/>
      <c r="AX48" s="64" t="n"/>
      <c r="AY48" s="64" t="n"/>
      <c r="AZ48" s="64" t="n"/>
      <c r="BA48" s="64" t="n"/>
      <c r="BB48" s="64" t="n"/>
      <c r="BC48" s="64" t="n"/>
      <c r="BD48" s="64" t="n"/>
      <c r="BE48" s="64" t="n"/>
      <c r="BF48" s="64" t="n"/>
      <c r="BG48" s="64" t="n"/>
      <c r="BH48" s="64" t="n"/>
      <c r="BI48" s="64" t="n"/>
    </row>
    <row r="49" ht="18" customHeight="1">
      <c r="A49" s="64" t="n"/>
      <c r="B49" s="64" t="n"/>
      <c r="C49" s="64" t="n"/>
      <c r="D49" s="64" t="n"/>
      <c r="E49" s="64" t="n"/>
      <c r="F49" s="308" t="n"/>
      <c r="G49" s="64" t="n"/>
      <c r="H49" s="64" t="n"/>
      <c r="I49" s="64" t="n"/>
      <c r="J49" s="64" t="n"/>
      <c r="K49" s="64" t="n"/>
      <c r="L49" s="64" t="n"/>
      <c r="M49" s="64" t="n"/>
      <c r="N49" s="64" t="n"/>
      <c r="O49" s="64" t="n"/>
      <c r="P49" s="64" t="n"/>
      <c r="Q49" s="64" t="n"/>
      <c r="R49" s="64" t="n"/>
      <c r="S49" s="64" t="n"/>
      <c r="T49" s="64" t="n"/>
      <c r="U49" s="64" t="n"/>
      <c r="V49" s="64" t="n"/>
      <c r="W49" s="64" t="n"/>
      <c r="X49" s="64" t="n"/>
      <c r="Y49" s="64" t="n"/>
      <c r="Z49" s="64" t="n"/>
      <c r="AA49" s="64" t="n"/>
      <c r="AB49" s="64" t="n"/>
      <c r="AC49" s="64" t="n"/>
      <c r="AD49" s="64" t="n"/>
      <c r="AE49" s="64" t="n"/>
      <c r="AF49" s="64" t="n"/>
      <c r="AG49" s="308" t="n"/>
      <c r="AH49" s="64" t="n"/>
      <c r="AI49" s="136" t="n"/>
      <c r="AJ49" s="64" t="n"/>
      <c r="AK49" s="663" t="n"/>
      <c r="AL49" s="64" t="n"/>
      <c r="AM49" s="64" t="n"/>
      <c r="AN49" s="64" t="n"/>
      <c r="AO49" s="64" t="n"/>
      <c r="AP49" s="64" t="n"/>
      <c r="AQ49" s="64" t="n"/>
      <c r="AR49" s="64" t="n"/>
      <c r="AS49" s="308" t="n"/>
      <c r="AT49" s="64" t="n"/>
      <c r="AU49" s="64" t="n"/>
      <c r="AV49" s="64" t="n"/>
      <c r="AW49" s="64" t="n"/>
      <c r="AX49" s="64" t="n"/>
      <c r="AY49" s="64" t="n"/>
      <c r="AZ49" s="64" t="n"/>
      <c r="BA49" s="64" t="n"/>
      <c r="BB49" s="64" t="n"/>
      <c r="BC49" s="64" t="n"/>
      <c r="BD49" s="64" t="n"/>
      <c r="BE49" s="64" t="n"/>
      <c r="BF49" s="64" t="n"/>
      <c r="BG49" s="64" t="n"/>
      <c r="BH49" s="64" t="n"/>
      <c r="BI49" s="64" t="n"/>
    </row>
    <row r="50" ht="18" customHeight="1">
      <c r="A50" s="64" t="n"/>
      <c r="B50" s="64" t="n"/>
      <c r="C50" s="64" t="n"/>
      <c r="D50" s="64" t="n"/>
      <c r="E50" s="64" t="n"/>
      <c r="F50" s="308" t="n"/>
      <c r="G50" s="64" t="n"/>
      <c r="H50" s="64" t="n"/>
      <c r="I50" s="64" t="n"/>
      <c r="J50" s="64" t="n"/>
      <c r="K50" s="64" t="n"/>
      <c r="L50" s="64" t="n"/>
      <c r="M50" s="64" t="n"/>
      <c r="N50" s="64" t="n"/>
      <c r="O50" s="64" t="n"/>
      <c r="P50" s="64" t="n"/>
      <c r="Q50" s="64" t="n"/>
      <c r="R50" s="64" t="n"/>
      <c r="S50" s="64" t="n"/>
      <c r="T50" s="64" t="n"/>
      <c r="U50" s="64" t="n"/>
      <c r="V50" s="64" t="n"/>
      <c r="W50" s="64" t="n"/>
      <c r="X50" s="64" t="n"/>
      <c r="Y50" s="64" t="n"/>
      <c r="Z50" s="64" t="n"/>
      <c r="AA50" s="64" t="n"/>
      <c r="AB50" s="64" t="n"/>
      <c r="AC50" s="64" t="n"/>
      <c r="AD50" s="64" t="n"/>
      <c r="AE50" s="64" t="n"/>
      <c r="AF50" s="64" t="n"/>
      <c r="AG50" s="308" t="n"/>
      <c r="AH50" s="64" t="n"/>
      <c r="AI50" s="136" t="n"/>
      <c r="AJ50" s="64" t="n"/>
      <c r="AK50" s="663" t="n"/>
      <c r="AL50" s="64" t="n"/>
      <c r="AM50" s="64" t="n"/>
      <c r="AN50" s="64" t="n"/>
      <c r="AO50" s="64" t="n"/>
      <c r="AP50" s="64" t="n"/>
      <c r="AQ50" s="64" t="n"/>
      <c r="AR50" s="64" t="n"/>
      <c r="AS50" s="308" t="n"/>
      <c r="AT50" s="64" t="n"/>
      <c r="AU50" s="64" t="n"/>
      <c r="AV50" s="64" t="n"/>
      <c r="AW50" s="64" t="n"/>
      <c r="AX50" s="64" t="n"/>
      <c r="AY50" s="64" t="n"/>
      <c r="AZ50" s="64" t="n"/>
      <c r="BA50" s="64" t="n"/>
      <c r="BB50" s="64" t="n"/>
      <c r="BC50" s="64" t="n"/>
      <c r="BD50" s="64" t="n"/>
      <c r="BE50" s="64" t="n"/>
      <c r="BF50" s="64" t="n"/>
      <c r="BG50" s="64" t="n"/>
      <c r="BH50" s="64" t="n"/>
      <c r="BI50" s="64" t="n"/>
    </row>
    <row r="51" ht="18" customHeight="1">
      <c r="A51" s="64" t="n"/>
      <c r="B51" s="64" t="n"/>
      <c r="C51" s="64" t="n"/>
      <c r="D51" s="64" t="n"/>
      <c r="E51" s="64" t="n"/>
      <c r="F51" s="308" t="n"/>
      <c r="G51" s="64" t="n"/>
      <c r="H51" s="64" t="n"/>
      <c r="I51" s="64" t="n"/>
      <c r="J51" s="64" t="n"/>
      <c r="K51" s="64" t="n"/>
      <c r="L51" s="64" t="n"/>
      <c r="M51" s="64" t="n"/>
      <c r="N51" s="64" t="n"/>
      <c r="O51" s="64" t="n"/>
      <c r="P51" s="64" t="n"/>
      <c r="Q51" s="64" t="n"/>
      <c r="R51" s="64" t="n"/>
      <c r="S51" s="64" t="n"/>
      <c r="T51" s="64" t="n"/>
      <c r="U51" s="64" t="n"/>
      <c r="V51" s="64" t="n"/>
      <c r="W51" s="64" t="n"/>
      <c r="X51" s="64" t="n"/>
      <c r="Y51" s="64" t="n"/>
      <c r="Z51" s="64" t="n"/>
      <c r="AA51" s="64" t="n"/>
      <c r="AB51" s="64" t="n"/>
      <c r="AC51" s="64" t="n"/>
      <c r="AD51" s="64" t="n"/>
      <c r="AE51" s="64" t="n"/>
      <c r="AF51" s="64" t="n"/>
      <c r="AG51" s="308" t="n"/>
      <c r="AH51" s="64" t="n"/>
      <c r="AI51" s="136" t="n"/>
      <c r="AJ51" s="64" t="n"/>
      <c r="AK51" s="663" t="n"/>
      <c r="AL51" s="64" t="n"/>
      <c r="AM51" s="64" t="n"/>
      <c r="AN51" s="64" t="n"/>
      <c r="AO51" s="64" t="n"/>
      <c r="AP51" s="64" t="n"/>
      <c r="AQ51" s="64" t="n"/>
      <c r="AR51" s="64" t="n"/>
      <c r="AS51" s="308" t="n"/>
      <c r="AT51" s="64" t="n"/>
      <c r="AU51" s="64" t="n"/>
      <c r="AV51" s="64" t="n"/>
      <c r="AW51" s="64" t="n"/>
      <c r="AX51" s="64" t="n"/>
      <c r="AY51" s="64" t="n"/>
      <c r="AZ51" s="64" t="n"/>
      <c r="BA51" s="64" t="n"/>
      <c r="BB51" s="64" t="n"/>
      <c r="BC51" s="64" t="n"/>
      <c r="BD51" s="64" t="n"/>
      <c r="BE51" s="64" t="n"/>
      <c r="BF51" s="64" t="n"/>
      <c r="BG51" s="64" t="n"/>
      <c r="BH51" s="64" t="n"/>
      <c r="BI51" s="64" t="n"/>
    </row>
    <row r="52" ht="18" customHeight="1">
      <c r="A52" s="64" t="n"/>
      <c r="B52" s="64" t="n"/>
      <c r="C52" s="64" t="n"/>
      <c r="D52" s="64" t="n"/>
      <c r="E52" s="64" t="n"/>
      <c r="F52" s="308" t="n"/>
      <c r="G52" s="64" t="n"/>
      <c r="H52" s="64" t="n"/>
      <c r="I52" s="64" t="n"/>
      <c r="J52" s="64" t="n"/>
      <c r="K52" s="64" t="n"/>
      <c r="L52" s="64" t="n"/>
      <c r="M52" s="64" t="n"/>
      <c r="N52" s="64" t="n"/>
      <c r="O52" s="64" t="n"/>
      <c r="P52" s="64" t="n"/>
      <c r="Q52" s="64" t="n"/>
      <c r="R52" s="64" t="n"/>
      <c r="S52" s="64" t="n"/>
      <c r="T52" s="64" t="n"/>
      <c r="U52" s="64" t="n"/>
      <c r="V52" s="64" t="n"/>
      <c r="W52" s="64" t="n"/>
      <c r="X52" s="64" t="n"/>
      <c r="Y52" s="64" t="n"/>
      <c r="Z52" s="64" t="n"/>
      <c r="AA52" s="64" t="n"/>
      <c r="AB52" s="64" t="n"/>
      <c r="AC52" s="64" t="n"/>
      <c r="AD52" s="64" t="n"/>
      <c r="AE52" s="64" t="n"/>
      <c r="AF52" s="64" t="n"/>
      <c r="AG52" s="308" t="n"/>
      <c r="AH52" s="64" t="n"/>
      <c r="AI52" s="136" t="n"/>
      <c r="AJ52" s="64" t="n"/>
      <c r="AK52" s="663" t="n"/>
      <c r="AL52" s="64" t="n"/>
      <c r="AM52" s="64" t="n"/>
      <c r="AN52" s="64" t="n"/>
      <c r="AO52" s="64" t="n"/>
      <c r="AP52" s="64" t="n"/>
      <c r="AQ52" s="64" t="n"/>
      <c r="AR52" s="64" t="n"/>
      <c r="AS52" s="308" t="n"/>
      <c r="AT52" s="64" t="n"/>
      <c r="AU52" s="64" t="n"/>
      <c r="AV52" s="64" t="n"/>
      <c r="AW52" s="64" t="n"/>
      <c r="AX52" s="64" t="n"/>
      <c r="AY52" s="64" t="n"/>
      <c r="AZ52" s="64" t="n"/>
      <c r="BA52" s="64" t="n"/>
      <c r="BB52" s="64" t="n"/>
      <c r="BC52" s="64" t="n"/>
      <c r="BD52" s="64" t="n"/>
      <c r="BE52" s="64" t="n"/>
      <c r="BF52" s="64" t="n"/>
      <c r="BG52" s="64" t="n"/>
      <c r="BH52" s="64" t="n"/>
      <c r="BI52" s="64" t="n"/>
    </row>
    <row r="53" ht="18" customHeight="1">
      <c r="A53" s="64" t="n"/>
      <c r="B53" s="64" t="n"/>
      <c r="C53" s="64" t="n"/>
      <c r="D53" s="64" t="n"/>
      <c r="E53" s="64" t="n"/>
      <c r="F53" s="308" t="n"/>
      <c r="G53" s="64" t="n"/>
      <c r="H53" s="64" t="n"/>
      <c r="I53" s="64" t="n"/>
      <c r="J53" s="64" t="n"/>
      <c r="K53" s="64" t="n"/>
      <c r="L53" s="64" t="n"/>
      <c r="M53" s="64" t="n"/>
      <c r="N53" s="64" t="n"/>
      <c r="O53" s="64" t="n"/>
      <c r="P53" s="64" t="n"/>
      <c r="Q53" s="64" t="n"/>
      <c r="R53" s="64" t="n"/>
      <c r="S53" s="64" t="n"/>
      <c r="T53" s="64" t="n"/>
      <c r="U53" s="64" t="n"/>
      <c r="V53" s="64" t="n"/>
      <c r="W53" s="64" t="n"/>
      <c r="X53" s="64" t="n"/>
      <c r="Y53" s="64" t="n"/>
      <c r="Z53" s="64" t="n"/>
      <c r="AA53" s="64" t="n"/>
      <c r="AB53" s="64" t="n"/>
      <c r="AC53" s="64" t="n"/>
      <c r="AD53" s="64" t="n"/>
      <c r="AE53" s="64" t="n"/>
      <c r="AF53" s="64" t="n"/>
      <c r="AG53" s="308" t="n"/>
      <c r="AH53" s="64" t="n"/>
      <c r="AI53" s="136" t="n"/>
      <c r="AJ53" s="64" t="n"/>
      <c r="AK53" s="663" t="n"/>
      <c r="AL53" s="64" t="n"/>
      <c r="AM53" s="64" t="n"/>
      <c r="AN53" s="64" t="n"/>
      <c r="AO53" s="64" t="n"/>
      <c r="AP53" s="64" t="n"/>
      <c r="AQ53" s="64" t="n"/>
      <c r="AR53" s="64" t="n"/>
      <c r="AS53" s="308" t="n"/>
      <c r="AT53" s="64" t="n"/>
      <c r="AU53" s="64" t="n"/>
      <c r="AV53" s="64" t="n"/>
      <c r="AW53" s="64" t="n"/>
      <c r="AX53" s="64" t="n"/>
      <c r="AY53" s="64" t="n"/>
      <c r="AZ53" s="64" t="n"/>
      <c r="BA53" s="64" t="n"/>
      <c r="BB53" s="64" t="n"/>
      <c r="BC53" s="64" t="n"/>
      <c r="BD53" s="64" t="n"/>
      <c r="BE53" s="64" t="n"/>
      <c r="BF53" s="64" t="n"/>
      <c r="BG53" s="64" t="n"/>
      <c r="BH53" s="64" t="n"/>
      <c r="BI53" s="64" t="n"/>
    </row>
  </sheetData>
  <mergeCells count="87">
    <mergeCell ref="AE48:AN48"/>
    <mergeCell ref="A5:AE5"/>
    <mergeCell ref="B24:Q24"/>
    <mergeCell ref="AF5:AH5"/>
    <mergeCell ref="B26:Q26"/>
    <mergeCell ref="K43:AN43"/>
    <mergeCell ref="B40:J40"/>
    <mergeCell ref="B25:Q25"/>
    <mergeCell ref="AI21:AN21"/>
    <mergeCell ref="K42:AN42"/>
    <mergeCell ref="B31:E31"/>
    <mergeCell ref="AD40:AN40"/>
    <mergeCell ref="N3:AB4"/>
    <mergeCell ref="S24:AN25"/>
    <mergeCell ref="B18:Q18"/>
    <mergeCell ref="B27:Q27"/>
    <mergeCell ref="B10:I10"/>
    <mergeCell ref="W30:AF30"/>
    <mergeCell ref="AE3:AN3"/>
    <mergeCell ref="B33:Q34"/>
    <mergeCell ref="A16:AN16"/>
    <mergeCell ref="M31:V31"/>
    <mergeCell ref="W31:AF31"/>
    <mergeCell ref="F31:L31"/>
    <mergeCell ref="L15:N15"/>
    <mergeCell ref="K13:AD13"/>
    <mergeCell ref="K11:AD12"/>
    <mergeCell ref="AJ12:AN12"/>
    <mergeCell ref="B44:I45"/>
    <mergeCell ref="M29:V29"/>
    <mergeCell ref="T35:U35"/>
    <mergeCell ref="AJ14:AN14"/>
    <mergeCell ref="B32:E32"/>
    <mergeCell ref="B12:I12"/>
    <mergeCell ref="AI22:AN22"/>
    <mergeCell ref="B14:I14"/>
    <mergeCell ref="K40:O40"/>
    <mergeCell ref="B13:I13"/>
    <mergeCell ref="AE10:AN11"/>
    <mergeCell ref="AK15:AN15"/>
    <mergeCell ref="AG19:AN19"/>
    <mergeCell ref="AE2:AN2"/>
    <mergeCell ref="A7:AN7"/>
    <mergeCell ref="AG30:AN30"/>
    <mergeCell ref="B29:E29"/>
    <mergeCell ref="M30:V30"/>
    <mergeCell ref="B19:Q19"/>
    <mergeCell ref="AD4:AN4"/>
    <mergeCell ref="B28:Q28"/>
    <mergeCell ref="B35:Q36"/>
    <mergeCell ref="P15:S15"/>
    <mergeCell ref="M32:V32"/>
    <mergeCell ref="B20:Q20"/>
    <mergeCell ref="K44:AN44"/>
    <mergeCell ref="W29:AF29"/>
    <mergeCell ref="P40:AC40"/>
    <mergeCell ref="B11:I11"/>
    <mergeCell ref="F29:L29"/>
    <mergeCell ref="AG32:AN32"/>
    <mergeCell ref="AE46:AN46"/>
    <mergeCell ref="AE47:AN47"/>
    <mergeCell ref="S22:AD22"/>
    <mergeCell ref="K39:O39"/>
    <mergeCell ref="AG18:AN18"/>
    <mergeCell ref="F32:L32"/>
    <mergeCell ref="B15:I15"/>
    <mergeCell ref="S21:AD21"/>
    <mergeCell ref="B39:J39"/>
    <mergeCell ref="AE1:AN1"/>
    <mergeCell ref="K10:AD10"/>
    <mergeCell ref="AD39:AN39"/>
    <mergeCell ref="B30:E30"/>
    <mergeCell ref="AG29:AN29"/>
    <mergeCell ref="AS10:AT10"/>
    <mergeCell ref="A8:AN8"/>
    <mergeCell ref="AG31:AN31"/>
    <mergeCell ref="M1:AB2"/>
    <mergeCell ref="B22:Q22"/>
    <mergeCell ref="P39:AC39"/>
    <mergeCell ref="S27:AN27"/>
    <mergeCell ref="F30:L30"/>
    <mergeCell ref="AC36:AN36"/>
    <mergeCell ref="B21:Q21"/>
    <mergeCell ref="AK5:AN5"/>
    <mergeCell ref="K14:AD14"/>
    <mergeCell ref="W32:AF32"/>
    <mergeCell ref="B23:Q23"/>
  </mergeCells>
  <pageMargins left="0.7" right="0.7" top="0.75" bottom="0.75" header="0.3" footer="0.3"/>
</worksheet>
</file>

<file path=xl/worksheets/sheet16.xml><?xml version="1.0" encoding="utf-8"?>
<worksheet xmlns="http://schemas.openxmlformats.org/spreadsheetml/2006/main">
  <sheetPr>
    <outlinePr summaryBelow="0"/>
    <pageSetUpPr/>
  </sheetPr>
  <dimension ref="A1:CK61"/>
  <sheetViews>
    <sheetView workbookViewId="0">
      <selection activeCell="A1" sqref="A1"/>
    </sheetView>
  </sheetViews>
  <sheetFormatPr baseColWidth="8" defaultRowHeight="15"/>
  <cols>
    <col width="2.576428571428572" bestFit="1" customWidth="1" style="63" min="1" max="1"/>
    <col width="2.005" bestFit="1" customWidth="1" style="63" min="2" max="2"/>
    <col width="1.005" bestFit="1" customWidth="1" style="65" min="3" max="3"/>
    <col width="1.005" bestFit="1" customWidth="1" style="63" min="4" max="4"/>
    <col width="1.005" bestFit="1" customWidth="1" style="63" min="5" max="5"/>
    <col width="1.005" bestFit="1" customWidth="1" style="63" min="6" max="6"/>
    <col width="2.147857142857143" bestFit="1" customWidth="1" style="63" min="7" max="7"/>
    <col width="2.147857142857143" bestFit="1" customWidth="1" style="63" min="8" max="8"/>
    <col width="1.005" bestFit="1" customWidth="1" style="63" min="9" max="9"/>
    <col width="1.005" bestFit="1" customWidth="1" style="63" min="10" max="10"/>
    <col width="1.005" bestFit="1" customWidth="1" style="63" min="11" max="11"/>
    <col width="2.576428571428572" bestFit="1" customWidth="1" style="65" min="12" max="12"/>
    <col width="1.005" bestFit="1" customWidth="1" style="63" min="13" max="13"/>
    <col width="1.005" bestFit="1" customWidth="1" style="63" min="14" max="14"/>
    <col width="1.005" bestFit="1" customWidth="1" style="63" min="15" max="15"/>
    <col width="1.005" bestFit="1" customWidth="1" style="63" min="16" max="16"/>
    <col width="1.005" bestFit="1" customWidth="1" style="63" min="17" max="17"/>
    <col width="1.005" bestFit="1" customWidth="1" style="63" min="18" max="18"/>
    <col width="1.005" bestFit="1" customWidth="1" style="63" min="19" max="19"/>
    <col width="1.005" bestFit="1" customWidth="1" style="63" min="20" max="20"/>
    <col width="1.005" bestFit="1" customWidth="1" style="63" min="21" max="21"/>
    <col width="2.147857142857143" bestFit="1" customWidth="1" style="65" min="22" max="22"/>
    <col width="3.290714285714285" bestFit="1" customWidth="1" style="542" min="23" max="23"/>
    <col width="3.290714285714285" bestFit="1" customWidth="1" style="63" min="24" max="24"/>
    <col width="3.290714285714285" bestFit="1" customWidth="1" style="65" min="25" max="25"/>
    <col width="2.719285714285714" bestFit="1" customWidth="1" style="63" min="26" max="26"/>
    <col width="4.005" bestFit="1" customWidth="1" style="542" min="27" max="27"/>
    <col width="3.290714285714285" bestFit="1" customWidth="1" style="65" min="28" max="28"/>
    <col width="3.290714285714285" bestFit="1" customWidth="1" style="63" min="29" max="29"/>
    <col width="4.576428571428571" bestFit="1" customWidth="1" style="64" min="30" max="30"/>
    <col width="3.290714285714285" bestFit="1" customWidth="1" style="136" min="31" max="31"/>
    <col width="4.433571428571429" bestFit="1" customWidth="1" style="64" min="32" max="32"/>
    <col width="3.290714285714285" bestFit="1" customWidth="1" style="64" min="33" max="33"/>
    <col width="4.719285714285714" bestFit="1" customWidth="1" style="136" min="34" max="34"/>
    <col width="3.290714285714285" bestFit="1" customWidth="1" style="64" min="35" max="35"/>
    <col width="3.290714285714285" bestFit="1" customWidth="1" style="543" min="36" max="36"/>
    <col width="3.290714285714285" bestFit="1" customWidth="1" style="544" min="37" max="37"/>
    <col width="3.290714285714285" bestFit="1" customWidth="1" style="64" min="38" max="38"/>
    <col width="3.290714285714285" bestFit="1" customWidth="1" style="64" min="39" max="39"/>
    <col width="3.290714285714285" bestFit="1" customWidth="1" style="64" min="40" max="40"/>
    <col width="7.433571428571429" bestFit="1" customWidth="1" style="103" min="41" max="41"/>
    <col width="5.147857142857143" bestFit="1" customWidth="1" style="64" min="42" max="42"/>
    <col width="3.433571428571428" bestFit="1" customWidth="1" style="64" min="43" max="43"/>
    <col width="4.433571428571429" bestFit="1" customWidth="1" style="545" min="44" max="44"/>
    <col width="6.576428571428571" bestFit="1" customWidth="1" style="64" min="45" max="45"/>
    <col width="3.433571428571428" bestFit="1" customWidth="1" style="64" min="46" max="46"/>
    <col width="3.433571428571428" bestFit="1" customWidth="1" style="64" min="47" max="47"/>
    <col width="3.433571428571428" bestFit="1" customWidth="1" style="64" min="48" max="48"/>
    <col width="3.433571428571428" bestFit="1" customWidth="1" style="64" min="49" max="49"/>
    <col width="3.433571428571428" bestFit="1" customWidth="1" style="103" min="50" max="50"/>
    <col width="3.433571428571428" bestFit="1" customWidth="1" style="103" min="51" max="51"/>
    <col width="3.433571428571428" bestFit="1" customWidth="1" style="103" min="52" max="52"/>
    <col width="3.433571428571428" bestFit="1" customWidth="1" style="103" min="53" max="53"/>
    <col width="3.433571428571428" bestFit="1" customWidth="1" style="103" min="54" max="54"/>
    <col width="3.433571428571428" bestFit="1" customWidth="1" style="103" min="55" max="55"/>
    <col width="3.433571428571428" bestFit="1" customWidth="1" style="103" min="56" max="56"/>
    <col width="3.433571428571428" bestFit="1" customWidth="1" style="103" min="57" max="57"/>
    <col width="3.433571428571428" bestFit="1" customWidth="1" style="103" min="58" max="58"/>
    <col width="3.433571428571428" bestFit="1" customWidth="1" style="103" min="59" max="59"/>
    <col width="3.433571428571428" bestFit="1" customWidth="1" style="103" min="60" max="60"/>
    <col width="3.433571428571428" bestFit="1" customWidth="1" style="103" min="61" max="61"/>
    <col width="3.433571428571428" bestFit="1" customWidth="1" style="103" min="62" max="62"/>
    <col width="3.433571428571428" bestFit="1" customWidth="1" style="103" min="63" max="63"/>
    <col width="3.433571428571428" bestFit="1" customWidth="1" style="103" min="64" max="64"/>
    <col width="3.433571428571428" bestFit="1" customWidth="1" style="103" min="65" max="65"/>
    <col width="3.433571428571428" bestFit="1" customWidth="1" style="103" min="66" max="66"/>
    <col width="13.57642857142857" bestFit="1" customWidth="1" style="103" min="67" max="67"/>
    <col width="13.57642857142857" bestFit="1" customWidth="1" style="103" min="68" max="68"/>
    <col width="13.57642857142857" bestFit="1" customWidth="1" style="103" min="69" max="69"/>
    <col width="13.57642857142857" bestFit="1" customWidth="1" style="103" min="70" max="70"/>
    <col width="13.57642857142857" bestFit="1" customWidth="1" style="103" min="71" max="71"/>
    <col width="13.57642857142857" bestFit="1" customWidth="1" style="103" min="72" max="72"/>
    <col width="13.57642857142857" bestFit="1" customWidth="1" style="103" min="73" max="73"/>
    <col width="13.57642857142857" bestFit="1" customWidth="1" style="103" min="74" max="74"/>
    <col width="13.57642857142857" bestFit="1" customWidth="1" style="103" min="75" max="75"/>
    <col width="13.57642857142857" bestFit="1" customWidth="1" style="103" min="76" max="76"/>
    <col width="13.57642857142857" bestFit="1" customWidth="1" style="103" min="77" max="77"/>
    <col width="13.57642857142857" bestFit="1" customWidth="1" style="103" min="78" max="78"/>
    <col width="13.57642857142857" bestFit="1" customWidth="1" style="103" min="79" max="79"/>
    <col width="13.57642857142857" bestFit="1" customWidth="1" style="103" min="80" max="80"/>
    <col width="13.57642857142857" bestFit="1" customWidth="1" style="103" min="81" max="81"/>
    <col width="13.57642857142857" bestFit="1" customWidth="1" style="103" min="82" max="82"/>
    <col width="13.57642857142857" bestFit="1" customWidth="1" style="103" min="83" max="83"/>
    <col width="13.57642857142857" bestFit="1" customWidth="1" style="103" min="84" max="84"/>
    <col width="13.57642857142857" bestFit="1" customWidth="1" style="103" min="85" max="85"/>
    <col width="13.57642857142857" bestFit="1" customWidth="1" style="103" min="86" max="86"/>
    <col width="13.57642857142857" bestFit="1" customWidth="1" style="103" min="87" max="87"/>
    <col width="13.57642857142857" bestFit="1" customWidth="1" style="103" min="88" max="88"/>
    <col width="13.57642857142857" bestFit="1" customWidth="1" style="103" min="89" max="89"/>
  </cols>
  <sheetData>
    <row r="1" ht="15.75" customHeight="1">
      <c r="A1" s="63" t="n"/>
      <c r="B1" s="69" t="n"/>
      <c r="C1" s="420" t="n"/>
      <c r="D1" s="69" t="n"/>
      <c r="E1" s="69" t="n"/>
      <c r="F1" s="69" t="n"/>
      <c r="G1" s="69" t="n"/>
      <c r="H1" s="69" t="n"/>
      <c r="I1" s="69" t="n"/>
      <c r="J1" s="69" t="n"/>
      <c r="K1" s="69" t="n"/>
      <c r="L1" s="65" t="n"/>
      <c r="M1" s="421" t="n"/>
      <c r="N1" s="421" t="n"/>
      <c r="O1" s="421" t="n"/>
      <c r="P1" s="421" t="n"/>
      <c r="Q1" s="421" t="n"/>
      <c r="R1" s="421" t="n"/>
      <c r="S1" s="422" t="inlineStr">
        <is>
          <t>evsjv‡`k K…wl e¨vsK</t>
        </is>
      </c>
      <c r="T1" s="2619" t="n"/>
      <c r="U1" s="2619" t="n"/>
      <c r="V1" s="2619" t="n"/>
      <c r="W1" s="2619" t="n"/>
      <c r="X1" s="2619" t="n"/>
      <c r="Y1" s="2619" t="n"/>
      <c r="Z1" s="2619" t="n"/>
      <c r="AA1" s="2619" t="n"/>
      <c r="AB1" s="2619" t="n"/>
      <c r="AC1" s="2619" t="n"/>
      <c r="AD1" s="2619" t="n"/>
      <c r="AE1" s="2620" t="n"/>
      <c r="AF1" s="380" t="inlineStr">
        <is>
          <t>"Mbgvby‡li e¨vsK"</t>
        </is>
      </c>
      <c r="AO1" s="69" t="n"/>
      <c r="AP1" s="69" t="n"/>
      <c r="AQ1" s="69" t="n"/>
      <c r="AR1" s="429" t="n"/>
      <c r="AS1" s="69" t="n"/>
      <c r="AT1" s="64" t="n"/>
      <c r="AU1" s="64" t="n"/>
      <c r="AV1" s="64" t="n"/>
      <c r="AW1" s="64" t="n"/>
      <c r="AX1" s="103" t="n"/>
      <c r="AY1" s="103" t="n"/>
      <c r="AZ1" s="103" t="n"/>
      <c r="BA1" s="103" t="n"/>
      <c r="BB1" s="103" t="n"/>
      <c r="BC1" s="103" t="n"/>
      <c r="BD1" s="103" t="n"/>
      <c r="BE1" s="103" t="n"/>
      <c r="BF1" s="103" t="n"/>
      <c r="BG1" s="103" t="n"/>
      <c r="BH1" s="103" t="n"/>
      <c r="BI1" s="103" t="n"/>
      <c r="BJ1" s="103" t="n"/>
      <c r="BK1" s="103" t="n"/>
      <c r="BL1" s="103" t="n"/>
      <c r="BM1" s="103" t="n"/>
      <c r="BN1" s="103" t="n"/>
      <c r="BO1" s="103" t="n"/>
      <c r="BP1" s="103" t="n"/>
      <c r="BQ1" s="103" t="n"/>
      <c r="BR1" s="103" t="n"/>
      <c r="BS1" s="103" t="n"/>
      <c r="BT1" s="103" t="n"/>
      <c r="BU1" s="103" t="n"/>
      <c r="BV1" s="103" t="n"/>
      <c r="BW1" s="103" t="n"/>
      <c r="BX1" s="103" t="n"/>
      <c r="BY1" s="103" t="n"/>
      <c r="BZ1" s="103" t="n"/>
      <c r="CA1" s="103" t="n"/>
      <c r="CB1" s="103" t="n"/>
      <c r="CC1" s="103" t="n"/>
      <c r="CD1" s="103" t="n"/>
      <c r="CE1" s="103" t="n"/>
      <c r="CF1" s="103" t="n"/>
      <c r="CG1" s="103" t="n"/>
      <c r="CH1" s="103" t="n"/>
      <c r="CI1" s="103" t="n"/>
      <c r="CJ1" s="103" t="n"/>
      <c r="CK1" s="103" t="n"/>
    </row>
    <row r="2" ht="15.75" customHeight="1">
      <c r="A2" s="63" t="n"/>
      <c r="B2" s="232" t="n"/>
      <c r="C2" s="430" t="n"/>
      <c r="D2" s="232" t="n"/>
      <c r="E2" s="232" t="n"/>
      <c r="F2" s="232" t="n"/>
      <c r="G2" s="232" t="n"/>
      <c r="H2" s="232" t="n"/>
      <c r="I2" s="232" t="n"/>
      <c r="J2" s="232" t="n"/>
      <c r="K2" s="232" t="n"/>
      <c r="L2" s="65" t="n"/>
      <c r="M2" s="421" t="n"/>
      <c r="N2" s="421" t="n"/>
      <c r="O2" s="421" t="n"/>
      <c r="P2" s="421" t="n"/>
      <c r="Q2" s="421" t="n"/>
      <c r="R2" s="421" t="n"/>
      <c r="S2" s="2621" t="n"/>
      <c r="T2" s="2622" t="n"/>
      <c r="U2" s="2622" t="n"/>
      <c r="V2" s="2622" t="n"/>
      <c r="W2" s="2622" t="n"/>
      <c r="X2" s="2622" t="n"/>
      <c r="Y2" s="2622" t="n"/>
      <c r="Z2" s="2622" t="n"/>
      <c r="AA2" s="2622" t="n"/>
      <c r="AB2" s="2622" t="n"/>
      <c r="AC2" s="2622" t="n"/>
      <c r="AD2" s="2622" t="n"/>
      <c r="AE2" s="2623" t="n"/>
      <c r="AF2" s="383" t="inlineStr">
        <is>
          <t>Òcwi‡ek evÜe e¨vwKs KiæbÓ</t>
        </is>
      </c>
      <c r="AO2" s="232" t="n"/>
      <c r="AP2" s="232" t="n"/>
      <c r="AQ2" s="232" t="n"/>
      <c r="AR2" s="434" t="n"/>
      <c r="AS2" s="232" t="n"/>
      <c r="AT2" s="64" t="n"/>
      <c r="AU2" s="64" t="n"/>
      <c r="AV2" s="64" t="n"/>
      <c r="AW2" s="64" t="n"/>
      <c r="AX2" s="103" t="n"/>
      <c r="AY2" s="103" t="n"/>
      <c r="AZ2" s="103" t="n"/>
      <c r="BA2" s="103" t="n"/>
      <c r="BB2" s="103" t="n"/>
      <c r="BC2" s="103" t="n"/>
      <c r="BD2" s="103" t="n"/>
      <c r="BE2" s="103" t="n"/>
      <c r="BF2" s="103" t="n"/>
      <c r="BG2" s="103" t="n"/>
      <c r="BH2" s="103" t="n"/>
      <c r="BI2" s="103" t="n"/>
      <c r="BJ2" s="103" t="n"/>
      <c r="BK2" s="103" t="n"/>
      <c r="BL2" s="103" t="n"/>
      <c r="BM2" s="103" t="n"/>
      <c r="BN2" s="103" t="n"/>
      <c r="BO2" s="103" t="n"/>
      <c r="BP2" s="103" t="n"/>
      <c r="BQ2" s="103" t="n"/>
      <c r="BR2" s="103" t="n"/>
      <c r="BS2" s="103" t="n"/>
      <c r="BT2" s="103" t="n"/>
      <c r="BU2" s="103" t="n"/>
      <c r="BV2" s="103" t="n"/>
      <c r="BW2" s="103" t="n"/>
      <c r="BX2" s="103" t="n"/>
      <c r="BY2" s="103" t="n"/>
      <c r="BZ2" s="103" t="n"/>
      <c r="CA2" s="103" t="n"/>
      <c r="CB2" s="103" t="n"/>
      <c r="CC2" s="103" t="n"/>
      <c r="CD2" s="103" t="n"/>
      <c r="CE2" s="103" t="n"/>
      <c r="CF2" s="103" t="n"/>
      <c r="CG2" s="103" t="n"/>
      <c r="CH2" s="103" t="n"/>
      <c r="CI2" s="103" t="n"/>
      <c r="CJ2" s="103" t="n"/>
      <c r="CK2" s="103" t="n"/>
    </row>
    <row r="3" ht="18" customHeight="1">
      <c r="A3" s="63" t="n"/>
      <c r="B3" s="73" t="n"/>
      <c r="C3" s="189" t="n"/>
      <c r="D3" s="73" t="n"/>
      <c r="E3" s="73" t="n"/>
      <c r="F3" s="73" t="n"/>
      <c r="G3" s="73" t="n"/>
      <c r="H3" s="73" t="n"/>
      <c r="I3" s="73" t="n"/>
      <c r="J3" s="73" t="n"/>
      <c r="K3" s="73" t="n"/>
      <c r="L3" s="65" t="n"/>
      <c r="M3" s="435" t="n"/>
      <c r="N3" s="435" t="n"/>
      <c r="O3" s="435" t="n"/>
      <c r="P3" s="435" t="n"/>
      <c r="Q3" s="435" t="n"/>
      <c r="R3" s="435" t="n"/>
      <c r="S3" s="437">
        <f>+'Data Input'!D2</f>
        <v/>
      </c>
      <c r="T3" s="2615" t="n"/>
      <c r="U3" s="2615" t="n"/>
      <c r="V3" s="2615" t="n"/>
      <c r="W3" s="2615" t="n"/>
      <c r="X3" s="2615" t="n"/>
      <c r="Y3" s="2615" t="n"/>
      <c r="Z3" s="2615" t="n"/>
      <c r="AA3" s="2615" t="n"/>
      <c r="AB3" s="2615" t="n"/>
      <c r="AC3" s="2615" t="n"/>
      <c r="AD3" s="2615" t="n"/>
      <c r="AE3" s="2616" t="n"/>
      <c r="AF3" s="389">
        <f>+'Data Input'!D3</f>
        <v/>
      </c>
      <c r="AO3" s="73" t="n"/>
      <c r="AP3" s="73" t="n"/>
      <c r="AQ3" s="73" t="n"/>
      <c r="AR3" s="443" t="n"/>
      <c r="AS3" s="73" t="n"/>
      <c r="AT3" s="64" t="n"/>
      <c r="AU3" s="64" t="n"/>
      <c r="AV3" s="64" t="n"/>
      <c r="AW3" s="64" t="n"/>
      <c r="AX3" s="103" t="n"/>
      <c r="AY3" s="103" t="n"/>
      <c r="AZ3" s="103" t="n"/>
      <c r="BA3" s="103" t="n"/>
      <c r="BB3" s="103" t="n"/>
      <c r="BC3" s="103" t="n"/>
      <c r="BD3" s="103" t="n"/>
      <c r="BE3" s="103" t="n"/>
      <c r="BF3" s="103" t="n"/>
      <c r="BG3" s="103" t="n"/>
      <c r="BH3" s="103" t="n"/>
      <c r="BI3" s="103" t="n"/>
      <c r="BJ3" s="103" t="n"/>
      <c r="BK3" s="103" t="n"/>
      <c r="BL3" s="103" t="n"/>
      <c r="BM3" s="103" t="n"/>
      <c r="BN3" s="103" t="n"/>
      <c r="BO3" s="103" t="n"/>
      <c r="BP3" s="103" t="n"/>
      <c r="BQ3" s="103" t="n"/>
      <c r="BR3" s="103" t="n"/>
      <c r="BS3" s="103" t="n"/>
      <c r="BT3" s="103" t="n"/>
      <c r="BU3" s="103" t="n"/>
      <c r="BV3" s="103" t="n"/>
      <c r="BW3" s="103" t="n"/>
      <c r="BX3" s="103" t="n"/>
      <c r="BY3" s="103" t="n"/>
      <c r="BZ3" s="103" t="n"/>
      <c r="CA3" s="103" t="n"/>
      <c r="CB3" s="103" t="n"/>
      <c r="CC3" s="103" t="n"/>
      <c r="CD3" s="103" t="n"/>
      <c r="CE3" s="103" t="n"/>
      <c r="CF3" s="103" t="n"/>
      <c r="CG3" s="103" t="n"/>
      <c r="CH3" s="103" t="n"/>
      <c r="CI3" s="103" t="n"/>
      <c r="CJ3" s="103" t="n"/>
      <c r="CK3" s="103" t="n"/>
    </row>
    <row r="4" ht="13.5" customHeight="1">
      <c r="A4" s="445">
        <f>"Mail: "&amp;+'Data Input'!D4&amp;",  Web: www.krishibank.org.bd"</f>
        <v/>
      </c>
      <c r="AO4" s="75" t="n"/>
      <c r="AP4" s="75" t="n"/>
      <c r="AQ4" s="75" t="n"/>
      <c r="AR4" s="450" t="n"/>
      <c r="AS4" s="75" t="n"/>
      <c r="AT4" s="64" t="n"/>
      <c r="AU4" s="64" t="n"/>
      <c r="AV4" s="64" t="n"/>
      <c r="AW4" s="64" t="n"/>
      <c r="AX4" s="103" t="n"/>
      <c r="AY4" s="103" t="n"/>
      <c r="AZ4" s="103" t="n"/>
      <c r="BA4" s="103" t="n"/>
      <c r="BB4" s="103" t="n"/>
      <c r="BC4" s="103" t="n"/>
      <c r="BD4" s="103" t="n"/>
      <c r="BE4" s="103" t="n"/>
      <c r="BF4" s="103" t="n"/>
      <c r="BG4" s="103" t="n"/>
      <c r="BH4" s="103" t="n"/>
      <c r="BI4" s="103" t="n"/>
      <c r="BJ4" s="103" t="n"/>
      <c r="BK4" s="103" t="n"/>
      <c r="BL4" s="103" t="n"/>
      <c r="BM4" s="103" t="n"/>
      <c r="BN4" s="103" t="n"/>
      <c r="BO4" s="103" t="n"/>
      <c r="BP4" s="103" t="n"/>
      <c r="BQ4" s="103" t="n"/>
      <c r="BR4" s="103" t="n"/>
      <c r="BS4" s="103" t="n"/>
      <c r="BT4" s="103" t="n"/>
      <c r="BU4" s="103" t="n"/>
      <c r="BV4" s="103" t="n"/>
      <c r="BW4" s="103" t="n"/>
      <c r="BX4" s="103" t="n"/>
      <c r="BY4" s="103" t="n"/>
      <c r="BZ4" s="103" t="n"/>
      <c r="CA4" s="103" t="n"/>
      <c r="CB4" s="103" t="n"/>
      <c r="CC4" s="103" t="n"/>
      <c r="CD4" s="103" t="n"/>
      <c r="CE4" s="103" t="n"/>
      <c r="CF4" s="103" t="n"/>
      <c r="CG4" s="103" t="n"/>
      <c r="CH4" s="103" t="n"/>
      <c r="CI4" s="103" t="n"/>
      <c r="CJ4" s="103" t="n"/>
      <c r="CK4" s="103" t="n"/>
    </row>
    <row r="5" ht="16.5" customHeight="1">
      <c r="A5" s="452">
        <f>"   "&amp;'Data Input'!B5&amp;" "&amp;'Data Input'!D5&amp;"/ "&amp;AS5</f>
        <v/>
      </c>
      <c r="B5" s="2624" t="n"/>
      <c r="C5" s="2624" t="n"/>
      <c r="D5" s="2624" t="n"/>
      <c r="E5" s="2624" t="n"/>
      <c r="F5" s="2624" t="n"/>
      <c r="G5" s="2624" t="n"/>
      <c r="H5" s="2624" t="n"/>
      <c r="I5" s="2624" t="n"/>
      <c r="J5" s="2624" t="n"/>
      <c r="K5" s="2624" t="n"/>
      <c r="L5" s="2624" t="n"/>
      <c r="M5" s="2624" t="n"/>
      <c r="N5" s="2624" t="n"/>
      <c r="O5" s="2624" t="n"/>
      <c r="P5" s="2624" t="n"/>
      <c r="Q5" s="2624" t="n"/>
      <c r="R5" s="2624" t="n"/>
      <c r="S5" s="2624" t="n"/>
      <c r="T5" s="2624" t="n"/>
      <c r="U5" s="2624" t="n"/>
      <c r="V5" s="2624" t="n"/>
      <c r="W5" s="2624" t="n"/>
      <c r="X5" s="2624" t="n"/>
      <c r="Y5" s="2624" t="n"/>
      <c r="Z5" s="2624" t="n"/>
      <c r="AA5" s="2624" t="n"/>
      <c r="AB5" s="2624" t="n"/>
      <c r="AC5" s="2624" t="n"/>
      <c r="AD5" s="2624" t="n"/>
      <c r="AE5" s="2624" t="n"/>
      <c r="AF5" s="452" t="n"/>
      <c r="AG5" s="455" t="n"/>
      <c r="AH5" s="456" t="inlineStr">
        <is>
          <t>ZvwiLt</t>
        </is>
      </c>
      <c r="AI5" s="2624" t="n"/>
      <c r="AJ5" s="458" t="n">
        <v>45669</v>
      </c>
      <c r="AK5" s="2694" t="n"/>
      <c r="AL5" s="2694" t="n"/>
      <c r="AM5" s="2669" t="n"/>
      <c r="AN5" s="455" t="inlineStr">
        <is>
          <t>Bs</t>
        </is>
      </c>
      <c r="AO5" s="103" t="n"/>
      <c r="AP5" s="459" t="inlineStr">
        <is>
          <t>‡Wmcvm© bs</t>
        </is>
      </c>
      <c r="AQ5" s="64" t="n"/>
      <c r="AR5" s="545" t="n"/>
      <c r="AS5" s="461" t="n"/>
      <c r="AT5" s="2658" t="n"/>
      <c r="AU5" s="64" t="n"/>
      <c r="AV5" s="64" t="n"/>
      <c r="AW5" s="64" t="n"/>
      <c r="AX5" s="103" t="n"/>
      <c r="AY5" s="103" t="n"/>
      <c r="AZ5" s="103" t="n"/>
      <c r="BA5" s="103" t="n"/>
      <c r="BB5" s="103" t="n"/>
      <c r="BC5" s="103" t="n"/>
      <c r="BD5" s="103" t="n"/>
      <c r="BE5" s="103" t="n"/>
      <c r="BF5" s="103" t="n"/>
      <c r="BG5" s="103" t="n"/>
      <c r="BH5" s="103" t="n"/>
      <c r="BI5" s="103" t="n"/>
      <c r="BJ5" s="103" t="n"/>
      <c r="BK5" s="103" t="n"/>
      <c r="BL5" s="103" t="n"/>
      <c r="BM5" s="103" t="n"/>
      <c r="BN5" s="103" t="n"/>
      <c r="BO5" s="103" t="n"/>
      <c r="BP5" s="103" t="n"/>
      <c r="BQ5" s="103" t="n"/>
      <c r="BR5" s="103" t="n"/>
      <c r="BS5" s="103" t="n"/>
      <c r="BT5" s="103" t="n"/>
      <c r="BU5" s="103" t="n"/>
      <c r="BV5" s="103" t="n"/>
      <c r="BW5" s="103" t="n"/>
      <c r="BX5" s="103" t="n"/>
      <c r="BY5" s="103" t="n"/>
      <c r="BZ5" s="103" t="n"/>
      <c r="CA5" s="103" t="n"/>
      <c r="CB5" s="103" t="n"/>
      <c r="CC5" s="103" t="n"/>
      <c r="CD5" s="103" t="n"/>
      <c r="CE5" s="103" t="n"/>
      <c r="CF5" s="103" t="n"/>
      <c r="CG5" s="103" t="n"/>
      <c r="CH5" s="103" t="n"/>
      <c r="CI5" s="103" t="n"/>
      <c r="CJ5" s="103" t="n"/>
      <c r="CK5" s="103" t="n"/>
    </row>
    <row r="6" ht="10.5" customHeight="1">
      <c r="A6" s="600" t="n"/>
      <c r="B6" s="600" t="n"/>
      <c r="C6" s="111" t="n"/>
      <c r="D6" s="600" t="n"/>
      <c r="E6" s="600" t="n"/>
      <c r="F6" s="600" t="n"/>
      <c r="G6" s="600" t="n"/>
      <c r="H6" s="600" t="n"/>
      <c r="I6" s="600" t="n"/>
      <c r="J6" s="600" t="n"/>
      <c r="K6" s="600" t="n"/>
      <c r="L6" s="111" t="n"/>
      <c r="M6" s="600" t="n"/>
      <c r="N6" s="600" t="n"/>
      <c r="O6" s="600" t="n"/>
      <c r="P6" s="600" t="n"/>
      <c r="Q6" s="600" t="n"/>
      <c r="R6" s="600" t="n"/>
      <c r="S6" s="600" t="n"/>
      <c r="T6" s="600" t="n"/>
      <c r="U6" s="600" t="n"/>
      <c r="V6" s="111" t="n"/>
      <c r="W6" s="463" t="n"/>
      <c r="X6" s="600" t="n"/>
      <c r="Y6" s="111" t="n"/>
      <c r="Z6" s="600" t="n"/>
      <c r="AA6" s="463" t="n"/>
      <c r="AB6" s="111" t="n"/>
      <c r="AC6" s="600" t="n"/>
      <c r="AD6" s="600" t="n"/>
      <c r="AE6" s="111" t="n"/>
      <c r="AF6" s="76" t="n"/>
      <c r="AG6" s="76" t="n"/>
      <c r="AH6" s="198" t="n"/>
      <c r="AI6" s="78" t="n"/>
      <c r="AJ6" s="78" t="n"/>
      <c r="AK6" s="78" t="n"/>
      <c r="AL6" s="78" t="n"/>
      <c r="AM6" s="78" t="n"/>
      <c r="AN6" s="78" t="n"/>
      <c r="AO6" s="103" t="n"/>
      <c r="AP6" s="64" t="n"/>
      <c r="AQ6" s="64" t="n"/>
      <c r="AR6" s="545" t="n"/>
      <c r="AS6" s="64" t="n"/>
      <c r="AT6" s="64" t="n"/>
      <c r="AU6" s="64" t="n"/>
      <c r="AV6" s="64" t="n"/>
      <c r="AW6" s="64" t="n"/>
      <c r="AX6" s="103" t="n"/>
      <c r="AY6" s="103" t="n"/>
      <c r="AZ6" s="103" t="n"/>
      <c r="BA6" s="103" t="n"/>
      <c r="BB6" s="103" t="n"/>
      <c r="BC6" s="103" t="n"/>
      <c r="BD6" s="103" t="n"/>
      <c r="BE6" s="103" t="n"/>
      <c r="BF6" s="103" t="n"/>
      <c r="BG6" s="103" t="n"/>
      <c r="BH6" s="103" t="n"/>
      <c r="BI6" s="103" t="n"/>
      <c r="BJ6" s="103" t="n"/>
      <c r="BK6" s="103" t="n"/>
      <c r="BL6" s="103" t="n"/>
      <c r="BM6" s="103" t="n"/>
      <c r="BN6" s="103" t="n"/>
      <c r="BO6" s="103" t="n"/>
      <c r="BP6" s="103" t="n"/>
      <c r="BQ6" s="103" t="n"/>
      <c r="BR6" s="103" t="n"/>
      <c r="BS6" s="103" t="n"/>
      <c r="BT6" s="103" t="n"/>
      <c r="BU6" s="103" t="n"/>
      <c r="BV6" s="103" t="n"/>
      <c r="BW6" s="103" t="n"/>
      <c r="BX6" s="103" t="n"/>
      <c r="BY6" s="103" t="n"/>
      <c r="BZ6" s="103" t="n"/>
      <c r="CA6" s="103" t="n"/>
      <c r="CB6" s="103" t="n"/>
      <c r="CC6" s="103" t="n"/>
      <c r="CD6" s="103" t="n"/>
      <c r="CE6" s="103" t="n"/>
      <c r="CF6" s="103" t="n"/>
      <c r="CG6" s="103" t="n"/>
      <c r="CH6" s="103" t="n"/>
      <c r="CI6" s="103" t="n"/>
      <c r="CJ6" s="103" t="n"/>
      <c r="CK6" s="103" t="n"/>
    </row>
    <row r="7" ht="16.5" customHeight="1">
      <c r="A7" s="1964" t="n"/>
      <c r="B7" s="1964" t="n"/>
      <c r="C7" s="135" t="n"/>
      <c r="D7" s="1964" t="n"/>
      <c r="E7" s="1964" t="n"/>
      <c r="F7" s="1964" t="n"/>
      <c r="G7" s="1964" t="n"/>
      <c r="H7" s="1964" t="n"/>
      <c r="I7" s="1964" t="n"/>
      <c r="J7" s="1964" t="n"/>
      <c r="K7" s="1964" t="n"/>
      <c r="L7" s="135" t="n"/>
      <c r="M7" s="1964" t="n"/>
      <c r="N7" s="1964" t="n"/>
      <c r="O7" s="1964" t="n"/>
      <c r="P7" s="1964" t="n"/>
      <c r="Q7" s="1964" t="n"/>
      <c r="R7" s="1964" t="n"/>
      <c r="S7" s="1964" t="n"/>
      <c r="T7" s="1964" t="n"/>
      <c r="U7" s="464" t="inlineStr">
        <is>
          <t>gÄyixcÎ t</t>
        </is>
      </c>
      <c r="Y7" s="135" t="inlineStr">
        <is>
          <t>wmGgGmGgB PjwZ g~jab FY</t>
        </is>
      </c>
      <c r="AG7" s="1964" t="n"/>
      <c r="AH7" s="135" t="n"/>
      <c r="AI7" s="1964" t="n"/>
      <c r="AJ7" s="88" t="n"/>
      <c r="AK7" s="468" t="n"/>
      <c r="AL7" s="1964" t="n"/>
      <c r="AM7" s="1964" t="n"/>
      <c r="AN7" s="1964" t="n"/>
      <c r="AO7" s="103" t="n"/>
      <c r="AP7" s="64" t="inlineStr">
        <is>
          <t xml:space="preserve"> </t>
        </is>
      </c>
      <c r="AQ7" s="64" t="n"/>
      <c r="AR7" s="545" t="n"/>
      <c r="AS7" s="64" t="n"/>
      <c r="AT7" s="64" t="n"/>
      <c r="AU7" s="64" t="n"/>
      <c r="AV7" s="64" t="n"/>
      <c r="AW7" s="64" t="n"/>
      <c r="AX7" s="103" t="n"/>
      <c r="AY7" s="103" t="n"/>
      <c r="AZ7" s="103" t="n"/>
      <c r="BA7" s="103" t="n"/>
      <c r="BB7" s="103" t="n"/>
      <c r="BC7" s="103" t="n"/>
      <c r="BD7" s="103" t="n"/>
      <c r="BE7" s="103" t="n"/>
      <c r="BF7" s="103" t="n"/>
      <c r="BG7" s="103" t="n"/>
      <c r="BH7" s="103" t="n"/>
      <c r="BI7" s="103" t="n"/>
      <c r="BJ7" s="103" t="n"/>
      <c r="BK7" s="103" t="n"/>
      <c r="BL7" s="103" t="n"/>
      <c r="BM7" s="103" t="n"/>
      <c r="BN7" s="103" t="n"/>
      <c r="BO7" s="103" t="n"/>
      <c r="BP7" s="103" t="n"/>
      <c r="BQ7" s="103" t="n"/>
      <c r="BR7" s="103" t="n"/>
      <c r="BS7" s="103" t="n"/>
      <c r="BT7" s="103" t="n"/>
      <c r="BU7" s="103" t="n"/>
      <c r="BV7" s="103" t="n"/>
      <c r="BW7" s="103" t="n"/>
      <c r="BX7" s="103" t="n"/>
      <c r="BY7" s="103" t="n"/>
      <c r="BZ7" s="103" t="n"/>
      <c r="CA7" s="103" t="n"/>
      <c r="CB7" s="103" t="n"/>
      <c r="CC7" s="103" t="n"/>
      <c r="CD7" s="103" t="n"/>
      <c r="CE7" s="103" t="n"/>
      <c r="CF7" s="103" t="n"/>
      <c r="CG7" s="103" t="n"/>
      <c r="CH7" s="103" t="n"/>
      <c r="CI7" s="103" t="n"/>
      <c r="CJ7" s="103" t="n"/>
      <c r="CK7" s="103" t="n"/>
    </row>
    <row r="8" ht="16.5" customHeight="1">
      <c r="A8" s="603" t="inlineStr">
        <is>
          <t>(kvLv nB‡Z FY MÖnxZv)</t>
        </is>
      </c>
      <c r="AO8" s="103" t="n"/>
      <c r="AP8" s="64" t="n"/>
      <c r="AQ8" s="64" t="n"/>
      <c r="AR8" s="545" t="n"/>
      <c r="AS8" s="64" t="n"/>
      <c r="AT8" s="64" t="n"/>
      <c r="AU8" s="64" t="n"/>
      <c r="AV8" s="64" t="n"/>
      <c r="AW8" s="64" t="n"/>
      <c r="AX8" s="103" t="n"/>
      <c r="AY8" s="103" t="n"/>
      <c r="AZ8" s="103" t="n"/>
      <c r="BA8" s="103" t="n"/>
      <c r="BB8" s="103" t="n"/>
      <c r="BC8" s="103" t="n"/>
      <c r="BD8" s="103" t="n"/>
      <c r="BE8" s="103" t="n"/>
      <c r="BF8" s="103" t="n"/>
      <c r="BG8" s="103" t="n"/>
      <c r="BH8" s="103" t="n"/>
      <c r="BI8" s="103" t="n"/>
      <c r="BJ8" s="103" t="n"/>
      <c r="BK8" s="103" t="n"/>
      <c r="BL8" s="103" t="n"/>
      <c r="BM8" s="103" t="n"/>
      <c r="BN8" s="103" t="n"/>
      <c r="BO8" s="103" t="n"/>
      <c r="BP8" s="103" t="n"/>
      <c r="BQ8" s="103" t="n"/>
      <c r="BR8" s="103" t="n"/>
      <c r="BS8" s="103" t="n"/>
      <c r="BT8" s="103" t="n"/>
      <c r="BU8" s="103" t="n"/>
      <c r="BV8" s="103" t="n"/>
      <c r="BW8" s="103" t="n"/>
      <c r="BX8" s="103" t="n"/>
      <c r="BY8" s="103" t="n"/>
      <c r="BZ8" s="103" t="n"/>
      <c r="CA8" s="103" t="n"/>
      <c r="CB8" s="103" t="n"/>
      <c r="CC8" s="103" t="n"/>
      <c r="CD8" s="103" t="n"/>
      <c r="CE8" s="103" t="n"/>
      <c r="CF8" s="103" t="n"/>
      <c r="CG8" s="103" t="n"/>
      <c r="CH8" s="103" t="n"/>
      <c r="CI8" s="103" t="n"/>
      <c r="CJ8" s="103" t="n"/>
      <c r="CK8" s="103" t="n"/>
    </row>
    <row r="9" ht="8.25" customHeight="1">
      <c r="A9" s="600" t="n"/>
      <c r="B9" s="63" t="n"/>
      <c r="C9" s="65" t="n"/>
      <c r="D9" s="63" t="n"/>
      <c r="E9" s="63" t="n"/>
      <c r="F9" s="63" t="n"/>
      <c r="G9" s="63" t="n"/>
      <c r="H9" s="63" t="n"/>
      <c r="I9" s="63" t="n"/>
      <c r="J9" s="63" t="n"/>
      <c r="K9" s="63" t="n"/>
      <c r="L9" s="65" t="n"/>
      <c r="M9" s="63" t="n"/>
      <c r="N9" s="63" t="n"/>
      <c r="O9" s="63" t="n"/>
      <c r="P9" s="63" t="n"/>
      <c r="Q9" s="63" t="n"/>
      <c r="R9" s="63" t="n"/>
      <c r="S9" s="63" t="n"/>
      <c r="T9" s="63" t="n"/>
      <c r="U9" s="63" t="n"/>
      <c r="V9" s="111" t="n"/>
      <c r="W9" s="542" t="n"/>
      <c r="X9" s="63" t="n"/>
      <c r="Y9" s="65" t="n"/>
      <c r="Z9" s="63" t="n"/>
      <c r="AA9" s="542" t="n"/>
      <c r="AB9" s="65" t="n"/>
      <c r="AC9" s="63" t="n"/>
      <c r="AD9" s="64" t="n"/>
      <c r="AE9" s="136" t="n"/>
      <c r="AF9" s="64" t="n"/>
      <c r="AG9" s="64" t="n"/>
      <c r="AH9" s="136" t="n"/>
      <c r="AI9" s="64" t="n"/>
      <c r="AJ9" s="543" t="n"/>
      <c r="AK9" s="544" t="n"/>
      <c r="AL9" s="64" t="n"/>
      <c r="AM9" s="64" t="n"/>
      <c r="AN9" s="64" t="n"/>
      <c r="AO9" s="103" t="n"/>
      <c r="AP9" s="64" t="n"/>
      <c r="AQ9" s="64" t="n"/>
      <c r="AR9" s="545" t="n"/>
      <c r="AS9" s="64" t="n"/>
      <c r="AT9" s="64" t="n"/>
      <c r="AU9" s="64" t="n"/>
      <c r="AV9" s="64" t="n"/>
      <c r="AW9" s="64" t="n"/>
      <c r="AX9" s="103" t="n"/>
      <c r="AY9" s="103" t="n"/>
      <c r="AZ9" s="103" t="n"/>
      <c r="BA9" s="103" t="n"/>
      <c r="BB9" s="103" t="n"/>
      <c r="BC9" s="103" t="n"/>
      <c r="BD9" s="103" t="n"/>
      <c r="BE9" s="103" t="n"/>
      <c r="BF9" s="103" t="n"/>
      <c r="BG9" s="103" t="n"/>
      <c r="BH9" s="103" t="n"/>
      <c r="BI9" s="103" t="n"/>
      <c r="BJ9" s="103" t="n"/>
      <c r="BK9" s="103" t="n"/>
      <c r="BL9" s="103" t="n"/>
      <c r="BM9" s="103" t="n"/>
      <c r="BN9" s="103" t="n"/>
      <c r="BO9" s="103" t="n"/>
      <c r="BP9" s="103" t="n"/>
      <c r="BQ9" s="103" t="n"/>
      <c r="BR9" s="103" t="n"/>
      <c r="BS9" s="103" t="n"/>
      <c r="BT9" s="103" t="n"/>
      <c r="BU9" s="103" t="n"/>
      <c r="BV9" s="103" t="n"/>
      <c r="BW9" s="103" t="n"/>
      <c r="BX9" s="103" t="n"/>
      <c r="BY9" s="103" t="n"/>
      <c r="BZ9" s="103" t="n"/>
      <c r="CA9" s="103" t="n"/>
      <c r="CB9" s="103" t="n"/>
      <c r="CC9" s="103" t="n"/>
      <c r="CD9" s="103" t="n"/>
      <c r="CE9" s="103" t="n"/>
      <c r="CF9" s="103" t="n"/>
      <c r="CG9" s="103" t="n"/>
      <c r="CH9" s="103" t="n"/>
      <c r="CI9" s="103" t="n"/>
      <c r="CJ9" s="103" t="n"/>
      <c r="CK9" s="103" t="n"/>
    </row>
    <row r="10" ht="17.25" customFormat="1" customHeight="1" s="18">
      <c r="A10" s="474">
        <f>'Data Input'!D8&amp;" Gi ‡cÖvcvBUi "&amp;'Data Input'!D12&amp;" "&amp;'Data Input'!B13&amp;" "&amp;'Data Input'!D13&amp;", gvZvi bvg "&amp;'Data Input'!D14&amp;" "&amp;'Data Input'!D17&amp;", Dc‡Rjvt "&amp;'Data Input'!D22&amp;", ‡Rjvt "&amp;'Data Input'!D23</f>
        <v/>
      </c>
      <c r="AO10" s="103" t="n"/>
      <c r="AP10" s="103" t="n"/>
      <c r="AQ10" s="103" t="n"/>
      <c r="AR10" s="479" t="n"/>
      <c r="AS10" s="103" t="n"/>
      <c r="AT10" s="103" t="n"/>
      <c r="AU10" s="103" t="n"/>
      <c r="AV10" s="103" t="n"/>
      <c r="AW10" s="103" t="n"/>
      <c r="AX10" s="103" t="n"/>
      <c r="AY10" s="103" t="n"/>
      <c r="AZ10" s="103" t="n"/>
      <c r="BA10" s="103" t="n"/>
      <c r="BB10" s="103" t="n"/>
      <c r="BC10" s="103" t="n"/>
      <c r="BD10" s="103" t="n"/>
      <c r="BE10" s="103" t="n"/>
      <c r="BF10" s="103" t="n"/>
      <c r="BG10" s="103" t="n"/>
      <c r="BH10" s="103" t="n"/>
      <c r="BI10" s="103" t="n"/>
      <c r="BJ10" s="103" t="n"/>
      <c r="BK10" s="103" t="n"/>
      <c r="BL10" s="103" t="n"/>
      <c r="BM10" s="103" t="n"/>
      <c r="BN10" s="103" t="n"/>
      <c r="BO10" s="103" t="n"/>
      <c r="BP10" s="103" t="n"/>
      <c r="BQ10" s="103" t="n"/>
      <c r="BR10" s="103" t="n"/>
      <c r="BS10" s="103" t="n"/>
      <c r="BT10" s="103" t="n"/>
      <c r="BU10" s="103" t="n"/>
      <c r="BV10" s="103" t="n"/>
      <c r="BW10" s="103" t="n"/>
      <c r="BX10" s="103" t="n"/>
      <c r="BY10" s="103" t="n"/>
      <c r="BZ10" s="103" t="n"/>
      <c r="CA10" s="103" t="n"/>
      <c r="CB10" s="103" t="n"/>
      <c r="CC10" s="103" t="n"/>
      <c r="CD10" s="103" t="n"/>
      <c r="CE10" s="103" t="n"/>
      <c r="CF10" s="103" t="n"/>
      <c r="CG10" s="103" t="n"/>
      <c r="CH10" s="103" t="n"/>
      <c r="CI10" s="103" t="n"/>
      <c r="CJ10" s="103" t="n"/>
      <c r="CK10" s="103" t="n"/>
    </row>
    <row r="11" ht="18.75" customFormat="1" customHeight="1" s="18">
      <c r="AO11" s="103" t="n"/>
      <c r="AP11" s="103" t="n"/>
      <c r="AQ11" s="103" t="n"/>
      <c r="AR11" s="479" t="n"/>
      <c r="AS11" s="103" t="n"/>
      <c r="AT11" s="103" t="n"/>
      <c r="AU11" s="103" t="n"/>
      <c r="AV11" s="103" t="n"/>
      <c r="AW11" s="103" t="n"/>
      <c r="AX11" s="103" t="n"/>
      <c r="AY11" s="103" t="n"/>
      <c r="AZ11" s="103" t="n"/>
      <c r="BA11" s="103" t="n"/>
      <c r="BB11" s="103" t="n"/>
      <c r="BC11" s="103" t="n"/>
      <c r="BD11" s="103" t="n"/>
      <c r="BE11" s="103" t="n"/>
      <c r="BF11" s="103" t="n"/>
      <c r="BG11" s="103" t="n"/>
      <c r="BH11" s="103" t="n"/>
      <c r="BI11" s="103" t="n"/>
      <c r="BJ11" s="103" t="n"/>
      <c r="BK11" s="103" t="n"/>
      <c r="BL11" s="103" t="n"/>
      <c r="BM11" s="103" t="n"/>
      <c r="BN11" s="103" t="n"/>
      <c r="BO11" s="103" t="n"/>
      <c r="BP11" s="103" t="n"/>
      <c r="BQ11" s="103" t="n"/>
      <c r="BR11" s="103" t="n"/>
      <c r="BS11" s="103" t="n"/>
      <c r="BT11" s="103" t="n"/>
      <c r="BU11" s="103" t="n"/>
      <c r="BV11" s="103" t="n"/>
      <c r="BW11" s="103" t="n"/>
      <c r="BX11" s="103" t="n"/>
      <c r="BY11" s="103" t="n"/>
      <c r="BZ11" s="103" t="n"/>
      <c r="CA11" s="103" t="n"/>
      <c r="CB11" s="103" t="n"/>
      <c r="CC11" s="103" t="n"/>
      <c r="CD11" s="103" t="n"/>
      <c r="CE11" s="103" t="n"/>
      <c r="CF11" s="103" t="n"/>
      <c r="CG11" s="103" t="n"/>
      <c r="CH11" s="103" t="n"/>
      <c r="CI11" s="103" t="n"/>
      <c r="CJ11" s="103" t="n"/>
      <c r="CK11" s="103" t="n"/>
    </row>
    <row r="12" ht="16.5" customHeight="1">
      <c r="A12" s="480" t="n"/>
      <c r="H12" s="600" t="n"/>
      <c r="I12" s="111" t="n"/>
      <c r="AO12" s="103" t="n"/>
      <c r="AP12" s="64" t="n"/>
      <c r="AQ12" s="64" t="n"/>
      <c r="AR12" s="545" t="n"/>
      <c r="AS12" s="64" t="n"/>
      <c r="AT12" s="64" t="n"/>
      <c r="AU12" s="64" t="n"/>
      <c r="AV12" s="64" t="n"/>
      <c r="AW12" s="64" t="n"/>
      <c r="AX12" s="103" t="n"/>
      <c r="AY12" s="103" t="n"/>
      <c r="AZ12" s="103" t="n"/>
      <c r="BA12" s="103" t="n"/>
      <c r="BB12" s="103" t="n"/>
      <c r="BC12" s="103" t="n"/>
      <c r="BD12" s="103" t="n"/>
      <c r="BE12" s="103" t="n"/>
      <c r="BF12" s="103" t="n"/>
      <c r="BG12" s="103" t="n"/>
      <c r="BH12" s="103" t="n"/>
      <c r="BI12" s="103" t="n"/>
      <c r="BJ12" s="103" t="n"/>
      <c r="BK12" s="103" t="n"/>
      <c r="BL12" s="103" t="n"/>
      <c r="BM12" s="103" t="n"/>
      <c r="BN12" s="103" t="n"/>
      <c r="BO12" s="103" t="n"/>
      <c r="BP12" s="103" t="n"/>
      <c r="BQ12" s="103" t="n"/>
      <c r="BR12" s="103" t="n"/>
      <c r="BS12" s="103" t="n"/>
      <c r="BT12" s="103" t="n"/>
      <c r="BU12" s="103" t="n"/>
      <c r="BV12" s="103" t="n"/>
      <c r="BW12" s="103" t="n"/>
      <c r="BX12" s="103" t="n"/>
      <c r="BY12" s="103" t="n"/>
      <c r="BZ12" s="103" t="n"/>
      <c r="CA12" s="103" t="n"/>
      <c r="CB12" s="103" t="n"/>
      <c r="CC12" s="103" t="n"/>
      <c r="CD12" s="103" t="n"/>
      <c r="CE12" s="103" t="n"/>
      <c r="CF12" s="103" t="n"/>
      <c r="CG12" s="103" t="n"/>
      <c r="CH12" s="103" t="n"/>
      <c r="CI12" s="103" t="n"/>
      <c r="CJ12" s="103" t="n"/>
      <c r="CK12" s="103" t="n"/>
    </row>
    <row r="13" ht="4.5" customHeight="1">
      <c r="A13" s="63" t="n"/>
      <c r="B13" s="63" t="n"/>
      <c r="C13" s="111" t="n"/>
      <c r="D13" s="600" t="n"/>
      <c r="E13" s="600" t="n"/>
      <c r="F13" s="600" t="n"/>
      <c r="G13" s="600" t="n"/>
      <c r="H13" s="600" t="n"/>
      <c r="I13" s="600" t="n"/>
      <c r="J13" s="600" t="n"/>
      <c r="K13" s="600" t="n"/>
      <c r="L13" s="111" t="n"/>
      <c r="M13" s="600" t="n"/>
      <c r="N13" s="600" t="n"/>
      <c r="O13" s="600" t="n"/>
      <c r="P13" s="600" t="n"/>
      <c r="Q13" s="600" t="n"/>
      <c r="R13" s="600" t="n"/>
      <c r="S13" s="600" t="n"/>
      <c r="T13" s="600" t="n"/>
      <c r="U13" s="600" t="n"/>
      <c r="V13" s="111" t="n"/>
      <c r="W13" s="463" t="n"/>
      <c r="X13" s="600" t="n"/>
      <c r="Y13" s="111" t="n"/>
      <c r="Z13" s="600" t="n"/>
      <c r="AA13" s="463" t="n"/>
      <c r="AB13" s="111" t="n"/>
      <c r="AC13" s="600" t="n"/>
      <c r="AD13" s="600" t="n"/>
      <c r="AE13" s="111" t="n"/>
      <c r="AF13" s="600" t="n"/>
      <c r="AG13" s="600" t="n"/>
      <c r="AH13" s="111" t="n"/>
      <c r="AI13" s="600" t="n"/>
      <c r="AJ13" s="80" t="n"/>
      <c r="AK13" s="482" t="n"/>
      <c r="AL13" s="600" t="n"/>
      <c r="AM13" s="600" t="n"/>
      <c r="AN13" s="600" t="n"/>
      <c r="AO13" s="103" t="n"/>
      <c r="AP13" s="64" t="n"/>
      <c r="AQ13" s="64" t="n"/>
      <c r="AR13" s="545" t="n"/>
      <c r="AS13" s="64" t="n"/>
      <c r="AT13" s="64" t="n"/>
      <c r="AU13" s="64" t="n"/>
      <c r="AV13" s="64" t="n"/>
      <c r="AW13" s="64" t="n"/>
      <c r="AX13" s="103" t="n"/>
      <c r="AY13" s="103" t="n"/>
      <c r="AZ13" s="103" t="n"/>
      <c r="BA13" s="103" t="n"/>
      <c r="BB13" s="103" t="n"/>
      <c r="BC13" s="103" t="n"/>
      <c r="BD13" s="103" t="n"/>
      <c r="BE13" s="103" t="n"/>
      <c r="BF13" s="103" t="n"/>
      <c r="BG13" s="103" t="n"/>
      <c r="BH13" s="103" t="n"/>
      <c r="BI13" s="103" t="n"/>
      <c r="BJ13" s="103" t="n"/>
      <c r="BK13" s="103" t="n"/>
      <c r="BL13" s="103" t="n"/>
      <c r="BM13" s="103" t="n"/>
      <c r="BN13" s="103" t="n"/>
      <c r="BO13" s="103" t="n"/>
      <c r="BP13" s="103" t="n"/>
      <c r="BQ13" s="103" t="n"/>
      <c r="BR13" s="103" t="n"/>
      <c r="BS13" s="103" t="n"/>
      <c r="BT13" s="103" t="n"/>
      <c r="BU13" s="103" t="n"/>
      <c r="BV13" s="103" t="n"/>
      <c r="BW13" s="103" t="n"/>
      <c r="BX13" s="103" t="n"/>
      <c r="BY13" s="103" t="n"/>
      <c r="BZ13" s="103" t="n"/>
      <c r="CA13" s="103" t="n"/>
      <c r="CB13" s="103" t="n"/>
      <c r="CC13" s="103" t="n"/>
      <c r="CD13" s="103" t="n"/>
      <c r="CE13" s="103" t="n"/>
      <c r="CF13" s="103" t="n"/>
      <c r="CG13" s="103" t="n"/>
      <c r="CH13" s="103" t="n"/>
      <c r="CI13" s="103" t="n"/>
      <c r="CJ13" s="103" t="n"/>
      <c r="CK13" s="103" t="n"/>
    </row>
    <row r="14" ht="18" customHeight="1">
      <c r="A14" s="63" t="n"/>
      <c r="B14" s="62" t="n"/>
      <c r="C14" s="132" t="n"/>
      <c r="D14" s="62" t="n"/>
      <c r="E14" s="62" t="n"/>
      <c r="F14" s="62" t="n"/>
      <c r="G14" s="62" t="n"/>
      <c r="H14" s="62" t="n"/>
      <c r="I14" s="62" t="n"/>
      <c r="J14" s="62" t="n"/>
      <c r="K14" s="62" t="n"/>
      <c r="L14" s="132" t="n"/>
      <c r="M14" s="62" t="n"/>
      <c r="N14" s="62" t="n"/>
      <c r="O14" s="62" t="n"/>
      <c r="P14" s="62" t="n"/>
      <c r="Q14" s="62" t="n"/>
      <c r="R14" s="62" t="n"/>
      <c r="S14" s="62" t="n"/>
      <c r="T14" s="62" t="n"/>
      <c r="U14" s="62" t="n"/>
      <c r="V14" s="132" t="n"/>
      <c r="W14" s="483" t="inlineStr">
        <is>
          <t>welq t</t>
        </is>
      </c>
      <c r="Y14" s="132" t="inlineStr">
        <is>
          <t>FY/ AMÖxg/bM` FY gÄyi|</t>
        </is>
      </c>
      <c r="AG14" s="62" t="n"/>
      <c r="AH14" s="132" t="n"/>
      <c r="AI14" s="62" t="n"/>
      <c r="AJ14" s="82" t="n"/>
      <c r="AK14" s="485" t="n"/>
      <c r="AL14" s="62" t="n"/>
      <c r="AM14" s="62" t="n"/>
      <c r="AN14" s="62" t="n"/>
      <c r="AO14" s="103" t="n"/>
      <c r="AP14" s="64" t="n"/>
      <c r="AQ14" s="64" t="n"/>
      <c r="AR14" s="545" t="n"/>
      <c r="AS14" s="64" t="n"/>
      <c r="AT14" s="64" t="n"/>
      <c r="AU14" s="64" t="n"/>
      <c r="AV14" s="64" t="n"/>
      <c r="AW14" s="64" t="n"/>
      <c r="AX14" s="103" t="n"/>
      <c r="AY14" s="103" t="n"/>
      <c r="AZ14" s="103" t="n"/>
      <c r="BA14" s="103" t="n"/>
      <c r="BB14" s="103" t="n"/>
      <c r="BC14" s="103" t="n"/>
      <c r="BD14" s="103" t="n"/>
      <c r="BE14" s="103" t="n"/>
      <c r="BF14" s="103" t="n"/>
      <c r="BG14" s="103" t="n"/>
      <c r="BH14" s="103" t="n"/>
      <c r="BI14" s="103" t="n"/>
      <c r="BJ14" s="103" t="n"/>
      <c r="BK14" s="103" t="n"/>
      <c r="BL14" s="103" t="n"/>
      <c r="BM14" s="103" t="n"/>
      <c r="BN14" s="103" t="n"/>
      <c r="BO14" s="103" t="n"/>
      <c r="BP14" s="103" t="n"/>
      <c r="BQ14" s="103" t="n"/>
      <c r="BR14" s="103" t="n"/>
      <c r="BS14" s="103" t="n"/>
      <c r="BT14" s="103" t="n"/>
      <c r="BU14" s="103" t="n"/>
      <c r="BV14" s="103" t="n"/>
      <c r="BW14" s="103" t="n"/>
      <c r="BX14" s="103" t="n"/>
      <c r="BY14" s="103" t="n"/>
      <c r="BZ14" s="103" t="n"/>
      <c r="CA14" s="103" t="n"/>
      <c r="CB14" s="103" t="n"/>
      <c r="CC14" s="103" t="n"/>
      <c r="CD14" s="103" t="n"/>
      <c r="CE14" s="103" t="n"/>
      <c r="CF14" s="103" t="n"/>
      <c r="CG14" s="103" t="n"/>
      <c r="CH14" s="103" t="n"/>
      <c r="CI14" s="103" t="n"/>
      <c r="CJ14" s="103" t="n"/>
      <c r="CK14" s="103" t="n"/>
    </row>
    <row r="15" ht="18" customHeight="1">
      <c r="A15" s="184" t="n"/>
      <c r="B15" s="184" t="n"/>
      <c r="C15" s="59" t="n"/>
      <c r="D15" s="184" t="n"/>
      <c r="E15" s="184" t="n"/>
      <c r="F15" s="184" t="n"/>
      <c r="G15" s="184" t="n"/>
      <c r="H15" s="184" t="n"/>
      <c r="I15" s="184" t="n"/>
      <c r="J15" s="184" t="n"/>
      <c r="K15" s="184" t="n"/>
      <c r="L15" s="59" t="n"/>
      <c r="M15" s="184" t="n"/>
      <c r="N15" s="184" t="n"/>
      <c r="O15" s="184" t="n"/>
      <c r="P15" s="184" t="n"/>
      <c r="Q15" s="184" t="n"/>
      <c r="R15" s="184" t="n"/>
      <c r="S15" s="184" t="n"/>
      <c r="T15" s="184" t="n"/>
      <c r="U15" s="184" t="n"/>
      <c r="V15" s="59" t="n"/>
      <c r="W15" s="483" t="inlineStr">
        <is>
          <t>UvKv t</t>
        </is>
      </c>
      <c r="Y15" s="132">
        <f>'Data Input'!D11</f>
        <v/>
      </c>
      <c r="AG15" s="184" t="n"/>
      <c r="AH15" s="59" t="n"/>
      <c r="AI15" s="184" t="n"/>
      <c r="AJ15" s="81" t="n"/>
      <c r="AK15" s="486" t="n"/>
      <c r="AL15" s="184" t="n"/>
      <c r="AM15" s="184" t="n"/>
      <c r="AN15" s="184" t="n"/>
      <c r="AO15" s="103" t="n"/>
      <c r="AP15" s="64" t="n"/>
      <c r="AQ15" s="64" t="n"/>
      <c r="AR15" s="545" t="n"/>
      <c r="AS15" s="64" t="n"/>
      <c r="AT15" s="64" t="n"/>
      <c r="AU15" s="64" t="n"/>
      <c r="AV15" s="64" t="n"/>
      <c r="AW15" s="64" t="n"/>
      <c r="AX15" s="103" t="n"/>
      <c r="AY15" s="103" t="n"/>
      <c r="AZ15" s="103" t="n"/>
      <c r="BA15" s="103" t="n"/>
      <c r="BB15" s="103" t="n"/>
      <c r="BC15" s="103" t="n"/>
      <c r="BD15" s="103" t="n"/>
      <c r="BE15" s="103" t="n"/>
      <c r="BF15" s="103" t="n"/>
      <c r="BG15" s="103" t="n"/>
      <c r="BH15" s="103" t="n"/>
      <c r="BI15" s="103" t="n"/>
      <c r="BJ15" s="103" t="n"/>
      <c r="BK15" s="103" t="n"/>
      <c r="BL15" s="103" t="n"/>
      <c r="BM15" s="103" t="n"/>
      <c r="BN15" s="103" t="n"/>
      <c r="BO15" s="103" t="n"/>
      <c r="BP15" s="103" t="n"/>
      <c r="BQ15" s="103" t="n"/>
      <c r="BR15" s="103" t="n"/>
      <c r="BS15" s="103" t="n"/>
      <c r="BT15" s="103" t="n"/>
      <c r="BU15" s="103" t="n"/>
      <c r="BV15" s="103" t="n"/>
      <c r="BW15" s="103" t="n"/>
      <c r="BX15" s="103" t="n"/>
      <c r="BY15" s="103" t="n"/>
      <c r="BZ15" s="103" t="n"/>
      <c r="CA15" s="103" t="n"/>
      <c r="CB15" s="103" t="n"/>
      <c r="CC15" s="103" t="n"/>
      <c r="CD15" s="103" t="n"/>
      <c r="CE15" s="103" t="n"/>
      <c r="CF15" s="103" t="n"/>
      <c r="CG15" s="103" t="n"/>
      <c r="CH15" s="103" t="n"/>
      <c r="CI15" s="103" t="n"/>
      <c r="CJ15" s="103" t="n"/>
      <c r="CK15" s="103" t="n"/>
    </row>
    <row r="16" ht="18" customHeight="1">
      <c r="A16" s="600" t="inlineStr">
        <is>
          <t>wcÖq g‡nv`q,</t>
        </is>
      </c>
      <c r="AO16" s="103" t="n"/>
      <c r="AP16" s="64" t="n"/>
      <c r="AQ16" s="64" t="n"/>
      <c r="AR16" s="545" t="n"/>
      <c r="AS16" s="64" t="n"/>
      <c r="AT16" s="64" t="n"/>
      <c r="AU16" s="64" t="n"/>
      <c r="AV16" s="64" t="n"/>
      <c r="AW16" s="64" t="n"/>
      <c r="AX16" s="103" t="n"/>
      <c r="AY16" s="103" t="n"/>
      <c r="AZ16" s="103" t="n"/>
      <c r="BA16" s="103" t="n"/>
      <c r="BB16" s="103" t="n"/>
      <c r="BC16" s="103" t="n"/>
      <c r="BD16" s="103" t="n"/>
      <c r="BE16" s="103" t="n"/>
      <c r="BF16" s="103" t="n"/>
      <c r="BG16" s="103" t="n"/>
      <c r="BH16" s="103" t="n"/>
      <c r="BI16" s="103" t="n"/>
      <c r="BJ16" s="103" t="n"/>
      <c r="BK16" s="103" t="n"/>
      <c r="BL16" s="103" t="n"/>
      <c r="BM16" s="103" t="n"/>
      <c r="BN16" s="103" t="n"/>
      <c r="BO16" s="103" t="n"/>
      <c r="BP16" s="103" t="n"/>
      <c r="BQ16" s="103" t="n"/>
      <c r="BR16" s="103" t="n"/>
      <c r="BS16" s="103" t="n"/>
      <c r="BT16" s="103" t="n"/>
      <c r="BU16" s="103" t="n"/>
      <c r="BV16" s="103" t="n"/>
      <c r="BW16" s="103" t="n"/>
      <c r="BX16" s="103" t="n"/>
      <c r="BY16" s="103" t="n"/>
      <c r="BZ16" s="103" t="n"/>
      <c r="CA16" s="103" t="n"/>
      <c r="CB16" s="103" t="n"/>
      <c r="CC16" s="103" t="n"/>
      <c r="CD16" s="103" t="n"/>
      <c r="CE16" s="103" t="n"/>
      <c r="CF16" s="103" t="n"/>
      <c r="CG16" s="103" t="n"/>
      <c r="CH16" s="103" t="n"/>
      <c r="CI16" s="103" t="n"/>
      <c r="CJ16" s="103" t="n"/>
      <c r="CK16" s="103" t="n"/>
    </row>
    <row r="17" ht="18.75" customHeight="1">
      <c r="A17" s="492">
        <f>"Avcbvi MZ "&amp;IF('LF-5'!P182="","    /       /20     ",TEXT('LF-5'!P182,"dd/mm/yyyy"))&amp;" Bs Zvwi‡L Av‡e`‡bi †cÖwÿ‡Z "&amp;'Data Input'!D10&amp;" e¨emv cwiPvjbvi Rb¨ wb¤œwjwLZ kZ© mv‡c‡ÿ e¨vsK UvKvt "&amp;'Data Input'!D11&amp;"/- (K_vqt "&amp;ConvertCurrencyToBangla('Data Input'!D11)&amp; " ) gvÎ FY gÄyi Kwiqv‡Q|"</f>
        <v/>
      </c>
      <c r="AO17" s="103" t="n"/>
      <c r="AP17" s="491" t="inlineStr">
        <is>
          <t>এল.এফ-৫ থেকে আবেদনের তারিখ আসবে।</t>
        </is>
      </c>
      <c r="AQ17" s="64" t="n"/>
      <c r="AR17" s="545" t="n"/>
      <c r="AS17" s="64" t="n"/>
      <c r="AT17" s="64" t="n"/>
      <c r="AU17" s="64" t="n"/>
      <c r="AV17" s="64" t="n"/>
      <c r="AW17" s="64" t="n"/>
      <c r="AX17" s="492" t="n"/>
    </row>
    <row r="18" ht="13.5" customFormat="1" customHeight="1" s="18">
      <c r="AO18" s="103" t="n"/>
      <c r="AP18" s="103" t="n"/>
      <c r="AQ18" s="103" t="n"/>
      <c r="AR18" s="479" t="n"/>
      <c r="AS18" s="103" t="n"/>
      <c r="AT18" s="103" t="n"/>
      <c r="AU18" s="103" t="n"/>
      <c r="AV18" s="103" t="n"/>
      <c r="AW18" s="103" t="n"/>
    </row>
    <row r="19" ht="4.5" customHeight="1">
      <c r="A19" s="63" t="n"/>
      <c r="B19" s="600" t="n"/>
      <c r="C19" s="65" t="n"/>
      <c r="D19" s="63" t="n"/>
      <c r="E19" s="63" t="n"/>
      <c r="F19" s="63" t="n"/>
      <c r="G19" s="63" t="n"/>
      <c r="H19" s="63" t="n"/>
      <c r="I19" s="63" t="n"/>
      <c r="J19" s="63" t="n"/>
      <c r="K19" s="63" t="n"/>
      <c r="L19" s="65" t="n"/>
      <c r="M19" s="63" t="n"/>
      <c r="N19" s="63" t="n"/>
      <c r="O19" s="63" t="n"/>
      <c r="P19" s="63" t="n"/>
      <c r="Q19" s="63" t="n"/>
      <c r="R19" s="63" t="n"/>
      <c r="S19" s="63" t="n"/>
      <c r="T19" s="63" t="n"/>
      <c r="U19" s="63" t="n"/>
      <c r="V19" s="65" t="n"/>
      <c r="W19" s="542" t="n"/>
      <c r="X19" s="63" t="n"/>
      <c r="Y19" s="65" t="n"/>
      <c r="Z19" s="63" t="n"/>
      <c r="AA19" s="542" t="n"/>
      <c r="AB19" s="65" t="n"/>
      <c r="AC19" s="63" t="n"/>
      <c r="AD19" s="64" t="n"/>
      <c r="AE19" s="136" t="n"/>
      <c r="AF19" s="64" t="n"/>
      <c r="AG19" s="64" t="n"/>
      <c r="AH19" s="136" t="n"/>
      <c r="AI19" s="64" t="n"/>
      <c r="AJ19" s="543" t="n"/>
      <c r="AK19" s="544" t="n"/>
      <c r="AL19" s="64" t="n"/>
      <c r="AM19" s="64" t="n"/>
      <c r="AN19" s="64" t="n"/>
      <c r="AO19" s="103" t="n"/>
      <c r="AP19" s="64" t="n"/>
      <c r="AQ19" s="64" t="n"/>
      <c r="AR19" s="545" t="n"/>
      <c r="AS19" s="64" t="n"/>
      <c r="AT19" s="64" t="n"/>
      <c r="AU19" s="64" t="n"/>
      <c r="AV19" s="64" t="n"/>
      <c r="AW19" s="64" t="n"/>
      <c r="AX19" s="103" t="n"/>
      <c r="AY19" s="103" t="n"/>
      <c r="AZ19" s="103" t="n"/>
      <c r="BA19" s="103" t="n"/>
      <c r="BB19" s="103" t="n"/>
      <c r="BC19" s="103" t="n"/>
      <c r="BD19" s="103" t="n"/>
      <c r="BE19" s="103" t="n"/>
      <c r="BF19" s="103" t="n"/>
      <c r="BG19" s="103" t="n"/>
      <c r="BH19" s="103" t="n"/>
      <c r="BI19" s="103" t="n"/>
      <c r="BJ19" s="103" t="n"/>
      <c r="BK19" s="103" t="n"/>
      <c r="BL19" s="103" t="n"/>
      <c r="BM19" s="103" t="n"/>
      <c r="BN19" s="103" t="n"/>
      <c r="BO19" s="103" t="n"/>
      <c r="BP19" s="103" t="n"/>
      <c r="BQ19" s="103" t="n"/>
      <c r="BR19" s="103" t="n"/>
      <c r="BS19" s="103" t="n"/>
      <c r="BT19" s="103" t="n"/>
      <c r="BU19" s="103" t="n"/>
      <c r="BV19" s="103" t="n"/>
      <c r="BW19" s="103" t="n"/>
      <c r="BX19" s="103" t="n"/>
      <c r="BY19" s="103" t="n"/>
      <c r="BZ19" s="103" t="n"/>
      <c r="CA19" s="103" t="n"/>
      <c r="CB19" s="103" t="n"/>
      <c r="CC19" s="103" t="n"/>
      <c r="CD19" s="103" t="n"/>
      <c r="CE19" s="103" t="n"/>
      <c r="CF19" s="103" t="n"/>
      <c r="CG19" s="103" t="n"/>
      <c r="CH19" s="103" t="n"/>
      <c r="CI19" s="103" t="n"/>
      <c r="CJ19" s="103" t="n"/>
      <c r="CK19" s="103" t="n"/>
    </row>
    <row r="20" ht="18.75" customHeight="1">
      <c r="A20" s="603" t="inlineStr">
        <is>
          <t>1|</t>
        </is>
      </c>
      <c r="C20" s="111" t="inlineStr">
        <is>
          <t>my‡hvM myweavi aib</t>
        </is>
      </c>
      <c r="V20" s="111" t="inlineStr">
        <is>
          <t>t</t>
        </is>
      </c>
      <c r="W20" s="463" t="inlineStr">
        <is>
          <t>wmGgGmGgB Lv‡Z bM` cyuwR FY|</t>
        </is>
      </c>
      <c r="AO20" s="103" t="n"/>
      <c r="AP20" s="493" t="inlineStr">
        <is>
          <t>my‡`i nvi</t>
        </is>
      </c>
      <c r="AQ20" s="2617" t="n"/>
      <c r="AR20" s="494">
        <f>Profile!H64*100</f>
        <v/>
      </c>
      <c r="AS20" s="2617" t="n"/>
      <c r="AT20" s="64" t="n"/>
      <c r="AU20" s="64" t="n"/>
      <c r="AV20" s="64" t="n"/>
      <c r="AW20" s="64" t="n"/>
      <c r="AX20" s="103" t="n"/>
      <c r="AY20" s="103" t="n"/>
      <c r="AZ20" s="103" t="n"/>
      <c r="BA20" s="103" t="n"/>
      <c r="BB20" s="103" t="n"/>
      <c r="BC20" s="103" t="n"/>
      <c r="BD20" s="103" t="n"/>
      <c r="BE20" s="103" t="n"/>
      <c r="BF20" s="103" t="n"/>
      <c r="BG20" s="103" t="n"/>
      <c r="BH20" s="103" t="n"/>
      <c r="BI20" s="103" t="n"/>
      <c r="BJ20" s="103" t="n"/>
      <c r="BK20" s="103" t="n"/>
      <c r="BL20" s="103" t="n"/>
      <c r="BM20" s="103" t="n"/>
      <c r="BN20" s="103" t="n"/>
      <c r="BO20" s="103" t="n"/>
      <c r="BP20" s="103" t="n"/>
      <c r="BQ20" s="103" t="n"/>
      <c r="BR20" s="103" t="n"/>
      <c r="BS20" s="103" t="n"/>
      <c r="BT20" s="103" t="n"/>
      <c r="BU20" s="103" t="n"/>
      <c r="BV20" s="103" t="n"/>
      <c r="BW20" s="103" t="n"/>
      <c r="BX20" s="103" t="n"/>
      <c r="BY20" s="103" t="n"/>
      <c r="BZ20" s="103" t="n"/>
      <c r="CA20" s="103" t="n"/>
      <c r="CB20" s="103" t="n"/>
      <c r="CC20" s="103" t="n"/>
      <c r="CD20" s="103" t="n"/>
      <c r="CE20" s="103" t="n"/>
      <c r="CF20" s="103" t="n"/>
      <c r="CG20" s="103" t="n"/>
      <c r="CH20" s="103" t="n"/>
      <c r="CI20" s="103" t="n"/>
      <c r="CJ20" s="103" t="n"/>
      <c r="CK20" s="103" t="n"/>
    </row>
    <row r="21" ht="20.25" customHeight="1">
      <c r="A21" s="603" t="inlineStr">
        <is>
          <t>2|</t>
        </is>
      </c>
      <c r="C21" s="111" t="inlineStr">
        <is>
          <t>gÄyixi wefvRb</t>
        </is>
      </c>
      <c r="V21" s="111" t="inlineStr">
        <is>
          <t>t</t>
        </is>
      </c>
      <c r="W21" s="495" t="n"/>
      <c r="X21" s="2615" t="n"/>
      <c r="Y21" s="2615" t="n"/>
      <c r="Z21" s="2615" t="n"/>
      <c r="AA21" s="2615" t="n"/>
      <c r="AB21" s="2615" t="n"/>
      <c r="AC21" s="2615" t="n"/>
      <c r="AD21" s="2615" t="n"/>
      <c r="AE21" s="2615" t="n"/>
      <c r="AF21" s="2615" t="n"/>
      <c r="AG21" s="2615" t="n"/>
      <c r="AH21" s="2615" t="n"/>
      <c r="AI21" s="2615" t="n"/>
      <c r="AJ21" s="2615" t="n"/>
      <c r="AK21" s="2615" t="n"/>
      <c r="AL21" s="2615" t="n"/>
      <c r="AM21" s="2615" t="n"/>
      <c r="AN21" s="2616" t="n"/>
      <c r="AO21" s="103" t="n"/>
      <c r="AP21" s="64" t="n"/>
      <c r="AQ21" s="64" t="n"/>
      <c r="AR21" s="545" t="n"/>
      <c r="AS21" s="64" t="n"/>
      <c r="AT21" s="64" t="n"/>
      <c r="AU21" s="64" t="n"/>
      <c r="AV21" s="64" t="n"/>
      <c r="AW21" s="64" t="n"/>
      <c r="AX21" s="103" t="n"/>
      <c r="AY21" s="103" t="n"/>
      <c r="AZ21" s="103" t="n"/>
      <c r="BA21" s="103" t="n"/>
      <c r="BB21" s="103" t="n"/>
      <c r="BC21" s="103" t="n"/>
      <c r="BD21" s="103" t="n"/>
      <c r="BE21" s="103" t="n"/>
      <c r="BF21" s="103" t="n"/>
      <c r="BG21" s="103" t="n"/>
      <c r="BH21" s="103" t="n"/>
      <c r="BI21" s="103" t="n"/>
      <c r="BJ21" s="103" t="n"/>
      <c r="BK21" s="103" t="n"/>
      <c r="BL21" s="103" t="n"/>
      <c r="BM21" s="103" t="n"/>
      <c r="BN21" s="103" t="n"/>
      <c r="BO21" s="103" t="n"/>
      <c r="BP21" s="103" t="n"/>
      <c r="BQ21" s="103" t="n"/>
      <c r="BR21" s="103" t="n"/>
      <c r="BS21" s="103" t="n"/>
      <c r="BT21" s="103" t="n"/>
      <c r="BU21" s="103" t="n"/>
      <c r="BV21" s="103" t="n"/>
      <c r="BW21" s="103" t="n"/>
      <c r="BX21" s="103" t="n"/>
      <c r="BY21" s="103" t="n"/>
      <c r="BZ21" s="103" t="n"/>
      <c r="CA21" s="103" t="n"/>
      <c r="CB21" s="103" t="n"/>
      <c r="CC21" s="103" t="n"/>
      <c r="CD21" s="103" t="n"/>
      <c r="CE21" s="103" t="n"/>
      <c r="CF21" s="103" t="n"/>
      <c r="CG21" s="103" t="n"/>
      <c r="CH21" s="103" t="n"/>
      <c r="CI21" s="103" t="n"/>
      <c r="CJ21" s="103" t="n"/>
      <c r="CK21" s="103" t="n"/>
    </row>
    <row r="22" ht="20.25" customHeight="1">
      <c r="A22" s="603" t="inlineStr">
        <is>
          <t>3|</t>
        </is>
      </c>
      <c r="C22" s="111" t="inlineStr">
        <is>
          <t>‡gvU UvKv</t>
        </is>
      </c>
      <c r="V22" s="111" t="inlineStr">
        <is>
          <t>t</t>
        </is>
      </c>
      <c r="W22" s="463">
        <f>"K) †`kxq gy`ªv t "&amp;'Data Input'!D11&amp;" UvKv gvÎ,  ‰e‡`wkK gy`ªv UvKv/BDGm Wjvi t 0.00 UvKv"</f>
        <v/>
      </c>
      <c r="AO22" s="103" t="n"/>
      <c r="AP22" s="64" t="n"/>
      <c r="AQ22" s="64" t="n"/>
      <c r="AR22" s="545" t="n"/>
      <c r="AS22" s="64" t="n"/>
      <c r="AT22" s="64" t="n"/>
      <c r="AU22" s="64" t="n"/>
      <c r="AV22" s="64" t="n"/>
      <c r="AW22" s="64" t="n"/>
      <c r="AX22" s="103" t="n"/>
      <c r="AY22" s="103" t="n"/>
      <c r="AZ22" s="103" t="n"/>
      <c r="BA22" s="103" t="n"/>
      <c r="BB22" s="103" t="n"/>
      <c r="BC22" s="103" t="n"/>
      <c r="BD22" s="103" t="n"/>
      <c r="BE22" s="103" t="n"/>
      <c r="BF22" s="103" t="n"/>
      <c r="BG22" s="103" t="n"/>
      <c r="BH22" s="103" t="n"/>
      <c r="BI22" s="103" t="n"/>
      <c r="BJ22" s="103" t="n"/>
      <c r="BK22" s="103" t="n"/>
      <c r="BL22" s="103" t="n"/>
      <c r="BM22" s="103" t="n"/>
      <c r="BN22" s="103" t="n"/>
      <c r="BO22" s="103" t="n"/>
      <c r="BP22" s="103" t="n"/>
      <c r="BQ22" s="103" t="n"/>
      <c r="BR22" s="103" t="n"/>
      <c r="BS22" s="103" t="n"/>
      <c r="BT22" s="103" t="n"/>
      <c r="BU22" s="103" t="n"/>
      <c r="BV22" s="103" t="n"/>
      <c r="BW22" s="103" t="n"/>
      <c r="BX22" s="103" t="n"/>
      <c r="BY22" s="103" t="n"/>
      <c r="BZ22" s="103" t="n"/>
      <c r="CA22" s="103" t="n"/>
      <c r="CB22" s="103" t="n"/>
      <c r="CC22" s="103" t="n"/>
      <c r="CD22" s="103" t="n"/>
      <c r="CE22" s="103" t="n"/>
      <c r="CF22" s="103" t="n"/>
      <c r="CG22" s="103" t="n"/>
      <c r="CH22" s="103" t="n"/>
      <c r="CI22" s="103" t="n"/>
      <c r="CJ22" s="103" t="n"/>
      <c r="CK22" s="103" t="n"/>
    </row>
    <row r="23" ht="20.25" customHeight="1">
      <c r="A23" s="603" t="n"/>
      <c r="C23" s="111" t="n"/>
      <c r="D23" s="600" t="n"/>
      <c r="E23" s="600" t="n"/>
      <c r="F23" s="600" t="n"/>
      <c r="G23" s="600" t="n"/>
      <c r="H23" s="600" t="n"/>
      <c r="I23" s="600" t="n"/>
      <c r="J23" s="600" t="n"/>
      <c r="K23" s="600" t="n"/>
      <c r="L23" s="111" t="n"/>
      <c r="M23" s="600" t="n"/>
      <c r="N23" s="600" t="n"/>
      <c r="O23" s="600" t="n"/>
      <c r="P23" s="600" t="n"/>
      <c r="Q23" s="600" t="n"/>
      <c r="R23" s="600" t="n"/>
      <c r="S23" s="600" t="n"/>
      <c r="T23" s="600" t="n"/>
      <c r="U23" s="600" t="n"/>
      <c r="V23" s="111" t="n"/>
      <c r="W23" s="463" t="inlineStr">
        <is>
          <t>L) `ª‡e¨ UvKv t cÖ‡hvR¨ b‡n|</t>
        </is>
      </c>
      <c r="AO23" s="103" t="n"/>
      <c r="AP23" s="64" t="n"/>
      <c r="AQ23" s="64" t="n"/>
      <c r="AR23" s="545" t="n"/>
      <c r="AS23" s="64" t="n"/>
      <c r="AT23" s="64" t="n"/>
      <c r="AU23" s="64" t="n"/>
      <c r="AV23" s="64" t="n"/>
      <c r="AW23" s="64" t="n"/>
      <c r="AX23" s="103" t="n"/>
      <c r="AY23" s="103" t="n"/>
      <c r="AZ23" s="103" t="n"/>
      <c r="BA23" s="103" t="n"/>
      <c r="BB23" s="103" t="n"/>
      <c r="BC23" s="103" t="n"/>
      <c r="BD23" s="103" t="n"/>
      <c r="BE23" s="103" t="n"/>
      <c r="BF23" s="103" t="n"/>
      <c r="BG23" s="103" t="n"/>
      <c r="BH23" s="103" t="n"/>
      <c r="BI23" s="103" t="n"/>
      <c r="BJ23" s="103" t="n"/>
      <c r="BK23" s="103" t="n"/>
      <c r="BL23" s="103" t="n"/>
      <c r="BM23" s="103" t="n"/>
      <c r="BN23" s="103" t="n"/>
      <c r="BO23" s="103" t="n"/>
      <c r="BP23" s="103" t="n"/>
      <c r="BQ23" s="103" t="n"/>
      <c r="BR23" s="103" t="n"/>
      <c r="BS23" s="103" t="n"/>
      <c r="BT23" s="103" t="n"/>
      <c r="BU23" s="103" t="n"/>
      <c r="BV23" s="103" t="n"/>
      <c r="BW23" s="103" t="n"/>
      <c r="BX23" s="103" t="n"/>
      <c r="BY23" s="103" t="n"/>
      <c r="BZ23" s="103" t="n"/>
      <c r="CA23" s="103" t="n"/>
      <c r="CB23" s="103" t="n"/>
      <c r="CC23" s="103" t="n"/>
      <c r="CD23" s="103" t="n"/>
      <c r="CE23" s="103" t="n"/>
      <c r="CF23" s="103" t="n"/>
      <c r="CG23" s="103" t="n"/>
      <c r="CH23" s="103" t="n"/>
      <c r="CI23" s="103" t="n"/>
      <c r="CJ23" s="103" t="n"/>
      <c r="CK23" s="103" t="n"/>
    </row>
    <row r="24" ht="20.25" customHeight="1">
      <c r="A24" s="603" t="n"/>
      <c r="C24" s="111" t="n"/>
      <c r="D24" s="600" t="n"/>
      <c r="E24" s="600" t="n"/>
      <c r="F24" s="600" t="n"/>
      <c r="G24" s="600" t="n"/>
      <c r="H24" s="600" t="n"/>
      <c r="I24" s="600" t="n"/>
      <c r="J24" s="600" t="n"/>
      <c r="K24" s="600" t="n"/>
      <c r="L24" s="111" t="n"/>
      <c r="M24" s="600" t="n"/>
      <c r="N24" s="600" t="n"/>
      <c r="O24" s="600" t="n"/>
      <c r="P24" s="600" t="n"/>
      <c r="Q24" s="600" t="n"/>
      <c r="R24" s="600" t="n"/>
      <c r="S24" s="600" t="n"/>
      <c r="T24" s="600" t="n"/>
      <c r="U24" s="600" t="n"/>
      <c r="V24" s="111" t="n"/>
      <c r="W24" s="469" t="inlineStr">
        <is>
          <t>bM‡` UvKv t</t>
        </is>
      </c>
      <c r="AA24" s="111">
        <f>Y15</f>
        <v/>
      </c>
      <c r="AH24" s="111" t="n"/>
      <c r="AI24" s="600" t="n"/>
      <c r="AJ24" s="80" t="n"/>
      <c r="AK24" s="482" t="n"/>
      <c r="AL24" s="600" t="n"/>
      <c r="AM24" s="600" t="n"/>
      <c r="AN24" s="600" t="n"/>
      <c r="AO24" s="103" t="n"/>
      <c r="AP24" s="64" t="n"/>
      <c r="AQ24" s="64" t="n"/>
      <c r="AR24" s="545" t="n"/>
      <c r="AS24" s="64" t="n"/>
      <c r="AT24" s="64" t="n"/>
      <c r="AU24" s="64" t="n"/>
      <c r="AV24" s="64" t="n"/>
      <c r="AW24" s="64" t="n"/>
      <c r="AX24" s="103" t="n"/>
      <c r="AY24" s="103" t="n"/>
      <c r="AZ24" s="103" t="n"/>
      <c r="BA24" s="103" t="n"/>
      <c r="BB24" s="103" t="n"/>
      <c r="BC24" s="103" t="n"/>
      <c r="BD24" s="103" t="n"/>
      <c r="BE24" s="103" t="n"/>
      <c r="BF24" s="103" t="n"/>
      <c r="BG24" s="103" t="n"/>
      <c r="BH24" s="103" t="n"/>
      <c r="BI24" s="103" t="n"/>
      <c r="BJ24" s="103" t="n"/>
      <c r="BK24" s="103" t="n"/>
      <c r="BL24" s="103" t="n"/>
      <c r="BM24" s="103" t="n"/>
      <c r="BN24" s="103" t="n"/>
      <c r="BO24" s="103" t="n"/>
      <c r="BP24" s="103" t="n"/>
      <c r="BQ24" s="103" t="n"/>
      <c r="BR24" s="103" t="n"/>
      <c r="BS24" s="103" t="n"/>
      <c r="BT24" s="103" t="n"/>
      <c r="BU24" s="103" t="n"/>
      <c r="BV24" s="103" t="n"/>
      <c r="BW24" s="103" t="n"/>
      <c r="BX24" s="103" t="n"/>
      <c r="BY24" s="103" t="n"/>
      <c r="BZ24" s="103" t="n"/>
      <c r="CA24" s="103" t="n"/>
      <c r="CB24" s="103" t="n"/>
      <c r="CC24" s="103" t="n"/>
      <c r="CD24" s="103" t="n"/>
      <c r="CE24" s="103" t="n"/>
      <c r="CF24" s="103" t="n"/>
      <c r="CG24" s="103" t="n"/>
      <c r="CH24" s="103" t="n"/>
      <c r="CI24" s="103" t="n"/>
      <c r="CJ24" s="103" t="n"/>
      <c r="CK24" s="103" t="n"/>
    </row>
    <row r="25" ht="28.5" customHeight="1">
      <c r="A25" s="603" t="inlineStr">
        <is>
          <t>4|</t>
        </is>
      </c>
      <c r="C25" s="198" t="inlineStr">
        <is>
          <t>e¨vsK FY I D‡`¨v³vi wewb‡qvM AbycvZ</t>
        </is>
      </c>
      <c r="V25" s="111" t="inlineStr">
        <is>
          <t>t</t>
        </is>
      </c>
      <c r="W25" s="502">
        <f>Profile!H96</f>
        <v/>
      </c>
      <c r="Z25" s="603" t="inlineStr">
        <is>
          <t>t</t>
        </is>
      </c>
      <c r="AA25" s="463">
        <f>Profile!J96</f>
        <v/>
      </c>
      <c r="AE25" s="111" t="n"/>
      <c r="AF25" s="600" t="n"/>
      <c r="AG25" s="600" t="n"/>
      <c r="AH25" s="111" t="n"/>
      <c r="AI25" s="600" t="n"/>
      <c r="AJ25" s="80" t="n"/>
      <c r="AK25" s="482" t="n"/>
      <c r="AL25" s="600" t="n"/>
      <c r="AM25" s="600" t="n"/>
      <c r="AN25" s="600" t="n"/>
      <c r="AO25" s="103" t="n"/>
      <c r="AP25" s="64" t="n"/>
      <c r="AQ25" s="64" t="n"/>
      <c r="AR25" s="545" t="n"/>
      <c r="AS25" s="64" t="n"/>
      <c r="AT25" s="64" t="n"/>
      <c r="AU25" s="64" t="n"/>
      <c r="AV25" s="64" t="n"/>
      <c r="AW25" s="64" t="n"/>
      <c r="AX25" s="103" t="n"/>
      <c r="AY25" s="103" t="n"/>
      <c r="AZ25" s="103" t="n"/>
      <c r="BA25" s="103" t="n"/>
      <c r="BB25" s="103" t="n"/>
      <c r="BC25" s="103" t="n"/>
      <c r="BD25" s="103" t="n"/>
      <c r="BE25" s="103" t="n"/>
      <c r="BF25" s="103" t="n"/>
      <c r="BG25" s="103" t="n"/>
      <c r="BH25" s="103" t="n"/>
      <c r="BI25" s="103" t="n"/>
      <c r="BJ25" s="103" t="n"/>
      <c r="BK25" s="103" t="n"/>
      <c r="BL25" s="103" t="n"/>
      <c r="BM25" s="103" t="n"/>
      <c r="BN25" s="103" t="n"/>
      <c r="BO25" s="103" t="n"/>
      <c r="BP25" s="103" t="n"/>
      <c r="BQ25" s="103" t="n"/>
      <c r="BR25" s="103" t="n"/>
      <c r="BS25" s="103" t="n"/>
      <c r="BT25" s="103" t="n"/>
      <c r="BU25" s="103" t="n"/>
      <c r="BV25" s="103" t="n"/>
      <c r="BW25" s="103" t="n"/>
      <c r="BX25" s="103" t="n"/>
      <c r="BY25" s="103" t="n"/>
      <c r="BZ25" s="103" t="n"/>
      <c r="CA25" s="103" t="n"/>
      <c r="CB25" s="103" t="n"/>
      <c r="CC25" s="103" t="n"/>
      <c r="CD25" s="103" t="n"/>
      <c r="CE25" s="103" t="n"/>
      <c r="CF25" s="103" t="n"/>
      <c r="CG25" s="103" t="n"/>
      <c r="CH25" s="103" t="n"/>
      <c r="CI25" s="103" t="n"/>
      <c r="CJ25" s="103" t="n"/>
      <c r="CK25" s="103" t="n"/>
    </row>
    <row r="26" ht="20.25" customHeight="1">
      <c r="A26" s="603" t="inlineStr">
        <is>
          <t>5|</t>
        </is>
      </c>
      <c r="C26" s="198" t="inlineStr">
        <is>
          <t>msMÖn c×wZ</t>
        </is>
      </c>
      <c r="V26" s="111" t="inlineStr">
        <is>
          <t>t</t>
        </is>
      </c>
      <c r="W26" s="463" t="inlineStr">
        <is>
          <t>‡PK I Rgv iwk‡`i gva¨‡g|</t>
        </is>
      </c>
      <c r="AO26" s="103" t="n"/>
      <c r="AP26" s="64" t="n"/>
      <c r="AQ26" s="64" t="n"/>
      <c r="AR26" s="545" t="n"/>
      <c r="AS26" s="64" t="n"/>
      <c r="AT26" s="64" t="n"/>
      <c r="AU26" s="64" t="n"/>
      <c r="AV26" s="64" t="n"/>
      <c r="AW26" s="64" t="n"/>
      <c r="AX26" s="103" t="n"/>
      <c r="AY26" s="103" t="n"/>
      <c r="AZ26" s="103" t="n"/>
      <c r="BA26" s="103" t="n"/>
      <c r="BB26" s="103" t="n"/>
      <c r="BC26" s="103" t="n"/>
      <c r="BD26" s="103" t="n"/>
      <c r="BE26" s="103" t="n"/>
      <c r="BF26" s="103" t="n"/>
      <c r="BG26" s="103" t="n"/>
      <c r="BH26" s="103" t="n"/>
      <c r="BI26" s="103" t="n"/>
      <c r="BJ26" s="103" t="n"/>
      <c r="BK26" s="103" t="n"/>
      <c r="BL26" s="103" t="n"/>
      <c r="BM26" s="103" t="n"/>
      <c r="BN26" s="103" t="n"/>
      <c r="BO26" s="103" t="n"/>
      <c r="BP26" s="103" t="n"/>
      <c r="BQ26" s="103" t="n"/>
      <c r="BR26" s="103" t="n"/>
      <c r="BS26" s="103" t="n"/>
      <c r="BT26" s="103" t="n"/>
      <c r="BU26" s="103" t="n"/>
      <c r="BV26" s="103" t="n"/>
      <c r="BW26" s="103" t="n"/>
      <c r="BX26" s="103" t="n"/>
      <c r="BY26" s="103" t="n"/>
      <c r="BZ26" s="103" t="n"/>
      <c r="CA26" s="103" t="n"/>
      <c r="CB26" s="103" t="n"/>
      <c r="CC26" s="103" t="n"/>
      <c r="CD26" s="103" t="n"/>
      <c r="CE26" s="103" t="n"/>
      <c r="CF26" s="103" t="n"/>
      <c r="CG26" s="103" t="n"/>
      <c r="CH26" s="103" t="n"/>
      <c r="CI26" s="103" t="n"/>
      <c r="CJ26" s="103" t="n"/>
      <c r="CK26" s="103" t="n"/>
    </row>
    <row r="27" ht="20.25" customHeight="1">
      <c r="A27" s="503" t="inlineStr">
        <is>
          <t>6|</t>
        </is>
      </c>
      <c r="C27" s="198" t="inlineStr">
        <is>
          <t>RvgvbZ/mnvqK RvgvbZ</t>
        </is>
      </c>
      <c r="V27" s="111" t="inlineStr">
        <is>
          <t>t</t>
        </is>
      </c>
      <c r="W27" s="463" t="n"/>
      <c r="X27" s="600" t="n"/>
      <c r="Y27" s="111" t="n"/>
      <c r="Z27" s="600" t="n"/>
      <c r="AA27" s="463" t="n"/>
      <c r="AB27" s="111" t="n"/>
      <c r="AC27" s="600" t="n"/>
      <c r="AD27" s="600" t="n"/>
      <c r="AE27" s="111" t="n"/>
      <c r="AF27" s="600" t="n"/>
      <c r="AG27" s="600" t="n"/>
      <c r="AH27" s="111" t="n"/>
      <c r="AI27" s="600" t="n"/>
      <c r="AJ27" s="80" t="n"/>
      <c r="AK27" s="482" t="n"/>
      <c r="AL27" s="600" t="n"/>
      <c r="AM27" s="600" t="n"/>
      <c r="AN27" s="600" t="n"/>
      <c r="AO27" s="103" t="n"/>
      <c r="AP27" s="64" t="n"/>
      <c r="AQ27" s="64" t="n"/>
      <c r="AR27" s="545" t="n"/>
      <c r="AS27" s="64" t="n"/>
      <c r="AT27" s="64" t="n"/>
      <c r="AU27" s="64" t="n"/>
      <c r="AV27" s="64" t="n"/>
      <c r="AW27" s="64" t="n"/>
      <c r="AX27" s="103" t="n"/>
      <c r="AY27" s="103" t="n"/>
      <c r="AZ27" s="103" t="n"/>
      <c r="BA27" s="103" t="n"/>
      <c r="BB27" s="103" t="n"/>
      <c r="BC27" s="103" t="n"/>
      <c r="BD27" s="103" t="n"/>
      <c r="BE27" s="103" t="n"/>
      <c r="BF27" s="103" t="n"/>
      <c r="BG27" s="103" t="n"/>
      <c r="BH27" s="103" t="n"/>
      <c r="BI27" s="103" t="n"/>
      <c r="BJ27" s="103" t="n"/>
      <c r="BK27" s="103" t="n"/>
      <c r="BL27" s="103" t="n"/>
      <c r="BM27" s="103" t="n"/>
      <c r="BN27" s="103" t="n"/>
      <c r="BO27" s="103" t="n"/>
      <c r="BP27" s="103" t="n"/>
      <c r="BQ27" s="103" t="n"/>
      <c r="BR27" s="103" t="n"/>
      <c r="BS27" s="103" t="n"/>
      <c r="BT27" s="103" t="n"/>
      <c r="BU27" s="103" t="n"/>
      <c r="BV27" s="103" t="n"/>
      <c r="BW27" s="103" t="n"/>
      <c r="BX27" s="103" t="n"/>
      <c r="BY27" s="103" t="n"/>
      <c r="BZ27" s="103" t="n"/>
      <c r="CA27" s="103" t="n"/>
      <c r="CB27" s="103" t="n"/>
      <c r="CC27" s="103" t="n"/>
      <c r="CD27" s="103" t="n"/>
      <c r="CE27" s="103" t="n"/>
      <c r="CF27" s="103" t="n"/>
      <c r="CG27" s="103" t="n"/>
      <c r="CH27" s="103" t="n"/>
      <c r="CI27" s="103" t="n"/>
      <c r="CJ27" s="103" t="n"/>
      <c r="CK27" s="103" t="n"/>
    </row>
    <row r="28" ht="20.25" customHeight="1">
      <c r="C28" s="504" t="inlineStr">
        <is>
          <t>_vbv</t>
        </is>
      </c>
      <c r="D28" s="2624" t="n"/>
      <c r="E28" s="2624" t="n"/>
      <c r="F28" s="2624" t="n"/>
      <c r="G28" s="2624" t="n"/>
      <c r="H28" s="2624" t="n"/>
      <c r="I28" s="2624" t="n"/>
      <c r="J28" s="2624" t="n"/>
      <c r="K28" s="2642" t="n"/>
      <c r="L28" s="504" t="inlineStr">
        <is>
          <t>‡gŠRv</t>
        </is>
      </c>
      <c r="M28" s="2624" t="n"/>
      <c r="N28" s="2624" t="n"/>
      <c r="O28" s="2624" t="n"/>
      <c r="P28" s="2624" t="n"/>
      <c r="Q28" s="2624" t="n"/>
      <c r="R28" s="2624" t="n"/>
      <c r="S28" s="2624" t="n"/>
      <c r="T28" s="2624" t="n"/>
      <c r="U28" s="2642" t="n"/>
      <c r="V28" s="506" t="inlineStr">
        <is>
          <t>LwZqvb bs</t>
        </is>
      </c>
      <c r="W28" s="2614" t="n"/>
      <c r="X28" s="2614" t="n"/>
      <c r="Y28" s="2614" t="n"/>
      <c r="Z28" s="2614" t="n"/>
      <c r="AA28" s="2614" t="n"/>
      <c r="AB28" s="2614" t="n"/>
      <c r="AC28" s="2614" t="n"/>
      <c r="AD28" s="2617" t="n"/>
      <c r="AE28" s="506" t="inlineStr">
        <is>
          <t>cøU bs</t>
        </is>
      </c>
      <c r="AF28" s="2614" t="n"/>
      <c r="AG28" s="2614" t="n"/>
      <c r="AH28" s="2614" t="n"/>
      <c r="AI28" s="2614" t="n"/>
      <c r="AJ28" s="2617" t="n"/>
      <c r="AK28" s="509" t="inlineStr">
        <is>
          <t>AvqZb (GKi)</t>
        </is>
      </c>
      <c r="AL28" s="2624" t="n"/>
      <c r="AM28" s="2624" t="n"/>
      <c r="AN28" s="2642" t="n"/>
      <c r="AO28" s="103" t="n"/>
      <c r="AP28" s="64" t="n"/>
      <c r="AQ28" s="64" t="n"/>
      <c r="AR28" s="545" t="n"/>
      <c r="AS28" s="64" t="n"/>
      <c r="AT28" s="64" t="n"/>
      <c r="AU28" s="64" t="n"/>
      <c r="AV28" s="64" t="n"/>
      <c r="AW28" s="64" t="n"/>
      <c r="AX28" s="103" t="n"/>
      <c r="AY28" s="103" t="n"/>
      <c r="AZ28" s="103" t="n"/>
      <c r="BA28" s="103" t="n"/>
      <c r="BB28" s="103" t="n"/>
      <c r="BC28" s="103" t="n"/>
      <c r="BD28" s="103" t="n"/>
      <c r="BE28" s="103" t="n"/>
      <c r="BF28" s="103" t="n"/>
      <c r="BG28" s="103" t="n"/>
      <c r="BH28" s="103" t="n"/>
      <c r="BI28" s="103" t="n"/>
      <c r="BJ28" s="103" t="n"/>
      <c r="BK28" s="103" t="n"/>
      <c r="BL28" s="103" t="n"/>
      <c r="BM28" s="103" t="n"/>
      <c r="BN28" s="103" t="n"/>
      <c r="BO28" s="103" t="n"/>
      <c r="BP28" s="103" t="n"/>
      <c r="BQ28" s="103" t="n"/>
      <c r="BR28" s="103" t="n"/>
      <c r="BS28" s="103" t="n"/>
      <c r="BT28" s="103" t="n"/>
      <c r="BU28" s="103" t="n"/>
      <c r="BV28" s="103" t="n"/>
      <c r="BW28" s="103" t="n"/>
      <c r="BX28" s="103" t="n"/>
      <c r="BY28" s="103" t="n"/>
      <c r="BZ28" s="103" t="n"/>
      <c r="CA28" s="103" t="n"/>
      <c r="CB28" s="103" t="n"/>
      <c r="CC28" s="103" t="n"/>
      <c r="CD28" s="103" t="n"/>
      <c r="CE28" s="103" t="n"/>
      <c r="CF28" s="103" t="n"/>
      <c r="CG28" s="103" t="n"/>
      <c r="CH28" s="103" t="n"/>
      <c r="CI28" s="103" t="n"/>
      <c r="CJ28" s="103" t="n"/>
      <c r="CK28" s="103" t="n"/>
    </row>
    <row r="29" ht="20.25" customHeight="1">
      <c r="C29" s="2648" t="n"/>
      <c r="D29" s="2613" t="n"/>
      <c r="E29" s="2613" t="n"/>
      <c r="F29" s="2613" t="n"/>
      <c r="G29" s="2613" t="n"/>
      <c r="H29" s="2613" t="n"/>
      <c r="I29" s="2613" t="n"/>
      <c r="J29" s="2613" t="n"/>
      <c r="K29" s="2649" t="n"/>
      <c r="L29" s="2648" t="n"/>
      <c r="M29" s="2613" t="n"/>
      <c r="N29" s="2613" t="n"/>
      <c r="O29" s="2613" t="n"/>
      <c r="P29" s="2613" t="n"/>
      <c r="Q29" s="2613" t="n"/>
      <c r="R29" s="2613" t="n"/>
      <c r="S29" s="2613" t="n"/>
      <c r="T29" s="2613" t="n"/>
      <c r="U29" s="2649" t="n"/>
      <c r="V29" s="506" t="inlineStr">
        <is>
          <t>LvwiRv</t>
        </is>
      </c>
      <c r="W29" s="2614" t="n"/>
      <c r="X29" s="2617" t="n"/>
      <c r="Y29" s="506" t="inlineStr">
        <is>
          <t>Gm G</t>
        </is>
      </c>
      <c r="Z29" s="2614" t="n"/>
      <c r="AA29" s="2617" t="n"/>
      <c r="AB29" s="506" t="inlineStr">
        <is>
          <t>Avi Gm</t>
        </is>
      </c>
      <c r="AC29" s="2614" t="n"/>
      <c r="AD29" s="2617" t="n"/>
      <c r="AE29" s="506" t="inlineStr">
        <is>
          <t>Gm G</t>
        </is>
      </c>
      <c r="AF29" s="2614" t="n"/>
      <c r="AG29" s="2617" t="n"/>
      <c r="AH29" s="506" t="inlineStr">
        <is>
          <t>Avi Gm</t>
        </is>
      </c>
      <c r="AI29" s="2614" t="n"/>
      <c r="AJ29" s="2617" t="n"/>
      <c r="AK29" s="2648" t="n"/>
      <c r="AL29" s="2613" t="n"/>
      <c r="AM29" s="2613" t="n"/>
      <c r="AN29" s="2649" t="n"/>
      <c r="AO29" s="103" t="n"/>
      <c r="AP29" s="64" t="n"/>
      <c r="AQ29" s="64" t="n"/>
      <c r="AR29" s="545" t="n"/>
      <c r="AS29" s="64" t="n"/>
      <c r="AT29" s="64" t="n"/>
      <c r="AU29" s="64" t="n"/>
      <c r="AV29" s="64" t="n"/>
      <c r="AW29" s="64" t="n"/>
      <c r="AX29" s="103" t="n"/>
      <c r="AY29" s="103" t="n"/>
      <c r="AZ29" s="103" t="n"/>
      <c r="BA29" s="103" t="n"/>
      <c r="BB29" s="103" t="n"/>
      <c r="BC29" s="103" t="n"/>
      <c r="BD29" s="103" t="n"/>
      <c r="BE29" s="103" t="n"/>
      <c r="BF29" s="103" t="n"/>
      <c r="BG29" s="103" t="n"/>
      <c r="BH29" s="103" t="n"/>
      <c r="BI29" s="103" t="n"/>
      <c r="BJ29" s="103" t="n"/>
      <c r="BK29" s="103" t="n"/>
      <c r="BL29" s="103" t="n"/>
      <c r="BM29" s="103" t="n"/>
      <c r="BN29" s="103" t="n"/>
      <c r="BO29" s="103" t="n"/>
      <c r="BP29" s="103" t="n"/>
      <c r="BQ29" s="103" t="n"/>
      <c r="BR29" s="103" t="n"/>
      <c r="BS29" s="103" t="n"/>
      <c r="BT29" s="103" t="n"/>
      <c r="BU29" s="103" t="n"/>
      <c r="BV29" s="103" t="n"/>
      <c r="BW29" s="103" t="n"/>
      <c r="BX29" s="103" t="n"/>
      <c r="BY29" s="103" t="n"/>
      <c r="BZ29" s="103" t="n"/>
      <c r="CA29" s="103" t="n"/>
      <c r="CB29" s="103" t="n"/>
      <c r="CC29" s="103" t="n"/>
      <c r="CD29" s="103" t="n"/>
      <c r="CE29" s="103" t="n"/>
      <c r="CF29" s="103" t="n"/>
      <c r="CG29" s="103" t="n"/>
      <c r="CH29" s="103" t="n"/>
      <c r="CI29" s="103" t="n"/>
      <c r="CJ29" s="103" t="n"/>
      <c r="CK29" s="103" t="n"/>
    </row>
    <row r="30" ht="20.25" customHeight="1">
      <c r="C30" s="511">
        <f>'25 Years Succession'!B12</f>
        <v/>
      </c>
      <c r="D30" s="2614" t="n"/>
      <c r="E30" s="2614" t="n"/>
      <c r="F30" s="2614" t="n"/>
      <c r="G30" s="2614" t="n"/>
      <c r="H30" s="2614" t="n"/>
      <c r="I30" s="2614" t="n"/>
      <c r="J30" s="2614" t="n"/>
      <c r="K30" s="2617" t="n"/>
      <c r="L30" s="36">
        <f>'25 Years Succession'!C12</f>
        <v/>
      </c>
      <c r="M30" s="2614" t="n"/>
      <c r="N30" s="2614" t="n"/>
      <c r="O30" s="2614" t="n"/>
      <c r="P30" s="2614" t="n"/>
      <c r="Q30" s="2614" t="n"/>
      <c r="R30" s="2614" t="n"/>
      <c r="S30" s="2614" t="n"/>
      <c r="T30" s="2614" t="n"/>
      <c r="U30" s="2617" t="n"/>
      <c r="V30" s="513">
        <f>'25 Years Succession'!D12</f>
        <v/>
      </c>
      <c r="W30" s="2614" t="n"/>
      <c r="X30" s="2617" t="n"/>
      <c r="Y30" s="513">
        <f>'25 Years Succession'!E12</f>
        <v/>
      </c>
      <c r="Z30" s="2614" t="n"/>
      <c r="AA30" s="2617" t="n"/>
      <c r="AB30" s="513">
        <f>'25 Years Succession'!F12</f>
        <v/>
      </c>
      <c r="AC30" s="2614" t="n"/>
      <c r="AD30" s="2617" t="n"/>
      <c r="AE30" s="513">
        <f>'25 Years Succession'!G12</f>
        <v/>
      </c>
      <c r="AF30" s="2614" t="n"/>
      <c r="AG30" s="2617" t="n"/>
      <c r="AH30" s="513">
        <f>'25 Years Succession'!I12</f>
        <v/>
      </c>
      <c r="AI30" s="2614" t="n"/>
      <c r="AJ30" s="2617" t="n"/>
      <c r="AK30" s="517">
        <f>'25 Years Succession'!J12</f>
        <v/>
      </c>
      <c r="AL30" s="2614" t="n"/>
      <c r="AM30" s="2614" t="n"/>
      <c r="AN30" s="2617" t="n"/>
      <c r="AO30" s="103" t="n"/>
      <c r="AP30" s="64" t="n"/>
      <c r="AQ30" s="64" t="n"/>
      <c r="AR30" s="545" t="n"/>
      <c r="AS30" s="64" t="n"/>
      <c r="AT30" s="64" t="n"/>
      <c r="AU30" s="64" t="n"/>
      <c r="AV30" s="64" t="n"/>
      <c r="AW30" s="64" t="n"/>
      <c r="AX30" s="103" t="n"/>
      <c r="AY30" s="103" t="n"/>
      <c r="AZ30" s="103" t="n"/>
      <c r="BA30" s="103" t="n"/>
      <c r="BB30" s="103" t="n"/>
      <c r="BC30" s="103" t="n"/>
      <c r="BD30" s="103" t="n"/>
      <c r="BE30" s="103" t="n"/>
      <c r="BF30" s="103" t="n"/>
      <c r="BG30" s="103" t="n"/>
      <c r="BH30" s="103" t="n"/>
      <c r="BI30" s="103" t="n"/>
      <c r="BJ30" s="103" t="n"/>
      <c r="BK30" s="103" t="n"/>
      <c r="BL30" s="103" t="n"/>
      <c r="BM30" s="103" t="n"/>
      <c r="BN30" s="103" t="n"/>
      <c r="BO30" s="103" t="n"/>
      <c r="BP30" s="103" t="n"/>
      <c r="BQ30" s="103" t="n"/>
      <c r="BR30" s="103" t="n"/>
      <c r="BS30" s="103" t="n"/>
      <c r="BT30" s="103" t="n"/>
      <c r="BU30" s="103" t="n"/>
      <c r="BV30" s="103" t="n"/>
      <c r="BW30" s="103" t="n"/>
      <c r="BX30" s="103" t="n"/>
      <c r="BY30" s="103" t="n"/>
      <c r="BZ30" s="103" t="n"/>
      <c r="CA30" s="103" t="n"/>
      <c r="CB30" s="103" t="n"/>
      <c r="CC30" s="103" t="n"/>
      <c r="CD30" s="103" t="n"/>
      <c r="CE30" s="103" t="n"/>
      <c r="CF30" s="103" t="n"/>
      <c r="CG30" s="103" t="n"/>
      <c r="CH30" s="103" t="n"/>
      <c r="CI30" s="103" t="n"/>
      <c r="CJ30" s="103" t="n"/>
      <c r="CK30" s="103" t="n"/>
    </row>
    <row r="31" ht="20.25" customHeight="1">
      <c r="C31" s="511">
        <f>'25 Years Succession'!B13</f>
        <v/>
      </c>
      <c r="D31" s="2614" t="n"/>
      <c r="E31" s="2614" t="n"/>
      <c r="F31" s="2614" t="n"/>
      <c r="G31" s="2614" t="n"/>
      <c r="H31" s="2614" t="n"/>
      <c r="I31" s="2614" t="n"/>
      <c r="J31" s="2614" t="n"/>
      <c r="K31" s="2617" t="n"/>
      <c r="L31" s="36">
        <f>'25 Years Succession'!C13</f>
        <v/>
      </c>
      <c r="M31" s="2614" t="n"/>
      <c r="N31" s="2614" t="n"/>
      <c r="O31" s="2614" t="n"/>
      <c r="P31" s="2614" t="n"/>
      <c r="Q31" s="2614" t="n"/>
      <c r="R31" s="2614" t="n"/>
      <c r="S31" s="2614" t="n"/>
      <c r="T31" s="2614" t="n"/>
      <c r="U31" s="2617" t="n"/>
      <c r="V31" s="513">
        <f>'25 Years Succession'!D13</f>
        <v/>
      </c>
      <c r="W31" s="2614" t="n"/>
      <c r="X31" s="2617" t="n"/>
      <c r="Y31" s="513">
        <f>'25 Years Succession'!E13</f>
        <v/>
      </c>
      <c r="Z31" s="2614" t="n"/>
      <c r="AA31" s="2617" t="n"/>
      <c r="AB31" s="513">
        <f>'25 Years Succession'!F13</f>
        <v/>
      </c>
      <c r="AC31" s="2614" t="n"/>
      <c r="AD31" s="2617" t="n"/>
      <c r="AE31" s="513">
        <f>'25 Years Succession'!G13</f>
        <v/>
      </c>
      <c r="AF31" s="2614" t="n"/>
      <c r="AG31" s="2617" t="n"/>
      <c r="AH31" s="513">
        <f>'25 Years Succession'!I13</f>
        <v/>
      </c>
      <c r="AI31" s="2614" t="n"/>
      <c r="AJ31" s="2617" t="n"/>
      <c r="AK31" s="517">
        <f>'25 Years Succession'!J13</f>
        <v/>
      </c>
      <c r="AL31" s="2614" t="n"/>
      <c r="AM31" s="2614" t="n"/>
      <c r="AN31" s="2617" t="n"/>
      <c r="AO31" s="103" t="n"/>
      <c r="AP31" s="64" t="n"/>
      <c r="AQ31" s="64" t="n"/>
      <c r="AR31" s="545" t="n"/>
      <c r="AS31" s="64" t="n"/>
      <c r="AT31" s="64" t="n"/>
      <c r="AU31" s="64" t="n"/>
      <c r="AV31" s="64" t="n"/>
      <c r="AW31" s="64" t="n"/>
      <c r="AX31" s="103" t="n"/>
      <c r="AY31" s="103" t="n"/>
      <c r="AZ31" s="103" t="n"/>
      <c r="BA31" s="103" t="n"/>
      <c r="BB31" s="103" t="n"/>
      <c r="BC31" s="103" t="n"/>
      <c r="BD31" s="103" t="n"/>
      <c r="BE31" s="103" t="n"/>
      <c r="BF31" s="103" t="n"/>
      <c r="BG31" s="103" t="n"/>
      <c r="BH31" s="103" t="n"/>
      <c r="BI31" s="103" t="n"/>
      <c r="BJ31" s="103" t="n"/>
      <c r="BK31" s="103" t="n"/>
      <c r="BL31" s="103" t="n"/>
      <c r="BM31" s="103" t="n"/>
      <c r="BN31" s="103" t="n"/>
      <c r="BO31" s="103" t="n"/>
      <c r="BP31" s="103" t="n"/>
      <c r="BQ31" s="103" t="n"/>
      <c r="BR31" s="103" t="n"/>
      <c r="BS31" s="103" t="n"/>
      <c r="BT31" s="103" t="n"/>
      <c r="BU31" s="103" t="n"/>
      <c r="BV31" s="103" t="n"/>
      <c r="BW31" s="103" t="n"/>
      <c r="BX31" s="103" t="n"/>
      <c r="BY31" s="103" t="n"/>
      <c r="BZ31" s="103" t="n"/>
      <c r="CA31" s="103" t="n"/>
      <c r="CB31" s="103" t="n"/>
      <c r="CC31" s="103" t="n"/>
      <c r="CD31" s="103" t="n"/>
      <c r="CE31" s="103" t="n"/>
      <c r="CF31" s="103" t="n"/>
      <c r="CG31" s="103" t="n"/>
      <c r="CH31" s="103" t="n"/>
      <c r="CI31" s="103" t="n"/>
      <c r="CJ31" s="103" t="n"/>
      <c r="CK31" s="103" t="n"/>
    </row>
    <row r="32" ht="20.25" customHeight="1">
      <c r="C32" s="36" t="inlineStr">
        <is>
          <t>‡gvU</t>
        </is>
      </c>
      <c r="D32" s="2614" t="n"/>
      <c r="E32" s="2614" t="n"/>
      <c r="F32" s="2614" t="n"/>
      <c r="G32" s="2614" t="n"/>
      <c r="H32" s="2614" t="n"/>
      <c r="I32" s="2614" t="n"/>
      <c r="J32" s="2614" t="n"/>
      <c r="K32" s="2614" t="n"/>
      <c r="L32" s="2614" t="n"/>
      <c r="M32" s="2614" t="n"/>
      <c r="N32" s="2614" t="n"/>
      <c r="O32" s="2614" t="n"/>
      <c r="P32" s="2614" t="n"/>
      <c r="Q32" s="2614" t="n"/>
      <c r="R32" s="2614" t="n"/>
      <c r="S32" s="2614" t="n"/>
      <c r="T32" s="2614" t="n"/>
      <c r="U32" s="2614" t="n"/>
      <c r="V32" s="2614" t="n"/>
      <c r="W32" s="2614" t="n"/>
      <c r="X32" s="2614" t="n"/>
      <c r="Y32" s="2614" t="n"/>
      <c r="Z32" s="2614" t="n"/>
      <c r="AA32" s="2614" t="n"/>
      <c r="AB32" s="2614" t="n"/>
      <c r="AC32" s="2614" t="n"/>
      <c r="AD32" s="2614" t="n"/>
      <c r="AE32" s="2614" t="n"/>
      <c r="AF32" s="2614" t="n"/>
      <c r="AG32" s="2614" t="n"/>
      <c r="AH32" s="2614" t="n"/>
      <c r="AI32" s="2614" t="n"/>
      <c r="AJ32" s="2617" t="n"/>
      <c r="AK32" s="517">
        <f>AK30+AK31</f>
        <v/>
      </c>
      <c r="AL32" s="2614" t="n"/>
      <c r="AM32" s="2614" t="n"/>
      <c r="AN32" s="2617" t="n"/>
      <c r="AO32" s="103" t="n"/>
      <c r="AP32" s="64" t="n"/>
      <c r="AQ32" s="64" t="n"/>
      <c r="AR32" s="545" t="n"/>
      <c r="AS32" s="64" t="n"/>
      <c r="AT32" s="64" t="n"/>
      <c r="AU32" s="64" t="n"/>
      <c r="AV32" s="64" t="n"/>
      <c r="AW32" s="64" t="n"/>
      <c r="AX32" s="103" t="n"/>
      <c r="AY32" s="103" t="n"/>
      <c r="AZ32" s="103" t="n"/>
      <c r="BA32" s="103" t="n"/>
      <c r="BB32" s="103" t="n"/>
      <c r="BC32" s="103" t="n"/>
      <c r="BD32" s="103" t="n"/>
      <c r="BE32" s="103" t="n"/>
      <c r="BF32" s="103" t="n"/>
      <c r="BG32" s="103" t="n"/>
      <c r="BH32" s="103" t="n"/>
      <c r="BI32" s="103" t="n"/>
      <c r="BJ32" s="103" t="n"/>
      <c r="BK32" s="103" t="n"/>
      <c r="BL32" s="103" t="n"/>
      <c r="BM32" s="103" t="n"/>
      <c r="BN32" s="103" t="n"/>
      <c r="BO32" s="103" t="n"/>
      <c r="BP32" s="103" t="n"/>
      <c r="BQ32" s="103" t="n"/>
      <c r="BR32" s="103" t="n"/>
      <c r="BS32" s="103" t="n"/>
      <c r="BT32" s="103" t="n"/>
      <c r="BU32" s="103" t="n"/>
      <c r="BV32" s="103" t="n"/>
      <c r="BW32" s="103" t="n"/>
      <c r="BX32" s="103" t="n"/>
      <c r="BY32" s="103" t="n"/>
      <c r="BZ32" s="103" t="n"/>
      <c r="CA32" s="103" t="n"/>
      <c r="CB32" s="103" t="n"/>
      <c r="CC32" s="103" t="n"/>
      <c r="CD32" s="103" t="n"/>
      <c r="CE32" s="103" t="n"/>
      <c r="CF32" s="103" t="n"/>
      <c r="CG32" s="103" t="n"/>
      <c r="CH32" s="103" t="n"/>
      <c r="CI32" s="103" t="n"/>
      <c r="CJ32" s="103" t="n"/>
      <c r="CK32" s="103" t="n"/>
    </row>
    <row r="33" ht="11.25" customHeight="1">
      <c r="A33" s="603" t="n"/>
      <c r="B33" s="603" t="n"/>
      <c r="C33" s="198" t="n"/>
      <c r="D33" s="76" t="n"/>
      <c r="E33" s="76" t="n"/>
      <c r="F33" s="76" t="n"/>
      <c r="G33" s="76" t="n"/>
      <c r="H33" s="76" t="n"/>
      <c r="I33" s="76" t="n"/>
      <c r="J33" s="76" t="n"/>
      <c r="K33" s="76" t="n"/>
      <c r="L33" s="198" t="n"/>
      <c r="M33" s="76" t="n"/>
      <c r="N33" s="76" t="n"/>
      <c r="O33" s="76" t="n"/>
      <c r="P33" s="76" t="n"/>
      <c r="Q33" s="76" t="n"/>
      <c r="R33" s="76" t="n"/>
      <c r="S33" s="76" t="n"/>
      <c r="T33" s="76" t="n"/>
      <c r="U33" s="76" t="n"/>
      <c r="V33" s="111" t="n"/>
      <c r="W33" s="463" t="n"/>
      <c r="X33" s="600" t="n"/>
      <c r="Y33" s="111" t="n"/>
      <c r="Z33" s="600" t="n"/>
      <c r="AA33" s="463" t="n"/>
      <c r="AB33" s="111" t="n"/>
      <c r="AC33" s="600" t="n"/>
      <c r="AD33" s="600" t="n"/>
      <c r="AE33" s="111" t="n"/>
      <c r="AF33" s="600" t="n"/>
      <c r="AG33" s="600" t="n"/>
      <c r="AH33" s="111" t="n"/>
      <c r="AI33" s="600" t="n"/>
      <c r="AJ33" s="80" t="n"/>
      <c r="AK33" s="482" t="n"/>
      <c r="AL33" s="600" t="n"/>
      <c r="AM33" s="600" t="n"/>
      <c r="AN33" s="600" t="n"/>
      <c r="AO33" s="103" t="n"/>
      <c r="AP33" s="64" t="n"/>
      <c r="AQ33" s="64" t="n"/>
      <c r="AR33" s="545" t="n"/>
      <c r="AS33" s="64" t="n"/>
      <c r="AT33" s="64" t="n"/>
      <c r="AU33" s="64" t="n"/>
      <c r="AV33" s="64" t="n"/>
      <c r="AW33" s="64" t="n"/>
      <c r="AX33" s="103" t="n"/>
      <c r="AY33" s="103" t="n"/>
      <c r="AZ33" s="103" t="n"/>
      <c r="BA33" s="103" t="n"/>
      <c r="BB33" s="103" t="n"/>
      <c r="BC33" s="103" t="n"/>
      <c r="BD33" s="103" t="n"/>
      <c r="BE33" s="103" t="n"/>
      <c r="BF33" s="103" t="n"/>
      <c r="BG33" s="103" t="n"/>
      <c r="BH33" s="103" t="n"/>
      <c r="BI33" s="103" t="n"/>
      <c r="BJ33" s="103" t="n"/>
      <c r="BK33" s="103" t="n"/>
      <c r="BL33" s="103" t="n"/>
      <c r="BM33" s="103" t="n"/>
      <c r="BN33" s="103" t="n"/>
      <c r="BO33" s="103" t="n"/>
      <c r="BP33" s="103" t="n"/>
      <c r="BQ33" s="103" t="n"/>
      <c r="BR33" s="103" t="n"/>
      <c r="BS33" s="103" t="n"/>
      <c r="BT33" s="103" t="n"/>
      <c r="BU33" s="103" t="n"/>
      <c r="BV33" s="103" t="n"/>
      <c r="BW33" s="103" t="n"/>
      <c r="BX33" s="103" t="n"/>
      <c r="BY33" s="103" t="n"/>
      <c r="BZ33" s="103" t="n"/>
      <c r="CA33" s="103" t="n"/>
      <c r="CB33" s="103" t="n"/>
      <c r="CC33" s="103" t="n"/>
      <c r="CD33" s="103" t="n"/>
      <c r="CE33" s="103" t="n"/>
      <c r="CF33" s="103" t="n"/>
      <c r="CG33" s="103" t="n"/>
      <c r="CH33" s="103" t="n"/>
      <c r="CI33" s="103" t="n"/>
      <c r="CJ33" s="103" t="n"/>
      <c r="CK33" s="103" t="n"/>
    </row>
    <row r="34" ht="33.75" customHeight="1">
      <c r="A34" s="603" t="inlineStr">
        <is>
          <t>7|</t>
        </is>
      </c>
      <c r="C34" s="198" t="inlineStr">
        <is>
          <t>RvgvbZ/mnvqK Rvgvb‡Zi Dci PvR©</t>
        </is>
      </c>
      <c r="V34" s="111" t="inlineStr">
        <is>
          <t>t</t>
        </is>
      </c>
      <c r="W34" s="488" t="inlineStr">
        <is>
          <t>e¨vs‡Ki cÖPwjZ wbq‡g cÖ_g PvR© m„wó Kiv n‡e|</t>
        </is>
      </c>
      <c r="AO34" s="103" t="n"/>
      <c r="AP34" s="64" t="n"/>
      <c r="AQ34" s="64" t="n"/>
      <c r="AR34" s="545" t="n"/>
      <c r="AS34" s="64" t="n"/>
      <c r="AT34" s="64" t="n"/>
      <c r="AU34" s="64" t="n"/>
      <c r="AV34" s="64" t="n"/>
      <c r="AW34" s="64" t="n"/>
      <c r="AX34" s="103" t="n"/>
      <c r="AY34" s="103" t="n"/>
      <c r="AZ34" s="103" t="n"/>
      <c r="BA34" s="103" t="n"/>
      <c r="BB34" s="103" t="n"/>
      <c r="BC34" s="103" t="n"/>
      <c r="BD34" s="103" t="n"/>
      <c r="BE34" s="103" t="n"/>
      <c r="BF34" s="103" t="n"/>
      <c r="BG34" s="103" t="n"/>
      <c r="BH34" s="103" t="n"/>
      <c r="BI34" s="103" t="n"/>
      <c r="BJ34" s="103" t="n"/>
      <c r="BK34" s="103" t="n"/>
      <c r="BL34" s="103" t="n"/>
      <c r="BM34" s="103" t="n"/>
      <c r="BN34" s="103" t="n"/>
      <c r="BO34" s="103" t="n"/>
      <c r="BP34" s="103" t="n"/>
      <c r="BQ34" s="103" t="n"/>
      <c r="BR34" s="103" t="n"/>
      <c r="BS34" s="103" t="n"/>
      <c r="BT34" s="103" t="n"/>
      <c r="BU34" s="103" t="n"/>
      <c r="BV34" s="103" t="n"/>
      <c r="BW34" s="103" t="n"/>
      <c r="BX34" s="103" t="n"/>
      <c r="BY34" s="103" t="n"/>
      <c r="BZ34" s="103" t="n"/>
      <c r="CA34" s="103" t="n"/>
      <c r="CB34" s="103" t="n"/>
      <c r="CC34" s="103" t="n"/>
      <c r="CD34" s="103" t="n"/>
      <c r="CE34" s="103" t="n"/>
      <c r="CF34" s="103" t="n"/>
      <c r="CG34" s="103" t="n"/>
      <c r="CH34" s="103" t="n"/>
      <c r="CI34" s="103" t="n"/>
      <c r="CJ34" s="103" t="n"/>
      <c r="CK34" s="103" t="n"/>
    </row>
    <row r="35" ht="18.75" customHeight="1">
      <c r="A35" s="603" t="inlineStr">
        <is>
          <t>8|</t>
        </is>
      </c>
      <c r="C35" s="111" t="inlineStr">
        <is>
          <t>`wjj m¤úv`b</t>
        </is>
      </c>
      <c r="V35" s="111" t="inlineStr">
        <is>
          <t>t</t>
        </is>
      </c>
      <c r="W35" s="488" t="inlineStr">
        <is>
          <t>e¨vs‡Ki cÖPwjZ wbq‡g|</t>
        </is>
      </c>
      <c r="AO35" s="103" t="n"/>
      <c r="AP35" s="64" t="n"/>
      <c r="AQ35" s="64" t="n"/>
      <c r="AR35" s="545" t="n"/>
      <c r="AS35" s="64" t="n"/>
      <c r="AT35" s="64" t="n"/>
      <c r="AU35" s="64" t="n"/>
      <c r="AV35" s="64" t="n"/>
      <c r="AW35" s="64" t="n"/>
      <c r="AX35" s="103" t="n"/>
      <c r="AY35" s="103" t="n"/>
      <c r="AZ35" s="103" t="n"/>
      <c r="BA35" s="103" t="n"/>
      <c r="BB35" s="103" t="n"/>
      <c r="BC35" s="103" t="n"/>
      <c r="BD35" s="103" t="n"/>
      <c r="BE35" s="103" t="n"/>
      <c r="BF35" s="103" t="n"/>
      <c r="BG35" s="103" t="n"/>
      <c r="BH35" s="103" t="n"/>
      <c r="BI35" s="103" t="n"/>
      <c r="BJ35" s="103" t="n"/>
      <c r="BK35" s="103" t="n"/>
      <c r="BL35" s="103" t="n"/>
      <c r="BM35" s="103" t="n"/>
      <c r="BN35" s="103" t="n"/>
      <c r="BO35" s="103" t="n"/>
      <c r="BP35" s="103" t="n"/>
      <c r="BQ35" s="103" t="n"/>
      <c r="BR35" s="103" t="n"/>
      <c r="BS35" s="103" t="n"/>
      <c r="BT35" s="103" t="n"/>
      <c r="BU35" s="103" t="n"/>
      <c r="BV35" s="103" t="n"/>
      <c r="BW35" s="103" t="n"/>
      <c r="BX35" s="103" t="n"/>
      <c r="BY35" s="103" t="n"/>
      <c r="BZ35" s="103" t="n"/>
      <c r="CA35" s="103" t="n"/>
      <c r="CB35" s="103" t="n"/>
      <c r="CC35" s="103" t="n"/>
      <c r="CD35" s="103" t="n"/>
      <c r="CE35" s="103" t="n"/>
      <c r="CF35" s="103" t="n"/>
      <c r="CG35" s="103" t="n"/>
      <c r="CH35" s="103" t="n"/>
      <c r="CI35" s="103" t="n"/>
      <c r="CJ35" s="103" t="n"/>
      <c r="CK35" s="103" t="n"/>
    </row>
    <row r="36" ht="69.75" customHeight="1">
      <c r="A36" s="603" t="inlineStr">
        <is>
          <t>9|</t>
        </is>
      </c>
      <c r="C36" s="198" t="inlineStr">
        <is>
          <t>my`/mvwf©m PvR©/`Û my` BZ¨vw`</t>
        </is>
      </c>
      <c r="V36" s="111" t="inlineStr">
        <is>
          <t>t</t>
        </is>
      </c>
      <c r="W36" s="520">
        <f>TEXT(AR20,"00.00")&amp;"% (cwieZ©b †hvM¨) ˆÎgvwmK wfwË‡Z Av`vq‡hvM¨| (Z‡e gÄyixc‡Îi kZ© wba©vwiZ  mg‡q cwi‡kv‡a e¨_© n‡j e¨vsK KZ©„K cwiewZ©Z my‡`i nvi GB F‡Yi †ÿ‡Î cÖ‡hvR¨ n‡e| h_v mg‡q cwi‡kva Ki‡Z bv cvi‡j AwZwi³ 1.50% nv‡i my` Av`vq Kiv n‡e)|"</f>
        <v/>
      </c>
      <c r="AO36" s="103" t="n"/>
      <c r="AP36" s="64" t="n"/>
      <c r="AQ36" s="64" t="n"/>
      <c r="AR36" s="545" t="n"/>
      <c r="AS36" s="64" t="n"/>
      <c r="AT36" s="64" t="n"/>
      <c r="AU36" s="64" t="n"/>
      <c r="AV36" s="64" t="n"/>
      <c r="AW36" s="64" t="n"/>
      <c r="AX36" s="103" t="n"/>
      <c r="AY36" s="103" t="n"/>
      <c r="AZ36" s="103" t="n"/>
      <c r="BA36" s="103" t="n"/>
      <c r="BB36" s="103" t="n"/>
      <c r="BC36" s="103" t="n"/>
      <c r="BD36" s="103" t="n"/>
      <c r="BE36" s="103" t="n"/>
      <c r="BF36" s="103" t="n"/>
      <c r="BG36" s="103" t="n"/>
      <c r="BH36" s="103" t="n"/>
      <c r="BI36" s="103" t="n"/>
      <c r="BJ36" s="103" t="n"/>
      <c r="BK36" s="103" t="n"/>
      <c r="BL36" s="103" t="n"/>
      <c r="BM36" s="103" t="n"/>
      <c r="BN36" s="103" t="n"/>
      <c r="BO36" s="103" t="n"/>
      <c r="BP36" s="103" t="n"/>
      <c r="BQ36" s="103" t="n"/>
      <c r="BR36" s="103" t="n"/>
      <c r="BS36" s="103" t="n"/>
      <c r="BT36" s="103" t="n"/>
      <c r="BU36" s="103" t="n"/>
      <c r="BV36" s="103" t="n"/>
      <c r="BW36" s="103" t="n"/>
      <c r="BX36" s="103" t="n"/>
      <c r="BY36" s="103" t="n"/>
      <c r="BZ36" s="103" t="n"/>
      <c r="CA36" s="103" t="n"/>
      <c r="CB36" s="103" t="n"/>
      <c r="CC36" s="103" t="n"/>
      <c r="CD36" s="103" t="n"/>
      <c r="CE36" s="103" t="n"/>
      <c r="CF36" s="103" t="n"/>
      <c r="CG36" s="103" t="n"/>
      <c r="CH36" s="103" t="n"/>
      <c r="CI36" s="103" t="n"/>
      <c r="CJ36" s="103" t="n"/>
      <c r="CK36" s="103" t="n"/>
    </row>
    <row r="37" ht="18" customHeight="1">
      <c r="A37" s="603" t="inlineStr">
        <is>
          <t>10|</t>
        </is>
      </c>
      <c r="C37" s="198" t="inlineStr">
        <is>
          <t>cwi‡kva c×wZ</t>
        </is>
      </c>
      <c r="V37" s="111" t="inlineStr">
        <is>
          <t>t</t>
        </is>
      </c>
      <c r="W37" s="520" t="inlineStr">
        <is>
          <t>weZi‡bi ZvwiL n‡Z cieZx© 1 eQi ‡gqv‡` my`mn cwi‡kva‡hvM¨/bevqb‡hvM¨ n‡e|</t>
        </is>
      </c>
      <c r="AO37" s="103" t="n"/>
      <c r="AP37" s="64" t="n"/>
      <c r="AQ37" s="64" t="n"/>
      <c r="AR37" s="545" t="n"/>
      <c r="AS37" s="64" t="n"/>
      <c r="AT37" s="64" t="n"/>
      <c r="AU37" s="64" t="n"/>
      <c r="AV37" s="64" t="n"/>
      <c r="AW37" s="64" t="n"/>
      <c r="AX37" s="103" t="n"/>
      <c r="AY37" s="103" t="n"/>
      <c r="AZ37" s="103" t="n"/>
      <c r="BA37" s="103" t="n"/>
      <c r="BB37" s="103" t="n"/>
      <c r="BC37" s="103" t="n"/>
      <c r="BD37" s="103" t="n"/>
      <c r="BE37" s="103" t="n"/>
      <c r="BF37" s="103" t="n"/>
      <c r="BG37" s="103" t="n"/>
      <c r="BH37" s="103" t="n"/>
      <c r="BI37" s="103" t="n"/>
      <c r="BJ37" s="103" t="n"/>
      <c r="BK37" s="103" t="n"/>
      <c r="BL37" s="103" t="n"/>
      <c r="BM37" s="103" t="n"/>
      <c r="BN37" s="103" t="n"/>
      <c r="BO37" s="103" t="n"/>
      <c r="BP37" s="103" t="n"/>
      <c r="BQ37" s="103" t="n"/>
      <c r="BR37" s="103" t="n"/>
      <c r="BS37" s="103" t="n"/>
      <c r="BT37" s="103" t="n"/>
      <c r="BU37" s="103" t="n"/>
      <c r="BV37" s="103" t="n"/>
      <c r="BW37" s="103" t="n"/>
      <c r="BX37" s="103" t="n"/>
      <c r="BY37" s="103" t="n"/>
      <c r="BZ37" s="103" t="n"/>
      <c r="CA37" s="103" t="n"/>
      <c r="CB37" s="103" t="n"/>
      <c r="CC37" s="103" t="n"/>
      <c r="CD37" s="103" t="n"/>
      <c r="CE37" s="103" t="n"/>
      <c r="CF37" s="103" t="n"/>
      <c r="CG37" s="103" t="n"/>
      <c r="CH37" s="103" t="n"/>
      <c r="CI37" s="103" t="n"/>
      <c r="CJ37" s="103" t="n"/>
      <c r="CK37" s="103" t="n"/>
    </row>
    <row r="38" ht="18" customHeight="1">
      <c r="A38" s="603" t="inlineStr">
        <is>
          <t>11|</t>
        </is>
      </c>
      <c r="C38" s="198" t="inlineStr">
        <is>
          <t>Avnib c×wZ</t>
        </is>
      </c>
      <c r="V38" s="111" t="inlineStr">
        <is>
          <t>t</t>
        </is>
      </c>
      <c r="W38" s="520" t="n"/>
      <c r="AO38" s="103" t="n"/>
      <c r="AP38" s="64" t="n"/>
      <c r="AQ38" s="64" t="n"/>
      <c r="AR38" s="545" t="n"/>
      <c r="AS38" s="64" t="n"/>
      <c r="AT38" s="64" t="n"/>
      <c r="AU38" s="64" t="n"/>
      <c r="AV38" s="64" t="n"/>
      <c r="AW38" s="64" t="n"/>
      <c r="AX38" s="103" t="n"/>
      <c r="AY38" s="103" t="n"/>
      <c r="AZ38" s="103" t="n"/>
      <c r="BA38" s="103" t="n"/>
      <c r="BB38" s="103" t="n"/>
      <c r="BC38" s="103" t="n"/>
      <c r="BD38" s="103" t="n"/>
      <c r="BE38" s="103" t="n"/>
      <c r="BF38" s="103" t="n"/>
      <c r="BG38" s="103" t="n"/>
      <c r="BH38" s="103" t="n"/>
      <c r="BI38" s="103" t="n"/>
      <c r="BJ38" s="103" t="n"/>
      <c r="BK38" s="103" t="n"/>
      <c r="BL38" s="103" t="n"/>
      <c r="BM38" s="103" t="n"/>
      <c r="BN38" s="103" t="n"/>
      <c r="BO38" s="103" t="n"/>
      <c r="BP38" s="103" t="n"/>
      <c r="BQ38" s="103" t="n"/>
      <c r="BR38" s="103" t="n"/>
      <c r="BS38" s="103" t="n"/>
      <c r="BT38" s="103" t="n"/>
      <c r="BU38" s="103" t="n"/>
      <c r="BV38" s="103" t="n"/>
      <c r="BW38" s="103" t="n"/>
      <c r="BX38" s="103" t="n"/>
      <c r="BY38" s="103" t="n"/>
      <c r="BZ38" s="103" t="n"/>
      <c r="CA38" s="103" t="n"/>
      <c r="CB38" s="103" t="n"/>
      <c r="CC38" s="103" t="n"/>
      <c r="CD38" s="103" t="n"/>
      <c r="CE38" s="103" t="n"/>
      <c r="CF38" s="103" t="n"/>
      <c r="CG38" s="103" t="n"/>
      <c r="CH38" s="103" t="n"/>
      <c r="CI38" s="103" t="n"/>
      <c r="CJ38" s="103" t="n"/>
      <c r="CK38" s="103" t="n"/>
    </row>
    <row r="39" ht="53.25" customHeight="1">
      <c r="A39" s="603" t="inlineStr">
        <is>
          <t>12|</t>
        </is>
      </c>
      <c r="C39" s="111" t="inlineStr">
        <is>
          <t>exgv</t>
        </is>
      </c>
      <c r="V39" s="111" t="inlineStr">
        <is>
          <t>t</t>
        </is>
      </c>
      <c r="W39" s="530" t="inlineStr">
        <is>
          <t xml:space="preserve">e¨vs‡K cÖ`vbK…Z RvgvbZ I cb¨ eÜKx‡Z cÖ`Ë c‡b¨i evRvi gy‡j¨i mv‡_ 10% †hvM K‡i mKj cÖKvi SzwKi wecix‡Z e¨vsK I D‡`¨v³vi †hŠ_bv‡g D‡`¨v³vi Li‡P KgwcÖ‡nbwkf exgv Ki‡Z n‡e| 
</t>
        </is>
      </c>
      <c r="AO39" s="103" t="n"/>
      <c r="AP39" s="64" t="n"/>
      <c r="AQ39" s="64" t="n"/>
      <c r="AR39" s="545" t="n"/>
      <c r="AS39" s="64" t="n"/>
      <c r="AT39" s="64" t="n"/>
      <c r="AU39" s="64" t="n"/>
      <c r="AV39" s="64" t="n"/>
      <c r="AW39" s="64" t="n"/>
      <c r="AX39" s="103" t="n"/>
      <c r="AY39" s="103" t="n"/>
      <c r="AZ39" s="103" t="n"/>
      <c r="BA39" s="103" t="n"/>
      <c r="BB39" s="103" t="n"/>
      <c r="BC39" s="103" t="n"/>
      <c r="BD39" s="103" t="n"/>
      <c r="BE39" s="103" t="n"/>
      <c r="BF39" s="103" t="n"/>
      <c r="BG39" s="103" t="n"/>
      <c r="BH39" s="103" t="n"/>
      <c r="BI39" s="103" t="n"/>
      <c r="BJ39" s="103" t="n"/>
      <c r="BK39" s="103" t="n"/>
      <c r="BL39" s="103" t="n"/>
      <c r="BM39" s="103" t="n"/>
      <c r="BN39" s="103" t="n"/>
      <c r="BO39" s="103" t="n"/>
      <c r="BP39" s="103" t="n"/>
      <c r="BQ39" s="103" t="n"/>
      <c r="BR39" s="103" t="n"/>
      <c r="BS39" s="103" t="n"/>
      <c r="BT39" s="103" t="n"/>
      <c r="BU39" s="103" t="n"/>
      <c r="BV39" s="103" t="n"/>
      <c r="BW39" s="103" t="n"/>
      <c r="BX39" s="103" t="n"/>
      <c r="BY39" s="103" t="n"/>
      <c r="BZ39" s="103" t="n"/>
      <c r="CA39" s="103" t="n"/>
      <c r="CB39" s="103" t="n"/>
      <c r="CC39" s="103" t="n"/>
      <c r="CD39" s="103" t="n"/>
      <c r="CE39" s="103" t="n"/>
      <c r="CF39" s="103" t="n"/>
      <c r="CG39" s="103" t="n"/>
      <c r="CH39" s="103" t="n"/>
      <c r="CI39" s="103" t="n"/>
      <c r="CJ39" s="103" t="n"/>
      <c r="CK39" s="103" t="n"/>
    </row>
    <row r="40" ht="15" customHeight="1">
      <c r="A40" s="603" t="inlineStr">
        <is>
          <t>13|</t>
        </is>
      </c>
      <c r="C40" s="111" t="inlineStr">
        <is>
          <t>FY ZË¡veavb/cwiaviY</t>
        </is>
      </c>
      <c r="V40" s="111" t="inlineStr">
        <is>
          <t>t</t>
        </is>
      </c>
      <c r="W40" s="463" t="inlineStr">
        <is>
          <t>cÖPwjZ wbq‡g|</t>
        </is>
      </c>
      <c r="AO40" s="103" t="n"/>
      <c r="AP40" s="64" t="n"/>
      <c r="AQ40" s="64" t="n"/>
      <c r="AR40" s="545" t="n"/>
      <c r="AS40" s="64" t="n"/>
      <c r="AT40" s="64" t="n"/>
      <c r="AU40" s="64" t="n"/>
      <c r="AV40" s="64" t="n"/>
      <c r="AW40" s="64" t="n"/>
      <c r="AX40" s="103" t="n"/>
      <c r="AY40" s="103" t="n"/>
      <c r="AZ40" s="103" t="n"/>
      <c r="BA40" s="103" t="n"/>
      <c r="BB40" s="103" t="n"/>
      <c r="BC40" s="103" t="n"/>
      <c r="BD40" s="103" t="n"/>
      <c r="BE40" s="103" t="n"/>
      <c r="BF40" s="103" t="n"/>
      <c r="BG40" s="103" t="n"/>
      <c r="BH40" s="103" t="n"/>
      <c r="BI40" s="103" t="n"/>
      <c r="BJ40" s="103" t="n"/>
      <c r="BK40" s="103" t="n"/>
      <c r="BL40" s="103" t="n"/>
      <c r="BM40" s="103" t="n"/>
      <c r="BN40" s="103" t="n"/>
      <c r="BO40" s="103" t="n"/>
      <c r="BP40" s="103" t="n"/>
      <c r="BQ40" s="103" t="n"/>
      <c r="BR40" s="103" t="n"/>
      <c r="BS40" s="103" t="n"/>
      <c r="BT40" s="103" t="n"/>
      <c r="BU40" s="103" t="n"/>
      <c r="BV40" s="103" t="n"/>
      <c r="BW40" s="103" t="n"/>
      <c r="BX40" s="103" t="n"/>
      <c r="BY40" s="103" t="n"/>
      <c r="BZ40" s="103" t="n"/>
      <c r="CA40" s="103" t="n"/>
      <c r="CB40" s="103" t="n"/>
      <c r="CC40" s="103" t="n"/>
      <c r="CD40" s="103" t="n"/>
      <c r="CE40" s="103" t="n"/>
      <c r="CF40" s="103" t="n"/>
      <c r="CG40" s="103" t="n"/>
      <c r="CH40" s="103" t="n"/>
      <c r="CI40" s="103" t="n"/>
      <c r="CJ40" s="103" t="n"/>
      <c r="CK40" s="103" t="n"/>
    </row>
    <row r="41" ht="32.25" customHeight="1">
      <c r="A41" s="603" t="inlineStr">
        <is>
          <t>14|</t>
        </is>
      </c>
      <c r="C41" s="198" t="inlineStr">
        <is>
          <t xml:space="preserve">FY cwi‡kva (†iqvZxKvj D‡jøL Kiæb) </t>
        </is>
      </c>
      <c r="V41" s="111" t="inlineStr">
        <is>
          <t>t</t>
        </is>
      </c>
      <c r="W41" s="463" t="inlineStr">
        <is>
          <t>weZi‡bi ZvwiL n‡Z 1 erm‡i cwi‡kva‡hvM¨ |</t>
        </is>
      </c>
      <c r="AO41" s="103" t="n"/>
      <c r="AP41" s="64" t="n"/>
      <c r="AQ41" s="64" t="n"/>
      <c r="AR41" s="545" t="n"/>
      <c r="AS41" s="64" t="n"/>
      <c r="AT41" s="64" t="n"/>
      <c r="AU41" s="64" t="n"/>
      <c r="AV41" s="64" t="n"/>
      <c r="AW41" s="64" t="n"/>
      <c r="AX41" s="103" t="n"/>
      <c r="AY41" s="103" t="n"/>
      <c r="AZ41" s="103" t="n"/>
      <c r="BA41" s="103" t="n"/>
      <c r="BB41" s="103" t="n"/>
      <c r="BC41" s="103" t="n"/>
      <c r="BD41" s="103" t="n"/>
      <c r="BE41" s="103" t="n"/>
      <c r="BF41" s="103" t="n"/>
      <c r="BG41" s="103" t="n"/>
      <c r="BH41" s="103" t="n"/>
      <c r="BI41" s="103" t="n"/>
      <c r="BJ41" s="103" t="n"/>
      <c r="BK41" s="103" t="n"/>
      <c r="BL41" s="103" t="n"/>
      <c r="BM41" s="103" t="n"/>
      <c r="BN41" s="103" t="n"/>
      <c r="BO41" s="103" t="n"/>
      <c r="BP41" s="103" t="n"/>
      <c r="BQ41" s="103" t="n"/>
      <c r="BR41" s="103" t="n"/>
      <c r="BS41" s="103" t="n"/>
      <c r="BT41" s="103" t="n"/>
      <c r="BU41" s="103" t="n"/>
      <c r="BV41" s="103" t="n"/>
      <c r="BW41" s="103" t="n"/>
      <c r="BX41" s="103" t="n"/>
      <c r="BY41" s="103" t="n"/>
      <c r="BZ41" s="103" t="n"/>
      <c r="CA41" s="103" t="n"/>
      <c r="CB41" s="103" t="n"/>
      <c r="CC41" s="103" t="n"/>
      <c r="CD41" s="103" t="n"/>
      <c r="CE41" s="103" t="n"/>
      <c r="CF41" s="103" t="n"/>
      <c r="CG41" s="103" t="n"/>
      <c r="CH41" s="103" t="n"/>
      <c r="CI41" s="103" t="n"/>
      <c r="CJ41" s="103" t="n"/>
      <c r="CK41" s="103" t="n"/>
    </row>
    <row r="42" ht="32.25" customHeight="1">
      <c r="A42" s="603" t="n"/>
      <c r="B42" s="603" t="n"/>
      <c r="C42" s="198" t="n"/>
      <c r="D42" s="76" t="n"/>
      <c r="E42" s="76" t="n"/>
      <c r="F42" s="76" t="n"/>
      <c r="G42" s="76" t="n"/>
      <c r="H42" s="76" t="n"/>
      <c r="I42" s="76" t="n"/>
      <c r="J42" s="76" t="n"/>
      <c r="K42" s="76" t="n"/>
      <c r="L42" s="198" t="n"/>
      <c r="M42" s="76" t="n"/>
      <c r="N42" s="76" t="n"/>
      <c r="O42" s="76" t="n"/>
      <c r="P42" s="76" t="n"/>
      <c r="Q42" s="76" t="n"/>
      <c r="R42" s="76" t="n"/>
      <c r="S42" s="76" t="n"/>
      <c r="T42" s="76" t="n"/>
      <c r="U42" s="76" t="n"/>
      <c r="V42" s="111" t="n"/>
      <c r="W42" s="463" t="n"/>
      <c r="X42" s="600" t="n"/>
      <c r="Y42" s="111" t="n"/>
      <c r="Z42" s="600" t="n"/>
      <c r="AA42" s="463" t="n"/>
      <c r="AB42" s="111" t="n"/>
      <c r="AC42" s="600" t="n"/>
      <c r="AD42" s="600" t="n"/>
      <c r="AE42" s="111" t="n"/>
      <c r="AF42" s="600" t="n"/>
      <c r="AG42" s="600" t="n"/>
      <c r="AH42" s="111" t="n"/>
      <c r="AI42" s="600" t="n"/>
      <c r="AJ42" s="80" t="n"/>
      <c r="AK42" s="482" t="n"/>
      <c r="AL42" s="600" t="n"/>
      <c r="AM42" s="600" t="n"/>
      <c r="AN42" s="600" t="n"/>
      <c r="AO42" s="103" t="n"/>
      <c r="AP42" s="64" t="n"/>
      <c r="AQ42" s="64" t="n"/>
      <c r="AR42" s="545" t="n"/>
      <c r="AS42" s="64" t="n"/>
      <c r="AT42" s="64" t="n"/>
      <c r="AU42" s="64" t="n"/>
      <c r="AV42" s="64" t="n"/>
      <c r="AW42" s="64" t="n"/>
      <c r="AX42" s="103" t="n"/>
      <c r="AY42" s="103" t="n"/>
      <c r="AZ42" s="103" t="n"/>
      <c r="BA42" s="103" t="n"/>
      <c r="BB42" s="103" t="n"/>
      <c r="BC42" s="103" t="n"/>
      <c r="BD42" s="103" t="n"/>
      <c r="BE42" s="103" t="n"/>
      <c r="BF42" s="103" t="n"/>
      <c r="BG42" s="103" t="n"/>
      <c r="BH42" s="103" t="n"/>
      <c r="BI42" s="103" t="n"/>
      <c r="BJ42" s="103" t="n"/>
      <c r="BK42" s="103" t="n"/>
      <c r="BL42" s="103" t="n"/>
      <c r="BM42" s="103" t="n"/>
      <c r="BN42" s="103" t="n"/>
      <c r="BO42" s="103" t="n"/>
      <c r="BP42" s="103" t="n"/>
      <c r="BQ42" s="103" t="n"/>
      <c r="BR42" s="103" t="n"/>
      <c r="BS42" s="103" t="n"/>
      <c r="BT42" s="103" t="n"/>
      <c r="BU42" s="103" t="n"/>
      <c r="BV42" s="103" t="n"/>
      <c r="BW42" s="103" t="n"/>
      <c r="BX42" s="103" t="n"/>
      <c r="BY42" s="103" t="n"/>
      <c r="BZ42" s="103" t="n"/>
      <c r="CA42" s="103" t="n"/>
      <c r="CB42" s="103" t="n"/>
      <c r="CC42" s="103" t="n"/>
      <c r="CD42" s="103" t="n"/>
      <c r="CE42" s="103" t="n"/>
      <c r="CF42" s="103" t="n"/>
      <c r="CG42" s="103" t="n"/>
      <c r="CH42" s="103" t="n"/>
      <c r="CI42" s="103" t="n"/>
      <c r="CJ42" s="103" t="n"/>
      <c r="CK42" s="103" t="n"/>
    </row>
    <row r="43" ht="32.25" customHeight="1">
      <c r="A43" s="603" t="n"/>
      <c r="B43" s="603" t="n"/>
      <c r="C43" s="198" t="n"/>
      <c r="D43" s="76" t="n"/>
      <c r="E43" s="76" t="n"/>
      <c r="F43" s="76" t="n"/>
      <c r="G43" s="76" t="n"/>
      <c r="H43" s="76" t="n"/>
      <c r="I43" s="76" t="n"/>
      <c r="J43" s="76" t="n"/>
      <c r="K43" s="76" t="n"/>
      <c r="L43" s="198" t="n"/>
      <c r="M43" s="76" t="n"/>
      <c r="N43" s="76" t="n"/>
      <c r="O43" s="76" t="n"/>
      <c r="P43" s="76" t="n"/>
      <c r="Q43" s="76" t="n"/>
      <c r="R43" s="76" t="n"/>
      <c r="S43" s="76" t="n"/>
      <c r="T43" s="76" t="n"/>
      <c r="U43" s="76" t="n"/>
      <c r="V43" s="111" t="n"/>
      <c r="W43" s="463" t="n"/>
      <c r="X43" s="600" t="n"/>
      <c r="Y43" s="111" t="n"/>
      <c r="Z43" s="600" t="n"/>
      <c r="AA43" s="463" t="n"/>
      <c r="AB43" s="111" t="n"/>
      <c r="AC43" s="600" t="n"/>
      <c r="AD43" s="600" t="n"/>
      <c r="AE43" s="111" t="n"/>
      <c r="AF43" s="600" t="n"/>
      <c r="AG43" s="600" t="n"/>
      <c r="AH43" s="111" t="n"/>
      <c r="AI43" s="600" t="n"/>
      <c r="AJ43" s="80" t="n"/>
      <c r="AK43" s="482" t="n"/>
      <c r="AL43" s="600" t="n"/>
      <c r="AM43" s="600" t="n"/>
      <c r="AN43" s="600" t="n"/>
      <c r="AO43" s="103" t="n"/>
      <c r="AP43" s="64" t="n"/>
      <c r="AQ43" s="64" t="n"/>
      <c r="AR43" s="545" t="n"/>
      <c r="AS43" s="64" t="n"/>
      <c r="AT43" s="64" t="n"/>
      <c r="AU43" s="64" t="n"/>
      <c r="AV43" s="64" t="n"/>
      <c r="AW43" s="64" t="n"/>
      <c r="AX43" s="103" t="n"/>
      <c r="AY43" s="103" t="n"/>
      <c r="AZ43" s="103" t="n"/>
      <c r="BA43" s="103" t="n"/>
      <c r="BB43" s="103" t="n"/>
      <c r="BC43" s="103" t="n"/>
      <c r="BD43" s="103" t="n"/>
      <c r="BE43" s="103" t="n"/>
      <c r="BF43" s="103" t="n"/>
      <c r="BG43" s="103" t="n"/>
      <c r="BH43" s="103" t="n"/>
      <c r="BI43" s="103" t="n"/>
      <c r="BJ43" s="103" t="n"/>
      <c r="BK43" s="103" t="n"/>
      <c r="BL43" s="103" t="n"/>
      <c r="BM43" s="103" t="n"/>
      <c r="BN43" s="103" t="n"/>
      <c r="BO43" s="103" t="n"/>
      <c r="BP43" s="103" t="n"/>
      <c r="BQ43" s="103" t="n"/>
      <c r="BR43" s="103" t="n"/>
      <c r="BS43" s="103" t="n"/>
      <c r="BT43" s="103" t="n"/>
      <c r="BU43" s="103" t="n"/>
      <c r="BV43" s="103" t="n"/>
      <c r="BW43" s="103" t="n"/>
      <c r="BX43" s="103" t="n"/>
      <c r="BY43" s="103" t="n"/>
      <c r="BZ43" s="103" t="n"/>
      <c r="CA43" s="103" t="n"/>
      <c r="CB43" s="103" t="n"/>
      <c r="CC43" s="103" t="n"/>
      <c r="CD43" s="103" t="n"/>
      <c r="CE43" s="103" t="n"/>
      <c r="CF43" s="103" t="n"/>
      <c r="CG43" s="103" t="n"/>
      <c r="CH43" s="103" t="n"/>
      <c r="CI43" s="103" t="n"/>
      <c r="CJ43" s="103" t="n"/>
      <c r="CK43" s="103" t="n"/>
    </row>
    <row r="44" ht="32.25" customHeight="1">
      <c r="A44" s="603" t="n"/>
      <c r="B44" s="603" t="n"/>
      <c r="C44" s="198" t="n"/>
      <c r="D44" s="76" t="n"/>
      <c r="E44" s="76" t="n"/>
      <c r="F44" s="76" t="n"/>
      <c r="G44" s="76" t="n"/>
      <c r="H44" s="76" t="n"/>
      <c r="I44" s="76" t="n"/>
      <c r="J44" s="76" t="n"/>
      <c r="K44" s="76" t="n"/>
      <c r="L44" s="198" t="n"/>
      <c r="M44" s="76" t="n"/>
      <c r="N44" s="76" t="n"/>
      <c r="O44" s="76" t="n"/>
      <c r="P44" s="76" t="n"/>
      <c r="Q44" s="76" t="n"/>
      <c r="R44" s="76" t="n"/>
      <c r="S44" s="76" t="n"/>
      <c r="T44" s="76" t="n"/>
      <c r="U44" s="76" t="n"/>
      <c r="V44" s="111" t="n"/>
      <c r="W44" s="463" t="n"/>
      <c r="X44" s="600" t="n"/>
      <c r="Y44" s="111" t="n"/>
      <c r="Z44" s="600" t="n"/>
      <c r="AA44" s="463" t="n"/>
      <c r="AB44" s="111" t="n"/>
      <c r="AC44" s="600" t="n"/>
      <c r="AD44" s="600" t="n"/>
      <c r="AE44" s="111" t="n"/>
      <c r="AF44" s="600" t="n"/>
      <c r="AG44" s="600" t="n"/>
      <c r="AH44" s="111" t="n"/>
      <c r="AI44" s="600" t="n"/>
      <c r="AJ44" s="80" t="n"/>
      <c r="AK44" s="482" t="n"/>
      <c r="AL44" s="600" t="n"/>
      <c r="AM44" s="600" t="n"/>
      <c r="AN44" s="600" t="n"/>
      <c r="AO44" s="103" t="n"/>
      <c r="AP44" s="64" t="n"/>
      <c r="AQ44" s="64" t="n"/>
      <c r="AR44" s="545" t="n"/>
      <c r="AS44" s="64" t="n"/>
      <c r="AT44" s="64" t="n"/>
      <c r="AU44" s="64" t="n"/>
      <c r="AV44" s="64" t="n"/>
      <c r="AW44" s="64" t="n"/>
      <c r="AX44" s="103" t="n"/>
      <c r="AY44" s="103" t="n"/>
      <c r="AZ44" s="103" t="n"/>
      <c r="BA44" s="103" t="n"/>
      <c r="BB44" s="103" t="n"/>
      <c r="BC44" s="103" t="n"/>
      <c r="BD44" s="103" t="n"/>
      <c r="BE44" s="103" t="n"/>
      <c r="BF44" s="103" t="n"/>
      <c r="BG44" s="103" t="n"/>
      <c r="BH44" s="103" t="n"/>
      <c r="BI44" s="103" t="n"/>
      <c r="BJ44" s="103" t="n"/>
      <c r="BK44" s="103" t="n"/>
      <c r="BL44" s="103" t="n"/>
      <c r="BM44" s="103" t="n"/>
      <c r="BN44" s="103" t="n"/>
      <c r="BO44" s="103" t="n"/>
      <c r="BP44" s="103" t="n"/>
      <c r="BQ44" s="103" t="n"/>
      <c r="BR44" s="103" t="n"/>
      <c r="BS44" s="103" t="n"/>
      <c r="BT44" s="103" t="n"/>
      <c r="BU44" s="103" t="n"/>
      <c r="BV44" s="103" t="n"/>
      <c r="BW44" s="103" t="n"/>
      <c r="BX44" s="103" t="n"/>
      <c r="BY44" s="103" t="n"/>
      <c r="BZ44" s="103" t="n"/>
      <c r="CA44" s="103" t="n"/>
      <c r="CB44" s="103" t="n"/>
      <c r="CC44" s="103" t="n"/>
      <c r="CD44" s="103" t="n"/>
      <c r="CE44" s="103" t="n"/>
      <c r="CF44" s="103" t="n"/>
      <c r="CG44" s="103" t="n"/>
      <c r="CH44" s="103" t="n"/>
      <c r="CI44" s="103" t="n"/>
      <c r="CJ44" s="103" t="n"/>
      <c r="CK44" s="103" t="n"/>
    </row>
    <row r="45" ht="39.75" customHeight="1">
      <c r="A45" s="603" t="inlineStr">
        <is>
          <t>15|</t>
        </is>
      </c>
      <c r="C45" s="198" t="inlineStr">
        <is>
          <t>gRy` e¨e¯’vcbv / wbqš¿Y / Zvjve× ivLv BZ¨vw`</t>
        </is>
      </c>
      <c r="V45" s="111" t="inlineStr">
        <is>
          <t>t</t>
        </is>
      </c>
      <c r="W45" s="530" t="inlineStr">
        <is>
          <t>kvLv e¨e¯’vcK|</t>
        </is>
      </c>
      <c r="AO45" s="103" t="n"/>
      <c r="AP45" s="64" t="n"/>
      <c r="AQ45" s="64" t="n"/>
      <c r="AR45" s="545" t="n"/>
      <c r="AS45" s="64" t="n"/>
      <c r="AT45" s="64" t="n"/>
      <c r="AU45" s="64" t="n"/>
      <c r="AV45" s="64" t="n"/>
      <c r="AW45" s="64" t="n"/>
      <c r="AX45" s="103" t="n"/>
      <c r="AY45" s="103" t="n"/>
      <c r="AZ45" s="103" t="n"/>
      <c r="BA45" s="103" t="n"/>
      <c r="BB45" s="103" t="n"/>
      <c r="BC45" s="103" t="n"/>
      <c r="BD45" s="103" t="n"/>
      <c r="BE45" s="103" t="n"/>
      <c r="BF45" s="103" t="n"/>
      <c r="BG45" s="103" t="n"/>
      <c r="BH45" s="103" t="n"/>
      <c r="BI45" s="103" t="n"/>
      <c r="BJ45" s="103" t="n"/>
      <c r="BK45" s="103" t="n"/>
      <c r="BL45" s="103" t="n"/>
      <c r="BM45" s="103" t="n"/>
      <c r="BN45" s="103" t="n"/>
      <c r="BO45" s="103" t="n"/>
      <c r="BP45" s="103" t="n"/>
      <c r="BQ45" s="103" t="n"/>
      <c r="BR45" s="103" t="n"/>
      <c r="BS45" s="103" t="n"/>
      <c r="BT45" s="103" t="n"/>
      <c r="BU45" s="103" t="n"/>
      <c r="BV45" s="103" t="n"/>
      <c r="BW45" s="103" t="n"/>
      <c r="BX45" s="103" t="n"/>
      <c r="BY45" s="103" t="n"/>
      <c r="BZ45" s="103" t="n"/>
      <c r="CA45" s="103" t="n"/>
      <c r="CB45" s="103" t="n"/>
      <c r="CC45" s="103" t="n"/>
      <c r="CD45" s="103" t="n"/>
      <c r="CE45" s="103" t="n"/>
      <c r="CF45" s="103" t="n"/>
      <c r="CG45" s="103" t="n"/>
      <c r="CH45" s="103" t="n"/>
      <c r="CI45" s="103" t="n"/>
      <c r="CJ45" s="103" t="n"/>
      <c r="CK45" s="103" t="n"/>
    </row>
    <row r="46" ht="37.5" customHeight="1">
      <c r="A46" s="603" t="inlineStr">
        <is>
          <t>16|</t>
        </is>
      </c>
      <c r="C46" s="198" t="inlineStr">
        <is>
          <t>we‡kl kZ©vejx (mswkøó KvMRcÎ mshy³ Ki‡Z n‡e)</t>
        </is>
      </c>
      <c r="V46" s="111" t="inlineStr">
        <is>
          <t>t</t>
        </is>
      </c>
      <c r="W46" s="530" t="inlineStr">
        <is>
          <t>Avcbvi cÖwZôv‡bi `k©bxq ¯’v‡b ÔÔevsjv‡`k K…wl e¨vsK, wmw×iMÄ kvLvq `vqe×Ó K_vwU wjwce× Kwiqv GKwU mvBb‡evW© wbR Li‡P ˆZix Kwiqv UvbvBqv ivwL‡Z nB‡e|</t>
        </is>
      </c>
      <c r="AO46" s="103" t="n"/>
      <c r="AP46" s="64" t="n"/>
      <c r="AQ46" s="64" t="n"/>
      <c r="AR46" s="545" t="n"/>
      <c r="AS46" s="64" t="n"/>
      <c r="AT46" s="64" t="n"/>
      <c r="AU46" s="64" t="n"/>
      <c r="AV46" s="64" t="n"/>
      <c r="AW46" s="64" t="n"/>
      <c r="AX46" s="103" t="n"/>
      <c r="AY46" s="103" t="n"/>
      <c r="AZ46" s="103" t="n"/>
      <c r="BA46" s="103" t="n"/>
      <c r="BB46" s="103" t="n"/>
      <c r="BC46" s="103" t="n"/>
      <c r="BD46" s="103" t="n"/>
      <c r="BE46" s="103" t="n"/>
      <c r="BF46" s="103" t="n"/>
      <c r="BG46" s="103" t="n"/>
      <c r="BH46" s="103" t="n"/>
      <c r="BI46" s="103" t="n"/>
      <c r="BJ46" s="103" t="n"/>
      <c r="BK46" s="103" t="n"/>
      <c r="BL46" s="103" t="n"/>
      <c r="BM46" s="103" t="n"/>
      <c r="BN46" s="103" t="n"/>
      <c r="BO46" s="103" t="n"/>
      <c r="BP46" s="103" t="n"/>
      <c r="BQ46" s="103" t="n"/>
      <c r="BR46" s="103" t="n"/>
      <c r="BS46" s="103" t="n"/>
      <c r="BT46" s="103" t="n"/>
      <c r="BU46" s="103" t="n"/>
      <c r="BV46" s="103" t="n"/>
      <c r="BW46" s="103" t="n"/>
      <c r="BX46" s="103" t="n"/>
      <c r="BY46" s="103" t="n"/>
      <c r="BZ46" s="103" t="n"/>
      <c r="CA46" s="103" t="n"/>
      <c r="CB46" s="103" t="n"/>
      <c r="CC46" s="103" t="n"/>
      <c r="CD46" s="103" t="n"/>
      <c r="CE46" s="103" t="n"/>
      <c r="CF46" s="103" t="n"/>
      <c r="CG46" s="103" t="n"/>
      <c r="CH46" s="103" t="n"/>
      <c r="CI46" s="103" t="n"/>
      <c r="CJ46" s="103" t="n"/>
      <c r="CK46" s="103" t="n"/>
    </row>
    <row r="47" ht="0.75" customHeight="1">
      <c r="A47" s="480" t="n"/>
      <c r="B47" s="480" t="n"/>
      <c r="C47" s="247" t="n"/>
      <c r="D47" s="98" t="n"/>
      <c r="E47" s="98" t="n"/>
      <c r="F47" s="98" t="n"/>
      <c r="G47" s="98" t="n"/>
      <c r="H47" s="98" t="n"/>
      <c r="I47" s="98" t="n"/>
      <c r="J47" s="98" t="n"/>
      <c r="K47" s="98" t="n"/>
      <c r="L47" s="247" t="n"/>
      <c r="M47" s="98" t="n"/>
      <c r="N47" s="98" t="n"/>
      <c r="O47" s="98" t="n"/>
      <c r="P47" s="98" t="n"/>
      <c r="Q47" s="98" t="n"/>
      <c r="R47" s="98" t="n"/>
      <c r="S47" s="98" t="n"/>
      <c r="T47" s="98" t="n"/>
      <c r="U47" s="98" t="n"/>
      <c r="V47" s="65" t="n"/>
      <c r="W47" s="463" t="n"/>
      <c r="X47" s="600" t="n"/>
      <c r="Y47" s="111" t="n"/>
      <c r="Z47" s="600" t="n"/>
      <c r="AA47" s="463" t="n"/>
      <c r="AB47" s="111" t="n"/>
      <c r="AC47" s="600" t="n"/>
      <c r="AD47" s="600" t="n"/>
      <c r="AE47" s="111" t="n"/>
      <c r="AF47" s="600" t="n"/>
      <c r="AG47" s="600" t="n"/>
      <c r="AH47" s="111" t="n"/>
      <c r="AI47" s="600" t="n"/>
      <c r="AJ47" s="80" t="n"/>
      <c r="AK47" s="482" t="n"/>
      <c r="AL47" s="600" t="n"/>
      <c r="AM47" s="600" t="n"/>
      <c r="AN47" s="600" t="n"/>
      <c r="AO47" s="103" t="n"/>
      <c r="AP47" s="64" t="n"/>
      <c r="AQ47" s="64" t="n"/>
      <c r="AR47" s="545" t="n"/>
      <c r="AS47" s="64" t="n"/>
      <c r="AT47" s="64" t="n"/>
      <c r="AU47" s="64" t="n"/>
      <c r="AV47" s="64" t="n"/>
      <c r="AW47" s="64" t="n"/>
      <c r="AX47" s="103" t="n"/>
      <c r="AY47" s="103" t="n"/>
      <c r="AZ47" s="103" t="n"/>
      <c r="BA47" s="103" t="n"/>
      <c r="BB47" s="103" t="n"/>
      <c r="BC47" s="103" t="n"/>
      <c r="BD47" s="103" t="n"/>
      <c r="BE47" s="103" t="n"/>
      <c r="BF47" s="103" t="n"/>
      <c r="BG47" s="103" t="n"/>
      <c r="BH47" s="103" t="n"/>
      <c r="BI47" s="103" t="n"/>
      <c r="BJ47" s="103" t="n"/>
      <c r="BK47" s="103" t="n"/>
      <c r="BL47" s="103" t="n"/>
      <c r="BM47" s="103" t="n"/>
      <c r="BN47" s="103" t="n"/>
      <c r="BO47" s="103" t="n"/>
      <c r="BP47" s="103" t="n"/>
      <c r="BQ47" s="103" t="n"/>
      <c r="BR47" s="103" t="n"/>
      <c r="BS47" s="103" t="n"/>
      <c r="BT47" s="103" t="n"/>
      <c r="BU47" s="103" t="n"/>
      <c r="BV47" s="103" t="n"/>
      <c r="BW47" s="103" t="n"/>
      <c r="BX47" s="103" t="n"/>
      <c r="BY47" s="103" t="n"/>
      <c r="BZ47" s="103" t="n"/>
      <c r="CA47" s="103" t="n"/>
      <c r="CB47" s="103" t="n"/>
      <c r="CC47" s="103" t="n"/>
      <c r="CD47" s="103" t="n"/>
      <c r="CE47" s="103" t="n"/>
      <c r="CF47" s="103" t="n"/>
      <c r="CG47" s="103" t="n"/>
      <c r="CH47" s="103" t="n"/>
      <c r="CI47" s="103" t="n"/>
      <c r="CJ47" s="103" t="n"/>
      <c r="CK47" s="103" t="n"/>
    </row>
    <row r="48" ht="18" customFormat="1" customHeight="1" s="18">
      <c r="A48" s="532" t="inlineStr">
        <is>
          <t xml:space="preserve"> 17|  Dc‡iv³ FY mxgv cwiPvj‡bi †¶‡Î Ab¨ †h †Kvb kZ©vejx Av‡ivc Ges FY wewj iwnZ/ evwZj A_ev cÖZ¨vnvi Kwievi ¶gZv e¨vsK KZ©„K msiw¶Z _vwK‡e|</t>
        </is>
      </c>
      <c r="AO48" s="103" t="n"/>
      <c r="AP48" s="103" t="n"/>
      <c r="AQ48" s="103" t="n"/>
      <c r="AR48" s="479" t="n"/>
      <c r="AS48" s="103" t="n"/>
      <c r="AT48" s="103" t="n"/>
      <c r="AU48" s="103" t="n"/>
      <c r="AV48" s="103" t="n"/>
      <c r="AW48" s="103" t="n"/>
      <c r="AX48" s="103" t="n"/>
      <c r="AY48" s="103" t="n"/>
      <c r="AZ48" s="103" t="n"/>
      <c r="BA48" s="103" t="n"/>
      <c r="BB48" s="103" t="n"/>
      <c r="BC48" s="103" t="n"/>
      <c r="BD48" s="103" t="n"/>
      <c r="BE48" s="103" t="n"/>
      <c r="BF48" s="103" t="n"/>
      <c r="BG48" s="103" t="n"/>
      <c r="BH48" s="103" t="n"/>
      <c r="BI48" s="103" t="n"/>
      <c r="BJ48" s="103" t="n"/>
      <c r="BK48" s="103" t="n"/>
      <c r="BL48" s="103" t="n"/>
      <c r="BM48" s="103" t="n"/>
      <c r="BN48" s="103" t="n"/>
      <c r="BO48" s="103" t="n"/>
      <c r="BP48" s="103" t="n"/>
      <c r="BQ48" s="103" t="n"/>
      <c r="BR48" s="103" t="n"/>
      <c r="BS48" s="103" t="n"/>
      <c r="BT48" s="103" t="n"/>
      <c r="BU48" s="103" t="n"/>
      <c r="BV48" s="103" t="n"/>
      <c r="BW48" s="103" t="n"/>
      <c r="BX48" s="103" t="n"/>
      <c r="BY48" s="103" t="n"/>
      <c r="BZ48" s="103" t="n"/>
      <c r="CA48" s="103" t="n"/>
      <c r="CB48" s="103" t="n"/>
      <c r="CC48" s="103" t="n"/>
      <c r="CD48" s="103" t="n"/>
      <c r="CE48" s="103" t="n"/>
      <c r="CF48" s="103" t="n"/>
      <c r="CG48" s="103" t="n"/>
      <c r="CH48" s="103" t="n"/>
      <c r="CI48" s="103" t="n"/>
      <c r="CJ48" s="103" t="n"/>
      <c r="CK48" s="103" t="n"/>
    </row>
    <row r="49" ht="18" customFormat="1" customHeight="1" s="18">
      <c r="AO49" s="103" t="n"/>
      <c r="AP49" s="103" t="n"/>
      <c r="AQ49" s="103" t="n"/>
      <c r="AR49" s="479" t="n"/>
      <c r="AS49" s="103" t="n"/>
      <c r="AT49" s="103" t="n"/>
      <c r="AU49" s="103" t="n"/>
      <c r="AV49" s="103" t="n"/>
      <c r="AW49" s="103" t="n"/>
      <c r="AX49" s="103" t="n"/>
      <c r="AY49" s="103" t="n"/>
      <c r="AZ49" s="103" t="n"/>
      <c r="BA49" s="103" t="n"/>
      <c r="BB49" s="103" t="n"/>
      <c r="BC49" s="103" t="n"/>
      <c r="BD49" s="103" t="n"/>
      <c r="BE49" s="103" t="n"/>
      <c r="BF49" s="103" t="n"/>
      <c r="BG49" s="103" t="n"/>
      <c r="BH49" s="103" t="n"/>
      <c r="BI49" s="103" t="n"/>
      <c r="BJ49" s="103" t="n"/>
      <c r="BK49" s="103" t="n"/>
      <c r="BL49" s="103" t="n"/>
      <c r="BM49" s="103" t="n"/>
      <c r="BN49" s="103" t="n"/>
      <c r="BO49" s="103" t="n"/>
      <c r="BP49" s="103" t="n"/>
      <c r="BQ49" s="103" t="n"/>
      <c r="BR49" s="103" t="n"/>
      <c r="BS49" s="103" t="n"/>
      <c r="BT49" s="103" t="n"/>
      <c r="BU49" s="103" t="n"/>
      <c r="BV49" s="103" t="n"/>
      <c r="BW49" s="103" t="n"/>
      <c r="BX49" s="103" t="n"/>
      <c r="BY49" s="103" t="n"/>
      <c r="BZ49" s="103" t="n"/>
      <c r="CA49" s="103" t="n"/>
      <c r="CB49" s="103" t="n"/>
      <c r="CC49" s="103" t="n"/>
      <c r="CD49" s="103" t="n"/>
      <c r="CE49" s="103" t="n"/>
      <c r="CF49" s="103" t="n"/>
      <c r="CG49" s="103" t="n"/>
      <c r="CH49" s="103" t="n"/>
      <c r="CI49" s="103" t="n"/>
      <c r="CJ49" s="103" t="n"/>
      <c r="CK49" s="103" t="n"/>
    </row>
    <row r="50" ht="18" customFormat="1" customHeight="1" s="18">
      <c r="A50" s="492">
        <f>"hw` Dc‡iv³ kZ©vejx MÖnY‡hvM¨ nq Zvnv nB‡j AÎ gÄyixc‡Îi GKwU Abywjwc Òc‡o eySjvg I MÖnY KijvgÓ wjwLqv ¯^v¶i`vb c~e©K wb¤œ ¯^v¶iKvixi wbKU  "&amp;IF(AJ5="","     /       /20    ",TEXT('LF-5'!P185+10,"dd/mm/yyyy"))&amp;" wLªt Zvwi‡Li g‡a¨ †dir cvVv‡Z n‡e|"</f>
        <v/>
      </c>
      <c r="AO50" s="103" t="n"/>
      <c r="AP50" s="103" t="n"/>
      <c r="AQ50" s="103" t="n"/>
      <c r="AR50" s="479" t="n"/>
      <c r="AS50" s="103" t="n"/>
      <c r="AT50" s="103" t="n"/>
      <c r="AU50" s="103" t="n"/>
      <c r="AV50" s="103" t="n"/>
      <c r="AW50" s="103" t="n"/>
      <c r="AX50" s="103" t="n"/>
      <c r="AY50" s="103" t="n"/>
      <c r="AZ50" s="103" t="n"/>
      <c r="BA50" s="103" t="n"/>
      <c r="BB50" s="103" t="n"/>
      <c r="BC50" s="103" t="n"/>
      <c r="BD50" s="103" t="n"/>
      <c r="BE50" s="103" t="n"/>
      <c r="BF50" s="103" t="n"/>
      <c r="BG50" s="103" t="n"/>
      <c r="BH50" s="103" t="n"/>
      <c r="BI50" s="103" t="n"/>
      <c r="BJ50" s="103" t="n"/>
      <c r="BK50" s="103" t="n"/>
      <c r="BL50" s="103" t="n"/>
      <c r="BM50" s="103" t="n"/>
      <c r="BN50" s="103" t="n"/>
      <c r="BO50" s="103" t="n"/>
      <c r="BP50" s="103" t="n"/>
      <c r="BQ50" s="103" t="n"/>
      <c r="BR50" s="103" t="n"/>
      <c r="BS50" s="103" t="n"/>
      <c r="BT50" s="103" t="n"/>
      <c r="BU50" s="103" t="n"/>
      <c r="BV50" s="103" t="n"/>
      <c r="BW50" s="103" t="n"/>
      <c r="BX50" s="103" t="n"/>
      <c r="BY50" s="103" t="n"/>
      <c r="BZ50" s="103" t="n"/>
      <c r="CA50" s="103" t="n"/>
      <c r="CB50" s="103" t="n"/>
      <c r="CC50" s="103" t="n"/>
      <c r="CD50" s="103" t="n"/>
      <c r="CE50" s="103" t="n"/>
      <c r="CF50" s="103" t="n"/>
      <c r="CG50" s="103" t="n"/>
      <c r="CH50" s="103" t="n"/>
      <c r="CI50" s="103" t="n"/>
      <c r="CJ50" s="103" t="n"/>
      <c r="CK50" s="103" t="n"/>
    </row>
    <row r="51" ht="18" customFormat="1" customHeight="1" s="18">
      <c r="AO51" s="103" t="n"/>
      <c r="AP51" s="103" t="n"/>
      <c r="AQ51" s="103" t="n"/>
      <c r="AR51" s="479" t="n"/>
      <c r="AS51" s="103" t="n"/>
      <c r="AT51" s="103" t="n"/>
      <c r="AU51" s="103" t="n"/>
      <c r="AV51" s="103" t="n"/>
      <c r="AW51" s="103" t="n"/>
      <c r="AX51" s="103" t="n"/>
      <c r="AY51" s="103" t="n"/>
      <c r="AZ51" s="103" t="n"/>
      <c r="BA51" s="103" t="n"/>
      <c r="BB51" s="103" t="n"/>
      <c r="BC51" s="103" t="n"/>
      <c r="BD51" s="103" t="n"/>
      <c r="BE51" s="103" t="n"/>
      <c r="BF51" s="103" t="n"/>
      <c r="BG51" s="103" t="n"/>
      <c r="BH51" s="103" t="n"/>
      <c r="BI51" s="103" t="n"/>
      <c r="BJ51" s="103" t="n"/>
      <c r="BK51" s="103" t="n"/>
      <c r="BL51" s="103" t="n"/>
      <c r="BM51" s="103" t="n"/>
      <c r="BN51" s="103" t="n"/>
      <c r="BO51" s="103" t="n"/>
      <c r="BP51" s="103" t="n"/>
      <c r="BQ51" s="103" t="n"/>
      <c r="BR51" s="103" t="n"/>
      <c r="BS51" s="103" t="n"/>
      <c r="BT51" s="103" t="n"/>
      <c r="BU51" s="103" t="n"/>
      <c r="BV51" s="103" t="n"/>
      <c r="BW51" s="103" t="n"/>
      <c r="BX51" s="103" t="n"/>
      <c r="BY51" s="103" t="n"/>
      <c r="BZ51" s="103" t="n"/>
      <c r="CA51" s="103" t="n"/>
      <c r="CB51" s="103" t="n"/>
      <c r="CC51" s="103" t="n"/>
      <c r="CD51" s="103" t="n"/>
      <c r="CE51" s="103" t="n"/>
      <c r="CF51" s="103" t="n"/>
      <c r="CG51" s="103" t="n"/>
      <c r="CH51" s="103" t="n"/>
      <c r="CI51" s="103" t="n"/>
      <c r="CJ51" s="103" t="n"/>
      <c r="CK51" s="103" t="n"/>
    </row>
    <row r="52" ht="50.25" customHeight="1">
      <c r="A52" s="63" t="n"/>
      <c r="B52" s="63" t="n"/>
      <c r="C52" s="65" t="n"/>
      <c r="D52" s="63" t="n"/>
      <c r="E52" s="63" t="n"/>
      <c r="F52" s="63" t="n"/>
      <c r="G52" s="63" t="n"/>
      <c r="H52" s="98" t="n"/>
      <c r="I52" s="98" t="n"/>
      <c r="J52" s="98" t="n"/>
      <c r="K52" s="98" t="n"/>
      <c r="L52" s="247" t="n"/>
      <c r="M52" s="98" t="n"/>
      <c r="N52" s="98" t="n"/>
      <c r="O52" s="98" t="n"/>
      <c r="P52" s="98" t="n"/>
      <c r="Q52" s="98" t="n"/>
      <c r="R52" s="98" t="n"/>
      <c r="S52" s="98" t="n"/>
      <c r="T52" s="98" t="n"/>
      <c r="U52" s="98" t="n"/>
      <c r="V52" s="247" t="n"/>
      <c r="W52" s="533" t="n"/>
      <c r="X52" s="98" t="n"/>
      <c r="Y52" s="247" t="n"/>
      <c r="Z52" s="98" t="n"/>
      <c r="AA52" s="533" t="n"/>
      <c r="AB52" s="247" t="n"/>
      <c r="AC52" s="98" t="n"/>
      <c r="AD52" s="64" t="n"/>
      <c r="AE52" s="136" t="n"/>
      <c r="AF52" s="64" t="n"/>
      <c r="AG52" s="64" t="n"/>
      <c r="AH52" s="136" t="n"/>
      <c r="AI52" s="64" t="n"/>
      <c r="AJ52" s="543" t="n"/>
      <c r="AK52" s="544" t="n"/>
      <c r="AL52" s="64" t="n"/>
      <c r="AM52" s="64" t="n"/>
      <c r="AN52" s="64" t="n"/>
      <c r="AO52" s="103" t="n"/>
      <c r="AP52" s="64" t="n"/>
      <c r="AQ52" s="64" t="n"/>
      <c r="AR52" s="545" t="n"/>
      <c r="AS52" s="64" t="n"/>
      <c r="AT52" s="64" t="n"/>
      <c r="AU52" s="64" t="n"/>
      <c r="AV52" s="64" t="n"/>
      <c r="AW52" s="64" t="n"/>
      <c r="AX52" s="103" t="n"/>
      <c r="AY52" s="103" t="n"/>
      <c r="AZ52" s="103" t="n"/>
      <c r="BA52" s="103" t="n"/>
      <c r="BB52" s="103" t="n"/>
      <c r="BC52" s="103" t="n"/>
      <c r="BD52" s="103" t="n"/>
      <c r="BE52" s="103" t="n"/>
      <c r="BF52" s="103" t="n"/>
      <c r="BG52" s="103" t="n"/>
      <c r="BH52" s="103" t="n"/>
      <c r="BI52" s="103" t="n"/>
      <c r="BJ52" s="103" t="n"/>
      <c r="BK52" s="103" t="n"/>
      <c r="BL52" s="103" t="n"/>
      <c r="BM52" s="103" t="n"/>
      <c r="BN52" s="103" t="n"/>
      <c r="BO52" s="103" t="n"/>
      <c r="BP52" s="103" t="n"/>
      <c r="BQ52" s="103" t="n"/>
      <c r="BR52" s="103" t="n"/>
      <c r="BS52" s="103" t="n"/>
      <c r="BT52" s="103" t="n"/>
      <c r="BU52" s="103" t="n"/>
      <c r="BV52" s="103" t="n"/>
      <c r="BW52" s="103" t="n"/>
      <c r="BX52" s="103" t="n"/>
      <c r="BY52" s="103" t="n"/>
      <c r="BZ52" s="103" t="n"/>
      <c r="CA52" s="103" t="n"/>
      <c r="CB52" s="103" t="n"/>
      <c r="CC52" s="103" t="n"/>
      <c r="CD52" s="103" t="n"/>
      <c r="CE52" s="103" t="n"/>
      <c r="CF52" s="103" t="n"/>
      <c r="CG52" s="103" t="n"/>
      <c r="CH52" s="103" t="n"/>
      <c r="CI52" s="103" t="n"/>
      <c r="CJ52" s="103" t="n"/>
      <c r="CK52" s="103" t="n"/>
    </row>
    <row r="53" ht="20.25" customHeight="1">
      <c r="A53" s="600" t="inlineStr">
        <is>
          <t>Òc‡o eySjvg I MÖnY KijvgÓ</t>
        </is>
      </c>
      <c r="S53" s="98" t="n"/>
      <c r="T53" s="98" t="n"/>
      <c r="U53" s="98" t="n"/>
      <c r="V53" s="247" t="n"/>
      <c r="W53" s="533" t="n"/>
      <c r="X53" s="98" t="n"/>
      <c r="Y53" s="247" t="n"/>
      <c r="Z53" s="98" t="n"/>
      <c r="AA53" s="533" t="n"/>
      <c r="AB53" s="247" t="n"/>
      <c r="AC53" s="98" t="n"/>
      <c r="AD53" s="64" t="n"/>
      <c r="AE53" s="136" t="n"/>
      <c r="AF53" s="64" t="n"/>
      <c r="AG53" s="64" t="n"/>
      <c r="AH53" s="136" t="n"/>
      <c r="AI53" s="64" t="n"/>
      <c r="AJ53" s="543" t="n"/>
      <c r="AK53" s="544" t="n"/>
      <c r="AL53" s="64" t="n"/>
      <c r="AM53" s="64" t="n"/>
      <c r="AN53" s="64" t="n"/>
      <c r="AO53" s="103" t="n"/>
      <c r="AP53" s="64" t="n"/>
      <c r="AQ53" s="64" t="n"/>
      <c r="AR53" s="545" t="n"/>
      <c r="AS53" s="64" t="n"/>
      <c r="AT53" s="64" t="n"/>
      <c r="AU53" s="64" t="n"/>
      <c r="AV53" s="64" t="n"/>
      <c r="AW53" s="64" t="n"/>
      <c r="AX53" s="103" t="n"/>
      <c r="AY53" s="103" t="n"/>
      <c r="AZ53" s="103" t="n"/>
      <c r="BA53" s="103" t="n"/>
      <c r="BB53" s="103" t="n"/>
      <c r="BC53" s="103" t="n"/>
      <c r="BD53" s="103" t="n"/>
      <c r="BE53" s="103" t="n"/>
      <c r="BF53" s="103" t="n"/>
      <c r="BG53" s="103" t="n"/>
      <c r="BH53" s="103" t="n"/>
      <c r="BI53" s="103" t="n"/>
      <c r="BJ53" s="103" t="n"/>
      <c r="BK53" s="103" t="n"/>
      <c r="BL53" s="103" t="n"/>
      <c r="BM53" s="103" t="n"/>
      <c r="BN53" s="103" t="n"/>
      <c r="BO53" s="103" t="n"/>
      <c r="BP53" s="103" t="n"/>
      <c r="BQ53" s="103" t="n"/>
      <c r="BR53" s="103" t="n"/>
      <c r="BS53" s="103" t="n"/>
      <c r="BT53" s="103" t="n"/>
      <c r="BU53" s="103" t="n"/>
      <c r="BV53" s="103" t="n"/>
      <c r="BW53" s="103" t="n"/>
      <c r="BX53" s="103" t="n"/>
      <c r="BY53" s="103" t="n"/>
      <c r="BZ53" s="103" t="n"/>
      <c r="CA53" s="103" t="n"/>
      <c r="CB53" s="103" t="n"/>
      <c r="CC53" s="103" t="n"/>
      <c r="CD53" s="103" t="n"/>
      <c r="CE53" s="103" t="n"/>
      <c r="CF53" s="103" t="n"/>
      <c r="CG53" s="103" t="n"/>
      <c r="CH53" s="103" t="n"/>
      <c r="CI53" s="103" t="n"/>
      <c r="CJ53" s="103" t="n"/>
      <c r="CK53" s="103" t="n"/>
    </row>
    <row r="54" ht="18" customHeight="1">
      <c r="A54" s="63" t="n"/>
      <c r="B54" s="63" t="n"/>
      <c r="C54" s="198" t="n"/>
      <c r="D54" s="76" t="n"/>
      <c r="E54" s="76" t="n"/>
      <c r="F54" s="76" t="n"/>
      <c r="G54" s="98" t="n"/>
      <c r="H54" s="98" t="n"/>
      <c r="I54" s="98" t="n"/>
      <c r="J54" s="98" t="n"/>
      <c r="K54" s="98" t="n"/>
      <c r="L54" s="247" t="n"/>
      <c r="M54" s="98" t="n"/>
      <c r="N54" s="98" t="n"/>
      <c r="O54" s="98" t="n"/>
      <c r="P54" s="98" t="n"/>
      <c r="Q54" s="98" t="n"/>
      <c r="R54" s="98" t="n"/>
      <c r="S54" s="98" t="n"/>
      <c r="T54" s="98" t="n"/>
      <c r="U54" s="98" t="n"/>
      <c r="V54" s="247" t="n"/>
      <c r="W54" s="533" t="n"/>
      <c r="X54" s="98" t="n"/>
      <c r="Y54" s="247" t="n"/>
      <c r="Z54" s="98" t="n"/>
      <c r="AA54" s="533" t="n"/>
      <c r="AB54" s="247" t="n"/>
      <c r="AC54" s="98" t="n"/>
      <c r="AD54" s="64" t="n"/>
      <c r="AE54" s="136" t="n"/>
      <c r="AF54" s="399" t="n"/>
      <c r="AG54" s="399" t="n"/>
      <c r="AH54" s="534" t="inlineStr">
        <is>
          <t>e¨e¯’vcK</t>
        </is>
      </c>
      <c r="AO54" s="103" t="n"/>
      <c r="AP54" s="64" t="n"/>
      <c r="AQ54" s="64" t="n"/>
      <c r="AR54" s="545" t="n"/>
      <c r="AS54" s="64" t="n"/>
      <c r="AT54" s="64" t="n"/>
      <c r="AU54" s="64" t="n"/>
      <c r="AV54" s="64" t="n"/>
      <c r="AW54" s="64" t="n"/>
      <c r="AX54" s="103" t="n"/>
      <c r="AY54" s="103" t="n"/>
      <c r="AZ54" s="103" t="n"/>
      <c r="BA54" s="103" t="n"/>
      <c r="BB54" s="103" t="n"/>
      <c r="BC54" s="103" t="n"/>
      <c r="BD54" s="103" t="n"/>
      <c r="BE54" s="103" t="n"/>
      <c r="BF54" s="103" t="n"/>
      <c r="BG54" s="103" t="n"/>
      <c r="BH54" s="103" t="n"/>
      <c r="BI54" s="103" t="n"/>
      <c r="BJ54" s="103" t="n"/>
      <c r="BK54" s="103" t="n"/>
      <c r="BL54" s="103" t="n"/>
      <c r="BM54" s="103" t="n"/>
      <c r="BN54" s="103" t="n"/>
      <c r="BO54" s="103" t="n"/>
      <c r="BP54" s="103" t="n"/>
      <c r="BQ54" s="103" t="n"/>
      <c r="BR54" s="103" t="n"/>
      <c r="BS54" s="103" t="n"/>
      <c r="BT54" s="103" t="n"/>
      <c r="BU54" s="103" t="n"/>
      <c r="BV54" s="103" t="n"/>
      <c r="BW54" s="103" t="n"/>
      <c r="BX54" s="103" t="n"/>
      <c r="BY54" s="103" t="n"/>
      <c r="BZ54" s="103" t="n"/>
      <c r="CA54" s="103" t="n"/>
      <c r="CB54" s="103" t="n"/>
      <c r="CC54" s="103" t="n"/>
      <c r="CD54" s="103" t="n"/>
      <c r="CE54" s="103" t="n"/>
      <c r="CF54" s="103" t="n"/>
      <c r="CG54" s="103" t="n"/>
      <c r="CH54" s="103" t="n"/>
      <c r="CI54" s="103" t="n"/>
      <c r="CJ54" s="103" t="n"/>
      <c r="CK54" s="103" t="n"/>
    </row>
    <row r="55" ht="18" customHeight="1">
      <c r="A55" s="63" t="n"/>
      <c r="B55" s="63" t="n"/>
      <c r="C55" s="65" t="n"/>
      <c r="D55" s="63" t="n"/>
      <c r="E55" s="63" t="n"/>
      <c r="F55" s="63" t="n"/>
      <c r="G55" s="63" t="n"/>
      <c r="H55" s="98" t="n"/>
      <c r="I55" s="98" t="n"/>
      <c r="J55" s="98" t="n"/>
      <c r="K55" s="98" t="n"/>
      <c r="L55" s="247" t="n"/>
      <c r="M55" s="98" t="n"/>
      <c r="N55" s="98" t="n"/>
      <c r="O55" s="98" t="n"/>
      <c r="P55" s="98" t="n"/>
      <c r="Q55" s="98" t="n"/>
      <c r="R55" s="98" t="n"/>
      <c r="S55" s="98" t="n"/>
      <c r="T55" s="98" t="n"/>
      <c r="U55" s="98" t="n"/>
      <c r="V55" s="247" t="n"/>
      <c r="W55" s="533" t="n"/>
      <c r="X55" s="98" t="n"/>
      <c r="Y55" s="247" t="n"/>
      <c r="Z55" s="98" t="n"/>
      <c r="AA55" s="533" t="n"/>
      <c r="AB55" s="247" t="n"/>
      <c r="AC55" s="98" t="n"/>
      <c r="AD55" s="64" t="n"/>
      <c r="AE55" s="136" t="n"/>
      <c r="AF55" s="399" t="n"/>
      <c r="AG55" s="399" t="n"/>
      <c r="AH55" s="534" t="inlineStr">
        <is>
          <t>evsjv‡`k K…wl e¨vsK,</t>
        </is>
      </c>
      <c r="AO55" s="103" t="n"/>
      <c r="AP55" s="64" t="n"/>
      <c r="AQ55" s="64" t="n"/>
      <c r="AR55" s="545" t="n"/>
      <c r="AS55" s="64" t="n"/>
      <c r="AT55" s="64" t="n"/>
      <c r="AU55" s="64" t="n"/>
      <c r="AV55" s="64" t="n"/>
      <c r="AW55" s="64" t="n"/>
      <c r="AX55" s="103" t="n"/>
      <c r="AY55" s="103" t="n"/>
      <c r="AZ55" s="103" t="n"/>
      <c r="BA55" s="103" t="n"/>
      <c r="BB55" s="103" t="n"/>
      <c r="BC55" s="103" t="n"/>
      <c r="BD55" s="103" t="n"/>
      <c r="BE55" s="103" t="n"/>
      <c r="BF55" s="103" t="n"/>
      <c r="BG55" s="103" t="n"/>
      <c r="BH55" s="103" t="n"/>
      <c r="BI55" s="103" t="n"/>
      <c r="BJ55" s="103" t="n"/>
      <c r="BK55" s="103" t="n"/>
      <c r="BL55" s="103" t="n"/>
      <c r="BM55" s="103" t="n"/>
      <c r="BN55" s="103" t="n"/>
      <c r="BO55" s="103" t="n"/>
      <c r="BP55" s="103" t="n"/>
      <c r="BQ55" s="103" t="n"/>
      <c r="BR55" s="103" t="n"/>
      <c r="BS55" s="103" t="n"/>
      <c r="BT55" s="103" t="n"/>
      <c r="BU55" s="103" t="n"/>
      <c r="BV55" s="103" t="n"/>
      <c r="BW55" s="103" t="n"/>
      <c r="BX55" s="103" t="n"/>
      <c r="BY55" s="103" t="n"/>
      <c r="BZ55" s="103" t="n"/>
      <c r="CA55" s="103" t="n"/>
      <c r="CB55" s="103" t="n"/>
      <c r="CC55" s="103" t="n"/>
      <c r="CD55" s="103" t="n"/>
      <c r="CE55" s="103" t="n"/>
      <c r="CF55" s="103" t="n"/>
      <c r="CG55" s="103" t="n"/>
      <c r="CH55" s="103" t="n"/>
      <c r="CI55" s="103" t="n"/>
      <c r="CJ55" s="103" t="n"/>
      <c r="CK55" s="103" t="n"/>
    </row>
    <row r="56" ht="18" customHeight="1">
      <c r="A56" s="538" t="inlineStr">
        <is>
          <t>FY MÖnxZv</t>
        </is>
      </c>
      <c r="B56" s="2624" t="n"/>
      <c r="C56" s="2624" t="n"/>
      <c r="D56" s="2624" t="n"/>
      <c r="E56" s="2624" t="n"/>
      <c r="F56" s="2624" t="n"/>
      <c r="G56" s="2624" t="n"/>
      <c r="H56" s="98" t="n"/>
      <c r="I56" s="98" t="n"/>
      <c r="J56" s="98" t="n"/>
      <c r="K56" s="98" t="n"/>
      <c r="L56" s="247" t="n"/>
      <c r="M56" s="98" t="n"/>
      <c r="N56" s="98" t="n"/>
      <c r="O56" s="98" t="n"/>
      <c r="P56" s="98" t="n"/>
      <c r="Q56" s="98" t="n"/>
      <c r="R56" s="98" t="n"/>
      <c r="S56" s="98" t="n"/>
      <c r="T56" s="98" t="n"/>
      <c r="U56" s="98" t="n"/>
      <c r="V56" s="247" t="n"/>
      <c r="W56" s="533" t="n"/>
      <c r="X56" s="98" t="n"/>
      <c r="Y56" s="247" t="n"/>
      <c r="Z56" s="98" t="n"/>
      <c r="AA56" s="533" t="n"/>
      <c r="AB56" s="247" t="n"/>
      <c r="AC56" s="98" t="n"/>
      <c r="AD56" s="64" t="n"/>
      <c r="AE56" s="136" t="n"/>
      <c r="AF56" s="399" t="n"/>
      <c r="AG56" s="399" t="n"/>
      <c r="AH56" s="534">
        <f>+'Data Input'!D2</f>
        <v/>
      </c>
      <c r="AO56" s="103" t="n"/>
      <c r="AP56" s="64" t="n"/>
      <c r="AQ56" s="64" t="n"/>
      <c r="AR56" s="545" t="n"/>
      <c r="AS56" s="64" t="n"/>
      <c r="AT56" s="64" t="n"/>
      <c r="AU56" s="64" t="n"/>
      <c r="AV56" s="64" t="n"/>
      <c r="AW56" s="64" t="n"/>
      <c r="AX56" s="103" t="n"/>
      <c r="AY56" s="103" t="n"/>
      <c r="AZ56" s="103" t="n"/>
      <c r="BA56" s="103" t="n"/>
      <c r="BB56" s="103" t="n"/>
      <c r="BC56" s="103" t="n"/>
      <c r="BD56" s="103" t="n"/>
      <c r="BE56" s="103" t="n"/>
      <c r="BF56" s="103" t="n"/>
      <c r="BG56" s="103" t="n"/>
      <c r="BH56" s="103" t="n"/>
      <c r="BI56" s="103" t="n"/>
      <c r="BJ56" s="103" t="n"/>
      <c r="BK56" s="103" t="n"/>
      <c r="BL56" s="103" t="n"/>
      <c r="BM56" s="103" t="n"/>
      <c r="BN56" s="103" t="n"/>
      <c r="BO56" s="103" t="n"/>
      <c r="BP56" s="103" t="n"/>
      <c r="BQ56" s="103" t="n"/>
      <c r="BR56" s="103" t="n"/>
      <c r="BS56" s="103" t="n"/>
      <c r="BT56" s="103" t="n"/>
      <c r="BU56" s="103" t="n"/>
      <c r="BV56" s="103" t="n"/>
      <c r="BW56" s="103" t="n"/>
      <c r="BX56" s="103" t="n"/>
      <c r="BY56" s="103" t="n"/>
      <c r="BZ56" s="103" t="n"/>
      <c r="CA56" s="103" t="n"/>
      <c r="CB56" s="103" t="n"/>
      <c r="CC56" s="103" t="n"/>
      <c r="CD56" s="103" t="n"/>
      <c r="CE56" s="103" t="n"/>
      <c r="CF56" s="103" t="n"/>
      <c r="CG56" s="103" t="n"/>
      <c r="CH56" s="103" t="n"/>
      <c r="CI56" s="103" t="n"/>
      <c r="CJ56" s="103" t="n"/>
      <c r="CK56" s="103" t="n"/>
    </row>
    <row r="57" ht="18" customHeight="1">
      <c r="A57" s="76" t="n"/>
      <c r="F57" s="63" t="n"/>
      <c r="G57" s="98" t="n"/>
      <c r="H57" s="98" t="n"/>
      <c r="I57" s="98" t="n"/>
      <c r="J57" s="98" t="n"/>
      <c r="K57" s="98" t="n"/>
      <c r="L57" s="247" t="n"/>
      <c r="M57" s="98" t="n"/>
      <c r="N57" s="98" t="n"/>
      <c r="O57" s="98" t="n"/>
      <c r="P57" s="98" t="n"/>
      <c r="Q57" s="98" t="n"/>
      <c r="R57" s="98" t="n"/>
      <c r="S57" s="98" t="n"/>
      <c r="T57" s="98" t="n"/>
      <c r="U57" s="98" t="n"/>
      <c r="V57" s="247" t="n"/>
      <c r="W57" s="533" t="n"/>
      <c r="X57" s="98" t="n"/>
      <c r="Y57" s="247" t="n"/>
      <c r="Z57" s="98" t="n"/>
      <c r="AA57" s="533" t="n"/>
      <c r="AB57" s="247" t="n"/>
      <c r="AC57" s="98" t="n"/>
      <c r="AD57" s="64" t="n"/>
      <c r="AE57" s="136" t="n"/>
      <c r="AF57" s="64" t="n"/>
      <c r="AG57" s="64" t="n"/>
      <c r="AH57" s="136" t="n"/>
      <c r="AI57" s="64" t="n"/>
      <c r="AJ57" s="543" t="n"/>
      <c r="AK57" s="544" t="n"/>
      <c r="AL57" s="64" t="n"/>
      <c r="AM57" s="64" t="n"/>
      <c r="AN57" s="64" t="n"/>
      <c r="AO57" s="103" t="n"/>
      <c r="AP57" s="64" t="n"/>
      <c r="AQ57" s="64" t="n"/>
      <c r="AR57" s="545" t="n"/>
      <c r="AS57" s="64" t="n"/>
      <c r="AT57" s="64" t="n"/>
      <c r="AU57" s="64" t="n"/>
      <c r="AV57" s="64" t="n"/>
      <c r="AW57" s="64" t="n"/>
      <c r="AX57" s="103" t="n"/>
      <c r="AY57" s="103" t="n"/>
      <c r="AZ57" s="103" t="n"/>
      <c r="BA57" s="103" t="n"/>
      <c r="BB57" s="103" t="n"/>
      <c r="BC57" s="103" t="n"/>
      <c r="BD57" s="103" t="n"/>
      <c r="BE57" s="103" t="n"/>
      <c r="BF57" s="103" t="n"/>
      <c r="BG57" s="103" t="n"/>
      <c r="BH57" s="103" t="n"/>
      <c r="BI57" s="103" t="n"/>
      <c r="BJ57" s="103" t="n"/>
      <c r="BK57" s="103" t="n"/>
      <c r="BL57" s="103" t="n"/>
      <c r="BM57" s="103" t="n"/>
      <c r="BN57" s="103" t="n"/>
      <c r="BO57" s="103" t="n"/>
      <c r="BP57" s="103" t="n"/>
      <c r="BQ57" s="103" t="n"/>
      <c r="BR57" s="103" t="n"/>
      <c r="BS57" s="103" t="n"/>
      <c r="BT57" s="103" t="n"/>
      <c r="BU57" s="103" t="n"/>
      <c r="BV57" s="103" t="n"/>
      <c r="BW57" s="103" t="n"/>
      <c r="BX57" s="103" t="n"/>
      <c r="BY57" s="103" t="n"/>
      <c r="BZ57" s="103" t="n"/>
      <c r="CA57" s="103" t="n"/>
      <c r="CB57" s="103" t="n"/>
      <c r="CC57" s="103" t="n"/>
      <c r="CD57" s="103" t="n"/>
      <c r="CE57" s="103" t="n"/>
      <c r="CF57" s="103" t="n"/>
      <c r="CG57" s="103" t="n"/>
      <c r="CH57" s="103" t="n"/>
      <c r="CI57" s="103" t="n"/>
      <c r="CJ57" s="103" t="n"/>
      <c r="CK57" s="103" t="n"/>
    </row>
    <row r="58" ht="18" customHeight="1">
      <c r="A58" s="540" t="n"/>
      <c r="B58" s="540" t="n"/>
      <c r="C58" s="541" t="n"/>
      <c r="D58" s="540" t="n"/>
      <c r="E58" s="540" t="n"/>
      <c r="F58" s="63" t="n"/>
      <c r="G58" s="98" t="n"/>
      <c r="H58" s="98" t="n"/>
      <c r="I58" s="98" t="n"/>
      <c r="J58" s="98" t="n"/>
      <c r="K58" s="98" t="n"/>
      <c r="L58" s="247" t="n"/>
      <c r="M58" s="98" t="n"/>
      <c r="N58" s="98" t="n"/>
      <c r="O58" s="98" t="n"/>
      <c r="P58" s="98" t="n"/>
      <c r="Q58" s="98" t="n"/>
      <c r="R58" s="98" t="n"/>
      <c r="S58" s="98" t="n"/>
      <c r="T58" s="98" t="n"/>
      <c r="U58" s="98" t="n"/>
      <c r="V58" s="247" t="n"/>
      <c r="W58" s="533" t="n"/>
      <c r="X58" s="98" t="n"/>
      <c r="Y58" s="247" t="n"/>
      <c r="Z58" s="98" t="n"/>
      <c r="AA58" s="533" t="n"/>
      <c r="AB58" s="247" t="n"/>
      <c r="AC58" s="98" t="n"/>
      <c r="AD58" s="64" t="n"/>
      <c r="AE58" s="136" t="n"/>
      <c r="AF58" s="64" t="n"/>
      <c r="AG58" s="64" t="n"/>
      <c r="AH58" s="136" t="n"/>
      <c r="AI58" s="64" t="n"/>
      <c r="AJ58" s="543" t="n"/>
      <c r="AK58" s="544" t="n"/>
      <c r="AL58" s="64" t="n"/>
      <c r="AM58" s="64" t="n"/>
      <c r="AN58" s="64" t="n"/>
      <c r="AO58" s="103" t="n"/>
      <c r="AP58" s="64" t="n"/>
      <c r="AQ58" s="64" t="n"/>
      <c r="AR58" s="545" t="n"/>
      <c r="AS58" s="64" t="n"/>
      <c r="AT58" s="64" t="n"/>
      <c r="AU58" s="64" t="n"/>
      <c r="AV58" s="64" t="n"/>
      <c r="AW58" s="64" t="n"/>
      <c r="AX58" s="103" t="n"/>
      <c r="AY58" s="103" t="n"/>
      <c r="AZ58" s="103" t="n"/>
      <c r="BA58" s="103" t="n"/>
      <c r="BB58" s="103" t="n"/>
      <c r="BC58" s="103" t="n"/>
      <c r="BD58" s="103" t="n"/>
      <c r="BE58" s="103" t="n"/>
      <c r="BF58" s="103" t="n"/>
      <c r="BG58" s="103" t="n"/>
      <c r="BH58" s="103" t="n"/>
      <c r="BI58" s="103" t="n"/>
      <c r="BJ58" s="103" t="n"/>
      <c r="BK58" s="103" t="n"/>
      <c r="BL58" s="103" t="n"/>
      <c r="BM58" s="103" t="n"/>
      <c r="BN58" s="103" t="n"/>
      <c r="BO58" s="103" t="n"/>
      <c r="BP58" s="103" t="n"/>
      <c r="BQ58" s="103" t="n"/>
      <c r="BR58" s="103" t="n"/>
      <c r="BS58" s="103" t="n"/>
      <c r="BT58" s="103" t="n"/>
      <c r="BU58" s="103" t="n"/>
      <c r="BV58" s="103" t="n"/>
      <c r="BW58" s="103" t="n"/>
      <c r="BX58" s="103" t="n"/>
      <c r="BY58" s="103" t="n"/>
      <c r="BZ58" s="103" t="n"/>
      <c r="CA58" s="103" t="n"/>
      <c r="CB58" s="103" t="n"/>
      <c r="CC58" s="103" t="n"/>
      <c r="CD58" s="103" t="n"/>
      <c r="CE58" s="103" t="n"/>
      <c r="CF58" s="103" t="n"/>
      <c r="CG58" s="103" t="n"/>
      <c r="CH58" s="103" t="n"/>
      <c r="CI58" s="103" t="n"/>
      <c r="CJ58" s="103" t="n"/>
      <c r="CK58" s="103" t="n"/>
    </row>
    <row r="59" ht="18" customHeight="1">
      <c r="A59" s="540" t="n"/>
      <c r="B59" s="540" t="n"/>
      <c r="C59" s="541" t="n"/>
      <c r="D59" s="540" t="n"/>
      <c r="E59" s="540" t="n"/>
      <c r="F59" s="63" t="n"/>
      <c r="G59" s="98" t="n"/>
      <c r="H59" s="98" t="n"/>
      <c r="I59" s="98" t="n"/>
      <c r="J59" s="98" t="n"/>
      <c r="K59" s="98" t="n"/>
      <c r="L59" s="247" t="n"/>
      <c r="M59" s="98" t="n"/>
      <c r="N59" s="98" t="n"/>
      <c r="O59" s="98" t="n"/>
      <c r="P59" s="98" t="n"/>
      <c r="Q59" s="98" t="n"/>
      <c r="R59" s="98" t="n"/>
      <c r="S59" s="98" t="n"/>
      <c r="T59" s="98" t="n"/>
      <c r="U59" s="98" t="n"/>
      <c r="V59" s="247" t="n"/>
      <c r="W59" s="533" t="n"/>
      <c r="X59" s="98" t="n"/>
      <c r="Y59" s="247" t="n"/>
      <c r="Z59" s="98" t="n"/>
      <c r="AA59" s="533" t="n"/>
      <c r="AB59" s="247" t="n"/>
      <c r="AC59" s="98" t="n"/>
      <c r="AD59" s="64" t="n"/>
      <c r="AE59" s="136" t="n"/>
      <c r="AF59" s="64" t="n"/>
      <c r="AG59" s="64" t="n"/>
      <c r="AH59" s="136" t="n"/>
      <c r="AI59" s="64" t="n"/>
      <c r="AJ59" s="543" t="n"/>
      <c r="AK59" s="544" t="n"/>
      <c r="AL59" s="64" t="n"/>
      <c r="AM59" s="64" t="n"/>
      <c r="AN59" s="64" t="n"/>
      <c r="AO59" s="103" t="n"/>
      <c r="AP59" s="64" t="n"/>
      <c r="AQ59" s="64" t="n"/>
      <c r="AR59" s="545" t="n"/>
      <c r="AS59" s="64" t="n"/>
      <c r="AT59" s="64" t="n"/>
      <c r="AU59" s="64" t="n"/>
      <c r="AV59" s="64" t="n"/>
      <c r="AW59" s="64" t="n"/>
      <c r="AX59" s="103" t="n"/>
      <c r="AY59" s="103" t="n"/>
      <c r="AZ59" s="103" t="n"/>
      <c r="BA59" s="103" t="n"/>
      <c r="BB59" s="103" t="n"/>
      <c r="BC59" s="103" t="n"/>
      <c r="BD59" s="103" t="n"/>
      <c r="BE59" s="103" t="n"/>
      <c r="BF59" s="103" t="n"/>
      <c r="BG59" s="103" t="n"/>
      <c r="BH59" s="103" t="n"/>
      <c r="BI59" s="103" t="n"/>
      <c r="BJ59" s="103" t="n"/>
      <c r="BK59" s="103" t="n"/>
      <c r="BL59" s="103" t="n"/>
      <c r="BM59" s="103" t="n"/>
      <c r="BN59" s="103" t="n"/>
      <c r="BO59" s="103" t="n"/>
      <c r="BP59" s="103" t="n"/>
      <c r="BQ59" s="103" t="n"/>
      <c r="BR59" s="103" t="n"/>
      <c r="BS59" s="103" t="n"/>
      <c r="BT59" s="103" t="n"/>
      <c r="BU59" s="103" t="n"/>
      <c r="BV59" s="103" t="n"/>
      <c r="BW59" s="103" t="n"/>
      <c r="BX59" s="103" t="n"/>
      <c r="BY59" s="103" t="n"/>
      <c r="BZ59" s="103" t="n"/>
      <c r="CA59" s="103" t="n"/>
      <c r="CB59" s="103" t="n"/>
      <c r="CC59" s="103" t="n"/>
      <c r="CD59" s="103" t="n"/>
      <c r="CE59" s="103" t="n"/>
      <c r="CF59" s="103" t="n"/>
      <c r="CG59" s="103" t="n"/>
      <c r="CH59" s="103" t="n"/>
      <c r="CI59" s="103" t="n"/>
      <c r="CJ59" s="103" t="n"/>
      <c r="CK59" s="103" t="n"/>
    </row>
    <row r="60" ht="18" customHeight="1">
      <c r="A60" s="540" t="n"/>
      <c r="B60" s="540" t="n"/>
      <c r="C60" s="541" t="n"/>
      <c r="D60" s="540" t="n"/>
      <c r="E60" s="540" t="n"/>
      <c r="F60" s="540" t="n"/>
      <c r="G60" s="98" t="n"/>
      <c r="H60" s="98" t="n"/>
      <c r="I60" s="98" t="n"/>
      <c r="J60" s="98" t="n"/>
      <c r="K60" s="98" t="n"/>
      <c r="L60" s="247" t="n"/>
      <c r="M60" s="98" t="n"/>
      <c r="N60" s="98" t="n"/>
      <c r="O60" s="98" t="n"/>
      <c r="P60" s="98" t="n"/>
      <c r="Q60" s="98" t="n"/>
      <c r="R60" s="98" t="n"/>
      <c r="S60" s="98" t="n"/>
      <c r="T60" s="98" t="n"/>
      <c r="U60" s="98" t="n"/>
      <c r="V60" s="247" t="n"/>
      <c r="W60" s="533" t="n"/>
      <c r="X60" s="98" t="n"/>
      <c r="Y60" s="247" t="n"/>
      <c r="Z60" s="98" t="n"/>
      <c r="AA60" s="533" t="n"/>
      <c r="AB60" s="247" t="n"/>
      <c r="AC60" s="98" t="n"/>
      <c r="AD60" s="64" t="n"/>
      <c r="AE60" s="136" t="n"/>
      <c r="AF60" s="64" t="n"/>
      <c r="AG60" s="64" t="n"/>
      <c r="AH60" s="136" t="n"/>
      <c r="AI60" s="64" t="n"/>
      <c r="AJ60" s="543" t="n"/>
      <c r="AK60" s="544" t="n"/>
      <c r="AL60" s="64" t="n"/>
      <c r="AM60" s="64" t="n"/>
      <c r="AN60" s="64" t="n"/>
      <c r="AO60" s="103" t="n"/>
      <c r="AP60" s="64" t="n"/>
      <c r="AQ60" s="64" t="n"/>
      <c r="AR60" s="545" t="n"/>
      <c r="AS60" s="64" t="n"/>
      <c r="AT60" s="64" t="n"/>
      <c r="AU60" s="64" t="n"/>
      <c r="AV60" s="64" t="n"/>
      <c r="AW60" s="64" t="n"/>
      <c r="AX60" s="103" t="n"/>
      <c r="AY60" s="103" t="n"/>
      <c r="AZ60" s="103" t="n"/>
      <c r="BA60" s="103" t="n"/>
      <c r="BB60" s="103" t="n"/>
      <c r="BC60" s="103" t="n"/>
      <c r="BD60" s="103" t="n"/>
      <c r="BE60" s="103" t="n"/>
      <c r="BF60" s="103" t="n"/>
      <c r="BG60" s="103" t="n"/>
      <c r="BH60" s="103" t="n"/>
      <c r="BI60" s="103" t="n"/>
      <c r="BJ60" s="103" t="n"/>
      <c r="BK60" s="103" t="n"/>
      <c r="BL60" s="103" t="n"/>
      <c r="BM60" s="103" t="n"/>
      <c r="BN60" s="103" t="n"/>
      <c r="BO60" s="103" t="n"/>
      <c r="BP60" s="103" t="n"/>
      <c r="BQ60" s="103" t="n"/>
      <c r="BR60" s="103" t="n"/>
      <c r="BS60" s="103" t="n"/>
      <c r="BT60" s="103" t="n"/>
      <c r="BU60" s="103" t="n"/>
      <c r="BV60" s="103" t="n"/>
      <c r="BW60" s="103" t="n"/>
      <c r="BX60" s="103" t="n"/>
      <c r="BY60" s="103" t="n"/>
      <c r="BZ60" s="103" t="n"/>
      <c r="CA60" s="103" t="n"/>
      <c r="CB60" s="103" t="n"/>
      <c r="CC60" s="103" t="n"/>
      <c r="CD60" s="103" t="n"/>
      <c r="CE60" s="103" t="n"/>
      <c r="CF60" s="103" t="n"/>
      <c r="CG60" s="103" t="n"/>
      <c r="CH60" s="103" t="n"/>
      <c r="CI60" s="103" t="n"/>
      <c r="CJ60" s="103" t="n"/>
      <c r="CK60" s="103" t="n"/>
    </row>
    <row r="61" ht="18" customHeight="1">
      <c r="A61" s="600" t="n"/>
      <c r="B61" s="98" t="n"/>
      <c r="C61" s="247" t="n"/>
      <c r="D61" s="98" t="n"/>
      <c r="E61" s="98" t="n"/>
      <c r="F61" s="98" t="n"/>
      <c r="G61" s="98" t="n"/>
      <c r="H61" s="98" t="n"/>
      <c r="I61" s="98" t="n"/>
      <c r="J61" s="98" t="n"/>
      <c r="K61" s="98" t="n"/>
      <c r="L61" s="247" t="n"/>
      <c r="M61" s="98" t="n"/>
      <c r="N61" s="98" t="n"/>
      <c r="O61" s="98" t="n"/>
      <c r="P61" s="98" t="n"/>
      <c r="Q61" s="98" t="n"/>
      <c r="R61" s="98" t="n"/>
      <c r="S61" s="98" t="n"/>
      <c r="T61" s="98" t="n"/>
      <c r="U61" s="98" t="n"/>
      <c r="V61" s="247" t="n"/>
      <c r="W61" s="533" t="n"/>
      <c r="X61" s="98" t="n"/>
      <c r="Y61" s="247" t="n"/>
      <c r="Z61" s="98" t="n"/>
      <c r="AA61" s="533" t="n"/>
      <c r="AB61" s="247" t="n"/>
      <c r="AC61" s="98" t="n"/>
      <c r="AD61" s="64" t="n"/>
      <c r="AE61" s="136" t="n"/>
      <c r="AF61" s="64" t="n"/>
      <c r="AG61" s="64" t="n"/>
      <c r="AH61" s="136" t="n"/>
      <c r="AI61" s="64" t="n"/>
      <c r="AJ61" s="543" t="n"/>
      <c r="AK61" s="544" t="n"/>
      <c r="AL61" s="64" t="n"/>
      <c r="AM61" s="64" t="n"/>
      <c r="AN61" s="64" t="n"/>
      <c r="AO61" s="103" t="n"/>
      <c r="AP61" s="64" t="n"/>
      <c r="AQ61" s="64" t="n"/>
      <c r="AR61" s="545" t="n"/>
      <c r="AS61" s="64" t="n"/>
      <c r="AT61" s="64" t="n"/>
      <c r="AU61" s="64" t="n"/>
      <c r="AV61" s="64" t="n"/>
      <c r="AW61" s="64" t="n"/>
      <c r="AX61" s="103" t="n"/>
      <c r="AY61" s="103" t="n"/>
      <c r="AZ61" s="103" t="n"/>
      <c r="BA61" s="103" t="n"/>
      <c r="BB61" s="103" t="n"/>
      <c r="BC61" s="103" t="n"/>
      <c r="BD61" s="103" t="n"/>
      <c r="BE61" s="103" t="n"/>
      <c r="BF61" s="103" t="n"/>
      <c r="BG61" s="103" t="n"/>
      <c r="BH61" s="103" t="n"/>
      <c r="BI61" s="103" t="n"/>
      <c r="BJ61" s="103" t="n"/>
      <c r="BK61" s="103" t="n"/>
      <c r="BL61" s="103" t="n"/>
      <c r="BM61" s="103" t="n"/>
      <c r="BN61" s="103" t="n"/>
      <c r="BO61" s="103" t="n"/>
      <c r="BP61" s="103" t="n"/>
      <c r="BQ61" s="103" t="n"/>
      <c r="BR61" s="103" t="n"/>
      <c r="BS61" s="103" t="n"/>
      <c r="BT61" s="103" t="n"/>
      <c r="BU61" s="103" t="n"/>
      <c r="BV61" s="103" t="n"/>
      <c r="BW61" s="103" t="n"/>
      <c r="BX61" s="103" t="n"/>
      <c r="BY61" s="103" t="n"/>
      <c r="BZ61" s="103" t="n"/>
      <c r="CA61" s="103" t="n"/>
      <c r="CB61" s="103" t="n"/>
      <c r="CC61" s="103" t="n"/>
      <c r="CD61" s="103" t="n"/>
      <c r="CE61" s="103" t="n"/>
      <c r="CF61" s="103" t="n"/>
      <c r="CG61" s="103" t="n"/>
      <c r="CH61" s="103" t="n"/>
      <c r="CI61" s="103" t="n"/>
      <c r="CJ61" s="103" t="n"/>
      <c r="CK61" s="103" t="n"/>
    </row>
  </sheetData>
  <mergeCells count="114">
    <mergeCell ref="W26:AN26"/>
    <mergeCell ref="AK31:AN31"/>
    <mergeCell ref="W35:AN35"/>
    <mergeCell ref="W15:X15"/>
    <mergeCell ref="A5:AE5"/>
    <mergeCell ref="AK28:AN29"/>
    <mergeCell ref="A48:AN49"/>
    <mergeCell ref="AH54:AN54"/>
    <mergeCell ref="A4:AN4"/>
    <mergeCell ref="AK32:AN32"/>
    <mergeCell ref="AP20:AQ20"/>
    <mergeCell ref="A41:B41"/>
    <mergeCell ref="AH56:AN56"/>
    <mergeCell ref="AX17:CK18"/>
    <mergeCell ref="Y14:AF14"/>
    <mergeCell ref="C34:U34"/>
    <mergeCell ref="W24:Z24"/>
    <mergeCell ref="AF1:AN1"/>
    <mergeCell ref="A57:E57"/>
    <mergeCell ref="C20:U20"/>
    <mergeCell ref="W37:AN37"/>
    <mergeCell ref="A22:B22"/>
    <mergeCell ref="A35:B35"/>
    <mergeCell ref="A17:AN18"/>
    <mergeCell ref="C30:K30"/>
    <mergeCell ref="A16:AN16"/>
    <mergeCell ref="AH55:AN55"/>
    <mergeCell ref="C22:U22"/>
    <mergeCell ref="W14:X14"/>
    <mergeCell ref="AA25:AD25"/>
    <mergeCell ref="Y30:AA30"/>
    <mergeCell ref="C46:U46"/>
    <mergeCell ref="A39:B39"/>
    <mergeCell ref="Y29:AA29"/>
    <mergeCell ref="V28:AD28"/>
    <mergeCell ref="A45:B45"/>
    <mergeCell ref="W41:AN41"/>
    <mergeCell ref="Y31:AA31"/>
    <mergeCell ref="C38:U38"/>
    <mergeCell ref="AE29:AG29"/>
    <mergeCell ref="AF2:AN2"/>
    <mergeCell ref="AE28:AJ28"/>
    <mergeCell ref="A37:B37"/>
    <mergeCell ref="A46:B46"/>
    <mergeCell ref="A26:B26"/>
    <mergeCell ref="A53:R53"/>
    <mergeCell ref="C26:U26"/>
    <mergeCell ref="C35:U35"/>
    <mergeCell ref="AB30:AD30"/>
    <mergeCell ref="C25:U25"/>
    <mergeCell ref="S1:AE2"/>
    <mergeCell ref="AB29:AD29"/>
    <mergeCell ref="A12:G12"/>
    <mergeCell ref="A10:AN11"/>
    <mergeCell ref="V29:X29"/>
    <mergeCell ref="W45:AN45"/>
    <mergeCell ref="A34:B34"/>
    <mergeCell ref="AH29:AJ29"/>
    <mergeCell ref="AJ5:AM5"/>
    <mergeCell ref="V31:X31"/>
    <mergeCell ref="A36:B36"/>
    <mergeCell ref="C31:K31"/>
    <mergeCell ref="C39:U39"/>
    <mergeCell ref="AH31:AJ31"/>
    <mergeCell ref="A27:B32"/>
    <mergeCell ref="Y15:AF15"/>
    <mergeCell ref="C28:K29"/>
    <mergeCell ref="C37:U37"/>
    <mergeCell ref="W21:AN21"/>
    <mergeCell ref="AH30:AJ30"/>
    <mergeCell ref="A50:AN51"/>
    <mergeCell ref="AE30:AG30"/>
    <mergeCell ref="A21:B21"/>
    <mergeCell ref="Y7:AF7"/>
    <mergeCell ref="AK30:AN30"/>
    <mergeCell ref="I12:AN12"/>
    <mergeCell ref="A23:B23"/>
    <mergeCell ref="AF3:AN3"/>
    <mergeCell ref="A38:B38"/>
    <mergeCell ref="C41:U41"/>
    <mergeCell ref="AR20:AS20"/>
    <mergeCell ref="L30:U30"/>
    <mergeCell ref="W34:AN34"/>
    <mergeCell ref="U7:X7"/>
    <mergeCell ref="A40:B40"/>
    <mergeCell ref="W36:AN36"/>
    <mergeCell ref="A24:B24"/>
    <mergeCell ref="C27:U27"/>
    <mergeCell ref="C36:U36"/>
    <mergeCell ref="L31:U31"/>
    <mergeCell ref="W20:AN20"/>
    <mergeCell ref="AB31:AD31"/>
    <mergeCell ref="V30:X30"/>
    <mergeCell ref="L28:U29"/>
    <mergeCell ref="AH5:AI5"/>
    <mergeCell ref="A8:AN8"/>
    <mergeCell ref="W22:AN22"/>
    <mergeCell ref="A25:B25"/>
    <mergeCell ref="C32:AJ32"/>
    <mergeCell ref="W46:AN46"/>
    <mergeCell ref="W39:AN39"/>
    <mergeCell ref="C45:U45"/>
    <mergeCell ref="W23:AN23"/>
    <mergeCell ref="S3:AE3"/>
    <mergeCell ref="W38:AN38"/>
    <mergeCell ref="AA24:AG24"/>
    <mergeCell ref="W25:Y25"/>
    <mergeCell ref="A20:B20"/>
    <mergeCell ref="W40:AN40"/>
    <mergeCell ref="A56:G56"/>
    <mergeCell ref="C40:U40"/>
    <mergeCell ref="AE31:AG31"/>
    <mergeCell ref="C21:U21"/>
    <mergeCell ref="AS5:AT5"/>
  </mergeCells>
  <pageMargins left="0.7" right="0.7" top="0.75" bottom="0.75" header="0.3" footer="0.3"/>
</worksheet>
</file>

<file path=xl/worksheets/sheet17.xml><?xml version="1.0" encoding="utf-8"?>
<worksheet xmlns="http://schemas.openxmlformats.org/spreadsheetml/2006/main">
  <sheetPr>
    <outlinePr summaryBelow="0"/>
    <pageSetUpPr/>
  </sheetPr>
  <dimension ref="A1:AZ58"/>
  <sheetViews>
    <sheetView workbookViewId="0">
      <selection activeCell="A1" sqref="A1"/>
    </sheetView>
  </sheetViews>
  <sheetFormatPr baseColWidth="8" defaultRowHeight="15"/>
  <cols>
    <col width="12.14785714285714" bestFit="1" customWidth="1" style="64" min="1" max="1"/>
    <col width="12.14785714285714" bestFit="1" customWidth="1" style="64" min="2" max="2"/>
    <col width="12.14785714285714" bestFit="1" customWidth="1" style="64" min="3" max="3"/>
    <col width="12.14785714285714" bestFit="1" customWidth="1" style="64" min="4" max="4"/>
    <col width="12.14785714285714" bestFit="1" customWidth="1" style="64" min="5" max="5"/>
    <col width="12.14785714285714" bestFit="1" customWidth="1" style="64" min="6" max="6"/>
    <col width="12.14785714285714" bestFit="1" customWidth="1" style="64" min="7" max="7"/>
    <col width="12.14785714285714" bestFit="1" customWidth="1" style="64" min="8" max="8"/>
    <col width="12.14785714285714" bestFit="1" customWidth="1" style="64" min="9" max="9"/>
    <col width="15.71928571428571" bestFit="1" customWidth="1" style="64" min="10" max="10"/>
    <col width="4.005" bestFit="1" customWidth="1" style="64" min="11" max="11"/>
    <col width="13.57642857142857" bestFit="1" customWidth="1" style="64" min="12" max="12"/>
    <col width="13.57642857142857" bestFit="1" customWidth="1" style="103" min="13" max="13"/>
    <col width="13.57642857142857" bestFit="1" customWidth="1" style="103" min="14" max="14"/>
    <col width="13.57642857142857" bestFit="1" customWidth="1" style="103" min="15" max="15"/>
    <col width="13.57642857142857" bestFit="1" customWidth="1" style="103" min="16" max="16"/>
    <col width="13.57642857142857" bestFit="1" customWidth="1" style="103" min="17" max="17"/>
    <col width="13.57642857142857" bestFit="1" customWidth="1" style="103" min="18" max="18"/>
    <col width="13.57642857142857" bestFit="1" customWidth="1" style="103" min="19" max="19"/>
    <col width="13.57642857142857" bestFit="1" customWidth="1" style="103" min="20" max="20"/>
    <col width="13.57642857142857" bestFit="1" customWidth="1" style="103" min="21" max="21"/>
    <col width="13.57642857142857" bestFit="1" customWidth="1" style="103" min="22" max="22"/>
    <col width="13.57642857142857" bestFit="1" customWidth="1" style="103" min="23" max="23"/>
    <col width="13.57642857142857" bestFit="1" customWidth="1" style="103" min="24" max="24"/>
    <col width="13.57642857142857" bestFit="1" customWidth="1" style="103" min="25" max="25"/>
    <col width="13.57642857142857" bestFit="1" customWidth="1" style="103" min="26" max="26"/>
    <col width="13.57642857142857" bestFit="1" customWidth="1" style="103" min="27" max="27"/>
    <col width="13.57642857142857" bestFit="1" customWidth="1" style="103" min="28" max="28"/>
    <col width="13.57642857142857" bestFit="1" customWidth="1" style="103" min="29" max="29"/>
    <col width="13.57642857142857" bestFit="1" customWidth="1" style="103" min="30" max="30"/>
    <col width="13.57642857142857" bestFit="1" customWidth="1" style="103" min="31" max="31"/>
    <col width="13.57642857142857" bestFit="1" customWidth="1" style="103" min="32" max="32"/>
    <col width="13.57642857142857" bestFit="1" customWidth="1" style="103" min="33" max="33"/>
    <col width="13.57642857142857" bestFit="1" customWidth="1" style="103" min="34" max="34"/>
    <col width="13.57642857142857" bestFit="1" customWidth="1" style="103" min="35" max="35"/>
    <col width="13.57642857142857" bestFit="1" customWidth="1" style="103" min="36" max="36"/>
    <col width="13.57642857142857" bestFit="1" customWidth="1" style="103" min="37" max="37"/>
    <col width="13.57642857142857" bestFit="1" customWidth="1" style="103" min="38" max="38"/>
    <col width="13.57642857142857" bestFit="1" customWidth="1" style="103" min="39" max="39"/>
    <col width="13.57642857142857" bestFit="1" customWidth="1" style="103" min="40" max="40"/>
    <col width="13.57642857142857" bestFit="1" customWidth="1" style="103" min="41" max="41"/>
    <col width="13.57642857142857" bestFit="1" customWidth="1" style="103" min="42" max="42"/>
    <col width="13.57642857142857" bestFit="1" customWidth="1" style="103" min="43" max="43"/>
    <col width="13.57642857142857" bestFit="1" customWidth="1" style="103" min="44" max="44"/>
    <col width="13.57642857142857" bestFit="1" customWidth="1" style="103" min="45" max="45"/>
    <col width="13.57642857142857" bestFit="1" customWidth="1" style="103" min="46" max="46"/>
    <col width="13.57642857142857" bestFit="1" customWidth="1" style="103" min="47" max="47"/>
    <col width="13.57642857142857" bestFit="1" customWidth="1" style="64" min="48" max="48"/>
    <col width="13.57642857142857" bestFit="1" customWidth="1" style="64" min="49" max="49"/>
    <col width="13.57642857142857" bestFit="1" customWidth="1" style="64" min="50" max="50"/>
    <col width="13.57642857142857" bestFit="1" customWidth="1" style="64" min="51" max="51"/>
    <col width="13.57642857142857" bestFit="1" customWidth="1" style="103" min="52" max="52"/>
  </cols>
  <sheetData>
    <row r="1" ht="33.75" customHeight="1">
      <c r="A1" s="98" t="n"/>
      <c r="B1" s="419" t="inlineStr">
        <is>
          <t>evsjv‡`k K…wl e¨vsK</t>
        </is>
      </c>
      <c r="I1" s="69" t="n"/>
      <c r="J1" s="64" t="n"/>
      <c r="K1" s="64" t="n"/>
      <c r="L1" s="64" t="n"/>
      <c r="M1" s="103" t="n"/>
      <c r="N1" s="103" t="n"/>
      <c r="O1" s="103" t="n"/>
      <c r="P1" s="103" t="n"/>
      <c r="Q1" s="103" t="n"/>
      <c r="R1" s="103" t="n"/>
      <c r="S1" s="103" t="n"/>
      <c r="T1" s="103" t="n"/>
      <c r="U1" s="103" t="n"/>
      <c r="V1" s="103" t="n"/>
      <c r="W1" s="103" t="n"/>
      <c r="X1" s="103" t="n"/>
      <c r="Y1" s="103" t="n"/>
      <c r="Z1" s="103" t="n"/>
      <c r="AA1" s="103" t="n"/>
      <c r="AB1" s="103" t="n"/>
      <c r="AC1" s="103" t="n"/>
      <c r="AD1" s="103" t="n"/>
      <c r="AE1" s="103" t="n"/>
      <c r="AF1" s="103" t="n"/>
      <c r="AG1" s="103" t="n"/>
      <c r="AH1" s="103" t="n"/>
      <c r="AI1" s="103" t="n"/>
      <c r="AJ1" s="103" t="n"/>
      <c r="AK1" s="103" t="n"/>
      <c r="AL1" s="103" t="n"/>
      <c r="AM1" s="103" t="n"/>
      <c r="AN1" s="103" t="n"/>
      <c r="AO1" s="103" t="n"/>
      <c r="AP1" s="103" t="n"/>
      <c r="AQ1" s="103" t="n"/>
      <c r="AR1" s="103" t="n"/>
      <c r="AS1" s="103" t="n"/>
      <c r="AT1" s="103" t="n"/>
      <c r="AU1" s="103" t="n"/>
      <c r="AV1" s="64" t="n"/>
      <c r="AW1" s="64" t="n"/>
      <c r="AX1" s="64" t="n"/>
      <c r="AY1" s="64" t="n"/>
      <c r="AZ1" s="103" t="n"/>
    </row>
    <row r="2" ht="19.5" customHeight="1">
      <c r="A2" s="98" t="n"/>
      <c r="B2" s="407">
        <f>+'Data Input'!D2</f>
        <v/>
      </c>
      <c r="I2" s="232" t="n"/>
      <c r="J2" s="64" t="n"/>
      <c r="K2" s="64" t="n"/>
      <c r="L2" s="64" t="n"/>
      <c r="M2" s="103" t="n"/>
      <c r="N2" s="103" t="n"/>
      <c r="O2" s="103" t="n"/>
      <c r="P2" s="103" t="n"/>
      <c r="Q2" s="103" t="n"/>
      <c r="R2" s="103" t="n"/>
      <c r="S2" s="103" t="n"/>
      <c r="T2" s="103" t="n"/>
      <c r="U2" s="103" t="n"/>
      <c r="V2" s="103" t="n"/>
      <c r="W2" s="103" t="n"/>
      <c r="X2" s="103" t="n"/>
      <c r="Y2" s="103" t="n"/>
      <c r="Z2" s="103" t="n"/>
      <c r="AA2" s="103" t="n"/>
      <c r="AB2" s="103" t="n"/>
      <c r="AC2" s="103" t="n"/>
      <c r="AD2" s="103" t="n"/>
      <c r="AE2" s="103" t="n"/>
      <c r="AF2" s="103" t="n"/>
      <c r="AG2" s="103" t="n"/>
      <c r="AH2" s="103" t="n"/>
      <c r="AI2" s="103" t="n"/>
      <c r="AJ2" s="103" t="n"/>
      <c r="AK2" s="103" t="n"/>
      <c r="AL2" s="103" t="n"/>
      <c r="AM2" s="103" t="n"/>
      <c r="AN2" s="103" t="n"/>
      <c r="AO2" s="103" t="n"/>
      <c r="AP2" s="103" t="n"/>
      <c r="AQ2" s="103" t="n"/>
      <c r="AR2" s="103" t="n"/>
      <c r="AS2" s="103" t="n"/>
      <c r="AT2" s="103" t="n"/>
      <c r="AU2" s="103" t="n"/>
      <c r="AV2" s="64" t="n"/>
      <c r="AW2" s="64" t="n"/>
      <c r="AX2" s="64" t="n"/>
      <c r="AY2" s="64" t="n"/>
      <c r="AZ2" s="103" t="n"/>
    </row>
    <row r="3" ht="13.5" customHeight="1">
      <c r="A3" s="98" t="n"/>
      <c r="B3" s="173">
        <f>+'Data Input'!D3</f>
        <v/>
      </c>
      <c r="I3" s="73" t="n"/>
      <c r="J3" s="64" t="n"/>
      <c r="K3" s="64" t="n"/>
      <c r="L3" s="64" t="n"/>
      <c r="M3" s="103" t="n"/>
      <c r="N3" s="103" t="n"/>
      <c r="O3" s="103" t="n"/>
      <c r="P3" s="103" t="n"/>
      <c r="Q3" s="103" t="n"/>
      <c r="R3" s="103" t="n"/>
      <c r="S3" s="103" t="n"/>
      <c r="T3" s="103" t="n"/>
      <c r="U3" s="103" t="n"/>
      <c r="V3" s="103" t="n"/>
      <c r="W3" s="103" t="n"/>
      <c r="X3" s="103" t="n"/>
      <c r="Y3" s="103" t="n"/>
      <c r="Z3" s="103" t="n"/>
      <c r="AA3" s="103" t="n"/>
      <c r="AB3" s="103" t="n"/>
      <c r="AC3" s="103" t="n"/>
      <c r="AD3" s="103" t="n"/>
      <c r="AE3" s="103" t="n"/>
      <c r="AF3" s="103" t="n"/>
      <c r="AG3" s="103" t="n"/>
      <c r="AH3" s="103" t="n"/>
      <c r="AI3" s="103" t="n"/>
      <c r="AJ3" s="103" t="n"/>
      <c r="AK3" s="103" t="n"/>
      <c r="AL3" s="103" t="n"/>
      <c r="AM3" s="103" t="n"/>
      <c r="AN3" s="103" t="n"/>
      <c r="AO3" s="103" t="n"/>
      <c r="AP3" s="103" t="n"/>
      <c r="AQ3" s="103" t="n"/>
      <c r="AR3" s="103" t="n"/>
      <c r="AS3" s="103" t="n"/>
      <c r="AT3" s="103" t="n"/>
      <c r="AU3" s="103" t="n"/>
      <c r="AV3" s="64" t="n"/>
      <c r="AW3" s="64" t="n"/>
      <c r="AX3" s="64" t="n"/>
      <c r="AY3" s="64" t="n"/>
      <c r="AZ3" s="103" t="n"/>
    </row>
    <row r="4" ht="15.75" customHeight="1">
      <c r="A4" s="98" t="n"/>
      <c r="B4" s="175">
        <f>+'Data Input'!D4</f>
        <v/>
      </c>
      <c r="C4" s="2613" t="n"/>
      <c r="D4" s="2613" t="n"/>
      <c r="E4" s="2613" t="n"/>
      <c r="F4" s="2613" t="n"/>
      <c r="G4" s="2613" t="n"/>
      <c r="H4" s="2613" t="n"/>
      <c r="I4" s="64" t="n"/>
      <c r="J4" s="64" t="n"/>
      <c r="K4" s="64" t="n"/>
      <c r="L4" s="64" t="n"/>
      <c r="M4" s="103" t="n"/>
      <c r="N4" s="103" t="n"/>
      <c r="O4" s="103" t="n"/>
      <c r="P4" s="103" t="n"/>
      <c r="Q4" s="103" t="n"/>
      <c r="R4" s="103" t="n"/>
      <c r="S4" s="103" t="n"/>
      <c r="T4" s="103" t="n"/>
      <c r="U4" s="103" t="n"/>
      <c r="V4" s="103" t="n"/>
      <c r="W4" s="103" t="n"/>
      <c r="X4" s="103" t="n"/>
      <c r="Y4" s="103" t="n"/>
      <c r="Z4" s="103" t="n"/>
      <c r="AA4" s="103" t="n"/>
      <c r="AB4" s="103" t="n"/>
      <c r="AC4" s="103" t="n"/>
      <c r="AD4" s="103" t="n"/>
      <c r="AE4" s="103" t="n"/>
      <c r="AF4" s="103" t="n"/>
      <c r="AG4" s="103" t="n"/>
      <c r="AH4" s="103" t="n"/>
      <c r="AI4" s="103" t="n"/>
      <c r="AJ4" s="103" t="n"/>
      <c r="AK4" s="103" t="n"/>
      <c r="AL4" s="103" t="n"/>
      <c r="AM4" s="103" t="n"/>
      <c r="AN4" s="103" t="n"/>
      <c r="AO4" s="103" t="n"/>
      <c r="AP4" s="103" t="n"/>
      <c r="AQ4" s="103" t="n"/>
      <c r="AR4" s="103" t="n"/>
      <c r="AS4" s="103" t="n"/>
      <c r="AT4" s="103" t="n"/>
      <c r="AU4" s="103" t="n"/>
      <c r="AV4" s="64" t="n"/>
      <c r="AW4" s="64" t="n"/>
      <c r="AX4" s="64" t="n"/>
      <c r="AY4" s="64" t="n"/>
      <c r="AZ4" s="103" t="n"/>
    </row>
    <row r="5" ht="19.5" customFormat="1" customHeight="1" s="18">
      <c r="A5" s="232" t="n"/>
      <c r="B5" s="232" t="n"/>
      <c r="C5" s="232" t="n"/>
      <c r="D5" s="232" t="n"/>
      <c r="E5" s="232" t="n"/>
      <c r="F5" s="232" t="n"/>
      <c r="G5" s="232" t="n"/>
      <c r="H5" s="232" t="n"/>
      <c r="I5" s="232" t="n"/>
      <c r="J5" s="103" t="n"/>
      <c r="K5" s="103" t="n"/>
      <c r="L5" s="232" t="n"/>
      <c r="M5" s="232" t="n"/>
      <c r="N5" s="232" t="n"/>
      <c r="O5" s="232" t="n"/>
      <c r="P5" s="232" t="n"/>
      <c r="Q5" s="232" t="n"/>
      <c r="R5" s="232" t="n"/>
      <c r="S5" s="232" t="n"/>
      <c r="T5" s="232" t="n"/>
      <c r="U5" s="232" t="n"/>
      <c r="V5" s="232" t="n"/>
      <c r="W5" s="232" t="n"/>
      <c r="X5" s="232" t="n"/>
      <c r="Y5" s="232" t="n"/>
      <c r="Z5" s="232" t="n"/>
      <c r="AA5" s="232" t="n"/>
      <c r="AB5" s="232" t="n"/>
      <c r="AC5" s="232" t="n"/>
      <c r="AD5" s="232" t="n"/>
      <c r="AE5" s="232" t="n"/>
      <c r="AF5" s="232" t="n"/>
      <c r="AG5" s="232" t="n"/>
      <c r="AH5" s="232" t="n"/>
      <c r="AI5" s="232" t="n"/>
      <c r="AJ5" s="232" t="n"/>
      <c r="AK5" s="232" t="n"/>
      <c r="AL5" s="232" t="n"/>
      <c r="AM5" s="232" t="n"/>
      <c r="AN5" s="232" t="n"/>
      <c r="AO5" s="232" t="n"/>
      <c r="AP5" s="232" t="n"/>
      <c r="AQ5" s="232" t="n"/>
      <c r="AR5" s="232" t="n"/>
      <c r="AS5" s="232" t="n"/>
      <c r="AT5" s="232" t="n"/>
      <c r="AU5" s="232" t="n"/>
      <c r="AV5" s="103" t="n"/>
      <c r="AW5" s="103" t="n"/>
      <c r="AX5" s="103" t="n"/>
      <c r="AY5" s="103" t="n"/>
      <c r="AZ5" s="71" t="n"/>
    </row>
    <row r="6" ht="45" customHeight="1">
      <c r="A6" s="409">
        <f>'Data Input'!D8</f>
        <v/>
      </c>
      <c r="J6" s="64" t="n"/>
      <c r="K6" s="64" t="n"/>
      <c r="L6" s="64" t="n"/>
      <c r="M6" s="103" t="n"/>
      <c r="N6" s="103" t="n"/>
      <c r="O6" s="103" t="n"/>
      <c r="P6" s="103" t="n"/>
      <c r="Q6" s="103" t="n"/>
      <c r="R6" s="103" t="n"/>
      <c r="S6" s="103" t="n"/>
      <c r="T6" s="103" t="n"/>
      <c r="U6" s="103" t="n"/>
      <c r="V6" s="103" t="n"/>
      <c r="W6" s="103" t="n"/>
      <c r="X6" s="103" t="n"/>
      <c r="Y6" s="103" t="n"/>
      <c r="Z6" s="103" t="n"/>
      <c r="AA6" s="103" t="n"/>
      <c r="AB6" s="103" t="n"/>
      <c r="AC6" s="103" t="n"/>
      <c r="AD6" s="103" t="n"/>
      <c r="AE6" s="103" t="n"/>
      <c r="AF6" s="103" t="n"/>
      <c r="AG6" s="103" t="n"/>
      <c r="AH6" s="103" t="n"/>
      <c r="AI6" s="103" t="n"/>
      <c r="AJ6" s="103" t="n"/>
      <c r="AK6" s="103" t="n"/>
      <c r="AL6" s="103" t="n"/>
      <c r="AM6" s="103" t="n"/>
      <c r="AN6" s="103" t="n"/>
      <c r="AO6" s="103" t="n"/>
      <c r="AP6" s="103" t="n"/>
      <c r="AQ6" s="103" t="n"/>
      <c r="AR6" s="103" t="n"/>
      <c r="AS6" s="103" t="n"/>
      <c r="AT6" s="103" t="n"/>
      <c r="AU6" s="103" t="n"/>
      <c r="AV6" s="64" t="n"/>
      <c r="AW6" s="64" t="n"/>
      <c r="AX6" s="64" t="n"/>
      <c r="AY6" s="64" t="n"/>
      <c r="AZ6" s="103" t="n"/>
    </row>
    <row r="7" ht="25.5" customHeight="1">
      <c r="A7" s="411">
        <f>"‡cÖvcvBUit "&amp;+'Data Input'!D12</f>
        <v/>
      </c>
      <c r="J7" s="64" t="n"/>
      <c r="K7" s="64" t="n"/>
      <c r="L7" s="64" t="n"/>
      <c r="M7" s="103" t="n"/>
      <c r="N7" s="103" t="n"/>
      <c r="O7" s="103" t="n"/>
      <c r="P7" s="103" t="n"/>
      <c r="Q7" s="103" t="n"/>
      <c r="R7" s="103" t="n"/>
      <c r="S7" s="103" t="n"/>
      <c r="T7" s="103" t="n"/>
      <c r="U7" s="103" t="n"/>
      <c r="V7" s="103" t="n"/>
      <c r="W7" s="103" t="n"/>
      <c r="X7" s="103" t="n"/>
      <c r="Y7" s="103" t="n"/>
      <c r="Z7" s="103" t="n"/>
      <c r="AA7" s="103" t="n"/>
      <c r="AB7" s="103" t="n"/>
      <c r="AC7" s="103" t="n"/>
      <c r="AD7" s="103" t="n"/>
      <c r="AE7" s="103" t="n"/>
      <c r="AF7" s="103" t="n"/>
      <c r="AG7" s="103" t="n"/>
      <c r="AH7" s="103" t="n"/>
      <c r="AI7" s="103" t="n"/>
      <c r="AJ7" s="103" t="n"/>
      <c r="AK7" s="103" t="n"/>
      <c r="AL7" s="103" t="n"/>
      <c r="AM7" s="103" t="n"/>
      <c r="AN7" s="103" t="n"/>
      <c r="AO7" s="103" t="n"/>
      <c r="AP7" s="103" t="n"/>
      <c r="AQ7" s="103" t="n"/>
      <c r="AR7" s="103" t="n"/>
      <c r="AS7" s="103" t="n"/>
      <c r="AT7" s="103" t="n"/>
      <c r="AU7" s="103" t="n"/>
      <c r="AV7" s="64" t="n"/>
      <c r="AW7" s="64" t="n"/>
      <c r="AX7" s="64" t="n"/>
      <c r="AY7" s="64" t="n"/>
      <c r="AZ7" s="103" t="n"/>
    </row>
    <row r="8" ht="30.75" customHeight="1">
      <c r="A8" s="413">
        <f>"wcZv/¯^vgxt "&amp;+'Data Input'!D13</f>
        <v/>
      </c>
      <c r="J8" s="64" t="n"/>
      <c r="K8" s="64" t="n"/>
      <c r="L8" s="64" t="n"/>
      <c r="M8" s="103" t="n"/>
      <c r="N8" s="103" t="n"/>
      <c r="O8" s="103" t="n"/>
      <c r="P8" s="103" t="n"/>
      <c r="Q8" s="103" t="n"/>
      <c r="R8" s="103" t="n"/>
      <c r="S8" s="103" t="n"/>
      <c r="T8" s="103" t="n"/>
      <c r="U8" s="103" t="n"/>
      <c r="V8" s="103" t="n"/>
      <c r="W8" s="103" t="n"/>
      <c r="X8" s="103" t="n"/>
      <c r="Y8" s="103" t="n"/>
      <c r="Z8" s="103" t="n"/>
      <c r="AA8" s="103" t="n"/>
      <c r="AB8" s="103" t="n"/>
      <c r="AC8" s="103" t="n"/>
      <c r="AD8" s="103" t="n"/>
      <c r="AE8" s="103" t="n"/>
      <c r="AF8" s="103" t="n"/>
      <c r="AG8" s="103" t="n"/>
      <c r="AH8" s="103" t="n"/>
      <c r="AI8" s="103" t="n"/>
      <c r="AJ8" s="103" t="n"/>
      <c r="AK8" s="103" t="n"/>
      <c r="AL8" s="103" t="n"/>
      <c r="AM8" s="103" t="n"/>
      <c r="AN8" s="103" t="n"/>
      <c r="AO8" s="103" t="n"/>
      <c r="AP8" s="103" t="n"/>
      <c r="AQ8" s="103" t="n"/>
      <c r="AR8" s="103" t="n"/>
      <c r="AS8" s="103" t="n"/>
      <c r="AT8" s="103" t="n"/>
      <c r="AU8" s="103" t="n"/>
      <c r="AV8" s="64" t="n"/>
      <c r="AW8" s="64" t="n"/>
      <c r="AX8" s="64" t="n"/>
      <c r="AY8" s="64" t="n"/>
      <c r="AZ8" s="103" t="n"/>
    </row>
    <row r="9" ht="12" customHeight="1">
      <c r="A9" s="413" t="n"/>
      <c r="J9" s="64" t="n"/>
      <c r="K9" s="64" t="n"/>
      <c r="L9" s="64" t="n"/>
      <c r="M9" s="103" t="n"/>
      <c r="N9" s="103" t="n"/>
      <c r="O9" s="103" t="n"/>
      <c r="P9" s="103" t="n"/>
      <c r="Q9" s="103" t="n"/>
      <c r="R9" s="103" t="n"/>
      <c r="S9" s="103" t="n"/>
      <c r="T9" s="103" t="n"/>
      <c r="U9" s="103" t="n"/>
      <c r="V9" s="103" t="n"/>
      <c r="W9" s="103" t="n"/>
      <c r="X9" s="103" t="n"/>
      <c r="Y9" s="103" t="n"/>
      <c r="Z9" s="103" t="n"/>
      <c r="AA9" s="103" t="n"/>
      <c r="AB9" s="103" t="n"/>
      <c r="AC9" s="103" t="n"/>
      <c r="AD9" s="103" t="n"/>
      <c r="AE9" s="103" t="n"/>
      <c r="AF9" s="103" t="n"/>
      <c r="AG9" s="103" t="n"/>
      <c r="AH9" s="103" t="n"/>
      <c r="AI9" s="103" t="n"/>
      <c r="AJ9" s="103" t="n"/>
      <c r="AK9" s="103" t="n"/>
      <c r="AL9" s="103" t="n"/>
      <c r="AM9" s="103" t="n"/>
      <c r="AN9" s="103" t="n"/>
      <c r="AO9" s="103" t="n"/>
      <c r="AP9" s="103" t="n"/>
      <c r="AQ9" s="103" t="n"/>
      <c r="AR9" s="103" t="n"/>
      <c r="AS9" s="103" t="n"/>
      <c r="AT9" s="103" t="n"/>
      <c r="AU9" s="103" t="n"/>
      <c r="AV9" s="64" t="n"/>
      <c r="AW9" s="64" t="n"/>
      <c r="AX9" s="64" t="n"/>
      <c r="AY9" s="64" t="n"/>
      <c r="AZ9" s="103" t="n"/>
    </row>
    <row r="10" ht="30.75" customHeight="1">
      <c r="A10" s="411">
        <f>+'Data Input'!D9</f>
        <v/>
      </c>
      <c r="J10" s="64" t="n"/>
      <c r="K10" s="64" t="n"/>
      <c r="L10" s="64" t="n"/>
      <c r="M10" s="103" t="n"/>
      <c r="N10" s="103" t="n"/>
      <c r="O10" s="103" t="n"/>
      <c r="P10" s="103" t="n"/>
      <c r="Q10" s="103" t="n"/>
      <c r="R10" s="103" t="n"/>
      <c r="S10" s="103" t="n"/>
      <c r="T10" s="103" t="n"/>
      <c r="U10" s="103" t="n"/>
      <c r="V10" s="103" t="n"/>
      <c r="W10" s="103" t="n"/>
      <c r="X10" s="103" t="n"/>
      <c r="Y10" s="103" t="n"/>
      <c r="Z10" s="103" t="n"/>
      <c r="AA10" s="103" t="n"/>
      <c r="AB10" s="103" t="n"/>
      <c r="AC10" s="103" t="n"/>
      <c r="AD10" s="103" t="n"/>
      <c r="AE10" s="103" t="n"/>
      <c r="AF10" s="103" t="n"/>
      <c r="AG10" s="103" t="n"/>
      <c r="AH10" s="103" t="n"/>
      <c r="AI10" s="103" t="n"/>
      <c r="AJ10" s="103" t="n"/>
      <c r="AK10" s="103" t="n"/>
      <c r="AL10" s="103" t="n"/>
      <c r="AM10" s="103" t="n"/>
      <c r="AN10" s="103" t="n"/>
      <c r="AO10" s="103" t="n"/>
      <c r="AP10" s="103" t="n"/>
      <c r="AQ10" s="103" t="n"/>
      <c r="AR10" s="103" t="n"/>
      <c r="AS10" s="103" t="n"/>
      <c r="AT10" s="103" t="n"/>
      <c r="AU10" s="103" t="n"/>
      <c r="AV10" s="64" t="n"/>
      <c r="AW10" s="64" t="n"/>
      <c r="AX10" s="64" t="n"/>
      <c r="AY10" s="64" t="n"/>
      <c r="AZ10" s="103" t="n"/>
    </row>
    <row r="11" ht="30.75" customHeight="1">
      <c r="A11" s="411">
        <f>"‡gvevBj bst +88 "&amp;'Data Input'!D16</f>
        <v/>
      </c>
      <c r="J11" s="64" t="n"/>
      <c r="K11" s="64" t="n"/>
      <c r="L11" s="64" t="n"/>
      <c r="M11" s="103" t="n"/>
      <c r="N11" s="103" t="n"/>
      <c r="O11" s="103" t="n"/>
      <c r="P11" s="103" t="n"/>
      <c r="Q11" s="103" t="n"/>
      <c r="R11" s="103" t="n"/>
      <c r="S11" s="103" t="n"/>
      <c r="T11" s="103" t="n"/>
      <c r="U11" s="103" t="n"/>
      <c r="V11" s="103" t="n"/>
      <c r="W11" s="103" t="n"/>
      <c r="X11" s="103" t="n"/>
      <c r="Y11" s="103" t="n"/>
      <c r="Z11" s="103" t="n"/>
      <c r="AA11" s="103" t="n"/>
      <c r="AB11" s="103" t="n"/>
      <c r="AC11" s="103" t="n"/>
      <c r="AD11" s="103" t="n"/>
      <c r="AE11" s="103" t="n"/>
      <c r="AF11" s="103" t="n"/>
      <c r="AG11" s="103" t="n"/>
      <c r="AH11" s="103" t="n"/>
      <c r="AI11" s="103" t="n"/>
      <c r="AJ11" s="103" t="n"/>
      <c r="AK11" s="103" t="n"/>
      <c r="AL11" s="103" t="n"/>
      <c r="AM11" s="103" t="n"/>
      <c r="AN11" s="103" t="n"/>
      <c r="AO11" s="103" t="n"/>
      <c r="AP11" s="103" t="n"/>
      <c r="AQ11" s="103" t="n"/>
      <c r="AR11" s="103" t="n"/>
      <c r="AS11" s="103" t="n"/>
      <c r="AT11" s="103" t="n"/>
      <c r="AU11" s="103" t="n"/>
      <c r="AV11" s="64" t="n"/>
      <c r="AW11" s="64" t="n"/>
      <c r="AX11" s="64" t="n"/>
      <c r="AY11" s="64" t="n"/>
      <c r="AZ11" s="103" t="n"/>
    </row>
    <row r="12" ht="24" customHeight="1">
      <c r="A12" s="411" t="n"/>
      <c r="B12" s="411" t="n"/>
      <c r="C12" s="411" t="n"/>
      <c r="D12" s="411" t="n"/>
      <c r="E12" s="411" t="n"/>
      <c r="F12" s="411" t="n"/>
      <c r="G12" s="411" t="n"/>
      <c r="H12" s="411" t="n"/>
      <c r="I12" s="411" t="n"/>
      <c r="J12" s="64" t="n"/>
      <c r="K12" s="64" t="n"/>
      <c r="L12" s="64" t="n"/>
      <c r="M12" s="103" t="n"/>
      <c r="N12" s="103" t="n"/>
      <c r="O12" s="103" t="n"/>
      <c r="P12" s="103" t="n"/>
      <c r="Q12" s="103" t="n"/>
      <c r="R12" s="103" t="n"/>
      <c r="S12" s="103" t="n"/>
      <c r="T12" s="103" t="n"/>
      <c r="U12" s="103" t="n"/>
      <c r="V12" s="103" t="n"/>
      <c r="W12" s="103" t="n"/>
      <c r="X12" s="103" t="n"/>
      <c r="Y12" s="103" t="n"/>
      <c r="Z12" s="103" t="n"/>
      <c r="AA12" s="103" t="n"/>
      <c r="AB12" s="103" t="n"/>
      <c r="AC12" s="103" t="n"/>
      <c r="AD12" s="103" t="n"/>
      <c r="AE12" s="103" t="n"/>
      <c r="AF12" s="103" t="n"/>
      <c r="AG12" s="103" t="n"/>
      <c r="AH12" s="103" t="n"/>
      <c r="AI12" s="103" t="n"/>
      <c r="AJ12" s="103" t="n"/>
      <c r="AK12" s="103" t="n"/>
      <c r="AL12" s="103" t="n"/>
      <c r="AM12" s="103" t="n"/>
      <c r="AN12" s="103" t="n"/>
      <c r="AO12" s="103" t="n"/>
      <c r="AP12" s="103" t="n"/>
      <c r="AQ12" s="103" t="n"/>
      <c r="AR12" s="103" t="n"/>
      <c r="AS12" s="103" t="n"/>
      <c r="AT12" s="103" t="n"/>
      <c r="AU12" s="103" t="n"/>
      <c r="AV12" s="64" t="n"/>
      <c r="AW12" s="64" t="n"/>
      <c r="AX12" s="64" t="n"/>
      <c r="AY12" s="64" t="n"/>
      <c r="AZ12" s="103" t="n"/>
    </row>
    <row r="13" ht="21.75" customHeight="1">
      <c r="A13" s="415">
        <f>'Data Input'!B5&amp;" "&amp;'Data Input'!D5</f>
        <v/>
      </c>
      <c r="J13" s="64" t="n"/>
      <c r="K13" s="64" t="n"/>
      <c r="L13" s="64" t="n"/>
      <c r="M13" s="103" t="n"/>
      <c r="N13" s="103" t="n"/>
      <c r="O13" s="103" t="n"/>
      <c r="P13" s="103" t="n"/>
      <c r="Q13" s="103" t="n"/>
      <c r="R13" s="103" t="n"/>
      <c r="S13" s="103" t="n"/>
      <c r="T13" s="103" t="n"/>
      <c r="U13" s="103" t="n"/>
      <c r="V13" s="103" t="n"/>
      <c r="W13" s="103" t="n"/>
      <c r="X13" s="103" t="n"/>
      <c r="Y13" s="103" t="n"/>
      <c r="Z13" s="103" t="n"/>
      <c r="AA13" s="103" t="n"/>
      <c r="AB13" s="103" t="n"/>
      <c r="AC13" s="103" t="n"/>
      <c r="AD13" s="103" t="n"/>
      <c r="AE13" s="103" t="n"/>
      <c r="AF13" s="103" t="n"/>
      <c r="AG13" s="103" t="n"/>
      <c r="AH13" s="103" t="n"/>
      <c r="AI13" s="103" t="n"/>
      <c r="AJ13" s="103" t="n"/>
      <c r="AK13" s="103" t="n"/>
      <c r="AL13" s="103" t="n"/>
      <c r="AM13" s="103" t="n"/>
      <c r="AN13" s="103" t="n"/>
      <c r="AO13" s="103" t="n"/>
      <c r="AP13" s="103" t="n"/>
      <c r="AQ13" s="103" t="n"/>
      <c r="AR13" s="103" t="n"/>
      <c r="AS13" s="103" t="n"/>
      <c r="AT13" s="103" t="n"/>
      <c r="AU13" s="103" t="n"/>
      <c r="AV13" s="64" t="n"/>
      <c r="AW13" s="64" t="n"/>
      <c r="AX13" s="64" t="n"/>
      <c r="AY13" s="64" t="n"/>
      <c r="AZ13" s="103" t="n"/>
    </row>
    <row r="14" ht="27.75" customHeight="1">
      <c r="A14" s="417">
        <f>+"A_© eQit "&amp;"2024-2025"</f>
        <v/>
      </c>
      <c r="J14" s="64" t="n"/>
      <c r="K14" s="64" t="n"/>
      <c r="L14" s="418" t="n"/>
      <c r="M14" s="103" t="n"/>
      <c r="N14" s="103" t="n"/>
      <c r="O14" s="103" t="n"/>
      <c r="P14" s="103" t="n"/>
      <c r="Q14" s="103" t="n"/>
      <c r="R14" s="103" t="n"/>
      <c r="S14" s="103" t="n"/>
      <c r="T14" s="103" t="n"/>
      <c r="U14" s="103" t="n"/>
      <c r="V14" s="103" t="n"/>
      <c r="W14" s="103" t="n"/>
      <c r="X14" s="103" t="n"/>
      <c r="Y14" s="103" t="n"/>
      <c r="Z14" s="103" t="n"/>
      <c r="AA14" s="103" t="n"/>
      <c r="AB14" s="103" t="n"/>
      <c r="AC14" s="103" t="n"/>
      <c r="AD14" s="103" t="n"/>
      <c r="AE14" s="103" t="n"/>
      <c r="AF14" s="103" t="n"/>
      <c r="AG14" s="103" t="n"/>
      <c r="AH14" s="103" t="n"/>
      <c r="AI14" s="103" t="n"/>
      <c r="AJ14" s="103" t="n"/>
      <c r="AK14" s="103" t="n"/>
      <c r="AL14" s="103" t="n"/>
      <c r="AM14" s="103" t="n"/>
      <c r="AN14" s="103" t="n"/>
      <c r="AO14" s="103" t="n"/>
      <c r="AP14" s="103" t="n"/>
      <c r="AQ14" s="103" t="n"/>
      <c r="AR14" s="103" t="n"/>
      <c r="AS14" s="103" t="n"/>
      <c r="AT14" s="103" t="n"/>
      <c r="AU14" s="103" t="n"/>
      <c r="AV14" s="64" t="n"/>
      <c r="AW14" s="64" t="n"/>
      <c r="AX14" s="64" t="n"/>
      <c r="AY14" s="64" t="n"/>
      <c r="AZ14" s="103" t="n"/>
    </row>
    <row r="15" ht="21.75" customHeight="1">
      <c r="A15" s="64" t="n"/>
      <c r="B15" s="64" t="n"/>
      <c r="C15" s="64" t="n"/>
      <c r="D15" s="64" t="n"/>
      <c r="E15" s="64" t="n"/>
      <c r="F15" s="64" t="n"/>
      <c r="G15" s="64" t="n"/>
      <c r="H15" s="64" t="n"/>
      <c r="I15" s="64" t="n"/>
      <c r="J15" s="64" t="n"/>
      <c r="K15" s="64" t="n"/>
      <c r="L15" s="64" t="n"/>
      <c r="M15" s="103" t="n"/>
      <c r="N15" s="103" t="n"/>
      <c r="O15" s="103" t="n"/>
      <c r="P15" s="103" t="n"/>
      <c r="Q15" s="103" t="n"/>
      <c r="R15" s="103" t="n"/>
      <c r="S15" s="103" t="n"/>
      <c r="T15" s="103" t="n"/>
      <c r="U15" s="103" t="n"/>
      <c r="V15" s="103" t="n"/>
      <c r="W15" s="103" t="n"/>
      <c r="X15" s="103" t="n"/>
      <c r="Y15" s="103" t="n"/>
      <c r="Z15" s="103" t="n"/>
      <c r="AA15" s="103" t="n"/>
      <c r="AB15" s="103" t="n"/>
      <c r="AC15" s="103" t="n"/>
      <c r="AD15" s="103" t="n"/>
      <c r="AE15" s="103" t="n"/>
      <c r="AF15" s="103" t="n"/>
      <c r="AG15" s="103" t="n"/>
      <c r="AH15" s="103" t="n"/>
      <c r="AI15" s="103" t="n"/>
      <c r="AJ15" s="103" t="n"/>
      <c r="AK15" s="103" t="n"/>
      <c r="AL15" s="103" t="n"/>
      <c r="AM15" s="103" t="n"/>
      <c r="AN15" s="103" t="n"/>
      <c r="AO15" s="103" t="n"/>
      <c r="AP15" s="103" t="n"/>
      <c r="AQ15" s="103" t="n"/>
      <c r="AR15" s="103" t="n"/>
      <c r="AS15" s="103" t="n"/>
      <c r="AT15" s="103" t="n"/>
      <c r="AU15" s="103" t="n"/>
      <c r="AV15" s="64" t="n"/>
      <c r="AW15" s="64" t="n"/>
      <c r="AX15" s="64" t="n"/>
      <c r="AY15" s="64" t="n"/>
      <c r="AZ15" s="103" t="n"/>
    </row>
    <row r="16" ht="33.75" customHeight="1">
      <c r="A16" s="98" t="n"/>
      <c r="B16" s="419">
        <f>+B1</f>
        <v/>
      </c>
      <c r="I16" s="69" t="n"/>
      <c r="J16" s="64" t="n"/>
      <c r="K16" s="64" t="n"/>
      <c r="L16" s="64" t="n"/>
      <c r="M16" s="103" t="n"/>
      <c r="N16" s="103" t="n"/>
      <c r="O16" s="103" t="n"/>
      <c r="P16" s="103" t="n"/>
      <c r="Q16" s="103" t="n"/>
      <c r="R16" s="103" t="n"/>
      <c r="S16" s="103" t="n"/>
      <c r="T16" s="103" t="n"/>
      <c r="U16" s="103" t="n"/>
      <c r="V16" s="103" t="n"/>
      <c r="W16" s="103" t="n"/>
      <c r="X16" s="103" t="n"/>
      <c r="Y16" s="103" t="n"/>
      <c r="Z16" s="103" t="n"/>
      <c r="AA16" s="103" t="n"/>
      <c r="AB16" s="103" t="n"/>
      <c r="AC16" s="103" t="n"/>
      <c r="AD16" s="103" t="n"/>
      <c r="AE16" s="103" t="n"/>
      <c r="AF16" s="103" t="n"/>
      <c r="AG16" s="103" t="n"/>
      <c r="AH16" s="103" t="n"/>
      <c r="AI16" s="103" t="n"/>
      <c r="AJ16" s="103" t="n"/>
      <c r="AK16" s="103" t="n"/>
      <c r="AL16" s="103" t="n"/>
      <c r="AM16" s="103" t="n"/>
      <c r="AN16" s="103" t="n"/>
      <c r="AO16" s="103" t="n"/>
      <c r="AP16" s="103" t="n"/>
      <c r="AQ16" s="103" t="n"/>
      <c r="AR16" s="103" t="n"/>
      <c r="AS16" s="103" t="n"/>
      <c r="AT16" s="103" t="n"/>
      <c r="AU16" s="103" t="n"/>
      <c r="AV16" s="64" t="n"/>
      <c r="AW16" s="64" t="n"/>
      <c r="AX16" s="64" t="n"/>
      <c r="AY16" s="64" t="n"/>
      <c r="AZ16" s="103" t="n"/>
    </row>
    <row r="17" ht="19.5" customHeight="1">
      <c r="A17" s="98" t="n"/>
      <c r="B17" s="407">
        <f>+B2</f>
        <v/>
      </c>
      <c r="I17" s="232" t="n"/>
      <c r="J17" s="64" t="n"/>
      <c r="K17" s="64" t="n"/>
      <c r="L17" s="64" t="n"/>
      <c r="M17" s="103" t="n"/>
      <c r="N17" s="103" t="n"/>
      <c r="O17" s="103" t="n"/>
      <c r="P17" s="103" t="n"/>
      <c r="Q17" s="103" t="n"/>
      <c r="R17" s="103" t="n"/>
      <c r="S17" s="103" t="n"/>
      <c r="T17" s="103" t="n"/>
      <c r="U17" s="103" t="n"/>
      <c r="V17" s="103" t="n"/>
      <c r="W17" s="103" t="n"/>
      <c r="X17" s="103" t="n"/>
      <c r="Y17" s="103" t="n"/>
      <c r="Z17" s="103" t="n"/>
      <c r="AA17" s="103" t="n"/>
      <c r="AB17" s="103" t="n"/>
      <c r="AC17" s="103" t="n"/>
      <c r="AD17" s="103" t="n"/>
      <c r="AE17" s="103" t="n"/>
      <c r="AF17" s="103" t="n"/>
      <c r="AG17" s="103" t="n"/>
      <c r="AH17" s="103" t="n"/>
      <c r="AI17" s="103" t="n"/>
      <c r="AJ17" s="103" t="n"/>
      <c r="AK17" s="103" t="n"/>
      <c r="AL17" s="103" t="n"/>
      <c r="AM17" s="103" t="n"/>
      <c r="AN17" s="103" t="n"/>
      <c r="AO17" s="103" t="n"/>
      <c r="AP17" s="103" t="n"/>
      <c r="AQ17" s="103" t="n"/>
      <c r="AR17" s="103" t="n"/>
      <c r="AS17" s="103" t="n"/>
      <c r="AT17" s="103" t="n"/>
      <c r="AU17" s="103" t="n"/>
      <c r="AV17" s="64" t="n"/>
      <c r="AW17" s="64" t="n"/>
      <c r="AX17" s="64" t="n"/>
      <c r="AY17" s="64" t="n"/>
      <c r="AZ17" s="103" t="n"/>
    </row>
    <row r="18" ht="13.5" customHeight="1">
      <c r="A18" s="98" t="n"/>
      <c r="B18" s="173">
        <f>+B3</f>
        <v/>
      </c>
      <c r="I18" s="73" t="n"/>
      <c r="J18" s="64" t="n"/>
      <c r="K18" s="64" t="n"/>
      <c r="L18" s="64" t="n"/>
      <c r="M18" s="103" t="n"/>
      <c r="N18" s="103" t="n"/>
      <c r="O18" s="103" t="n"/>
      <c r="P18" s="103" t="n"/>
      <c r="Q18" s="103" t="n"/>
      <c r="R18" s="103" t="n"/>
      <c r="S18" s="103" t="n"/>
      <c r="T18" s="103" t="n"/>
      <c r="U18" s="103" t="n"/>
      <c r="V18" s="103" t="n"/>
      <c r="W18" s="103" t="n"/>
      <c r="X18" s="103" t="n"/>
      <c r="Y18" s="103" t="n"/>
      <c r="Z18" s="103" t="n"/>
      <c r="AA18" s="103" t="n"/>
      <c r="AB18" s="103" t="n"/>
      <c r="AC18" s="103" t="n"/>
      <c r="AD18" s="103" t="n"/>
      <c r="AE18" s="103" t="n"/>
      <c r="AF18" s="103" t="n"/>
      <c r="AG18" s="103" t="n"/>
      <c r="AH18" s="103" t="n"/>
      <c r="AI18" s="103" t="n"/>
      <c r="AJ18" s="103" t="n"/>
      <c r="AK18" s="103" t="n"/>
      <c r="AL18" s="103" t="n"/>
      <c r="AM18" s="103" t="n"/>
      <c r="AN18" s="103" t="n"/>
      <c r="AO18" s="103" t="n"/>
      <c r="AP18" s="103" t="n"/>
      <c r="AQ18" s="103" t="n"/>
      <c r="AR18" s="103" t="n"/>
      <c r="AS18" s="103" t="n"/>
      <c r="AT18" s="103" t="n"/>
      <c r="AU18" s="103" t="n"/>
      <c r="AV18" s="64" t="n"/>
      <c r="AW18" s="64" t="n"/>
      <c r="AX18" s="64" t="n"/>
      <c r="AY18" s="64" t="n"/>
      <c r="AZ18" s="103" t="n"/>
    </row>
    <row r="19" ht="15.75" customHeight="1">
      <c r="A19" s="98" t="n"/>
      <c r="B19" s="175">
        <f>+B4</f>
        <v/>
      </c>
      <c r="C19" s="2613" t="n"/>
      <c r="D19" s="2613" t="n"/>
      <c r="E19" s="2613" t="n"/>
      <c r="F19" s="2613" t="n"/>
      <c r="G19" s="2613" t="n"/>
      <c r="H19" s="2613" t="n"/>
      <c r="I19" s="64" t="n"/>
      <c r="J19" s="64" t="n"/>
      <c r="K19" s="64" t="n"/>
      <c r="L19" s="64" t="n"/>
      <c r="M19" s="103" t="n"/>
      <c r="N19" s="103" t="n"/>
      <c r="O19" s="103" t="n"/>
      <c r="P19" s="103" t="n"/>
      <c r="Q19" s="103" t="n"/>
      <c r="R19" s="103" t="n"/>
      <c r="S19" s="103" t="n"/>
      <c r="T19" s="103" t="n"/>
      <c r="U19" s="103" t="n"/>
      <c r="V19" s="103" t="n"/>
      <c r="W19" s="103" t="n"/>
      <c r="X19" s="103" t="n"/>
      <c r="Y19" s="103" t="n"/>
      <c r="Z19" s="103" t="n"/>
      <c r="AA19" s="103" t="n"/>
      <c r="AB19" s="103" t="n"/>
      <c r="AC19" s="103" t="n"/>
      <c r="AD19" s="103" t="n"/>
      <c r="AE19" s="103" t="n"/>
      <c r="AF19" s="103" t="n"/>
      <c r="AG19" s="103" t="n"/>
      <c r="AH19" s="103" t="n"/>
      <c r="AI19" s="103" t="n"/>
      <c r="AJ19" s="103" t="n"/>
      <c r="AK19" s="103" t="n"/>
      <c r="AL19" s="103" t="n"/>
      <c r="AM19" s="103" t="n"/>
      <c r="AN19" s="103" t="n"/>
      <c r="AO19" s="103" t="n"/>
      <c r="AP19" s="103" t="n"/>
      <c r="AQ19" s="103" t="n"/>
      <c r="AR19" s="103" t="n"/>
      <c r="AS19" s="103" t="n"/>
      <c r="AT19" s="103" t="n"/>
      <c r="AU19" s="103" t="n"/>
      <c r="AV19" s="64" t="n"/>
      <c r="AW19" s="64" t="n"/>
      <c r="AX19" s="64" t="n"/>
      <c r="AY19" s="64" t="n"/>
      <c r="AZ19" s="103" t="n"/>
    </row>
    <row r="20" ht="19.5" customFormat="1" customHeight="1" s="18">
      <c r="A20" s="232" t="n"/>
      <c r="B20" s="232" t="n"/>
      <c r="C20" s="232" t="n"/>
      <c r="D20" s="232" t="n"/>
      <c r="E20" s="232" t="n"/>
      <c r="F20" s="232" t="n"/>
      <c r="G20" s="232" t="n"/>
      <c r="H20" s="232" t="n"/>
      <c r="I20" s="232" t="n"/>
      <c r="J20" s="103" t="n"/>
      <c r="K20" s="103" t="n"/>
      <c r="L20" s="232" t="n"/>
      <c r="M20" s="232" t="n"/>
      <c r="N20" s="232" t="n"/>
      <c r="O20" s="232" t="n"/>
      <c r="P20" s="232" t="n"/>
      <c r="Q20" s="232" t="n"/>
      <c r="R20" s="232" t="n"/>
      <c r="S20" s="232" t="n"/>
      <c r="T20" s="232" t="n"/>
      <c r="U20" s="232" t="n"/>
      <c r="V20" s="232" t="n"/>
      <c r="W20" s="232" t="n"/>
      <c r="X20" s="232" t="n"/>
      <c r="Y20" s="232" t="n"/>
      <c r="Z20" s="232" t="n"/>
      <c r="AA20" s="232" t="n"/>
      <c r="AB20" s="232" t="n"/>
      <c r="AC20" s="232" t="n"/>
      <c r="AD20" s="232" t="n"/>
      <c r="AE20" s="232" t="n"/>
      <c r="AF20" s="232" t="n"/>
      <c r="AG20" s="232" t="n"/>
      <c r="AH20" s="232" t="n"/>
      <c r="AI20" s="232" t="n"/>
      <c r="AJ20" s="232" t="n"/>
      <c r="AK20" s="232" t="n"/>
      <c r="AL20" s="232" t="n"/>
      <c r="AM20" s="232" t="n"/>
      <c r="AN20" s="232" t="n"/>
      <c r="AO20" s="232" t="n"/>
      <c r="AP20" s="232" t="n"/>
      <c r="AQ20" s="232" t="n"/>
      <c r="AR20" s="232" t="n"/>
      <c r="AS20" s="232" t="n"/>
      <c r="AT20" s="232" t="n"/>
      <c r="AU20" s="232" t="n"/>
      <c r="AV20" s="103" t="n"/>
      <c r="AW20" s="103" t="n"/>
      <c r="AX20" s="103" t="n"/>
      <c r="AY20" s="103" t="n"/>
      <c r="AZ20" s="71" t="n"/>
    </row>
    <row r="21" ht="45" customHeight="1">
      <c r="A21" s="409">
        <f>+A6</f>
        <v/>
      </c>
      <c r="J21" s="64" t="n"/>
      <c r="K21" s="64" t="n"/>
      <c r="L21" s="64" t="n"/>
      <c r="M21" s="103" t="n"/>
      <c r="N21" s="103" t="n"/>
      <c r="O21" s="103" t="n"/>
      <c r="P21" s="103" t="n"/>
      <c r="Q21" s="103" t="n"/>
      <c r="R21" s="103" t="n"/>
      <c r="S21" s="103" t="n"/>
      <c r="T21" s="103" t="n"/>
      <c r="U21" s="103" t="n"/>
      <c r="V21" s="103" t="n"/>
      <c r="W21" s="103" t="n"/>
      <c r="X21" s="103" t="n"/>
      <c r="Y21" s="103" t="n"/>
      <c r="Z21" s="103" t="n"/>
      <c r="AA21" s="103" t="n"/>
      <c r="AB21" s="103" t="n"/>
      <c r="AC21" s="103" t="n"/>
      <c r="AD21" s="103" t="n"/>
      <c r="AE21" s="103" t="n"/>
      <c r="AF21" s="103" t="n"/>
      <c r="AG21" s="103" t="n"/>
      <c r="AH21" s="103" t="n"/>
      <c r="AI21" s="103" t="n"/>
      <c r="AJ21" s="103" t="n"/>
      <c r="AK21" s="103" t="n"/>
      <c r="AL21" s="103" t="n"/>
      <c r="AM21" s="103" t="n"/>
      <c r="AN21" s="103" t="n"/>
      <c r="AO21" s="103" t="n"/>
      <c r="AP21" s="103" t="n"/>
      <c r="AQ21" s="103" t="n"/>
      <c r="AR21" s="103" t="n"/>
      <c r="AS21" s="103" t="n"/>
      <c r="AT21" s="103" t="n"/>
      <c r="AU21" s="103" t="n"/>
      <c r="AV21" s="64" t="n"/>
      <c r="AW21" s="64" t="n"/>
      <c r="AX21" s="64" t="n"/>
      <c r="AY21" s="64" t="n"/>
      <c r="AZ21" s="103" t="n"/>
    </row>
    <row r="22" ht="25.5" customHeight="1">
      <c r="A22" s="411">
        <f>+A7</f>
        <v/>
      </c>
      <c r="J22" s="64" t="n"/>
      <c r="K22" s="64" t="n"/>
      <c r="L22" s="64" t="n"/>
      <c r="M22" s="103" t="n"/>
      <c r="N22" s="103" t="n"/>
      <c r="O22" s="103" t="n"/>
      <c r="P22" s="103" t="n"/>
      <c r="Q22" s="103" t="n"/>
      <c r="R22" s="103" t="n"/>
      <c r="S22" s="103" t="n"/>
      <c r="T22" s="103" t="n"/>
      <c r="U22" s="103" t="n"/>
      <c r="V22" s="103" t="n"/>
      <c r="W22" s="103" t="n"/>
      <c r="X22" s="103" t="n"/>
      <c r="Y22" s="103" t="n"/>
      <c r="Z22" s="103" t="n"/>
      <c r="AA22" s="103" t="n"/>
      <c r="AB22" s="103" t="n"/>
      <c r="AC22" s="103" t="n"/>
      <c r="AD22" s="103" t="n"/>
      <c r="AE22" s="103" t="n"/>
      <c r="AF22" s="103" t="n"/>
      <c r="AG22" s="103" t="n"/>
      <c r="AH22" s="103" t="n"/>
      <c r="AI22" s="103" t="n"/>
      <c r="AJ22" s="103" t="n"/>
      <c r="AK22" s="103" t="n"/>
      <c r="AL22" s="103" t="n"/>
      <c r="AM22" s="103" t="n"/>
      <c r="AN22" s="103" t="n"/>
      <c r="AO22" s="103" t="n"/>
      <c r="AP22" s="103" t="n"/>
      <c r="AQ22" s="103" t="n"/>
      <c r="AR22" s="103" t="n"/>
      <c r="AS22" s="103" t="n"/>
      <c r="AT22" s="103" t="n"/>
      <c r="AU22" s="103" t="n"/>
      <c r="AV22" s="64" t="n"/>
      <c r="AW22" s="64" t="n"/>
      <c r="AX22" s="64" t="n"/>
      <c r="AY22" s="64" t="n"/>
      <c r="AZ22" s="103" t="n"/>
    </row>
    <row r="23" ht="30.75" customHeight="1">
      <c r="A23" s="413">
        <f>+A8</f>
        <v/>
      </c>
      <c r="J23" s="64" t="n"/>
      <c r="K23" s="64" t="n"/>
      <c r="L23" s="64" t="n"/>
      <c r="M23" s="103" t="n"/>
      <c r="N23" s="103" t="n"/>
      <c r="O23" s="103" t="n"/>
      <c r="P23" s="103" t="n"/>
      <c r="Q23" s="103" t="n"/>
      <c r="R23" s="103" t="n"/>
      <c r="S23" s="103" t="n"/>
      <c r="T23" s="103" t="n"/>
      <c r="U23" s="103" t="n"/>
      <c r="V23" s="103" t="n"/>
      <c r="W23" s="103" t="n"/>
      <c r="X23" s="103" t="n"/>
      <c r="Y23" s="103" t="n"/>
      <c r="Z23" s="103" t="n"/>
      <c r="AA23" s="103" t="n"/>
      <c r="AB23" s="103" t="n"/>
      <c r="AC23" s="103" t="n"/>
      <c r="AD23" s="103" t="n"/>
      <c r="AE23" s="103" t="n"/>
      <c r="AF23" s="103" t="n"/>
      <c r="AG23" s="103" t="n"/>
      <c r="AH23" s="103" t="n"/>
      <c r="AI23" s="103" t="n"/>
      <c r="AJ23" s="103" t="n"/>
      <c r="AK23" s="103" t="n"/>
      <c r="AL23" s="103" t="n"/>
      <c r="AM23" s="103" t="n"/>
      <c r="AN23" s="103" t="n"/>
      <c r="AO23" s="103" t="n"/>
      <c r="AP23" s="103" t="n"/>
      <c r="AQ23" s="103" t="n"/>
      <c r="AR23" s="103" t="n"/>
      <c r="AS23" s="103" t="n"/>
      <c r="AT23" s="103" t="n"/>
      <c r="AU23" s="103" t="n"/>
      <c r="AV23" s="64" t="n"/>
      <c r="AW23" s="64" t="n"/>
      <c r="AX23" s="64" t="n"/>
      <c r="AY23" s="64" t="n"/>
      <c r="AZ23" s="103" t="n"/>
    </row>
    <row r="24" ht="19.5" customHeight="1">
      <c r="A24" s="413" t="n"/>
      <c r="J24" s="64" t="n"/>
      <c r="K24" s="64" t="n"/>
      <c r="L24" s="64" t="n"/>
      <c r="M24" s="103" t="n"/>
      <c r="N24" s="103" t="n"/>
      <c r="O24" s="103" t="n"/>
      <c r="P24" s="103" t="n"/>
      <c r="Q24" s="103" t="n"/>
      <c r="R24" s="103" t="n"/>
      <c r="S24" s="103" t="n"/>
      <c r="T24" s="103" t="n"/>
      <c r="U24" s="103" t="n"/>
      <c r="V24" s="103" t="n"/>
      <c r="W24" s="103" t="n"/>
      <c r="X24" s="103" t="n"/>
      <c r="Y24" s="103" t="n"/>
      <c r="Z24" s="103" t="n"/>
      <c r="AA24" s="103" t="n"/>
      <c r="AB24" s="103" t="n"/>
      <c r="AC24" s="103" t="n"/>
      <c r="AD24" s="103" t="n"/>
      <c r="AE24" s="103" t="n"/>
      <c r="AF24" s="103" t="n"/>
      <c r="AG24" s="103" t="n"/>
      <c r="AH24" s="103" t="n"/>
      <c r="AI24" s="103" t="n"/>
      <c r="AJ24" s="103" t="n"/>
      <c r="AK24" s="103" t="n"/>
      <c r="AL24" s="103" t="n"/>
      <c r="AM24" s="103" t="n"/>
      <c r="AN24" s="103" t="n"/>
      <c r="AO24" s="103" t="n"/>
      <c r="AP24" s="103" t="n"/>
      <c r="AQ24" s="103" t="n"/>
      <c r="AR24" s="103" t="n"/>
      <c r="AS24" s="103" t="n"/>
      <c r="AT24" s="103" t="n"/>
      <c r="AU24" s="103" t="n"/>
      <c r="AV24" s="64" t="n"/>
      <c r="AW24" s="64" t="n"/>
      <c r="AX24" s="64" t="n"/>
      <c r="AY24" s="64" t="n"/>
      <c r="AZ24" s="103" t="n"/>
    </row>
    <row r="25" ht="30.75" customHeight="1">
      <c r="A25" s="411">
        <f>+A10</f>
        <v/>
      </c>
      <c r="J25" s="64" t="n"/>
      <c r="K25" s="64" t="n"/>
      <c r="L25" s="64" t="n"/>
      <c r="M25" s="103" t="n"/>
      <c r="N25" s="103" t="n"/>
      <c r="O25" s="103" t="n"/>
      <c r="P25" s="103" t="n"/>
      <c r="Q25" s="103" t="n"/>
      <c r="R25" s="103" t="n"/>
      <c r="S25" s="103" t="n"/>
      <c r="T25" s="103" t="n"/>
      <c r="U25" s="103" t="n"/>
      <c r="V25" s="103" t="n"/>
      <c r="W25" s="103" t="n"/>
      <c r="X25" s="103" t="n"/>
      <c r="Y25" s="103" t="n"/>
      <c r="Z25" s="103" t="n"/>
      <c r="AA25" s="103" t="n"/>
      <c r="AB25" s="103" t="n"/>
      <c r="AC25" s="103" t="n"/>
      <c r="AD25" s="103" t="n"/>
      <c r="AE25" s="103" t="n"/>
      <c r="AF25" s="103" t="n"/>
      <c r="AG25" s="103" t="n"/>
      <c r="AH25" s="103" t="n"/>
      <c r="AI25" s="103" t="n"/>
      <c r="AJ25" s="103" t="n"/>
      <c r="AK25" s="103" t="n"/>
      <c r="AL25" s="103" t="n"/>
      <c r="AM25" s="103" t="n"/>
      <c r="AN25" s="103" t="n"/>
      <c r="AO25" s="103" t="n"/>
      <c r="AP25" s="103" t="n"/>
      <c r="AQ25" s="103" t="n"/>
      <c r="AR25" s="103" t="n"/>
      <c r="AS25" s="103" t="n"/>
      <c r="AT25" s="103" t="n"/>
      <c r="AU25" s="103" t="n"/>
      <c r="AV25" s="64" t="n"/>
      <c r="AW25" s="64" t="n"/>
      <c r="AX25" s="64" t="n"/>
      <c r="AY25" s="64" t="n"/>
      <c r="AZ25" s="103" t="n"/>
    </row>
    <row r="26" ht="30.75" customHeight="1">
      <c r="A26" s="411">
        <f>+A11</f>
        <v/>
      </c>
      <c r="J26" s="64" t="n"/>
      <c r="K26" s="64" t="n"/>
      <c r="L26" s="64" t="n"/>
      <c r="M26" s="103" t="n"/>
      <c r="N26" s="103" t="n"/>
      <c r="O26" s="103" t="n"/>
      <c r="P26" s="103" t="n"/>
      <c r="Q26" s="103" t="n"/>
      <c r="R26" s="103" t="n"/>
      <c r="S26" s="103" t="n"/>
      <c r="T26" s="103" t="n"/>
      <c r="U26" s="103" t="n"/>
      <c r="V26" s="103" t="n"/>
      <c r="W26" s="103" t="n"/>
      <c r="X26" s="103" t="n"/>
      <c r="Y26" s="103" t="n"/>
      <c r="Z26" s="103" t="n"/>
      <c r="AA26" s="103" t="n"/>
      <c r="AB26" s="103" t="n"/>
      <c r="AC26" s="103" t="n"/>
      <c r="AD26" s="103" t="n"/>
      <c r="AE26" s="103" t="n"/>
      <c r="AF26" s="103" t="n"/>
      <c r="AG26" s="103" t="n"/>
      <c r="AH26" s="103" t="n"/>
      <c r="AI26" s="103" t="n"/>
      <c r="AJ26" s="103" t="n"/>
      <c r="AK26" s="103" t="n"/>
      <c r="AL26" s="103" t="n"/>
      <c r="AM26" s="103" t="n"/>
      <c r="AN26" s="103" t="n"/>
      <c r="AO26" s="103" t="n"/>
      <c r="AP26" s="103" t="n"/>
      <c r="AQ26" s="103" t="n"/>
      <c r="AR26" s="103" t="n"/>
      <c r="AS26" s="103" t="n"/>
      <c r="AT26" s="103" t="n"/>
      <c r="AU26" s="103" t="n"/>
      <c r="AV26" s="64" t="n"/>
      <c r="AW26" s="64" t="n"/>
      <c r="AX26" s="64" t="n"/>
      <c r="AY26" s="64" t="n"/>
      <c r="AZ26" s="103" t="n"/>
    </row>
    <row r="27" ht="21.75" customHeight="1">
      <c r="A27" s="2755" t="n"/>
      <c r="J27" s="64" t="n"/>
      <c r="K27" s="64" t="n"/>
      <c r="L27" s="64" t="n"/>
      <c r="M27" s="103" t="n"/>
      <c r="N27" s="103" t="n"/>
      <c r="O27" s="103" t="n"/>
      <c r="P27" s="103" t="n"/>
      <c r="Q27" s="103" t="n"/>
      <c r="R27" s="103" t="n"/>
      <c r="S27" s="103" t="n"/>
      <c r="T27" s="103" t="n"/>
      <c r="U27" s="103" t="n"/>
      <c r="V27" s="103" t="n"/>
      <c r="W27" s="103" t="n"/>
      <c r="X27" s="103" t="n"/>
      <c r="Y27" s="103" t="n"/>
      <c r="Z27" s="103" t="n"/>
      <c r="AA27" s="103" t="n"/>
      <c r="AB27" s="103" t="n"/>
      <c r="AC27" s="103" t="n"/>
      <c r="AD27" s="103" t="n"/>
      <c r="AE27" s="103" t="n"/>
      <c r="AF27" s="103" t="n"/>
      <c r="AG27" s="103" t="n"/>
      <c r="AH27" s="103" t="n"/>
      <c r="AI27" s="103" t="n"/>
      <c r="AJ27" s="103" t="n"/>
      <c r="AK27" s="103" t="n"/>
      <c r="AL27" s="103" t="n"/>
      <c r="AM27" s="103" t="n"/>
      <c r="AN27" s="103" t="n"/>
      <c r="AO27" s="103" t="n"/>
      <c r="AP27" s="103" t="n"/>
      <c r="AQ27" s="103" t="n"/>
      <c r="AR27" s="103" t="n"/>
      <c r="AS27" s="103" t="n"/>
      <c r="AT27" s="103" t="n"/>
      <c r="AU27" s="103" t="n"/>
      <c r="AV27" s="64" t="n"/>
      <c r="AW27" s="64" t="n"/>
      <c r="AX27" s="64" t="n"/>
      <c r="AY27" s="64" t="n"/>
      <c r="AZ27" s="103" t="n"/>
    </row>
    <row r="28" ht="21.75" customHeight="1">
      <c r="A28" s="415">
        <f>+A13</f>
        <v/>
      </c>
      <c r="J28" s="64" t="n"/>
      <c r="K28" s="64" t="n"/>
      <c r="L28" s="64" t="n"/>
      <c r="M28" s="103" t="n"/>
      <c r="N28" s="103" t="n"/>
      <c r="O28" s="103" t="n"/>
      <c r="P28" s="103" t="n"/>
      <c r="Q28" s="103" t="n"/>
      <c r="R28" s="103" t="n"/>
      <c r="S28" s="103" t="n"/>
      <c r="T28" s="103" t="n"/>
      <c r="U28" s="103" t="n"/>
      <c r="V28" s="103" t="n"/>
      <c r="W28" s="103" t="n"/>
      <c r="X28" s="103" t="n"/>
      <c r="Y28" s="103" t="n"/>
      <c r="Z28" s="103" t="n"/>
      <c r="AA28" s="103" t="n"/>
      <c r="AB28" s="103" t="n"/>
      <c r="AC28" s="103" t="n"/>
      <c r="AD28" s="103" t="n"/>
      <c r="AE28" s="103" t="n"/>
      <c r="AF28" s="103" t="n"/>
      <c r="AG28" s="103" t="n"/>
      <c r="AH28" s="103" t="n"/>
      <c r="AI28" s="103" t="n"/>
      <c r="AJ28" s="103" t="n"/>
      <c r="AK28" s="103" t="n"/>
      <c r="AL28" s="103" t="n"/>
      <c r="AM28" s="103" t="n"/>
      <c r="AN28" s="103" t="n"/>
      <c r="AO28" s="103" t="n"/>
      <c r="AP28" s="103" t="n"/>
      <c r="AQ28" s="103" t="n"/>
      <c r="AR28" s="103" t="n"/>
      <c r="AS28" s="103" t="n"/>
      <c r="AT28" s="103" t="n"/>
      <c r="AU28" s="103" t="n"/>
      <c r="AV28" s="64" t="n"/>
      <c r="AW28" s="64" t="n"/>
      <c r="AX28" s="64" t="n"/>
      <c r="AY28" s="64" t="n"/>
      <c r="AZ28" s="103" t="n"/>
    </row>
    <row r="29" ht="27.75" customHeight="1">
      <c r="A29" s="417">
        <f>+A14</f>
        <v/>
      </c>
      <c r="J29" s="64" t="n"/>
      <c r="K29" s="64" t="n"/>
      <c r="L29" s="418" t="n"/>
      <c r="M29" s="103" t="n"/>
      <c r="N29" s="103" t="n"/>
      <c r="O29" s="103" t="n"/>
      <c r="P29" s="103" t="n"/>
      <c r="Q29" s="103" t="n"/>
      <c r="R29" s="103" t="n"/>
      <c r="S29" s="103" t="n"/>
      <c r="T29" s="103" t="n"/>
      <c r="U29" s="103" t="n"/>
      <c r="V29" s="103" t="n"/>
      <c r="W29" s="103" t="n"/>
      <c r="X29" s="103" t="n"/>
      <c r="Y29" s="103" t="n"/>
      <c r="Z29" s="103" t="n"/>
      <c r="AA29" s="103" t="n"/>
      <c r="AB29" s="103" t="n"/>
      <c r="AC29" s="103" t="n"/>
      <c r="AD29" s="103" t="n"/>
      <c r="AE29" s="103" t="n"/>
      <c r="AF29" s="103" t="n"/>
      <c r="AG29" s="103" t="n"/>
      <c r="AH29" s="103" t="n"/>
      <c r="AI29" s="103" t="n"/>
      <c r="AJ29" s="103" t="n"/>
      <c r="AK29" s="103" t="n"/>
      <c r="AL29" s="103" t="n"/>
      <c r="AM29" s="103" t="n"/>
      <c r="AN29" s="103" t="n"/>
      <c r="AO29" s="103" t="n"/>
      <c r="AP29" s="103" t="n"/>
      <c r="AQ29" s="103" t="n"/>
      <c r="AR29" s="103" t="n"/>
      <c r="AS29" s="103" t="n"/>
      <c r="AT29" s="103" t="n"/>
      <c r="AU29" s="103" t="n"/>
      <c r="AV29" s="64" t="n"/>
      <c r="AW29" s="64" t="n"/>
      <c r="AX29" s="64" t="n"/>
      <c r="AY29" s="64" t="n"/>
      <c r="AZ29" s="103" t="n"/>
    </row>
    <row r="30" ht="19.5" customHeight="1">
      <c r="A30" s="64" t="n"/>
      <c r="B30" s="64" t="n"/>
      <c r="C30" s="64" t="n"/>
      <c r="D30" s="64" t="n"/>
      <c r="E30" s="64" t="n"/>
      <c r="F30" s="64" t="n"/>
      <c r="G30" s="64" t="n"/>
      <c r="H30" s="64" t="n"/>
      <c r="I30" s="64" t="n"/>
      <c r="J30" s="64" t="n"/>
      <c r="K30" s="64" t="n"/>
      <c r="L30" s="64" t="n"/>
      <c r="M30" s="103" t="n"/>
      <c r="N30" s="103" t="n"/>
      <c r="O30" s="103" t="n"/>
      <c r="P30" s="103" t="n"/>
      <c r="Q30" s="103" t="n"/>
      <c r="R30" s="103" t="n"/>
      <c r="S30" s="103" t="n"/>
      <c r="T30" s="103" t="n"/>
      <c r="U30" s="103" t="n"/>
      <c r="V30" s="103" t="n"/>
      <c r="W30" s="103" t="n"/>
      <c r="X30" s="103" t="n"/>
      <c r="Y30" s="103" t="n"/>
      <c r="Z30" s="103" t="n"/>
      <c r="AA30" s="103" t="n"/>
      <c r="AB30" s="103" t="n"/>
      <c r="AC30" s="103" t="n"/>
      <c r="AD30" s="103" t="n"/>
      <c r="AE30" s="103" t="n"/>
      <c r="AF30" s="103" t="n"/>
      <c r="AG30" s="103" t="n"/>
      <c r="AH30" s="103" t="n"/>
      <c r="AI30" s="103" t="n"/>
      <c r="AJ30" s="103" t="n"/>
      <c r="AK30" s="103" t="n"/>
      <c r="AL30" s="103" t="n"/>
      <c r="AM30" s="103" t="n"/>
      <c r="AN30" s="103" t="n"/>
      <c r="AO30" s="103" t="n"/>
      <c r="AP30" s="103" t="n"/>
      <c r="AQ30" s="103" t="n"/>
      <c r="AR30" s="103" t="n"/>
      <c r="AS30" s="103" t="n"/>
      <c r="AT30" s="103" t="n"/>
      <c r="AU30" s="103" t="n"/>
      <c r="AV30" s="64" t="n"/>
      <c r="AW30" s="64" t="n"/>
      <c r="AX30" s="64" t="n"/>
      <c r="AY30" s="64" t="n"/>
      <c r="AZ30" s="103" t="n"/>
    </row>
    <row r="31" ht="19.5" customHeight="1">
      <c r="A31" s="64" t="n"/>
      <c r="B31" s="64" t="n"/>
      <c r="C31" s="64" t="n"/>
      <c r="D31" s="64" t="n"/>
      <c r="E31" s="64" t="n"/>
      <c r="F31" s="64" t="n"/>
      <c r="G31" s="64" t="n"/>
      <c r="H31" s="64" t="n"/>
      <c r="I31" s="64" t="n"/>
      <c r="J31" s="64" t="n"/>
      <c r="K31" s="64" t="n"/>
      <c r="L31" s="64" t="n"/>
      <c r="M31" s="103" t="n"/>
      <c r="N31" s="103" t="n"/>
      <c r="O31" s="103" t="n"/>
      <c r="P31" s="103" t="n"/>
      <c r="Q31" s="103" t="n"/>
      <c r="R31" s="103" t="n"/>
      <c r="S31" s="103" t="n"/>
      <c r="T31" s="103" t="n"/>
      <c r="U31" s="103" t="n"/>
      <c r="V31" s="103" t="n"/>
      <c r="W31" s="103" t="n"/>
      <c r="X31" s="103" t="n"/>
      <c r="Y31" s="103" t="n"/>
      <c r="Z31" s="103" t="n"/>
      <c r="AA31" s="103" t="n"/>
      <c r="AB31" s="103" t="n"/>
      <c r="AC31" s="103" t="n"/>
      <c r="AD31" s="103" t="n"/>
      <c r="AE31" s="103" t="n"/>
      <c r="AF31" s="103" t="n"/>
      <c r="AG31" s="103" t="n"/>
      <c r="AH31" s="103" t="n"/>
      <c r="AI31" s="103" t="n"/>
      <c r="AJ31" s="103" t="n"/>
      <c r="AK31" s="103" t="n"/>
      <c r="AL31" s="103" t="n"/>
      <c r="AM31" s="103" t="n"/>
      <c r="AN31" s="103" t="n"/>
      <c r="AO31" s="103" t="n"/>
      <c r="AP31" s="103" t="n"/>
      <c r="AQ31" s="103" t="n"/>
      <c r="AR31" s="103" t="n"/>
      <c r="AS31" s="103" t="n"/>
      <c r="AT31" s="103" t="n"/>
      <c r="AU31" s="103" t="n"/>
      <c r="AV31" s="64" t="n"/>
      <c r="AW31" s="64" t="n"/>
      <c r="AX31" s="64" t="n"/>
      <c r="AY31" s="64" t="n"/>
      <c r="AZ31" s="103" t="n"/>
    </row>
    <row r="32" ht="19.5" customHeight="1">
      <c r="A32" s="64" t="n"/>
      <c r="B32" s="64" t="n"/>
      <c r="C32" s="64" t="n"/>
      <c r="D32" s="64" t="n"/>
      <c r="E32" s="64" t="n"/>
      <c r="F32" s="64" t="n"/>
      <c r="G32" s="64" t="n"/>
      <c r="H32" s="64" t="n"/>
      <c r="I32" s="64" t="n"/>
      <c r="J32" s="64" t="n"/>
      <c r="K32" s="64" t="n"/>
      <c r="L32" s="64" t="n"/>
      <c r="M32" s="103" t="n"/>
      <c r="N32" s="103" t="n"/>
      <c r="O32" s="103" t="n"/>
      <c r="P32" s="103" t="n"/>
      <c r="Q32" s="103" t="n"/>
      <c r="R32" s="103" t="n"/>
      <c r="S32" s="103" t="n"/>
      <c r="T32" s="103" t="n"/>
      <c r="U32" s="103" t="n"/>
      <c r="V32" s="103" t="n"/>
      <c r="W32" s="103" t="n"/>
      <c r="X32" s="103" t="n"/>
      <c r="Y32" s="103" t="n"/>
      <c r="Z32" s="103" t="n"/>
      <c r="AA32" s="103" t="n"/>
      <c r="AB32" s="103" t="n"/>
      <c r="AC32" s="103" t="n"/>
      <c r="AD32" s="103" t="n"/>
      <c r="AE32" s="103" t="n"/>
      <c r="AF32" s="103" t="n"/>
      <c r="AG32" s="103" t="n"/>
      <c r="AH32" s="103" t="n"/>
      <c r="AI32" s="103" t="n"/>
      <c r="AJ32" s="103" t="n"/>
      <c r="AK32" s="103" t="n"/>
      <c r="AL32" s="103" t="n"/>
      <c r="AM32" s="103" t="n"/>
      <c r="AN32" s="103" t="n"/>
      <c r="AO32" s="103" t="n"/>
      <c r="AP32" s="103" t="n"/>
      <c r="AQ32" s="103" t="n"/>
      <c r="AR32" s="103" t="n"/>
      <c r="AS32" s="103" t="n"/>
      <c r="AT32" s="103" t="n"/>
      <c r="AU32" s="103" t="n"/>
      <c r="AV32" s="64" t="n"/>
      <c r="AW32" s="64" t="n"/>
      <c r="AX32" s="64" t="n"/>
      <c r="AY32" s="64" t="n"/>
      <c r="AZ32" s="103" t="n"/>
    </row>
    <row r="33" ht="19.5" customHeight="1">
      <c r="A33" s="64" t="n"/>
      <c r="B33" s="64" t="n"/>
      <c r="C33" s="64" t="n"/>
      <c r="D33" s="64" t="n"/>
      <c r="E33" s="64" t="n"/>
      <c r="F33" s="64" t="n"/>
      <c r="G33" s="64" t="n"/>
      <c r="H33" s="64" t="n"/>
      <c r="I33" s="64" t="n"/>
      <c r="J33" s="64" t="n"/>
      <c r="K33" s="64" t="n"/>
      <c r="L33" s="64" t="n"/>
      <c r="M33" s="103" t="n"/>
      <c r="N33" s="103" t="n"/>
      <c r="O33" s="103" t="n"/>
      <c r="P33" s="103" t="n"/>
      <c r="Q33" s="103" t="n"/>
      <c r="R33" s="103" t="n"/>
      <c r="S33" s="103" t="n"/>
      <c r="T33" s="103" t="n"/>
      <c r="U33" s="103" t="n"/>
      <c r="V33" s="103" t="n"/>
      <c r="W33" s="103" t="n"/>
      <c r="X33" s="103" t="n"/>
      <c r="Y33" s="103" t="n"/>
      <c r="Z33" s="103" t="n"/>
      <c r="AA33" s="103" t="n"/>
      <c r="AB33" s="103" t="n"/>
      <c r="AC33" s="103" t="n"/>
      <c r="AD33" s="103" t="n"/>
      <c r="AE33" s="103" t="n"/>
      <c r="AF33" s="103" t="n"/>
      <c r="AG33" s="103" t="n"/>
      <c r="AH33" s="103" t="n"/>
      <c r="AI33" s="103" t="n"/>
      <c r="AJ33" s="103" t="n"/>
      <c r="AK33" s="103" t="n"/>
      <c r="AL33" s="103" t="n"/>
      <c r="AM33" s="103" t="n"/>
      <c r="AN33" s="103" t="n"/>
      <c r="AO33" s="103" t="n"/>
      <c r="AP33" s="103" t="n"/>
      <c r="AQ33" s="103" t="n"/>
      <c r="AR33" s="103" t="n"/>
      <c r="AS33" s="103" t="n"/>
      <c r="AT33" s="103" t="n"/>
      <c r="AU33" s="103" t="n"/>
      <c r="AV33" s="64" t="n"/>
      <c r="AW33" s="64" t="n"/>
      <c r="AX33" s="64" t="n"/>
      <c r="AY33" s="64" t="n"/>
      <c r="AZ33" s="103" t="n"/>
    </row>
    <row r="34" ht="19.5" customHeight="1">
      <c r="A34" s="64" t="n"/>
      <c r="B34" s="64" t="n"/>
      <c r="C34" s="64" t="n"/>
      <c r="D34" s="64" t="n"/>
      <c r="E34" s="64" t="n"/>
      <c r="F34" s="64" t="n"/>
      <c r="G34" s="64" t="n"/>
      <c r="H34" s="64" t="n"/>
      <c r="I34" s="64" t="n"/>
      <c r="J34" s="64" t="n"/>
      <c r="K34" s="64" t="n"/>
      <c r="L34" s="64" t="n"/>
      <c r="M34" s="103" t="n"/>
      <c r="N34" s="103" t="n"/>
      <c r="O34" s="103" t="n"/>
      <c r="P34" s="103" t="n"/>
      <c r="Q34" s="103" t="n"/>
      <c r="R34" s="103" t="n"/>
      <c r="S34" s="103" t="n"/>
      <c r="T34" s="103" t="n"/>
      <c r="U34" s="103" t="n"/>
      <c r="V34" s="103" t="n"/>
      <c r="W34" s="103" t="n"/>
      <c r="X34" s="103" t="n"/>
      <c r="Y34" s="103" t="n"/>
      <c r="Z34" s="103" t="n"/>
      <c r="AA34" s="103" t="n"/>
      <c r="AB34" s="103" t="n"/>
      <c r="AC34" s="103" t="n"/>
      <c r="AD34" s="103" t="n"/>
      <c r="AE34" s="103" t="n"/>
      <c r="AF34" s="103" t="n"/>
      <c r="AG34" s="103" t="n"/>
      <c r="AH34" s="103" t="n"/>
      <c r="AI34" s="103" t="n"/>
      <c r="AJ34" s="103" t="n"/>
      <c r="AK34" s="103" t="n"/>
      <c r="AL34" s="103" t="n"/>
      <c r="AM34" s="103" t="n"/>
      <c r="AN34" s="103" t="n"/>
      <c r="AO34" s="103" t="n"/>
      <c r="AP34" s="103" t="n"/>
      <c r="AQ34" s="103" t="n"/>
      <c r="AR34" s="103" t="n"/>
      <c r="AS34" s="103" t="n"/>
      <c r="AT34" s="103" t="n"/>
      <c r="AU34" s="103" t="n"/>
      <c r="AV34" s="64" t="n"/>
      <c r="AW34" s="64" t="n"/>
      <c r="AX34" s="64" t="n"/>
      <c r="AY34" s="64" t="n"/>
      <c r="AZ34" s="103" t="n"/>
    </row>
    <row r="35" ht="19.5" customHeight="1">
      <c r="A35" s="64" t="n"/>
      <c r="B35" s="64" t="n"/>
      <c r="C35" s="64" t="n"/>
      <c r="D35" s="64" t="n"/>
      <c r="E35" s="64" t="n"/>
      <c r="F35" s="64" t="n"/>
      <c r="G35" s="64" t="n"/>
      <c r="H35" s="64" t="n"/>
      <c r="I35" s="64" t="n"/>
      <c r="J35" s="64" t="n"/>
      <c r="K35" s="64" t="n"/>
      <c r="L35" s="64" t="n"/>
      <c r="M35" s="103" t="n"/>
      <c r="N35" s="103" t="n"/>
      <c r="O35" s="103" t="n"/>
      <c r="P35" s="103" t="n"/>
      <c r="Q35" s="103" t="n"/>
      <c r="R35" s="103" t="n"/>
      <c r="S35" s="103" t="n"/>
      <c r="T35" s="103" t="n"/>
      <c r="U35" s="103" t="n"/>
      <c r="V35" s="103" t="n"/>
      <c r="W35" s="103" t="n"/>
      <c r="X35" s="103" t="n"/>
      <c r="Y35" s="103" t="n"/>
      <c r="Z35" s="103" t="n"/>
      <c r="AA35" s="103" t="n"/>
      <c r="AB35" s="103" t="n"/>
      <c r="AC35" s="103" t="n"/>
      <c r="AD35" s="103" t="n"/>
      <c r="AE35" s="103" t="n"/>
      <c r="AF35" s="103" t="n"/>
      <c r="AG35" s="103" t="n"/>
      <c r="AH35" s="103" t="n"/>
      <c r="AI35" s="103" t="n"/>
      <c r="AJ35" s="103" t="n"/>
      <c r="AK35" s="103" t="n"/>
      <c r="AL35" s="103" t="n"/>
      <c r="AM35" s="103" t="n"/>
      <c r="AN35" s="103" t="n"/>
      <c r="AO35" s="103" t="n"/>
      <c r="AP35" s="103" t="n"/>
      <c r="AQ35" s="103" t="n"/>
      <c r="AR35" s="103" t="n"/>
      <c r="AS35" s="103" t="n"/>
      <c r="AT35" s="103" t="n"/>
      <c r="AU35" s="103" t="n"/>
      <c r="AV35" s="64" t="n"/>
      <c r="AW35" s="64" t="n"/>
      <c r="AX35" s="64" t="n"/>
      <c r="AY35" s="64" t="n"/>
      <c r="AZ35" s="103" t="n"/>
    </row>
    <row r="36" ht="19.5" customHeight="1">
      <c r="A36" s="64" t="n"/>
      <c r="B36" s="64" t="n"/>
      <c r="C36" s="64" t="n"/>
      <c r="D36" s="64" t="n"/>
      <c r="E36" s="64" t="n"/>
      <c r="F36" s="64" t="n"/>
      <c r="G36" s="64" t="n"/>
      <c r="H36" s="64" t="n"/>
      <c r="I36" s="64" t="n"/>
      <c r="J36" s="64" t="n"/>
      <c r="K36" s="64" t="n"/>
      <c r="L36" s="64" t="n"/>
      <c r="M36" s="103" t="n"/>
      <c r="N36" s="103" t="n"/>
      <c r="O36" s="103" t="n"/>
      <c r="P36" s="103" t="n"/>
      <c r="Q36" s="103" t="n"/>
      <c r="R36" s="103" t="n"/>
      <c r="S36" s="103" t="n"/>
      <c r="T36" s="103" t="n"/>
      <c r="U36" s="103" t="n"/>
      <c r="V36" s="103" t="n"/>
      <c r="W36" s="103" t="n"/>
      <c r="X36" s="103" t="n"/>
      <c r="Y36" s="103" t="n"/>
      <c r="Z36" s="103" t="n"/>
      <c r="AA36" s="103" t="n"/>
      <c r="AB36" s="103" t="n"/>
      <c r="AC36" s="103" t="n"/>
      <c r="AD36" s="103" t="n"/>
      <c r="AE36" s="103" t="n"/>
      <c r="AF36" s="103" t="n"/>
      <c r="AG36" s="103" t="n"/>
      <c r="AH36" s="103" t="n"/>
      <c r="AI36" s="103" t="n"/>
      <c r="AJ36" s="103" t="n"/>
      <c r="AK36" s="103" t="n"/>
      <c r="AL36" s="103" t="n"/>
      <c r="AM36" s="103" t="n"/>
      <c r="AN36" s="103" t="n"/>
      <c r="AO36" s="103" t="n"/>
      <c r="AP36" s="103" t="n"/>
      <c r="AQ36" s="103" t="n"/>
      <c r="AR36" s="103" t="n"/>
      <c r="AS36" s="103" t="n"/>
      <c r="AT36" s="103" t="n"/>
      <c r="AU36" s="103" t="n"/>
      <c r="AV36" s="64" t="n"/>
      <c r="AW36" s="64" t="n"/>
      <c r="AX36" s="64" t="n"/>
      <c r="AY36" s="64" t="n"/>
      <c r="AZ36" s="103" t="n"/>
    </row>
    <row r="37" ht="19.5" customHeight="1">
      <c r="A37" s="64" t="n"/>
      <c r="B37" s="64" t="n"/>
      <c r="C37" s="64" t="n"/>
      <c r="D37" s="64" t="n"/>
      <c r="E37" s="64" t="n"/>
      <c r="F37" s="64" t="n"/>
      <c r="G37" s="64" t="n"/>
      <c r="H37" s="64" t="n"/>
      <c r="I37" s="64" t="n"/>
      <c r="J37" s="64" t="n"/>
      <c r="K37" s="64" t="n"/>
      <c r="L37" s="64" t="n"/>
      <c r="M37" s="103" t="n"/>
      <c r="N37" s="103" t="n"/>
      <c r="O37" s="103" t="n"/>
      <c r="P37" s="103" t="n"/>
      <c r="Q37" s="103" t="n"/>
      <c r="R37" s="103" t="n"/>
      <c r="S37" s="103" t="n"/>
      <c r="T37" s="103" t="n"/>
      <c r="U37" s="103" t="n"/>
      <c r="V37" s="103" t="n"/>
      <c r="W37" s="103" t="n"/>
      <c r="X37" s="103" t="n"/>
      <c r="Y37" s="103" t="n"/>
      <c r="Z37" s="103" t="n"/>
      <c r="AA37" s="103" t="n"/>
      <c r="AB37" s="103" t="n"/>
      <c r="AC37" s="103" t="n"/>
      <c r="AD37" s="103" t="n"/>
      <c r="AE37" s="103" t="n"/>
      <c r="AF37" s="103" t="n"/>
      <c r="AG37" s="103" t="n"/>
      <c r="AH37" s="103" t="n"/>
      <c r="AI37" s="103" t="n"/>
      <c r="AJ37" s="103" t="n"/>
      <c r="AK37" s="103" t="n"/>
      <c r="AL37" s="103" t="n"/>
      <c r="AM37" s="103" t="n"/>
      <c r="AN37" s="103" t="n"/>
      <c r="AO37" s="103" t="n"/>
      <c r="AP37" s="103" t="n"/>
      <c r="AQ37" s="103" t="n"/>
      <c r="AR37" s="103" t="n"/>
      <c r="AS37" s="103" t="n"/>
      <c r="AT37" s="103" t="n"/>
      <c r="AU37" s="103" t="n"/>
      <c r="AV37" s="64" t="n"/>
      <c r="AW37" s="64" t="n"/>
      <c r="AX37" s="64" t="n"/>
      <c r="AY37" s="64" t="n"/>
      <c r="AZ37" s="103" t="n"/>
    </row>
    <row r="38" ht="19.5" customHeight="1">
      <c r="A38" s="64" t="n"/>
      <c r="B38" s="64" t="n"/>
      <c r="C38" s="64" t="n"/>
      <c r="D38" s="64" t="n"/>
      <c r="E38" s="64" t="n"/>
      <c r="F38" s="64" t="n"/>
      <c r="G38" s="64" t="n"/>
      <c r="H38" s="64" t="n"/>
      <c r="I38" s="64" t="n"/>
      <c r="J38" s="64" t="n"/>
      <c r="K38" s="64" t="n"/>
      <c r="L38" s="64" t="n"/>
      <c r="M38" s="103" t="n"/>
      <c r="N38" s="103" t="n"/>
      <c r="O38" s="103" t="n"/>
      <c r="P38" s="103" t="n"/>
      <c r="Q38" s="103" t="n"/>
      <c r="R38" s="103" t="n"/>
      <c r="S38" s="103" t="n"/>
      <c r="T38" s="103" t="n"/>
      <c r="U38" s="103" t="n"/>
      <c r="V38" s="103" t="n"/>
      <c r="W38" s="103" t="n"/>
      <c r="X38" s="103" t="n"/>
      <c r="Y38" s="103" t="n"/>
      <c r="Z38" s="103" t="n"/>
      <c r="AA38" s="103" t="n"/>
      <c r="AB38" s="103" t="n"/>
      <c r="AC38" s="103" t="n"/>
      <c r="AD38" s="103" t="n"/>
      <c r="AE38" s="103" t="n"/>
      <c r="AF38" s="103" t="n"/>
      <c r="AG38" s="103" t="n"/>
      <c r="AH38" s="103" t="n"/>
      <c r="AI38" s="103" t="n"/>
      <c r="AJ38" s="103" t="n"/>
      <c r="AK38" s="103" t="n"/>
      <c r="AL38" s="103" t="n"/>
      <c r="AM38" s="103" t="n"/>
      <c r="AN38" s="103" t="n"/>
      <c r="AO38" s="103" t="n"/>
      <c r="AP38" s="103" t="n"/>
      <c r="AQ38" s="103" t="n"/>
      <c r="AR38" s="103" t="n"/>
      <c r="AS38" s="103" t="n"/>
      <c r="AT38" s="103" t="n"/>
      <c r="AU38" s="103" t="n"/>
      <c r="AV38" s="64" t="n"/>
      <c r="AW38" s="64" t="n"/>
      <c r="AX38" s="64" t="n"/>
      <c r="AY38" s="64" t="n"/>
      <c r="AZ38" s="103" t="n"/>
    </row>
    <row r="39" ht="19.5" customHeight="1">
      <c r="A39" s="64" t="n"/>
      <c r="B39" s="64" t="n"/>
      <c r="C39" s="64" t="n"/>
      <c r="D39" s="64" t="n"/>
      <c r="E39" s="64" t="n"/>
      <c r="F39" s="64" t="n"/>
      <c r="G39" s="64" t="n"/>
      <c r="H39" s="64" t="n"/>
      <c r="I39" s="64" t="n"/>
      <c r="J39" s="64" t="n"/>
      <c r="K39" s="64" t="n"/>
      <c r="L39" s="64" t="n"/>
      <c r="M39" s="103" t="n"/>
      <c r="N39" s="103" t="n"/>
      <c r="O39" s="103" t="n"/>
      <c r="P39" s="103" t="n"/>
      <c r="Q39" s="103" t="n"/>
      <c r="R39" s="103" t="n"/>
      <c r="S39" s="103" t="n"/>
      <c r="T39" s="103" t="n"/>
      <c r="U39" s="103" t="n"/>
      <c r="V39" s="103" t="n"/>
      <c r="W39" s="103" t="n"/>
      <c r="X39" s="103" t="n"/>
      <c r="Y39" s="103" t="n"/>
      <c r="Z39" s="103" t="n"/>
      <c r="AA39" s="103" t="n"/>
      <c r="AB39" s="103" t="n"/>
      <c r="AC39" s="103" t="n"/>
      <c r="AD39" s="103" t="n"/>
      <c r="AE39" s="103" t="n"/>
      <c r="AF39" s="103" t="n"/>
      <c r="AG39" s="103" t="n"/>
      <c r="AH39" s="103" t="n"/>
      <c r="AI39" s="103" t="n"/>
      <c r="AJ39" s="103" t="n"/>
      <c r="AK39" s="103" t="n"/>
      <c r="AL39" s="103" t="n"/>
      <c r="AM39" s="103" t="n"/>
      <c r="AN39" s="103" t="n"/>
      <c r="AO39" s="103" t="n"/>
      <c r="AP39" s="103" t="n"/>
      <c r="AQ39" s="103" t="n"/>
      <c r="AR39" s="103" t="n"/>
      <c r="AS39" s="103" t="n"/>
      <c r="AT39" s="103" t="n"/>
      <c r="AU39" s="103" t="n"/>
      <c r="AV39" s="64" t="n"/>
      <c r="AW39" s="64" t="n"/>
      <c r="AX39" s="64" t="n"/>
      <c r="AY39" s="64" t="n"/>
      <c r="AZ39" s="103" t="n"/>
    </row>
    <row r="40" ht="19.5" customHeight="1">
      <c r="A40" s="64" t="n"/>
      <c r="B40" s="64" t="n"/>
      <c r="C40" s="64" t="n"/>
      <c r="D40" s="64" t="n"/>
      <c r="E40" s="64" t="n"/>
      <c r="F40" s="64" t="n"/>
      <c r="G40" s="64" t="n"/>
      <c r="H40" s="64" t="n"/>
      <c r="I40" s="64" t="n"/>
      <c r="J40" s="64" t="n"/>
      <c r="K40" s="64" t="n"/>
      <c r="L40" s="64" t="n"/>
      <c r="M40" s="103" t="n"/>
      <c r="N40" s="103" t="n"/>
      <c r="O40" s="103" t="n"/>
      <c r="P40" s="103" t="n"/>
      <c r="Q40" s="103" t="n"/>
      <c r="R40" s="103" t="n"/>
      <c r="S40" s="103" t="n"/>
      <c r="T40" s="103" t="n"/>
      <c r="U40" s="103" t="n"/>
      <c r="V40" s="103" t="n"/>
      <c r="W40" s="103" t="n"/>
      <c r="X40" s="103" t="n"/>
      <c r="Y40" s="103" t="n"/>
      <c r="Z40" s="103" t="n"/>
      <c r="AA40" s="103" t="n"/>
      <c r="AB40" s="103" t="n"/>
      <c r="AC40" s="103" t="n"/>
      <c r="AD40" s="103" t="n"/>
      <c r="AE40" s="103" t="n"/>
      <c r="AF40" s="103" t="n"/>
      <c r="AG40" s="103" t="n"/>
      <c r="AH40" s="103" t="n"/>
      <c r="AI40" s="103" t="n"/>
      <c r="AJ40" s="103" t="n"/>
      <c r="AK40" s="103" t="n"/>
      <c r="AL40" s="103" t="n"/>
      <c r="AM40" s="103" t="n"/>
      <c r="AN40" s="103" t="n"/>
      <c r="AO40" s="103" t="n"/>
      <c r="AP40" s="103" t="n"/>
      <c r="AQ40" s="103" t="n"/>
      <c r="AR40" s="103" t="n"/>
      <c r="AS40" s="103" t="n"/>
      <c r="AT40" s="103" t="n"/>
      <c r="AU40" s="103" t="n"/>
      <c r="AV40" s="64" t="n"/>
      <c r="AW40" s="64" t="n"/>
      <c r="AX40" s="64" t="n"/>
      <c r="AY40" s="64" t="n"/>
      <c r="AZ40" s="103" t="n"/>
    </row>
    <row r="41" ht="19.5" customHeight="1">
      <c r="A41" s="64" t="n"/>
      <c r="B41" s="64" t="n"/>
      <c r="C41" s="64" t="n"/>
      <c r="D41" s="64" t="n"/>
      <c r="E41" s="64" t="n"/>
      <c r="F41" s="64" t="n"/>
      <c r="G41" s="64" t="n"/>
      <c r="H41" s="64" t="n"/>
      <c r="I41" s="64" t="n"/>
      <c r="J41" s="64" t="n"/>
      <c r="K41" s="64" t="n"/>
      <c r="L41" s="64" t="n"/>
      <c r="M41" s="103" t="n"/>
      <c r="N41" s="103" t="n"/>
      <c r="O41" s="103" t="n"/>
      <c r="P41" s="103" t="n"/>
      <c r="Q41" s="103" t="n"/>
      <c r="R41" s="103" t="n"/>
      <c r="S41" s="103" t="n"/>
      <c r="T41" s="103" t="n"/>
      <c r="U41" s="103" t="n"/>
      <c r="V41" s="103" t="n"/>
      <c r="W41" s="103" t="n"/>
      <c r="X41" s="103" t="n"/>
      <c r="Y41" s="103" t="n"/>
      <c r="Z41" s="103" t="n"/>
      <c r="AA41" s="103" t="n"/>
      <c r="AB41" s="103" t="n"/>
      <c r="AC41" s="103" t="n"/>
      <c r="AD41" s="103" t="n"/>
      <c r="AE41" s="103" t="n"/>
      <c r="AF41" s="103" t="n"/>
      <c r="AG41" s="103" t="n"/>
      <c r="AH41" s="103" t="n"/>
      <c r="AI41" s="103" t="n"/>
      <c r="AJ41" s="103" t="n"/>
      <c r="AK41" s="103" t="n"/>
      <c r="AL41" s="103" t="n"/>
      <c r="AM41" s="103" t="n"/>
      <c r="AN41" s="103" t="n"/>
      <c r="AO41" s="103" t="n"/>
      <c r="AP41" s="103" t="n"/>
      <c r="AQ41" s="103" t="n"/>
      <c r="AR41" s="103" t="n"/>
      <c r="AS41" s="103" t="n"/>
      <c r="AT41" s="103" t="n"/>
      <c r="AU41" s="103" t="n"/>
      <c r="AV41" s="64" t="n"/>
      <c r="AW41" s="64" t="n"/>
      <c r="AX41" s="64" t="n"/>
      <c r="AY41" s="64" t="n"/>
      <c r="AZ41" s="103" t="n"/>
    </row>
    <row r="42" ht="19.5" customHeight="1">
      <c r="A42" s="64" t="n"/>
      <c r="B42" s="64" t="n"/>
      <c r="C42" s="64" t="n"/>
      <c r="D42" s="64" t="n"/>
      <c r="E42" s="64" t="n"/>
      <c r="F42" s="64" t="n"/>
      <c r="G42" s="64" t="n"/>
      <c r="H42" s="64" t="n"/>
      <c r="I42" s="64" t="n"/>
      <c r="J42" s="64" t="n"/>
      <c r="K42" s="64" t="n"/>
      <c r="L42" s="64" t="n"/>
      <c r="M42" s="103" t="n"/>
      <c r="N42" s="103" t="n"/>
      <c r="O42" s="103" t="n"/>
      <c r="P42" s="103" t="n"/>
      <c r="Q42" s="103" t="n"/>
      <c r="R42" s="103" t="n"/>
      <c r="S42" s="103" t="n"/>
      <c r="T42" s="103" t="n"/>
      <c r="U42" s="103" t="n"/>
      <c r="V42" s="103" t="n"/>
      <c r="W42" s="103" t="n"/>
      <c r="X42" s="103" t="n"/>
      <c r="Y42" s="103" t="n"/>
      <c r="Z42" s="103" t="n"/>
      <c r="AA42" s="103" t="n"/>
      <c r="AB42" s="103" t="n"/>
      <c r="AC42" s="103" t="n"/>
      <c r="AD42" s="103" t="n"/>
      <c r="AE42" s="103" t="n"/>
      <c r="AF42" s="103" t="n"/>
      <c r="AG42" s="103" t="n"/>
      <c r="AH42" s="103" t="n"/>
      <c r="AI42" s="103" t="n"/>
      <c r="AJ42" s="103" t="n"/>
      <c r="AK42" s="103" t="n"/>
      <c r="AL42" s="103" t="n"/>
      <c r="AM42" s="103" t="n"/>
      <c r="AN42" s="103" t="n"/>
      <c r="AO42" s="103" t="n"/>
      <c r="AP42" s="103" t="n"/>
      <c r="AQ42" s="103" t="n"/>
      <c r="AR42" s="103" t="n"/>
      <c r="AS42" s="103" t="n"/>
      <c r="AT42" s="103" t="n"/>
      <c r="AU42" s="103" t="n"/>
      <c r="AV42" s="64" t="n"/>
      <c r="AW42" s="64" t="n"/>
      <c r="AX42" s="64" t="n"/>
      <c r="AY42" s="64" t="n"/>
      <c r="AZ42" s="103" t="n"/>
    </row>
    <row r="43" ht="19.5" customHeight="1">
      <c r="A43" s="64" t="n"/>
      <c r="B43" s="64" t="n"/>
      <c r="C43" s="64" t="n"/>
      <c r="D43" s="64" t="n"/>
      <c r="E43" s="64" t="n"/>
      <c r="F43" s="64" t="n"/>
      <c r="G43" s="64" t="n"/>
      <c r="H43" s="64" t="n"/>
      <c r="I43" s="64" t="n"/>
      <c r="J43" s="64" t="n"/>
      <c r="K43" s="64" t="n"/>
      <c r="L43" s="64" t="n"/>
      <c r="M43" s="103" t="n"/>
      <c r="N43" s="103" t="n"/>
      <c r="O43" s="103" t="n"/>
      <c r="P43" s="103" t="n"/>
      <c r="Q43" s="103" t="n"/>
      <c r="R43" s="103" t="n"/>
      <c r="S43" s="103" t="n"/>
      <c r="T43" s="103" t="n"/>
      <c r="U43" s="103" t="n"/>
      <c r="V43" s="103" t="n"/>
      <c r="W43" s="103" t="n"/>
      <c r="X43" s="103" t="n"/>
      <c r="Y43" s="103" t="n"/>
      <c r="Z43" s="103" t="n"/>
      <c r="AA43" s="103" t="n"/>
      <c r="AB43" s="103" t="n"/>
      <c r="AC43" s="103" t="n"/>
      <c r="AD43" s="103" t="n"/>
      <c r="AE43" s="103" t="n"/>
      <c r="AF43" s="103" t="n"/>
      <c r="AG43" s="103" t="n"/>
      <c r="AH43" s="103" t="n"/>
      <c r="AI43" s="103" t="n"/>
      <c r="AJ43" s="103" t="n"/>
      <c r="AK43" s="103" t="n"/>
      <c r="AL43" s="103" t="n"/>
      <c r="AM43" s="103" t="n"/>
      <c r="AN43" s="103" t="n"/>
      <c r="AO43" s="103" t="n"/>
      <c r="AP43" s="103" t="n"/>
      <c r="AQ43" s="103" t="n"/>
      <c r="AR43" s="103" t="n"/>
      <c r="AS43" s="103" t="n"/>
      <c r="AT43" s="103" t="n"/>
      <c r="AU43" s="103" t="n"/>
      <c r="AV43" s="64" t="n"/>
      <c r="AW43" s="64" t="n"/>
      <c r="AX43" s="64" t="n"/>
      <c r="AY43" s="64" t="n"/>
      <c r="AZ43" s="103" t="n"/>
    </row>
    <row r="44" ht="19.5" customHeight="1">
      <c r="A44" s="64" t="n"/>
      <c r="B44" s="64" t="n"/>
      <c r="C44" s="64" t="n"/>
      <c r="D44" s="64" t="n"/>
      <c r="E44" s="64" t="n"/>
      <c r="F44" s="64" t="n"/>
      <c r="G44" s="64" t="n"/>
      <c r="H44" s="64" t="n"/>
      <c r="I44" s="64" t="n"/>
      <c r="J44" s="64" t="n"/>
      <c r="K44" s="64" t="n"/>
      <c r="L44" s="64" t="n"/>
      <c r="M44" s="103" t="n"/>
      <c r="N44" s="103" t="n"/>
      <c r="O44" s="103" t="n"/>
      <c r="P44" s="103" t="n"/>
      <c r="Q44" s="103" t="n"/>
      <c r="R44" s="103" t="n"/>
      <c r="S44" s="103" t="n"/>
      <c r="T44" s="103" t="n"/>
      <c r="U44" s="103" t="n"/>
      <c r="V44" s="103" t="n"/>
      <c r="W44" s="103" t="n"/>
      <c r="X44" s="103" t="n"/>
      <c r="Y44" s="103" t="n"/>
      <c r="Z44" s="103" t="n"/>
      <c r="AA44" s="103" t="n"/>
      <c r="AB44" s="103" t="n"/>
      <c r="AC44" s="103" t="n"/>
      <c r="AD44" s="103" t="n"/>
      <c r="AE44" s="103" t="n"/>
      <c r="AF44" s="103" t="n"/>
      <c r="AG44" s="103" t="n"/>
      <c r="AH44" s="103" t="n"/>
      <c r="AI44" s="103" t="n"/>
      <c r="AJ44" s="103" t="n"/>
      <c r="AK44" s="103" t="n"/>
      <c r="AL44" s="103" t="n"/>
      <c r="AM44" s="103" t="n"/>
      <c r="AN44" s="103" t="n"/>
      <c r="AO44" s="103" t="n"/>
      <c r="AP44" s="103" t="n"/>
      <c r="AQ44" s="103" t="n"/>
      <c r="AR44" s="103" t="n"/>
      <c r="AS44" s="103" t="n"/>
      <c r="AT44" s="103" t="n"/>
      <c r="AU44" s="103" t="n"/>
      <c r="AV44" s="64" t="n"/>
      <c r="AW44" s="64" t="n"/>
      <c r="AX44" s="64" t="n"/>
      <c r="AY44" s="64" t="n"/>
      <c r="AZ44" s="103" t="n"/>
    </row>
    <row r="45" ht="19.5" customHeight="1">
      <c r="A45" s="64" t="n"/>
      <c r="B45" s="64" t="n"/>
      <c r="C45" s="64" t="n"/>
      <c r="D45" s="64" t="n"/>
      <c r="E45" s="64" t="n"/>
      <c r="F45" s="64" t="n"/>
      <c r="G45" s="64" t="n"/>
      <c r="H45" s="64" t="n"/>
      <c r="I45" s="64" t="n"/>
      <c r="J45" s="64" t="n"/>
      <c r="K45" s="64" t="n"/>
      <c r="L45" s="64" t="n"/>
      <c r="M45" s="103" t="n"/>
      <c r="N45" s="103" t="n"/>
      <c r="O45" s="103" t="n"/>
      <c r="P45" s="103" t="n"/>
      <c r="Q45" s="103" t="n"/>
      <c r="R45" s="103" t="n"/>
      <c r="S45" s="103" t="n"/>
      <c r="T45" s="103" t="n"/>
      <c r="U45" s="103" t="n"/>
      <c r="V45" s="103" t="n"/>
      <c r="W45" s="103" t="n"/>
      <c r="X45" s="103" t="n"/>
      <c r="Y45" s="103" t="n"/>
      <c r="Z45" s="103" t="n"/>
      <c r="AA45" s="103" t="n"/>
      <c r="AB45" s="103" t="n"/>
      <c r="AC45" s="103" t="n"/>
      <c r="AD45" s="103" t="n"/>
      <c r="AE45" s="103" t="n"/>
      <c r="AF45" s="103" t="n"/>
      <c r="AG45" s="103" t="n"/>
      <c r="AH45" s="103" t="n"/>
      <c r="AI45" s="103" t="n"/>
      <c r="AJ45" s="103" t="n"/>
      <c r="AK45" s="103" t="n"/>
      <c r="AL45" s="103" t="n"/>
      <c r="AM45" s="103" t="n"/>
      <c r="AN45" s="103" t="n"/>
      <c r="AO45" s="103" t="n"/>
      <c r="AP45" s="103" t="n"/>
      <c r="AQ45" s="103" t="n"/>
      <c r="AR45" s="103" t="n"/>
      <c r="AS45" s="103" t="n"/>
      <c r="AT45" s="103" t="n"/>
      <c r="AU45" s="103" t="n"/>
      <c r="AV45" s="64" t="n"/>
      <c r="AW45" s="64" t="n"/>
      <c r="AX45" s="64" t="n"/>
      <c r="AY45" s="64" t="n"/>
      <c r="AZ45" s="103" t="n"/>
    </row>
    <row r="46" ht="19.5" customHeight="1">
      <c r="A46" s="64" t="n"/>
      <c r="B46" s="64" t="n"/>
      <c r="C46" s="64" t="n"/>
      <c r="D46" s="64" t="n"/>
      <c r="E46" s="64" t="n"/>
      <c r="F46" s="64" t="n"/>
      <c r="G46" s="64" t="n"/>
      <c r="H46" s="64" t="n"/>
      <c r="I46" s="64" t="n"/>
      <c r="J46" s="64" t="n"/>
      <c r="K46" s="64" t="n"/>
      <c r="L46" s="64" t="n"/>
      <c r="M46" s="103" t="n"/>
      <c r="N46" s="103" t="n"/>
      <c r="O46" s="103" t="n"/>
      <c r="P46" s="103" t="n"/>
      <c r="Q46" s="103" t="n"/>
      <c r="R46" s="103" t="n"/>
      <c r="S46" s="103" t="n"/>
      <c r="T46" s="103" t="n"/>
      <c r="U46" s="103" t="n"/>
      <c r="V46" s="103" t="n"/>
      <c r="W46" s="103" t="n"/>
      <c r="X46" s="103" t="n"/>
      <c r="Y46" s="103" t="n"/>
      <c r="Z46" s="103" t="n"/>
      <c r="AA46" s="103" t="n"/>
      <c r="AB46" s="103" t="n"/>
      <c r="AC46" s="103" t="n"/>
      <c r="AD46" s="103" t="n"/>
      <c r="AE46" s="103" t="n"/>
      <c r="AF46" s="103" t="n"/>
      <c r="AG46" s="103" t="n"/>
      <c r="AH46" s="103" t="n"/>
      <c r="AI46" s="103" t="n"/>
      <c r="AJ46" s="103" t="n"/>
      <c r="AK46" s="103" t="n"/>
      <c r="AL46" s="103" t="n"/>
      <c r="AM46" s="103" t="n"/>
      <c r="AN46" s="103" t="n"/>
      <c r="AO46" s="103" t="n"/>
      <c r="AP46" s="103" t="n"/>
      <c r="AQ46" s="103" t="n"/>
      <c r="AR46" s="103" t="n"/>
      <c r="AS46" s="103" t="n"/>
      <c r="AT46" s="103" t="n"/>
      <c r="AU46" s="103" t="n"/>
      <c r="AV46" s="64" t="n"/>
      <c r="AW46" s="64" t="n"/>
      <c r="AX46" s="64" t="n"/>
      <c r="AY46" s="64" t="n"/>
      <c r="AZ46" s="103" t="n"/>
    </row>
    <row r="47" ht="19.5" customHeight="1">
      <c r="A47" s="64" t="n"/>
      <c r="B47" s="64" t="n"/>
      <c r="C47" s="64" t="n"/>
      <c r="D47" s="64" t="n"/>
      <c r="E47" s="64" t="n"/>
      <c r="F47" s="64" t="n"/>
      <c r="G47" s="64" t="n"/>
      <c r="H47" s="64" t="n"/>
      <c r="I47" s="64" t="n"/>
      <c r="J47" s="64" t="n"/>
      <c r="K47" s="64" t="n"/>
      <c r="L47" s="64" t="n"/>
      <c r="M47" s="103" t="n"/>
      <c r="N47" s="103" t="n"/>
      <c r="O47" s="103" t="n"/>
      <c r="P47" s="103" t="n"/>
      <c r="Q47" s="103" t="n"/>
      <c r="R47" s="103" t="n"/>
      <c r="S47" s="103" t="n"/>
      <c r="T47" s="103" t="n"/>
      <c r="U47" s="103" t="n"/>
      <c r="V47" s="103" t="n"/>
      <c r="W47" s="103" t="n"/>
      <c r="X47" s="103" t="n"/>
      <c r="Y47" s="103" t="n"/>
      <c r="Z47" s="103" t="n"/>
      <c r="AA47" s="103" t="n"/>
      <c r="AB47" s="103" t="n"/>
      <c r="AC47" s="103" t="n"/>
      <c r="AD47" s="103" t="n"/>
      <c r="AE47" s="103" t="n"/>
      <c r="AF47" s="103" t="n"/>
      <c r="AG47" s="103" t="n"/>
      <c r="AH47" s="103" t="n"/>
      <c r="AI47" s="103" t="n"/>
      <c r="AJ47" s="103" t="n"/>
      <c r="AK47" s="103" t="n"/>
      <c r="AL47" s="103" t="n"/>
      <c r="AM47" s="103" t="n"/>
      <c r="AN47" s="103" t="n"/>
      <c r="AO47" s="103" t="n"/>
      <c r="AP47" s="103" t="n"/>
      <c r="AQ47" s="103" t="n"/>
      <c r="AR47" s="103" t="n"/>
      <c r="AS47" s="103" t="n"/>
      <c r="AT47" s="103" t="n"/>
      <c r="AU47" s="103" t="n"/>
      <c r="AV47" s="64" t="n"/>
      <c r="AW47" s="64" t="n"/>
      <c r="AX47" s="64" t="n"/>
      <c r="AY47" s="64" t="n"/>
      <c r="AZ47" s="103" t="n"/>
    </row>
    <row r="48" ht="19.5" customHeight="1">
      <c r="A48" s="64" t="n"/>
      <c r="B48" s="64" t="n"/>
      <c r="C48" s="64" t="n"/>
      <c r="D48" s="64" t="n"/>
      <c r="E48" s="64" t="n"/>
      <c r="F48" s="64" t="n"/>
      <c r="G48" s="64" t="n"/>
      <c r="H48" s="64" t="n"/>
      <c r="I48" s="64" t="n"/>
      <c r="J48" s="64" t="n"/>
      <c r="K48" s="64" t="n"/>
      <c r="L48" s="64" t="n"/>
      <c r="M48" s="103" t="n"/>
      <c r="N48" s="103" t="n"/>
      <c r="O48" s="103" t="n"/>
      <c r="P48" s="103" t="n"/>
      <c r="Q48" s="103" t="n"/>
      <c r="R48" s="103" t="n"/>
      <c r="S48" s="103" t="n"/>
      <c r="T48" s="103" t="n"/>
      <c r="U48" s="103" t="n"/>
      <c r="V48" s="103" t="n"/>
      <c r="W48" s="103" t="n"/>
      <c r="X48" s="103" t="n"/>
      <c r="Y48" s="103" t="n"/>
      <c r="Z48" s="103" t="n"/>
      <c r="AA48" s="103" t="n"/>
      <c r="AB48" s="103" t="n"/>
      <c r="AC48" s="103" t="n"/>
      <c r="AD48" s="103" t="n"/>
      <c r="AE48" s="103" t="n"/>
      <c r="AF48" s="103" t="n"/>
      <c r="AG48" s="103" t="n"/>
      <c r="AH48" s="103" t="n"/>
      <c r="AI48" s="103" t="n"/>
      <c r="AJ48" s="103" t="n"/>
      <c r="AK48" s="103" t="n"/>
      <c r="AL48" s="103" t="n"/>
      <c r="AM48" s="103" t="n"/>
      <c r="AN48" s="103" t="n"/>
      <c r="AO48" s="103" t="n"/>
      <c r="AP48" s="103" t="n"/>
      <c r="AQ48" s="103" t="n"/>
      <c r="AR48" s="103" t="n"/>
      <c r="AS48" s="103" t="n"/>
      <c r="AT48" s="103" t="n"/>
      <c r="AU48" s="103" t="n"/>
      <c r="AV48" s="64" t="n"/>
      <c r="AW48" s="64" t="n"/>
      <c r="AX48" s="64" t="n"/>
      <c r="AY48" s="64" t="n"/>
      <c r="AZ48" s="103" t="n"/>
    </row>
    <row r="49" ht="19.5" customHeight="1">
      <c r="A49" s="64" t="n"/>
      <c r="B49" s="64" t="n"/>
      <c r="C49" s="64" t="n"/>
      <c r="D49" s="64" t="n"/>
      <c r="E49" s="64" t="n"/>
      <c r="F49" s="64" t="n"/>
      <c r="G49" s="64" t="n"/>
      <c r="H49" s="64" t="n"/>
      <c r="I49" s="64" t="n"/>
      <c r="J49" s="64" t="n"/>
      <c r="K49" s="64" t="n"/>
      <c r="L49" s="64" t="n"/>
      <c r="M49" s="103" t="n"/>
      <c r="N49" s="103" t="n"/>
      <c r="O49" s="103" t="n"/>
      <c r="P49" s="103" t="n"/>
      <c r="Q49" s="103" t="n"/>
      <c r="R49" s="103" t="n"/>
      <c r="S49" s="103" t="n"/>
      <c r="T49" s="103" t="n"/>
      <c r="U49" s="103" t="n"/>
      <c r="V49" s="103" t="n"/>
      <c r="W49" s="103" t="n"/>
      <c r="X49" s="103" t="n"/>
      <c r="Y49" s="103" t="n"/>
      <c r="Z49" s="103" t="n"/>
      <c r="AA49" s="103" t="n"/>
      <c r="AB49" s="103" t="n"/>
      <c r="AC49" s="103" t="n"/>
      <c r="AD49" s="103" t="n"/>
      <c r="AE49" s="103" t="n"/>
      <c r="AF49" s="103" t="n"/>
      <c r="AG49" s="103" t="n"/>
      <c r="AH49" s="103" t="n"/>
      <c r="AI49" s="103" t="n"/>
      <c r="AJ49" s="103" t="n"/>
      <c r="AK49" s="103" t="n"/>
      <c r="AL49" s="103" t="n"/>
      <c r="AM49" s="103" t="n"/>
      <c r="AN49" s="103" t="n"/>
      <c r="AO49" s="103" t="n"/>
      <c r="AP49" s="103" t="n"/>
      <c r="AQ49" s="103" t="n"/>
      <c r="AR49" s="103" t="n"/>
      <c r="AS49" s="103" t="n"/>
      <c r="AT49" s="103" t="n"/>
      <c r="AU49" s="103" t="n"/>
      <c r="AV49" s="64" t="n"/>
      <c r="AW49" s="64" t="n"/>
      <c r="AX49" s="64" t="n"/>
      <c r="AY49" s="64" t="n"/>
      <c r="AZ49" s="103" t="n"/>
    </row>
    <row r="50" ht="19.5" customHeight="1">
      <c r="A50" s="64" t="n"/>
      <c r="B50" s="64" t="n"/>
      <c r="C50" s="64" t="n"/>
      <c r="D50" s="64" t="n"/>
      <c r="E50" s="64" t="n"/>
      <c r="F50" s="64" t="n"/>
      <c r="G50" s="64" t="n"/>
      <c r="H50" s="64" t="n"/>
      <c r="I50" s="64" t="n"/>
      <c r="J50" s="64" t="n"/>
      <c r="K50" s="64" t="n"/>
      <c r="L50" s="64" t="n"/>
      <c r="M50" s="103" t="n"/>
      <c r="N50" s="103" t="n"/>
      <c r="O50" s="103" t="n"/>
      <c r="P50" s="103" t="n"/>
      <c r="Q50" s="103" t="n"/>
      <c r="R50" s="103" t="n"/>
      <c r="S50" s="103" t="n"/>
      <c r="T50" s="103" t="n"/>
      <c r="U50" s="103" t="n"/>
      <c r="V50" s="103" t="n"/>
      <c r="W50" s="103" t="n"/>
      <c r="X50" s="103" t="n"/>
      <c r="Y50" s="103" t="n"/>
      <c r="Z50" s="103" t="n"/>
      <c r="AA50" s="103" t="n"/>
      <c r="AB50" s="103" t="n"/>
      <c r="AC50" s="103" t="n"/>
      <c r="AD50" s="103" t="n"/>
      <c r="AE50" s="103" t="n"/>
      <c r="AF50" s="103" t="n"/>
      <c r="AG50" s="103" t="n"/>
      <c r="AH50" s="103" t="n"/>
      <c r="AI50" s="103" t="n"/>
      <c r="AJ50" s="103" t="n"/>
      <c r="AK50" s="103" t="n"/>
      <c r="AL50" s="103" t="n"/>
      <c r="AM50" s="103" t="n"/>
      <c r="AN50" s="103" t="n"/>
      <c r="AO50" s="103" t="n"/>
      <c r="AP50" s="103" t="n"/>
      <c r="AQ50" s="103" t="n"/>
      <c r="AR50" s="103" t="n"/>
      <c r="AS50" s="103" t="n"/>
      <c r="AT50" s="103" t="n"/>
      <c r="AU50" s="103" t="n"/>
      <c r="AV50" s="64" t="n"/>
      <c r="AW50" s="64" t="n"/>
      <c r="AX50" s="64" t="n"/>
      <c r="AY50" s="64" t="n"/>
      <c r="AZ50" s="103" t="n"/>
    </row>
    <row r="51" ht="19.5" customHeight="1">
      <c r="A51" s="64" t="n"/>
      <c r="B51" s="64" t="n"/>
      <c r="C51" s="64" t="n"/>
      <c r="D51" s="64" t="n"/>
      <c r="E51" s="64" t="n"/>
      <c r="F51" s="64" t="n"/>
      <c r="G51" s="64" t="n"/>
      <c r="H51" s="64" t="n"/>
      <c r="I51" s="64" t="n"/>
      <c r="J51" s="64" t="n"/>
      <c r="K51" s="64" t="n"/>
      <c r="L51" s="64" t="n"/>
      <c r="M51" s="103" t="n"/>
      <c r="N51" s="103" t="n"/>
      <c r="O51" s="103" t="n"/>
      <c r="P51" s="103" t="n"/>
      <c r="Q51" s="103" t="n"/>
      <c r="R51" s="103" t="n"/>
      <c r="S51" s="103" t="n"/>
      <c r="T51" s="103" t="n"/>
      <c r="U51" s="103" t="n"/>
      <c r="V51" s="103" t="n"/>
      <c r="W51" s="103" t="n"/>
      <c r="X51" s="103" t="n"/>
      <c r="Y51" s="103" t="n"/>
      <c r="Z51" s="103" t="n"/>
      <c r="AA51" s="103" t="n"/>
      <c r="AB51" s="103" t="n"/>
      <c r="AC51" s="103" t="n"/>
      <c r="AD51" s="103" t="n"/>
      <c r="AE51" s="103" t="n"/>
      <c r="AF51" s="103" t="n"/>
      <c r="AG51" s="103" t="n"/>
      <c r="AH51" s="103" t="n"/>
      <c r="AI51" s="103" t="n"/>
      <c r="AJ51" s="103" t="n"/>
      <c r="AK51" s="103" t="n"/>
      <c r="AL51" s="103" t="n"/>
      <c r="AM51" s="103" t="n"/>
      <c r="AN51" s="103" t="n"/>
      <c r="AO51" s="103" t="n"/>
      <c r="AP51" s="103" t="n"/>
      <c r="AQ51" s="103" t="n"/>
      <c r="AR51" s="103" t="n"/>
      <c r="AS51" s="103" t="n"/>
      <c r="AT51" s="103" t="n"/>
      <c r="AU51" s="103" t="n"/>
      <c r="AV51" s="64" t="n"/>
      <c r="AW51" s="64" t="n"/>
      <c r="AX51" s="64" t="n"/>
      <c r="AY51" s="64" t="n"/>
      <c r="AZ51" s="103" t="n"/>
    </row>
    <row r="52" ht="19.5" customHeight="1">
      <c r="A52" s="64" t="n"/>
      <c r="B52" s="64" t="n"/>
      <c r="C52" s="64" t="n"/>
      <c r="D52" s="64" t="n"/>
      <c r="E52" s="64" t="n"/>
      <c r="F52" s="64" t="n"/>
      <c r="G52" s="64" t="n"/>
      <c r="H52" s="64" t="n"/>
      <c r="I52" s="64" t="n"/>
      <c r="J52" s="64" t="n"/>
      <c r="K52" s="64" t="n"/>
      <c r="L52" s="64" t="n"/>
      <c r="M52" s="103" t="n"/>
      <c r="N52" s="103" t="n"/>
      <c r="O52" s="103" t="n"/>
      <c r="P52" s="103" t="n"/>
      <c r="Q52" s="103" t="n"/>
      <c r="R52" s="103" t="n"/>
      <c r="S52" s="103" t="n"/>
      <c r="T52" s="103" t="n"/>
      <c r="U52" s="103" t="n"/>
      <c r="V52" s="103" t="n"/>
      <c r="W52" s="103" t="n"/>
      <c r="X52" s="103" t="n"/>
      <c r="Y52" s="103" t="n"/>
      <c r="Z52" s="103" t="n"/>
      <c r="AA52" s="103" t="n"/>
      <c r="AB52" s="103" t="n"/>
      <c r="AC52" s="103" t="n"/>
      <c r="AD52" s="103" t="n"/>
      <c r="AE52" s="103" t="n"/>
      <c r="AF52" s="103" t="n"/>
      <c r="AG52" s="103" t="n"/>
      <c r="AH52" s="103" t="n"/>
      <c r="AI52" s="103" t="n"/>
      <c r="AJ52" s="103" t="n"/>
      <c r="AK52" s="103" t="n"/>
      <c r="AL52" s="103" t="n"/>
      <c r="AM52" s="103" t="n"/>
      <c r="AN52" s="103" t="n"/>
      <c r="AO52" s="103" t="n"/>
      <c r="AP52" s="103" t="n"/>
      <c r="AQ52" s="103" t="n"/>
      <c r="AR52" s="103" t="n"/>
      <c r="AS52" s="103" t="n"/>
      <c r="AT52" s="103" t="n"/>
      <c r="AU52" s="103" t="n"/>
      <c r="AV52" s="64" t="n"/>
      <c r="AW52" s="64" t="n"/>
      <c r="AX52" s="64" t="n"/>
      <c r="AY52" s="64" t="n"/>
      <c r="AZ52" s="103" t="n"/>
    </row>
    <row r="53" ht="19.5" customHeight="1">
      <c r="A53" s="64" t="n"/>
      <c r="B53" s="64" t="n"/>
      <c r="C53" s="64" t="n"/>
      <c r="D53" s="64" t="n"/>
      <c r="E53" s="64" t="n"/>
      <c r="F53" s="64" t="n"/>
      <c r="G53" s="64" t="n"/>
      <c r="H53" s="64" t="n"/>
      <c r="I53" s="64" t="n"/>
      <c r="J53" s="64" t="n"/>
      <c r="K53" s="64" t="n"/>
      <c r="L53" s="64" t="n"/>
      <c r="M53" s="103" t="n"/>
      <c r="N53" s="103" t="n"/>
      <c r="O53" s="103" t="n"/>
      <c r="P53" s="103" t="n"/>
      <c r="Q53" s="103" t="n"/>
      <c r="R53" s="103" t="n"/>
      <c r="S53" s="103" t="n"/>
      <c r="T53" s="103" t="n"/>
      <c r="U53" s="103" t="n"/>
      <c r="V53" s="103" t="n"/>
      <c r="W53" s="103" t="n"/>
      <c r="X53" s="103" t="n"/>
      <c r="Y53" s="103" t="n"/>
      <c r="Z53" s="103" t="n"/>
      <c r="AA53" s="103" t="n"/>
      <c r="AB53" s="103" t="n"/>
      <c r="AC53" s="103" t="n"/>
      <c r="AD53" s="103" t="n"/>
      <c r="AE53" s="103" t="n"/>
      <c r="AF53" s="103" t="n"/>
      <c r="AG53" s="103" t="n"/>
      <c r="AH53" s="103" t="n"/>
      <c r="AI53" s="103" t="n"/>
      <c r="AJ53" s="103" t="n"/>
      <c r="AK53" s="103" t="n"/>
      <c r="AL53" s="103" t="n"/>
      <c r="AM53" s="103" t="n"/>
      <c r="AN53" s="103" t="n"/>
      <c r="AO53" s="103" t="n"/>
      <c r="AP53" s="103" t="n"/>
      <c r="AQ53" s="103" t="n"/>
      <c r="AR53" s="103" t="n"/>
      <c r="AS53" s="103" t="n"/>
      <c r="AT53" s="103" t="n"/>
      <c r="AU53" s="103" t="n"/>
      <c r="AV53" s="64" t="n"/>
      <c r="AW53" s="64" t="n"/>
      <c r="AX53" s="64" t="n"/>
      <c r="AY53" s="64" t="n"/>
      <c r="AZ53" s="103" t="n"/>
    </row>
    <row r="54" ht="19.5" customHeight="1">
      <c r="A54" s="64" t="n"/>
      <c r="B54" s="64" t="n"/>
      <c r="C54" s="64" t="n"/>
      <c r="D54" s="64" t="n"/>
      <c r="E54" s="64" t="n"/>
      <c r="F54" s="64" t="n"/>
      <c r="G54" s="64" t="n"/>
      <c r="H54" s="64" t="n"/>
      <c r="I54" s="64" t="n"/>
      <c r="J54" s="64" t="n"/>
      <c r="K54" s="64" t="n"/>
      <c r="L54" s="64" t="n"/>
      <c r="M54" s="103" t="n"/>
      <c r="N54" s="103" t="n"/>
      <c r="O54" s="103" t="n"/>
      <c r="P54" s="103" t="n"/>
      <c r="Q54" s="103" t="n"/>
      <c r="R54" s="103" t="n"/>
      <c r="S54" s="103" t="n"/>
      <c r="T54" s="103" t="n"/>
      <c r="U54" s="103" t="n"/>
      <c r="V54" s="103" t="n"/>
      <c r="W54" s="103" t="n"/>
      <c r="X54" s="103" t="n"/>
      <c r="Y54" s="103" t="n"/>
      <c r="Z54" s="103" t="n"/>
      <c r="AA54" s="103" t="n"/>
      <c r="AB54" s="103" t="n"/>
      <c r="AC54" s="103" t="n"/>
      <c r="AD54" s="103" t="n"/>
      <c r="AE54" s="103" t="n"/>
      <c r="AF54" s="103" t="n"/>
      <c r="AG54" s="103" t="n"/>
      <c r="AH54" s="103" t="n"/>
      <c r="AI54" s="103" t="n"/>
      <c r="AJ54" s="103" t="n"/>
      <c r="AK54" s="103" t="n"/>
      <c r="AL54" s="103" t="n"/>
      <c r="AM54" s="103" t="n"/>
      <c r="AN54" s="103" t="n"/>
      <c r="AO54" s="103" t="n"/>
      <c r="AP54" s="103" t="n"/>
      <c r="AQ54" s="103" t="n"/>
      <c r="AR54" s="103" t="n"/>
      <c r="AS54" s="103" t="n"/>
      <c r="AT54" s="103" t="n"/>
      <c r="AU54" s="103" t="n"/>
      <c r="AV54" s="64" t="n"/>
      <c r="AW54" s="64" t="n"/>
      <c r="AX54" s="64" t="n"/>
      <c r="AY54" s="64" t="n"/>
      <c r="AZ54" s="103" t="n"/>
    </row>
    <row r="55" ht="19.5" customHeight="1">
      <c r="A55" s="64" t="n"/>
      <c r="B55" s="64" t="n"/>
      <c r="C55" s="64" t="n"/>
      <c r="D55" s="64" t="n"/>
      <c r="E55" s="64" t="n"/>
      <c r="F55" s="64" t="n"/>
      <c r="G55" s="64" t="n"/>
      <c r="H55" s="64" t="n"/>
      <c r="I55" s="64" t="n"/>
      <c r="J55" s="64" t="n"/>
      <c r="K55" s="64" t="n"/>
      <c r="L55" s="64" t="n"/>
      <c r="M55" s="103" t="n"/>
      <c r="N55" s="103" t="n"/>
      <c r="O55" s="103" t="n"/>
      <c r="P55" s="103" t="n"/>
      <c r="Q55" s="103" t="n"/>
      <c r="R55" s="103" t="n"/>
      <c r="S55" s="103" t="n"/>
      <c r="T55" s="103" t="n"/>
      <c r="U55" s="103" t="n"/>
      <c r="V55" s="103" t="n"/>
      <c r="W55" s="103" t="n"/>
      <c r="X55" s="103" t="n"/>
      <c r="Y55" s="103" t="n"/>
      <c r="Z55" s="103" t="n"/>
      <c r="AA55" s="103" t="n"/>
      <c r="AB55" s="103" t="n"/>
      <c r="AC55" s="103" t="n"/>
      <c r="AD55" s="103" t="n"/>
      <c r="AE55" s="103" t="n"/>
      <c r="AF55" s="103" t="n"/>
      <c r="AG55" s="103" t="n"/>
      <c r="AH55" s="103" t="n"/>
      <c r="AI55" s="103" t="n"/>
      <c r="AJ55" s="103" t="n"/>
      <c r="AK55" s="103" t="n"/>
      <c r="AL55" s="103" t="n"/>
      <c r="AM55" s="103" t="n"/>
      <c r="AN55" s="103" t="n"/>
      <c r="AO55" s="103" t="n"/>
      <c r="AP55" s="103" t="n"/>
      <c r="AQ55" s="103" t="n"/>
      <c r="AR55" s="103" t="n"/>
      <c r="AS55" s="103" t="n"/>
      <c r="AT55" s="103" t="n"/>
      <c r="AU55" s="103" t="n"/>
      <c r="AV55" s="64" t="n"/>
      <c r="AW55" s="64" t="n"/>
      <c r="AX55" s="64" t="n"/>
      <c r="AY55" s="64" t="n"/>
      <c r="AZ55" s="103" t="n"/>
    </row>
    <row r="56" ht="19.5" customHeight="1">
      <c r="A56" s="64" t="n"/>
      <c r="B56" s="64" t="n"/>
      <c r="C56" s="64" t="n"/>
      <c r="D56" s="64" t="n"/>
      <c r="E56" s="64" t="n"/>
      <c r="F56" s="64" t="n"/>
      <c r="G56" s="64" t="n"/>
      <c r="H56" s="64" t="n"/>
      <c r="I56" s="64" t="n"/>
      <c r="J56" s="64" t="n"/>
      <c r="K56" s="64" t="n"/>
      <c r="L56" s="64" t="n"/>
      <c r="M56" s="103" t="n"/>
      <c r="N56" s="103" t="n"/>
      <c r="O56" s="103" t="n"/>
      <c r="P56" s="103" t="n"/>
      <c r="Q56" s="103" t="n"/>
      <c r="R56" s="103" t="n"/>
      <c r="S56" s="103" t="n"/>
      <c r="T56" s="103" t="n"/>
      <c r="U56" s="103" t="n"/>
      <c r="V56" s="103" t="n"/>
      <c r="W56" s="103" t="n"/>
      <c r="X56" s="103" t="n"/>
      <c r="Y56" s="103" t="n"/>
      <c r="Z56" s="103" t="n"/>
      <c r="AA56" s="103" t="n"/>
      <c r="AB56" s="103" t="n"/>
      <c r="AC56" s="103" t="n"/>
      <c r="AD56" s="103" t="n"/>
      <c r="AE56" s="103" t="n"/>
      <c r="AF56" s="103" t="n"/>
      <c r="AG56" s="103" t="n"/>
      <c r="AH56" s="103" t="n"/>
      <c r="AI56" s="103" t="n"/>
      <c r="AJ56" s="103" t="n"/>
      <c r="AK56" s="103" t="n"/>
      <c r="AL56" s="103" t="n"/>
      <c r="AM56" s="103" t="n"/>
      <c r="AN56" s="103" t="n"/>
      <c r="AO56" s="103" t="n"/>
      <c r="AP56" s="103" t="n"/>
      <c r="AQ56" s="103" t="n"/>
      <c r="AR56" s="103" t="n"/>
      <c r="AS56" s="103" t="n"/>
      <c r="AT56" s="103" t="n"/>
      <c r="AU56" s="103" t="n"/>
      <c r="AV56" s="64" t="n"/>
      <c r="AW56" s="64" t="n"/>
      <c r="AX56" s="64" t="n"/>
      <c r="AY56" s="64" t="n"/>
      <c r="AZ56" s="103" t="n"/>
    </row>
    <row r="57" ht="19.5" customHeight="1">
      <c r="A57" s="64" t="n"/>
      <c r="B57" s="64" t="n"/>
      <c r="C57" s="64" t="n"/>
      <c r="D57" s="64" t="n"/>
      <c r="E57" s="64" t="n"/>
      <c r="F57" s="64" t="n"/>
      <c r="G57" s="64" t="n"/>
      <c r="H57" s="64" t="n"/>
      <c r="I57" s="64" t="n"/>
      <c r="J57" s="64" t="n"/>
      <c r="K57" s="64" t="n"/>
      <c r="L57" s="64" t="n"/>
      <c r="M57" s="103" t="n"/>
      <c r="N57" s="103" t="n"/>
      <c r="O57" s="103" t="n"/>
      <c r="P57" s="103" t="n"/>
      <c r="Q57" s="103" t="n"/>
      <c r="R57" s="103" t="n"/>
      <c r="S57" s="103" t="n"/>
      <c r="T57" s="103" t="n"/>
      <c r="U57" s="103" t="n"/>
      <c r="V57" s="103" t="n"/>
      <c r="W57" s="103" t="n"/>
      <c r="X57" s="103" t="n"/>
      <c r="Y57" s="103" t="n"/>
      <c r="Z57" s="103" t="n"/>
      <c r="AA57" s="103" t="n"/>
      <c r="AB57" s="103" t="n"/>
      <c r="AC57" s="103" t="n"/>
      <c r="AD57" s="103" t="n"/>
      <c r="AE57" s="103" t="n"/>
      <c r="AF57" s="103" t="n"/>
      <c r="AG57" s="103" t="n"/>
      <c r="AH57" s="103" t="n"/>
      <c r="AI57" s="103" t="n"/>
      <c r="AJ57" s="103" t="n"/>
      <c r="AK57" s="103" t="n"/>
      <c r="AL57" s="103" t="n"/>
      <c r="AM57" s="103" t="n"/>
      <c r="AN57" s="103" t="n"/>
      <c r="AO57" s="103" t="n"/>
      <c r="AP57" s="103" t="n"/>
      <c r="AQ57" s="103" t="n"/>
      <c r="AR57" s="103" t="n"/>
      <c r="AS57" s="103" t="n"/>
      <c r="AT57" s="103" t="n"/>
      <c r="AU57" s="103" t="n"/>
      <c r="AV57" s="64" t="n"/>
      <c r="AW57" s="64" t="n"/>
      <c r="AX57" s="64" t="n"/>
      <c r="AY57" s="64" t="n"/>
      <c r="AZ57" s="103" t="n"/>
    </row>
    <row r="58" ht="19.5" customHeight="1">
      <c r="A58" s="64" t="n"/>
      <c r="B58" s="64" t="n"/>
      <c r="C58" s="64" t="n"/>
      <c r="D58" s="64" t="n"/>
      <c r="E58" s="64" t="n"/>
      <c r="F58" s="64" t="n"/>
      <c r="G58" s="64" t="n"/>
      <c r="H58" s="64" t="n"/>
      <c r="I58" s="64" t="n"/>
      <c r="J58" s="64" t="n"/>
      <c r="K58" s="64" t="n"/>
      <c r="L58" s="64" t="n"/>
      <c r="M58" s="103" t="n"/>
      <c r="N58" s="103" t="n"/>
      <c r="O58" s="103" t="n"/>
      <c r="P58" s="103" t="n"/>
      <c r="Q58" s="103" t="n"/>
      <c r="R58" s="103" t="n"/>
      <c r="S58" s="103" t="n"/>
      <c r="T58" s="103" t="n"/>
      <c r="U58" s="103" t="n"/>
      <c r="V58" s="103" t="n"/>
      <c r="W58" s="103" t="n"/>
      <c r="X58" s="103" t="n"/>
      <c r="Y58" s="103" t="n"/>
      <c r="Z58" s="103" t="n"/>
      <c r="AA58" s="103" t="n"/>
      <c r="AB58" s="103" t="n"/>
      <c r="AC58" s="103" t="n"/>
      <c r="AD58" s="103" t="n"/>
      <c r="AE58" s="103" t="n"/>
      <c r="AF58" s="103" t="n"/>
      <c r="AG58" s="103" t="n"/>
      <c r="AH58" s="103" t="n"/>
      <c r="AI58" s="103" t="n"/>
      <c r="AJ58" s="103" t="n"/>
      <c r="AK58" s="103" t="n"/>
      <c r="AL58" s="103" t="n"/>
      <c r="AM58" s="103" t="n"/>
      <c r="AN58" s="103" t="n"/>
      <c r="AO58" s="103" t="n"/>
      <c r="AP58" s="103" t="n"/>
      <c r="AQ58" s="103" t="n"/>
      <c r="AR58" s="103" t="n"/>
      <c r="AS58" s="103" t="n"/>
      <c r="AT58" s="103" t="n"/>
      <c r="AU58" s="103" t="n"/>
      <c r="AV58" s="64" t="n"/>
      <c r="AW58" s="64" t="n"/>
      <c r="AX58" s="64" t="n"/>
      <c r="AY58" s="64" t="n"/>
      <c r="AZ58" s="103" t="n"/>
    </row>
  </sheetData>
  <mergeCells count="25">
    <mergeCell ref="A7:I7"/>
    <mergeCell ref="A25:I25"/>
    <mergeCell ref="A27:I27"/>
    <mergeCell ref="A26:I26"/>
    <mergeCell ref="A21:I21"/>
    <mergeCell ref="B4:H4"/>
    <mergeCell ref="A14:I14"/>
    <mergeCell ref="A23:I23"/>
    <mergeCell ref="B16:H16"/>
    <mergeCell ref="A8:I8"/>
    <mergeCell ref="A22:I22"/>
    <mergeCell ref="B3:H3"/>
    <mergeCell ref="A29:I29"/>
    <mergeCell ref="B18:H18"/>
    <mergeCell ref="A10:I10"/>
    <mergeCell ref="A28:I28"/>
    <mergeCell ref="A13:I13"/>
    <mergeCell ref="A9:I9"/>
    <mergeCell ref="B2:H2"/>
    <mergeCell ref="A24:I24"/>
    <mergeCell ref="A11:I11"/>
    <mergeCell ref="B17:H17"/>
    <mergeCell ref="B1:H1"/>
    <mergeCell ref="A6:I6"/>
    <mergeCell ref="B19:H19"/>
  </mergeCells>
  <pageMargins left="0.7" right="0.7" top="0.75" bottom="0.75" header="0.3" footer="0.3"/>
</worksheet>
</file>

<file path=xl/worksheets/sheet18.xml><?xml version="1.0" encoding="utf-8"?>
<worksheet xmlns="http://schemas.openxmlformats.org/spreadsheetml/2006/main">
  <sheetPr>
    <outlinePr summaryBelow="0"/>
    <pageSetUpPr/>
  </sheetPr>
  <dimension ref="A1:AY27"/>
  <sheetViews>
    <sheetView workbookViewId="0">
      <selection activeCell="A1" sqref="A1"/>
    </sheetView>
  </sheetViews>
  <sheetFormatPr baseColWidth="8" defaultRowHeight="15"/>
  <cols>
    <col width="13.57642857142857" bestFit="1" customWidth="1" style="64" min="1" max="1"/>
    <col width="1.005" bestFit="1" customWidth="1" style="108" min="2" max="2"/>
    <col width="14.57642857142857" bestFit="1" customWidth="1" style="64" min="3" max="3"/>
    <col width="2.576428571428572" bestFit="1" customWidth="1" style="64" min="4" max="4"/>
    <col width="5.147857142857143" bestFit="1" customWidth="1" style="64" min="5" max="5"/>
    <col width="2.576428571428572" bestFit="1" customWidth="1" style="64" min="6" max="6"/>
    <col width="2.576428571428572" bestFit="1" customWidth="1" style="64" min="7" max="7"/>
    <col width="4.005" bestFit="1" customWidth="1" style="64" min="8" max="8"/>
    <col width="4.290714285714285" bestFit="1" customWidth="1" style="64" min="9" max="9"/>
    <col width="2.576428571428572" bestFit="1" customWidth="1" style="64" min="10" max="10"/>
    <col width="3.862142857142857" bestFit="1" customWidth="1" style="64" min="11" max="11"/>
    <col width="2.576428571428572" bestFit="1" customWidth="1" style="64" min="12" max="12"/>
    <col width="4.719285714285714" bestFit="1" customWidth="1" style="64" min="13" max="13"/>
    <col width="2.576428571428572" bestFit="1" customWidth="1" style="64" min="14" max="14"/>
    <col width="2.576428571428572" bestFit="1" customWidth="1" style="64" min="15" max="15"/>
    <col width="2.576428571428572" bestFit="1" customWidth="1" style="64" min="16" max="16"/>
    <col width="6.005" bestFit="1" customWidth="1" style="64" min="17" max="17"/>
    <col width="2.576428571428572" bestFit="1" customWidth="1" style="64" min="18" max="18"/>
    <col width="2.576428571428572" bestFit="1" customWidth="1" style="64" min="19" max="19"/>
    <col width="2.576428571428572" bestFit="1" customWidth="1" style="64" min="20" max="20"/>
    <col width="3.862142857142857" bestFit="1" customWidth="1" style="64" min="21" max="21"/>
    <col width="3.147857142857143" bestFit="1" customWidth="1" style="64" min="22" max="22"/>
    <col width="5.147857142857143" bestFit="1" customWidth="1" style="64" min="23" max="23"/>
    <col width="9.576428571428572" bestFit="1" customWidth="1" style="64" min="24" max="24"/>
    <col width="5.147857142857143" bestFit="1" customWidth="1" style="64" min="25" max="25"/>
    <col width="13.57642857142857" bestFit="1" customWidth="1" style="64" min="26" max="26"/>
    <col width="13.86214285714286" bestFit="1" customWidth="1" style="64" min="27" max="27"/>
    <col width="2.005" bestFit="1" customWidth="1" style="64" min="28" max="28"/>
    <col width="5.862142857142857" bestFit="1" customWidth="1" style="64" min="29" max="29"/>
    <col width="9.43357142857143" bestFit="1" customWidth="1" style="64" min="30" max="30"/>
    <col width="13.57642857142857" bestFit="1" customWidth="1" style="64" min="31" max="31"/>
    <col width="13.57642857142857" bestFit="1" customWidth="1" style="64" min="32" max="32"/>
    <col width="13.57642857142857" bestFit="1" customWidth="1" style="64" min="33" max="33"/>
    <col width="13.57642857142857" bestFit="1" customWidth="1" style="64" min="34" max="34"/>
    <col width="13.57642857142857" bestFit="1" customWidth="1" style="64" min="35" max="35"/>
    <col width="13.57642857142857" bestFit="1" customWidth="1" style="64" min="36" max="36"/>
    <col width="13.57642857142857" bestFit="1" customWidth="1" style="64" min="37" max="37"/>
    <col width="13.57642857142857" bestFit="1" customWidth="1" style="64" min="38" max="38"/>
    <col width="13.57642857142857" bestFit="1" customWidth="1" style="64" min="39" max="39"/>
    <col width="13.57642857142857" bestFit="1" customWidth="1" style="64" min="40" max="40"/>
    <col width="13.57642857142857" bestFit="1" customWidth="1" style="64" min="41" max="41"/>
    <col width="13.57642857142857" bestFit="1" customWidth="1" style="64" min="42" max="42"/>
    <col width="13.57642857142857" bestFit="1" customWidth="1" style="64" min="43" max="43"/>
    <col width="13.57642857142857" bestFit="1" customWidth="1" style="103" min="44" max="44"/>
    <col width="13.57642857142857" bestFit="1" customWidth="1" style="103" min="45" max="45"/>
    <col width="13.57642857142857" bestFit="1" customWidth="1" style="103" min="46" max="46"/>
    <col width="13.57642857142857" bestFit="1" customWidth="1" style="64" min="47" max="47"/>
    <col width="13.57642857142857" bestFit="1" customWidth="1" style="64" min="48" max="48"/>
    <col width="13.57642857142857" bestFit="1" customWidth="1" style="64" min="49" max="49"/>
    <col width="13.57642857142857" bestFit="1" customWidth="1" style="64" min="50" max="50"/>
    <col width="13.57642857142857" bestFit="1" customWidth="1" style="103" min="51" max="51"/>
  </cols>
  <sheetData>
    <row r="1" ht="15" customHeight="1">
      <c r="A1" s="64" t="n"/>
      <c r="B1" s="108" t="n"/>
      <c r="C1" s="376" t="n"/>
      <c r="D1" s="376" t="n"/>
      <c r="E1" s="376" t="n"/>
      <c r="F1" s="64" t="n"/>
      <c r="G1" s="376" t="n"/>
      <c r="H1" s="377" t="inlineStr">
        <is>
          <t>evsjv‡`k K…wl e¨vsK</t>
        </is>
      </c>
      <c r="I1" s="2619" t="n"/>
      <c r="J1" s="2619" t="n"/>
      <c r="K1" s="2619" t="n"/>
      <c r="L1" s="2619" t="n"/>
      <c r="M1" s="2619" t="n"/>
      <c r="N1" s="2619" t="n"/>
      <c r="O1" s="2619" t="n"/>
      <c r="P1" s="2619" t="n"/>
      <c r="Q1" s="2619" t="n"/>
      <c r="R1" s="2619" t="n"/>
      <c r="S1" s="2620" t="n"/>
      <c r="T1" s="379" t="n"/>
      <c r="U1" s="64" t="n"/>
      <c r="V1" s="380" t="inlineStr">
        <is>
          <t>"Mbgvby‡li e¨vsK"</t>
        </is>
      </c>
      <c r="Z1" s="64" t="n"/>
      <c r="AA1" s="64" t="n"/>
      <c r="AB1" s="64" t="n"/>
      <c r="AC1" s="64" t="n"/>
      <c r="AD1" s="64" t="n"/>
      <c r="AE1" s="64" t="n"/>
      <c r="AF1" s="64" t="n"/>
      <c r="AG1" s="64" t="n"/>
      <c r="AH1" s="64" t="n"/>
      <c r="AI1" s="64" t="n"/>
      <c r="AJ1" s="64" t="n"/>
      <c r="AK1" s="64" t="n"/>
      <c r="AL1" s="64" t="n"/>
      <c r="AM1" s="64" t="n"/>
      <c r="AN1" s="64" t="n"/>
      <c r="AO1" s="64" t="n"/>
      <c r="AP1" s="64" t="n"/>
      <c r="AQ1" s="64" t="n"/>
      <c r="AR1" s="69" t="n"/>
      <c r="AS1" s="69" t="n"/>
      <c r="AT1" s="69" t="n"/>
      <c r="AU1" s="64" t="n"/>
      <c r="AV1" s="64" t="n"/>
      <c r="AW1" s="64" t="n"/>
      <c r="AX1" s="64" t="n"/>
      <c r="AY1" s="69" t="n"/>
    </row>
    <row r="2" ht="15" customHeight="1">
      <c r="A2" s="64" t="n"/>
      <c r="B2" s="108" t="n"/>
      <c r="C2" s="381" t="n"/>
      <c r="D2" s="381" t="n"/>
      <c r="E2" s="381" t="n"/>
      <c r="F2" s="64" t="n"/>
      <c r="G2" s="381" t="n"/>
      <c r="H2" s="2621" t="n"/>
      <c r="I2" s="2622" t="n"/>
      <c r="J2" s="2622" t="n"/>
      <c r="K2" s="2622" t="n"/>
      <c r="L2" s="2622" t="n"/>
      <c r="M2" s="2622" t="n"/>
      <c r="N2" s="2622" t="n"/>
      <c r="O2" s="2622" t="n"/>
      <c r="P2" s="2622" t="n"/>
      <c r="Q2" s="2622" t="n"/>
      <c r="R2" s="2622" t="n"/>
      <c r="S2" s="2623" t="n"/>
      <c r="T2" s="382" t="n"/>
      <c r="U2" s="64" t="n"/>
      <c r="V2" s="383" t="inlineStr">
        <is>
          <t>Òcwi‡ek evÜe e¨vwKs KiæbÓ</t>
        </is>
      </c>
      <c r="Z2" s="64" t="n"/>
      <c r="AA2" s="64" t="n"/>
      <c r="AB2" s="64" t="n"/>
      <c r="AC2" s="64" t="n"/>
      <c r="AD2" s="64" t="n"/>
      <c r="AE2" s="64" t="n"/>
      <c r="AF2" s="64" t="n"/>
      <c r="AG2" s="64" t="n"/>
      <c r="AH2" s="64" t="n"/>
      <c r="AI2" s="64" t="n"/>
      <c r="AJ2" s="64" t="n"/>
      <c r="AK2" s="64" t="n"/>
      <c r="AL2" s="64" t="n"/>
      <c r="AM2" s="64" t="n"/>
      <c r="AN2" s="64" t="n"/>
      <c r="AO2" s="64" t="n"/>
      <c r="AP2" s="64" t="n"/>
      <c r="AQ2" s="64" t="n"/>
      <c r="AR2" s="232" t="n"/>
      <c r="AS2" s="232" t="n"/>
      <c r="AT2" s="232" t="n"/>
      <c r="AU2" s="64" t="n"/>
      <c r="AV2" s="64" t="n"/>
      <c r="AW2" s="64" t="n"/>
      <c r="AX2" s="64" t="n"/>
      <c r="AY2" s="71" t="n"/>
    </row>
    <row r="3" ht="18.75" customHeight="1">
      <c r="A3" s="64" t="n"/>
      <c r="B3" s="108" t="n"/>
      <c r="C3" s="64" t="n"/>
      <c r="D3" s="384" t="n"/>
      <c r="E3" s="384" t="n"/>
      <c r="F3" s="384" t="n"/>
      <c r="G3" s="384" t="n"/>
      <c r="H3" s="386">
        <f>+'Data Input'!D2</f>
        <v/>
      </c>
      <c r="T3" s="387" t="n"/>
      <c r="U3" s="64" t="n"/>
      <c r="V3" s="389">
        <f>+'Data Input'!D3</f>
        <v/>
      </c>
      <c r="Z3" s="64" t="n"/>
      <c r="AA3" s="64" t="n"/>
      <c r="AB3" s="64" t="n"/>
      <c r="AC3" s="64" t="n"/>
      <c r="AD3" s="64" t="n"/>
      <c r="AE3" s="64" t="n"/>
      <c r="AF3" s="64" t="n"/>
      <c r="AG3" s="64" t="n"/>
      <c r="AH3" s="64" t="n"/>
      <c r="AI3" s="64" t="n"/>
      <c r="AJ3" s="64" t="n"/>
      <c r="AK3" s="64" t="n"/>
      <c r="AL3" s="64" t="n"/>
      <c r="AM3" s="64" t="n"/>
      <c r="AN3" s="64" t="n"/>
      <c r="AO3" s="64" t="n"/>
      <c r="AP3" s="64" t="n"/>
      <c r="AQ3" s="64" t="n"/>
      <c r="AR3" s="73" t="n"/>
      <c r="AS3" s="73" t="n"/>
      <c r="AT3" s="73" t="n"/>
      <c r="AU3" s="64" t="n"/>
      <c r="AV3" s="64" t="n"/>
      <c r="AW3" s="64" t="n"/>
      <c r="AX3" s="64" t="n"/>
      <c r="AY3" s="73" t="n"/>
    </row>
    <row r="4" ht="13.5" customHeight="1">
      <c r="A4" s="64" t="n"/>
      <c r="B4" s="108" t="n"/>
      <c r="C4" s="391">
        <f>"Mail: "&amp;+'Data Input'!D4&amp;",  Web: www.krishibank.org.bd"</f>
        <v/>
      </c>
      <c r="D4" s="2613" t="n"/>
      <c r="E4" s="2613" t="n"/>
      <c r="F4" s="2613" t="n"/>
      <c r="G4" s="2613" t="n"/>
      <c r="H4" s="2613" t="n"/>
      <c r="I4" s="2613" t="n"/>
      <c r="J4" s="2613" t="n"/>
      <c r="K4" s="2613" t="n"/>
      <c r="L4" s="2613" t="n"/>
      <c r="M4" s="2613" t="n"/>
      <c r="N4" s="2613" t="n"/>
      <c r="O4" s="2613" t="n"/>
      <c r="P4" s="2613" t="n"/>
      <c r="Q4" s="2613" t="n"/>
      <c r="R4" s="2613" t="n"/>
      <c r="S4" s="2613" t="n"/>
      <c r="T4" s="2613" t="n"/>
      <c r="U4" s="2613" t="n"/>
      <c r="V4" s="2613" t="n"/>
      <c r="W4" s="2613" t="n"/>
      <c r="X4" s="2613" t="n"/>
      <c r="Y4" s="2613" t="n"/>
      <c r="Z4" s="64" t="n"/>
      <c r="AA4" s="64" t="n"/>
      <c r="AB4" s="64" t="n"/>
      <c r="AC4" s="64" t="n"/>
      <c r="AD4" s="64" t="n"/>
      <c r="AE4" s="64" t="n"/>
      <c r="AF4" s="64" t="n"/>
      <c r="AG4" s="64" t="n"/>
      <c r="AH4" s="64" t="n"/>
      <c r="AI4" s="64" t="n"/>
      <c r="AJ4" s="64" t="n"/>
      <c r="AK4" s="64" t="n"/>
      <c r="AL4" s="64" t="n"/>
      <c r="AM4" s="64" t="n"/>
      <c r="AN4" s="64" t="n"/>
      <c r="AO4" s="64" t="n"/>
      <c r="AP4" s="64" t="n"/>
      <c r="AQ4" s="64" t="n"/>
      <c r="AR4" s="75" t="n"/>
      <c r="AS4" s="75" t="n"/>
      <c r="AT4" s="75" t="n"/>
      <c r="AU4" s="64" t="n"/>
      <c r="AV4" s="64" t="n"/>
      <c r="AW4" s="64" t="n"/>
      <c r="AX4" s="64" t="n"/>
      <c r="AY4" s="75" t="n"/>
    </row>
    <row r="5" ht="18" customHeight="1">
      <c r="A5" s="64" t="n"/>
      <c r="B5" s="392" t="n"/>
      <c r="C5" s="395">
        <f>'Data Input'!B5&amp;" "&amp;'Data Input'!D5</f>
        <v/>
      </c>
      <c r="D5" s="394" t="n"/>
      <c r="E5" s="394" t="n"/>
      <c r="F5" s="394" t="n"/>
      <c r="G5" s="394" t="n"/>
      <c r="H5" s="394" t="n"/>
      <c r="I5" s="394" t="n"/>
      <c r="J5" s="394" t="n"/>
      <c r="K5" s="394" t="n"/>
      <c r="L5" s="394" t="n"/>
      <c r="M5" s="394" t="n"/>
      <c r="N5" s="394" t="n"/>
      <c r="O5" s="394" t="n"/>
      <c r="P5" s="394" t="n"/>
      <c r="Q5" s="394" t="n"/>
      <c r="R5" s="394" t="n"/>
      <c r="S5" s="395" t="n"/>
      <c r="T5" s="394" t="n"/>
      <c r="U5" s="394" t="n"/>
      <c r="V5" s="396" t="n"/>
      <c r="W5" s="2614" t="n"/>
      <c r="X5" s="397" t="n"/>
      <c r="Y5" s="180" t="n"/>
      <c r="Z5" s="64" t="n"/>
      <c r="AA5" s="64" t="n"/>
      <c r="AB5" s="64" t="n"/>
      <c r="AC5" s="64" t="n"/>
      <c r="AD5" s="64" t="n"/>
      <c r="AE5" s="64" t="n"/>
      <c r="AF5" s="64" t="n"/>
      <c r="AG5" s="64" t="n"/>
      <c r="AH5" s="64" t="n"/>
      <c r="AI5" s="64" t="n"/>
      <c r="AJ5" s="64" t="n"/>
      <c r="AK5" s="64" t="n"/>
      <c r="AL5" s="64" t="n"/>
      <c r="AM5" s="64" t="n"/>
      <c r="AN5" s="64" t="n"/>
      <c r="AO5" s="64" t="n"/>
      <c r="AP5" s="64" t="n"/>
      <c r="AQ5" s="64" t="n"/>
      <c r="AR5" s="103" t="n"/>
      <c r="AS5" s="103" t="n"/>
      <c r="AT5" s="103" t="n"/>
      <c r="AU5" s="64" t="n"/>
      <c r="AV5" s="64" t="n"/>
      <c r="AW5" s="64" t="n"/>
      <c r="AX5" s="64" t="n"/>
      <c r="AY5" s="103" t="n"/>
    </row>
    <row r="6" ht="3.75" customHeight="1">
      <c r="A6" s="64" t="n"/>
      <c r="B6" s="108" t="n"/>
      <c r="C6" s="239" t="n"/>
      <c r="D6" s="64" t="n"/>
      <c r="E6" s="64" t="n"/>
      <c r="F6" s="64" t="n"/>
      <c r="G6" s="64" t="n"/>
      <c r="H6" s="64" t="n"/>
      <c r="I6" s="64" t="n"/>
      <c r="J6" s="64" t="n"/>
      <c r="K6" s="64" t="n"/>
      <c r="L6" s="64" t="n"/>
      <c r="M6" s="64" t="n"/>
      <c r="N6" s="64" t="n"/>
      <c r="O6" s="64" t="n"/>
      <c r="P6" s="64" t="n"/>
      <c r="Q6" s="64" t="n"/>
      <c r="R6" s="64" t="n"/>
      <c r="S6" s="239" t="n"/>
      <c r="T6" s="64" t="n"/>
      <c r="U6" s="64" t="n"/>
      <c r="V6" s="64" t="n"/>
      <c r="W6" s="64" t="n"/>
      <c r="X6" s="64" t="n"/>
      <c r="Y6" s="64" t="n"/>
      <c r="Z6" s="64" t="n"/>
      <c r="AA6" s="64" t="n"/>
      <c r="AB6" s="64" t="n"/>
      <c r="AC6" s="64" t="n"/>
      <c r="AD6" s="64" t="n"/>
      <c r="AE6" s="64" t="n"/>
      <c r="AF6" s="64" t="n"/>
      <c r="AG6" s="64" t="n"/>
      <c r="AH6" s="64" t="n"/>
      <c r="AI6" s="64" t="n"/>
      <c r="AJ6" s="64" t="n"/>
      <c r="AK6" s="64" t="n"/>
      <c r="AL6" s="64" t="n"/>
      <c r="AM6" s="64" t="n"/>
      <c r="AN6" s="64" t="n"/>
      <c r="AO6" s="64" t="n"/>
      <c r="AP6" s="64" t="n"/>
      <c r="AQ6" s="64" t="n"/>
      <c r="AR6" s="103" t="n"/>
      <c r="AS6" s="103" t="n"/>
      <c r="AT6" s="103" t="n"/>
      <c r="AU6" s="64" t="n"/>
      <c r="AV6" s="64" t="n"/>
      <c r="AW6" s="64" t="n"/>
      <c r="AX6" s="64" t="n"/>
      <c r="AY6" s="103" t="n"/>
    </row>
    <row r="7" ht="17.25" customHeight="1">
      <c r="A7" s="64" t="n"/>
      <c r="B7" s="108" t="n"/>
      <c r="C7" s="398" t="inlineStr">
        <is>
          <t>c~e©m~Ît gyAvKv(mvZ)/Gj,wm,Avi,Gg-107/(wmwm-wPsox)/2018-19/2249, ZvwiL 12/02/2019 Bs</t>
        </is>
      </c>
      <c r="D7" s="2615" t="n"/>
      <c r="E7" s="2615" t="n"/>
      <c r="F7" s="2615" t="n"/>
      <c r="G7" s="2615" t="n"/>
      <c r="H7" s="2615" t="n"/>
      <c r="I7" s="2615" t="n"/>
      <c r="J7" s="2615" t="n"/>
      <c r="K7" s="2615" t="n"/>
      <c r="L7" s="2615" t="n"/>
      <c r="M7" s="2615" t="n"/>
      <c r="N7" s="2615" t="n"/>
      <c r="O7" s="2615" t="n"/>
      <c r="P7" s="2615" t="n"/>
      <c r="Q7" s="2615" t="n"/>
      <c r="R7" s="2615" t="n"/>
      <c r="S7" s="2615" t="n"/>
      <c r="T7" s="2615" t="n"/>
      <c r="U7" s="2615" t="n"/>
      <c r="V7" s="2615" t="n"/>
      <c r="W7" s="2615" t="n"/>
      <c r="X7" s="2615" t="n"/>
      <c r="Y7" s="2616" t="n"/>
      <c r="Z7" s="64" t="n"/>
      <c r="AA7" s="64" t="n"/>
      <c r="AB7" s="64" t="n"/>
      <c r="AC7" s="64" t="n"/>
      <c r="AD7" s="64" t="n"/>
      <c r="AE7" s="64" t="n"/>
      <c r="AF7" s="64" t="n"/>
      <c r="AG7" s="64" t="n"/>
      <c r="AH7" s="64" t="n"/>
      <c r="AI7" s="64" t="n"/>
      <c r="AJ7" s="64" t="n"/>
      <c r="AK7" s="64" t="n"/>
      <c r="AL7" s="64" t="n"/>
      <c r="AM7" s="64" t="n"/>
      <c r="AN7" s="64" t="n"/>
      <c r="AO7" s="64" t="n"/>
      <c r="AP7" s="64" t="n"/>
      <c r="AQ7" s="64" t="n"/>
      <c r="AR7" s="103" t="n"/>
      <c r="AS7" s="103" t="n"/>
      <c r="AT7" s="103" t="n"/>
      <c r="AU7" s="64" t="n"/>
      <c r="AV7" s="64" t="n"/>
      <c r="AW7" s="64" t="n"/>
      <c r="AX7" s="64" t="n"/>
      <c r="AY7" s="103" t="n"/>
    </row>
    <row r="8" ht="18" customHeight="1">
      <c r="A8" s="64" t="n"/>
      <c r="B8" s="295" t="n"/>
      <c r="C8" s="295">
        <f>+'Data Input'!B8</f>
        <v/>
      </c>
      <c r="D8" s="295" t="inlineStr">
        <is>
          <t>t</t>
        </is>
      </c>
      <c r="E8" s="295">
        <f>+'Data Input'!D8</f>
        <v/>
      </c>
      <c r="Z8" s="64" t="n"/>
      <c r="AA8" s="64" t="n"/>
      <c r="AB8" s="64" t="n"/>
      <c r="AC8" s="64" t="n"/>
      <c r="AD8" s="64" t="n"/>
      <c r="AE8" s="64" t="n"/>
      <c r="AF8" s="64" t="n"/>
      <c r="AG8" s="64" t="n"/>
      <c r="AH8" s="64" t="n"/>
      <c r="AI8" s="64" t="n"/>
      <c r="AJ8" s="64" t="n"/>
      <c r="AK8" s="64" t="n"/>
      <c r="AL8" s="64" t="n"/>
      <c r="AM8" s="64" t="n"/>
      <c r="AN8" s="64" t="n"/>
      <c r="AO8" s="64" t="n"/>
      <c r="AP8" s="64" t="n"/>
      <c r="AQ8" s="64" t="n"/>
      <c r="AR8" s="103" t="n"/>
      <c r="AS8" s="103" t="n"/>
      <c r="AT8" s="103" t="n"/>
      <c r="AU8" s="64" t="n"/>
      <c r="AV8" s="64" t="n"/>
      <c r="AW8" s="64" t="n"/>
      <c r="AX8" s="64" t="n"/>
      <c r="AY8" s="103" t="n"/>
    </row>
    <row r="9" ht="18" customHeight="1">
      <c r="A9" s="64" t="n"/>
      <c r="B9" s="108" t="n"/>
      <c r="C9" s="295">
        <f>+'Data Input'!B12</f>
        <v/>
      </c>
      <c r="D9" s="295" t="inlineStr">
        <is>
          <t>t</t>
        </is>
      </c>
      <c r="E9" s="295">
        <f>+'Data Input'!D12</f>
        <v/>
      </c>
      <c r="Z9" s="64" t="n"/>
      <c r="AA9" s="64" t="n"/>
      <c r="AB9" s="64" t="n"/>
      <c r="AC9" s="64" t="n"/>
      <c r="AD9" s="64" t="n"/>
      <c r="AE9" s="64" t="n"/>
      <c r="AF9" s="64" t="n"/>
      <c r="AG9" s="64" t="n"/>
      <c r="AH9" s="64" t="n"/>
      <c r="AI9" s="64" t="n"/>
      <c r="AJ9" s="64" t="n"/>
      <c r="AK9" s="64" t="n"/>
      <c r="AL9" s="64" t="n"/>
      <c r="AM9" s="64" t="n"/>
      <c r="AN9" s="64" t="n"/>
      <c r="AO9" s="64" t="n"/>
      <c r="AP9" s="64" t="n"/>
      <c r="AQ9" s="64" t="n"/>
      <c r="AR9" s="103" t="n"/>
      <c r="AS9" s="103" t="n"/>
      <c r="AT9" s="103" t="n"/>
      <c r="AU9" s="64" t="n"/>
      <c r="AV9" s="64" t="n"/>
      <c r="AW9" s="64" t="n"/>
      <c r="AX9" s="64" t="n"/>
      <c r="AY9" s="103" t="n"/>
    </row>
    <row r="10" ht="18" customHeight="1">
      <c r="A10" s="64" t="n"/>
      <c r="B10" s="108" t="n"/>
      <c r="C10" s="295">
        <f>+'Data Input'!B13</f>
        <v/>
      </c>
      <c r="D10" s="295" t="inlineStr">
        <is>
          <t>t</t>
        </is>
      </c>
      <c r="E10" s="295">
        <f>+'Data Input'!D13</f>
        <v/>
      </c>
      <c r="Z10" s="64" t="n"/>
      <c r="AA10" s="64" t="n"/>
      <c r="AB10" s="64" t="n"/>
      <c r="AC10" s="64" t="n"/>
      <c r="AD10" s="64" t="n"/>
      <c r="AE10" s="64" t="n"/>
      <c r="AF10" s="64" t="n"/>
      <c r="AG10" s="64" t="n"/>
      <c r="AH10" s="64" t="n"/>
      <c r="AI10" s="64" t="n"/>
      <c r="AJ10" s="64" t="n"/>
      <c r="AK10" s="64" t="n"/>
      <c r="AL10" s="64" t="n"/>
      <c r="AM10" s="64" t="n"/>
      <c r="AN10" s="64" t="n"/>
      <c r="AO10" s="64" t="n"/>
      <c r="AP10" s="64" t="n"/>
      <c r="AQ10" s="64" t="n"/>
      <c r="AR10" s="103" t="n"/>
      <c r="AS10" s="103" t="n"/>
      <c r="AT10" s="103" t="n"/>
      <c r="AU10" s="64" t="n"/>
      <c r="AV10" s="64" t="n"/>
      <c r="AW10" s="64" t="n"/>
      <c r="AX10" s="64" t="n"/>
      <c r="AY10" s="103" t="n"/>
    </row>
    <row r="11" ht="21.75" customHeight="1">
      <c r="A11" s="64" t="n"/>
      <c r="B11" s="108" t="n"/>
      <c r="C11" s="295" t="inlineStr">
        <is>
          <t>wVKvbv</t>
        </is>
      </c>
      <c r="D11" s="295" t="inlineStr">
        <is>
          <t>t</t>
        </is>
      </c>
      <c r="E11" s="399">
        <f>+'Data Input'!D17&amp;", Dc‡Rjvt "&amp;'Data Input'!D22&amp;", ‡Rjvt "&amp;'Data Input'!D23</f>
        <v/>
      </c>
      <c r="Z11" s="64" t="n"/>
      <c r="AA11" s="64" t="n"/>
      <c r="AB11" s="64" t="n"/>
      <c r="AC11" s="64" t="n"/>
      <c r="AD11" s="64" t="n"/>
      <c r="AE11" s="64" t="n"/>
      <c r="AF11" s="64" t="n"/>
      <c r="AG11" s="64" t="n"/>
      <c r="AH11" s="64" t="n"/>
      <c r="AI11" s="64" t="n"/>
      <c r="AJ11" s="64" t="n"/>
      <c r="AK11" s="64" t="n"/>
      <c r="AL11" s="64" t="n"/>
      <c r="AM11" s="64" t="n"/>
      <c r="AN11" s="64" t="n"/>
      <c r="AO11" s="64" t="n"/>
      <c r="AP11" s="64" t="n"/>
      <c r="AQ11" s="64" t="n"/>
      <c r="AR11" s="103" t="n"/>
      <c r="AS11" s="103" t="n"/>
      <c r="AT11" s="103" t="n"/>
      <c r="AU11" s="64" t="n"/>
      <c r="AV11" s="64" t="n"/>
      <c r="AW11" s="64" t="n"/>
      <c r="AX11" s="64" t="n"/>
      <c r="AY11" s="103" t="n"/>
    </row>
    <row r="12" ht="18.75" customHeight="1">
      <c r="A12" s="64" t="n"/>
      <c r="B12" s="108" t="n"/>
      <c r="C12" s="295" t="inlineStr">
        <is>
          <t>PjwZ wnmve bs</t>
        </is>
      </c>
      <c r="D12" s="295" t="inlineStr">
        <is>
          <t>t</t>
        </is>
      </c>
      <c r="E12" s="400" t="n"/>
      <c r="F12" s="2615" t="n"/>
      <c r="G12" s="2616" t="n"/>
      <c r="H12" s="295" t="inlineStr">
        <is>
          <t>,</t>
        </is>
      </c>
      <c r="I12" s="295" t="inlineStr">
        <is>
          <t>wmwm wnmve bs t</t>
        </is>
      </c>
      <c r="J12" s="295" t="n"/>
      <c r="K12" s="295" t="n"/>
      <c r="L12" s="295" t="n"/>
      <c r="M12" s="295" t="n"/>
      <c r="N12" s="400" t="n"/>
      <c r="O12" s="2615" t="n"/>
      <c r="P12" s="2616" t="n"/>
      <c r="Q12" s="295" t="n"/>
      <c r="R12" s="295" t="n"/>
      <c r="S12" s="295" t="n"/>
      <c r="T12" s="295" t="n"/>
      <c r="U12" s="295" t="n"/>
      <c r="V12" s="295" t="n"/>
      <c r="W12" s="295" t="n"/>
      <c r="X12" s="295" t="n"/>
      <c r="Y12" s="295" t="n"/>
      <c r="Z12" s="64" t="n"/>
      <c r="AA12" s="64" t="n"/>
      <c r="AB12" s="64" t="n"/>
      <c r="AC12" s="64" t="n"/>
      <c r="AD12" s="64" t="n"/>
      <c r="AE12" s="64" t="n"/>
      <c r="AF12" s="64" t="n"/>
      <c r="AG12" s="64" t="n"/>
      <c r="AH12" s="64" t="n"/>
      <c r="AI12" s="64" t="n"/>
      <c r="AJ12" s="64" t="n"/>
      <c r="AK12" s="64" t="n"/>
      <c r="AL12" s="64" t="n"/>
      <c r="AM12" s="64" t="n"/>
      <c r="AN12" s="64" t="n"/>
      <c r="AO12" s="64" t="n"/>
      <c r="AP12" s="64" t="n"/>
      <c r="AQ12" s="64" t="n"/>
      <c r="AR12" s="103" t="n"/>
      <c r="AS12" s="103" t="n"/>
      <c r="AT12" s="103" t="n"/>
      <c r="AU12" s="64" t="n"/>
      <c r="AV12" s="64" t="n"/>
      <c r="AW12" s="64" t="n"/>
      <c r="AX12" s="64" t="n"/>
      <c r="AY12" s="103" t="n"/>
    </row>
    <row r="13" ht="18" customHeight="1">
      <c r="A13" s="64" t="n"/>
      <c r="B13" s="295" t="n"/>
      <c r="C13" s="295" t="inlineStr">
        <is>
          <t>‡gvevBj bs</t>
        </is>
      </c>
      <c r="D13" s="295" t="inlineStr">
        <is>
          <t>t</t>
        </is>
      </c>
      <c r="E13" s="295">
        <f>+'Data Input'!D16</f>
        <v/>
      </c>
      <c r="F13" s="64" t="n"/>
      <c r="G13" s="64" t="n"/>
      <c r="H13" s="64" t="n"/>
      <c r="I13" s="64" t="n"/>
      <c r="J13" s="64" t="n"/>
      <c r="K13" s="64" t="n"/>
      <c r="L13" s="64" t="n"/>
      <c r="M13" s="64" t="n"/>
      <c r="N13" s="64" t="n"/>
      <c r="O13" s="64" t="n"/>
      <c r="P13" s="64" t="n"/>
      <c r="Q13" s="64" t="n"/>
      <c r="R13" s="64" t="n"/>
      <c r="S13" s="64" t="n"/>
      <c r="T13" s="64" t="n"/>
      <c r="U13" s="64" t="n"/>
      <c r="V13" s="64" t="n"/>
      <c r="W13" s="64" t="n"/>
      <c r="X13" s="64" t="n"/>
      <c r="Y13" s="64" t="n"/>
      <c r="Z13" s="64" t="n"/>
      <c r="AA13" s="64" t="n"/>
      <c r="AB13" s="64" t="n"/>
      <c r="AC13" s="64" t="n"/>
      <c r="AD13" s="64" t="n"/>
      <c r="AE13" s="64" t="n"/>
      <c r="AF13" s="64" t="n"/>
      <c r="AG13" s="64" t="n"/>
      <c r="AH13" s="64" t="n"/>
      <c r="AI13" s="64" t="n"/>
      <c r="AJ13" s="64" t="n"/>
      <c r="AK13" s="64" t="n"/>
      <c r="AL13" s="64" t="n"/>
      <c r="AM13" s="64" t="n"/>
      <c r="AN13" s="64" t="n"/>
      <c r="AO13" s="64" t="n"/>
      <c r="AP13" s="64" t="n"/>
      <c r="AQ13" s="64" t="n"/>
      <c r="AR13" s="103" t="n"/>
      <c r="AS13" s="103" t="n"/>
      <c r="AT13" s="103" t="n"/>
      <c r="AU13" s="64" t="n"/>
      <c r="AV13" s="64" t="n"/>
      <c r="AW13" s="64" t="n"/>
      <c r="AX13" s="64" t="n"/>
      <c r="AY13" s="103" t="n"/>
    </row>
    <row r="14" ht="9" customHeight="1">
      <c r="A14" s="64" t="n"/>
      <c r="B14" s="99" t="n"/>
      <c r="C14" s="1964" t="n"/>
      <c r="D14" s="1964" t="n"/>
      <c r="E14" s="1964" t="n"/>
      <c r="F14" s="64" t="n"/>
      <c r="G14" s="64" t="n"/>
      <c r="H14" s="64" t="n"/>
      <c r="I14" s="64" t="n"/>
      <c r="J14" s="64" t="n"/>
      <c r="K14" s="64" t="n"/>
      <c r="L14" s="64" t="n"/>
      <c r="M14" s="64" t="n"/>
      <c r="N14" s="64" t="n"/>
      <c r="O14" s="64" t="n"/>
      <c r="P14" s="64" t="n"/>
      <c r="Q14" s="64" t="n"/>
      <c r="R14" s="64" t="n"/>
      <c r="S14" s="64" t="n"/>
      <c r="T14" s="64" t="n"/>
      <c r="U14" s="64" t="n"/>
      <c r="V14" s="64" t="n"/>
      <c r="W14" s="64" t="n"/>
      <c r="X14" s="64" t="n"/>
      <c r="Y14" s="64" t="n"/>
      <c r="Z14" s="64" t="n"/>
      <c r="AA14" s="64" t="n"/>
      <c r="AB14" s="64" t="n"/>
      <c r="AC14" s="64" t="n"/>
      <c r="AD14" s="64" t="n"/>
      <c r="AE14" s="64" t="n"/>
      <c r="AF14" s="64" t="n"/>
      <c r="AG14" s="64" t="n"/>
      <c r="AH14" s="64" t="n"/>
      <c r="AI14" s="64" t="n"/>
      <c r="AJ14" s="64" t="n"/>
      <c r="AK14" s="64" t="n"/>
      <c r="AL14" s="64" t="n"/>
      <c r="AM14" s="64" t="n"/>
      <c r="AN14" s="64" t="n"/>
      <c r="AO14" s="64" t="n"/>
      <c r="AP14" s="64" t="n"/>
      <c r="AQ14" s="64" t="n"/>
      <c r="AR14" s="103" t="n"/>
      <c r="AS14" s="103" t="n"/>
      <c r="AT14" s="103" t="n"/>
      <c r="AU14" s="64" t="n"/>
      <c r="AV14" s="64" t="n"/>
      <c r="AW14" s="64" t="n"/>
      <c r="AX14" s="64" t="n"/>
      <c r="AY14" s="103" t="n"/>
    </row>
    <row r="15" ht="9" customHeight="1">
      <c r="A15" s="64" t="n"/>
      <c r="B15" s="99" t="n"/>
      <c r="C15" s="88" t="n"/>
      <c r="D15" s="1964" t="n"/>
      <c r="E15" s="1964" t="n"/>
      <c r="F15" s="64" t="n"/>
      <c r="G15" s="64" t="n"/>
      <c r="H15" s="64" t="n"/>
      <c r="I15" s="64" t="n"/>
      <c r="J15" s="64" t="n"/>
      <c r="K15" s="64" t="n"/>
      <c r="L15" s="64" t="n"/>
      <c r="M15" s="64" t="n"/>
      <c r="N15" s="64" t="n"/>
      <c r="O15" s="64" t="n"/>
      <c r="P15" s="64" t="n"/>
      <c r="Q15" s="64" t="n"/>
      <c r="R15" s="64" t="n"/>
      <c r="S15" s="64" t="n"/>
      <c r="T15" s="64" t="n"/>
      <c r="U15" s="64" t="n"/>
      <c r="V15" s="64" t="n"/>
      <c r="W15" s="64" t="n"/>
      <c r="X15" s="64" t="n"/>
      <c r="Y15" s="64" t="n"/>
      <c r="Z15" s="64" t="n"/>
      <c r="AA15" s="64" t="n"/>
      <c r="AB15" s="64" t="n"/>
      <c r="AC15" s="64" t="n"/>
      <c r="AD15" s="64" t="n"/>
      <c r="AE15" s="64" t="n"/>
      <c r="AF15" s="64" t="n"/>
      <c r="AG15" s="64" t="n"/>
      <c r="AH15" s="64" t="n"/>
      <c r="AI15" s="64" t="n"/>
      <c r="AJ15" s="64" t="n"/>
      <c r="AK15" s="64" t="n"/>
      <c r="AL15" s="64" t="n"/>
      <c r="AM15" s="64" t="n"/>
      <c r="AN15" s="64" t="n"/>
      <c r="AO15" s="64" t="n"/>
      <c r="AP15" s="64" t="n"/>
      <c r="AQ15" s="64" t="n"/>
      <c r="AR15" s="103" t="n"/>
      <c r="AS15" s="103" t="n"/>
      <c r="AT15" s="103" t="n"/>
      <c r="AU15" s="64" t="n"/>
      <c r="AV15" s="64" t="n"/>
      <c r="AW15" s="64" t="n"/>
      <c r="AX15" s="64" t="n"/>
      <c r="AY15" s="103" t="n"/>
    </row>
    <row r="16" ht="24" customFormat="1" customHeight="1" s="18">
      <c r="A16" s="103" t="n"/>
      <c r="B16" s="105" t="n"/>
      <c r="C16" s="492">
        <f>+'Data Input'!B49</f>
        <v/>
      </c>
      <c r="Z16" s="103" t="n"/>
      <c r="AA16" s="103" t="n"/>
      <c r="AB16" s="103" t="n"/>
      <c r="AC16" s="103" t="n"/>
      <c r="AD16" s="103" t="n"/>
      <c r="AE16" s="103" t="n"/>
      <c r="AF16" s="103" t="n"/>
      <c r="AG16" s="103" t="n"/>
      <c r="AH16" s="103" t="n"/>
      <c r="AI16" s="103" t="n"/>
      <c r="AJ16" s="103" t="n"/>
      <c r="AK16" s="103" t="n"/>
      <c r="AL16" s="103" t="n"/>
      <c r="AM16" s="103" t="n"/>
      <c r="AN16" s="103" t="n"/>
      <c r="AO16" s="103" t="n"/>
      <c r="AP16" s="103" t="n"/>
      <c r="AQ16" s="103" t="n"/>
      <c r="AR16" s="103" t="n"/>
      <c r="AS16" s="103" t="n"/>
      <c r="AT16" s="103" t="n"/>
      <c r="AU16" s="103" t="n"/>
      <c r="AV16" s="103" t="n"/>
      <c r="AW16" s="103" t="n"/>
      <c r="AX16" s="103" t="n"/>
      <c r="AY16" s="103" t="n"/>
    </row>
    <row r="17" ht="161.25" customHeight="1">
      <c r="A17" s="64" t="n"/>
      <c r="B17" s="197" t="n"/>
      <c r="Z17" s="64" t="n"/>
      <c r="AA17" s="64" t="n"/>
      <c r="AB17" s="64" t="n"/>
      <c r="AC17" s="64" t="n"/>
      <c r="AD17" s="64" t="n"/>
      <c r="AE17" s="64" t="n"/>
      <c r="AF17" s="64" t="n"/>
      <c r="AG17" s="64" t="n"/>
      <c r="AH17" s="64" t="n"/>
      <c r="AI17" s="64" t="n"/>
      <c r="AJ17" s="64" t="n"/>
      <c r="AK17" s="64" t="n"/>
      <c r="AL17" s="64" t="n"/>
      <c r="AM17" s="64" t="n"/>
      <c r="AN17" s="64" t="n"/>
      <c r="AO17" s="64" t="n"/>
      <c r="AP17" s="64" t="n"/>
      <c r="AQ17" s="64" t="n"/>
      <c r="AR17" s="103" t="n"/>
      <c r="AS17" s="103" t="n"/>
      <c r="AT17" s="103" t="n"/>
      <c r="AU17" s="64" t="n"/>
      <c r="AV17" s="64" t="n"/>
      <c r="AW17" s="64" t="n"/>
      <c r="AX17" s="64" t="n"/>
      <c r="AY17" s="103" t="n"/>
    </row>
    <row r="18" ht="21" customHeight="1">
      <c r="A18" s="64" t="n"/>
      <c r="B18" s="197" t="n"/>
      <c r="C18" s="589" t="n"/>
      <c r="D18" s="589" t="n"/>
      <c r="E18" s="589" t="n"/>
      <c r="F18" s="589" t="n"/>
      <c r="G18" s="589" t="n"/>
      <c r="H18" s="589" t="n"/>
      <c r="I18" s="589" t="n"/>
      <c r="J18" s="589" t="n"/>
      <c r="K18" s="589" t="n"/>
      <c r="L18" s="589" t="n"/>
      <c r="M18" s="589" t="n"/>
      <c r="N18" s="589" t="n"/>
      <c r="O18" s="589" t="n"/>
      <c r="P18" s="589" t="n"/>
      <c r="Q18" s="589" t="n"/>
      <c r="R18" s="589" t="n"/>
      <c r="S18" s="589" t="n"/>
      <c r="T18" s="589" t="n"/>
      <c r="U18" s="589" t="n"/>
      <c r="V18" s="589" t="n"/>
      <c r="W18" s="589" t="n"/>
      <c r="X18" s="589" t="n"/>
      <c r="Y18" s="589" t="n"/>
      <c r="Z18" s="64" t="n"/>
      <c r="AA18" s="64" t="n"/>
      <c r="AB18" s="64" t="n"/>
      <c r="AC18" s="64" t="n"/>
      <c r="AD18" s="64" t="n"/>
      <c r="AE18" s="64" t="n"/>
      <c r="AF18" s="64" t="n"/>
      <c r="AG18" s="64" t="n"/>
      <c r="AH18" s="64" t="n"/>
      <c r="AI18" s="64" t="n"/>
      <c r="AJ18" s="64" t="n"/>
      <c r="AK18" s="64" t="n"/>
      <c r="AL18" s="64" t="n"/>
      <c r="AM18" s="64" t="n"/>
      <c r="AN18" s="64" t="n"/>
      <c r="AO18" s="64" t="n"/>
      <c r="AP18" s="64" t="n"/>
      <c r="AQ18" s="64" t="n"/>
      <c r="AR18" s="103" t="n"/>
      <c r="AS18" s="103" t="n"/>
      <c r="AT18" s="103" t="n"/>
      <c r="AU18" s="64" t="n"/>
      <c r="AV18" s="64" t="n"/>
      <c r="AW18" s="64" t="n"/>
      <c r="AX18" s="64" t="n"/>
      <c r="AY18" s="103" t="n"/>
    </row>
    <row r="19" ht="18" customHeight="1">
      <c r="A19" s="64" t="n"/>
      <c r="B19" s="403" t="n"/>
      <c r="C19" s="589" t="n"/>
      <c r="D19" s="589" t="n"/>
      <c r="E19" s="589" t="n"/>
      <c r="F19" s="589" t="n"/>
      <c r="G19" s="589" t="n"/>
      <c r="H19" s="589" t="n"/>
      <c r="I19" s="589" t="n"/>
      <c r="J19" s="589" t="n"/>
      <c r="K19" s="589" t="n"/>
      <c r="L19" s="589" t="n"/>
      <c r="M19" s="589" t="n"/>
      <c r="N19" s="589" t="n"/>
      <c r="O19" s="589" t="n"/>
      <c r="P19" s="589" t="n"/>
      <c r="Q19" s="589" t="n"/>
      <c r="R19" s="589" t="n"/>
      <c r="S19" s="589" t="n"/>
      <c r="T19" s="589" t="n"/>
      <c r="U19" s="589" t="n"/>
      <c r="V19" s="589" t="n"/>
      <c r="W19" s="589" t="n"/>
      <c r="X19" s="589" t="n"/>
      <c r="Y19" s="589" t="n"/>
      <c r="Z19" s="64" t="n"/>
      <c r="AA19" s="64" t="n"/>
      <c r="AB19" s="64" t="n"/>
      <c r="AC19" s="64" t="n"/>
      <c r="AD19" s="64" t="n"/>
      <c r="AE19" s="64" t="n"/>
      <c r="AF19" s="64" t="n"/>
      <c r="AG19" s="64" t="n"/>
      <c r="AH19" s="64" t="n"/>
      <c r="AI19" s="64" t="n"/>
      <c r="AJ19" s="64" t="n"/>
      <c r="AK19" s="64" t="n"/>
      <c r="AL19" s="64" t="n"/>
      <c r="AM19" s="64" t="n"/>
      <c r="AN19" s="64" t="n"/>
      <c r="AO19" s="64" t="n"/>
      <c r="AP19" s="64" t="n"/>
      <c r="AQ19" s="64" t="n"/>
      <c r="AR19" s="103" t="n"/>
      <c r="AS19" s="103" t="n"/>
      <c r="AT19" s="103" t="n"/>
      <c r="AU19" s="64" t="n"/>
      <c r="AV19" s="64" t="n"/>
      <c r="AW19" s="64" t="n"/>
      <c r="AX19" s="64" t="n"/>
      <c r="AY19" s="103" t="n"/>
    </row>
    <row r="20" ht="20.25" customHeight="1">
      <c r="A20" s="64" t="n"/>
      <c r="B20" s="403" t="n"/>
      <c r="C20" s="64" t="n"/>
      <c r="D20" s="64" t="n"/>
      <c r="E20" s="64" t="n"/>
      <c r="F20" s="64" t="n"/>
      <c r="G20" s="64" t="n"/>
      <c r="H20" s="64" t="n"/>
      <c r="I20" s="64" t="n"/>
      <c r="J20" s="64" t="n"/>
      <c r="K20" s="64" t="n"/>
      <c r="L20" s="64" t="n"/>
      <c r="M20" s="64" t="n"/>
      <c r="N20" s="64" t="n"/>
      <c r="O20" s="64" t="n"/>
      <c r="P20" s="64" t="n"/>
      <c r="Q20" s="64" t="n"/>
      <c r="R20" s="64" t="n"/>
      <c r="S20" s="64" t="n"/>
      <c r="T20" s="64" t="n"/>
      <c r="U20" s="64" t="n"/>
      <c r="V20" s="64" t="n"/>
      <c r="W20" s="404" t="inlineStr">
        <is>
          <t>(gvV-Kg©KZ©vi mxj I ¯^vÿi)</t>
        </is>
      </c>
      <c r="Z20" s="64" t="n"/>
      <c r="AA20" s="64" t="n"/>
      <c r="AB20" s="64" t="n"/>
      <c r="AC20" s="64" t="n"/>
      <c r="AD20" s="64" t="n"/>
      <c r="AE20" s="64" t="n"/>
      <c r="AF20" s="64" t="n"/>
      <c r="AG20" s="64" t="n"/>
      <c r="AH20" s="64" t="n"/>
      <c r="AI20" s="64" t="n"/>
      <c r="AJ20" s="64" t="n"/>
      <c r="AK20" s="64" t="n"/>
      <c r="AL20" s="64" t="n"/>
      <c r="AM20" s="64" t="n"/>
      <c r="AN20" s="64" t="n"/>
      <c r="AO20" s="64" t="n"/>
      <c r="AP20" s="64" t="n"/>
      <c r="AQ20" s="64" t="n"/>
      <c r="AR20" s="103" t="n"/>
      <c r="AS20" s="103" t="n"/>
      <c r="AT20" s="103" t="n"/>
      <c r="AU20" s="64" t="n"/>
      <c r="AV20" s="64" t="n"/>
      <c r="AW20" s="64" t="n"/>
      <c r="AX20" s="64" t="n"/>
      <c r="AY20" s="103" t="n"/>
    </row>
    <row r="21" ht="5.25" customHeight="1">
      <c r="A21" s="64" t="n"/>
      <c r="B21" s="403" t="n"/>
      <c r="C21" s="88" t="n"/>
      <c r="D21" s="64" t="n"/>
      <c r="E21" s="64" t="n"/>
      <c r="F21" s="64" t="n"/>
      <c r="G21" s="64" t="n"/>
      <c r="H21" s="64" t="n"/>
      <c r="I21" s="64" t="n"/>
      <c r="J21" s="64" t="n"/>
      <c r="K21" s="64" t="n"/>
      <c r="L21" s="64" t="n"/>
      <c r="M21" s="64" t="n"/>
      <c r="N21" s="64" t="n"/>
      <c r="O21" s="64" t="n"/>
      <c r="P21" s="64" t="n"/>
      <c r="Q21" s="64" t="n"/>
      <c r="R21" s="64" t="n"/>
      <c r="S21" s="64" t="n"/>
      <c r="T21" s="64" t="n"/>
      <c r="U21" s="64" t="n"/>
      <c r="V21" s="64" t="n"/>
      <c r="W21" s="404" t="n"/>
      <c r="X21" s="404" t="n"/>
      <c r="Y21" s="404" t="n"/>
      <c r="Z21" s="64" t="n"/>
      <c r="AA21" s="64" t="n"/>
      <c r="AB21" s="64" t="n"/>
      <c r="AC21" s="64" t="n"/>
      <c r="AD21" s="64" t="n"/>
      <c r="AE21" s="64" t="n"/>
      <c r="AF21" s="64" t="n"/>
      <c r="AG21" s="64" t="n"/>
      <c r="AH21" s="64" t="n"/>
      <c r="AI21" s="64" t="n"/>
      <c r="AJ21" s="64" t="n"/>
      <c r="AK21" s="64" t="n"/>
      <c r="AL21" s="64" t="n"/>
      <c r="AM21" s="64" t="n"/>
      <c r="AN21" s="64" t="n"/>
      <c r="AO21" s="64" t="n"/>
      <c r="AP21" s="64" t="n"/>
      <c r="AQ21" s="64" t="n"/>
      <c r="AR21" s="103" t="n"/>
      <c r="AS21" s="103" t="n"/>
      <c r="AT21" s="103" t="n"/>
      <c r="AU21" s="64" t="n"/>
      <c r="AV21" s="64" t="n"/>
      <c r="AW21" s="64" t="n"/>
      <c r="AX21" s="64" t="n"/>
      <c r="AY21" s="103" t="n"/>
    </row>
    <row r="22" ht="18" customFormat="1" customHeight="1" s="18">
      <c r="A22" s="103" t="n"/>
      <c r="B22" s="105" t="n"/>
      <c r="C22" s="492">
        <f>+'Data Input'!B64</f>
        <v/>
      </c>
      <c r="Z22" s="103" t="n"/>
      <c r="AA22" s="103" t="n"/>
      <c r="AB22" s="103" t="n"/>
      <c r="AC22" s="103" t="n"/>
      <c r="AD22" s="103" t="n"/>
      <c r="AE22" s="103" t="n"/>
      <c r="AF22" s="103" t="n"/>
      <c r="AG22" s="103" t="n"/>
      <c r="AH22" s="103" t="n"/>
      <c r="AI22" s="103" t="n"/>
      <c r="AJ22" s="103" t="n"/>
      <c r="AK22" s="103" t="n"/>
      <c r="AL22" s="103" t="n"/>
      <c r="AM22" s="103" t="n"/>
      <c r="AN22" s="103" t="n"/>
      <c r="AO22" s="103" t="n"/>
      <c r="AP22" s="103" t="n"/>
      <c r="AQ22" s="103" t="n"/>
      <c r="AR22" s="103" t="n"/>
      <c r="AS22" s="103" t="n"/>
      <c r="AT22" s="103" t="n"/>
      <c r="AU22" s="103" t="n"/>
      <c r="AV22" s="103" t="n"/>
      <c r="AW22" s="103" t="n"/>
      <c r="AX22" s="103" t="n"/>
      <c r="AY22" s="103" t="n"/>
    </row>
    <row r="23" ht="18" customHeight="1">
      <c r="A23" s="64" t="n"/>
      <c r="B23" s="22" t="n"/>
      <c r="Z23" s="64" t="n"/>
      <c r="AA23" s="64" t="n"/>
      <c r="AB23" s="64" t="n"/>
      <c r="AC23" s="64" t="n"/>
      <c r="AD23" s="64" t="n"/>
      <c r="AE23" s="64" t="n"/>
      <c r="AF23" s="64" t="n"/>
      <c r="AG23" s="64" t="n"/>
      <c r="AH23" s="64" t="n"/>
      <c r="AI23" s="64" t="n"/>
      <c r="AJ23" s="64" t="n"/>
      <c r="AK23" s="64" t="n"/>
      <c r="AL23" s="64" t="n"/>
      <c r="AM23" s="64" t="n"/>
      <c r="AN23" s="64" t="n"/>
      <c r="AO23" s="64" t="n"/>
      <c r="AP23" s="64" t="n"/>
      <c r="AQ23" s="64" t="n"/>
      <c r="AR23" s="103" t="n"/>
      <c r="AS23" s="103" t="n"/>
      <c r="AT23" s="103" t="n"/>
      <c r="AU23" s="64" t="n"/>
      <c r="AV23" s="64" t="n"/>
      <c r="AW23" s="64" t="n"/>
      <c r="AX23" s="64" t="n"/>
      <c r="AY23" s="103" t="n"/>
    </row>
    <row r="24" ht="106.5" customFormat="1" customHeight="1" s="18">
      <c r="A24" s="103" t="n"/>
      <c r="B24" s="105" t="n"/>
      <c r="Z24" s="103" t="n"/>
      <c r="AA24" s="103" t="n"/>
      <c r="AB24" s="103" t="n"/>
      <c r="AC24" s="103" t="n"/>
      <c r="AD24" s="103" t="n"/>
      <c r="AE24" s="103" t="n"/>
      <c r="AF24" s="103" t="n"/>
      <c r="AG24" s="103" t="n"/>
      <c r="AH24" s="103" t="n"/>
      <c r="AI24" s="103" t="n"/>
      <c r="AJ24" s="103" t="n"/>
      <c r="AK24" s="103" t="n"/>
      <c r="AL24" s="103" t="n"/>
      <c r="AM24" s="103" t="n"/>
      <c r="AN24" s="103" t="n"/>
      <c r="AO24" s="103" t="n"/>
      <c r="AP24" s="103" t="n"/>
      <c r="AQ24" s="103" t="n"/>
      <c r="AR24" s="103" t="n"/>
      <c r="AS24" s="103" t="n"/>
      <c r="AT24" s="103" t="n"/>
      <c r="AU24" s="103" t="n"/>
      <c r="AV24" s="103" t="n"/>
      <c r="AW24" s="103" t="n"/>
      <c r="AX24" s="103" t="n"/>
      <c r="AY24" s="103" t="n"/>
    </row>
    <row r="25" ht="44.25" customHeight="1">
      <c r="A25" s="64" t="n"/>
      <c r="B25" s="403" t="n"/>
      <c r="C25" s="64" t="n"/>
      <c r="D25" s="64" t="n"/>
      <c r="E25" s="64" t="n"/>
      <c r="F25" s="64" t="n"/>
      <c r="G25" s="64" t="n"/>
      <c r="H25" s="64" t="n"/>
      <c r="I25" s="64" t="n"/>
      <c r="J25" s="64" t="n"/>
      <c r="K25" s="64" t="n"/>
      <c r="L25" s="64" t="n"/>
      <c r="M25" s="64" t="n"/>
      <c r="N25" s="64" t="n"/>
      <c r="O25" s="64" t="n"/>
      <c r="P25" s="64" t="n"/>
      <c r="Q25" s="64" t="n"/>
      <c r="R25" s="64" t="n"/>
      <c r="S25" s="64" t="n"/>
      <c r="T25" s="64" t="n"/>
      <c r="U25" s="64" t="n"/>
      <c r="V25" s="64" t="n"/>
      <c r="W25" s="64" t="n"/>
      <c r="X25" s="64" t="n"/>
      <c r="Y25" s="64" t="n"/>
      <c r="Z25" s="64" t="n"/>
      <c r="AA25" s="64" t="n"/>
      <c r="AB25" s="64" t="n"/>
      <c r="AC25" s="64" t="n"/>
      <c r="AD25" s="64" t="n"/>
      <c r="AE25" s="64" t="n"/>
      <c r="AF25" s="64" t="n"/>
      <c r="AG25" s="64" t="n"/>
      <c r="AH25" s="64" t="n"/>
      <c r="AI25" s="64" t="n"/>
      <c r="AJ25" s="64" t="n"/>
      <c r="AK25" s="64" t="n"/>
      <c r="AL25" s="64" t="n"/>
      <c r="AM25" s="64" t="n"/>
      <c r="AN25" s="64" t="n"/>
      <c r="AO25" s="64" t="n"/>
      <c r="AP25" s="64" t="n"/>
      <c r="AQ25" s="64" t="n"/>
      <c r="AR25" s="103" t="n"/>
      <c r="AS25" s="103" t="n"/>
      <c r="AT25" s="103" t="n"/>
      <c r="AU25" s="64" t="n"/>
      <c r="AV25" s="64" t="n"/>
      <c r="AW25" s="64" t="n"/>
      <c r="AX25" s="64" t="n"/>
      <c r="AY25" s="103" t="n"/>
    </row>
    <row r="26" ht="18" customHeight="1">
      <c r="A26" s="64" t="n"/>
      <c r="B26" s="108" t="n"/>
      <c r="C26" s="64" t="n"/>
      <c r="D26" s="64" t="n"/>
      <c r="E26" s="64" t="n"/>
      <c r="F26" s="64" t="n"/>
      <c r="G26" s="64" t="n"/>
      <c r="H26" s="64" t="n"/>
      <c r="I26" s="64" t="n"/>
      <c r="J26" s="64" t="n"/>
      <c r="K26" s="64" t="n"/>
      <c r="L26" s="64" t="n"/>
      <c r="M26" s="64" t="n"/>
      <c r="N26" s="64" t="n"/>
      <c r="O26" s="64" t="n"/>
      <c r="P26" s="64" t="n"/>
      <c r="Q26" s="64" t="n"/>
      <c r="R26" s="64" t="n"/>
      <c r="S26" s="64" t="n"/>
      <c r="T26" s="64" t="n"/>
      <c r="U26" s="64" t="n"/>
      <c r="V26" s="64" t="n"/>
      <c r="W26" s="404" t="n"/>
      <c r="Z26" s="64" t="n"/>
      <c r="AA26" s="64" t="n"/>
      <c r="AB26" s="64" t="n"/>
      <c r="AC26" s="64" t="n"/>
      <c r="AD26" s="64" t="n"/>
      <c r="AE26" s="64" t="n"/>
      <c r="AF26" s="64" t="n"/>
      <c r="AG26" s="64" t="n"/>
      <c r="AH26" s="64" t="n"/>
      <c r="AI26" s="64" t="n"/>
      <c r="AJ26" s="64" t="n"/>
      <c r="AK26" s="64" t="n"/>
      <c r="AL26" s="64" t="n"/>
      <c r="AM26" s="64" t="n"/>
      <c r="AN26" s="64" t="n"/>
      <c r="AO26" s="64" t="n"/>
      <c r="AP26" s="64" t="n"/>
      <c r="AQ26" s="64" t="n"/>
      <c r="AR26" s="103" t="n"/>
      <c r="AS26" s="103" t="n"/>
      <c r="AT26" s="103" t="n"/>
      <c r="AU26" s="64" t="n"/>
      <c r="AV26" s="64" t="n"/>
      <c r="AW26" s="64" t="n"/>
      <c r="AX26" s="64" t="n"/>
      <c r="AY26" s="103" t="n"/>
    </row>
    <row r="27" ht="6.75" customHeight="1">
      <c r="A27" s="64" t="n"/>
      <c r="B27" s="405" t="n"/>
      <c r="C27" s="64" t="n"/>
      <c r="D27" s="64" t="n"/>
      <c r="E27" s="64" t="n"/>
      <c r="F27" s="64" t="n"/>
      <c r="G27" s="64" t="n"/>
      <c r="H27" s="64" t="n"/>
      <c r="I27" s="64" t="n"/>
      <c r="J27" s="64" t="n"/>
      <c r="K27" s="64" t="n"/>
      <c r="L27" s="64" t="n"/>
      <c r="M27" s="64" t="n"/>
      <c r="N27" s="64" t="n"/>
      <c r="O27" s="64" t="n"/>
      <c r="P27" s="64" t="n"/>
      <c r="Q27" s="64" t="n"/>
      <c r="R27" s="64" t="n"/>
      <c r="S27" s="64" t="n"/>
      <c r="T27" s="64" t="n"/>
      <c r="U27" s="64" t="n"/>
      <c r="V27" s="64" t="n"/>
      <c r="W27" s="64" t="n"/>
      <c r="X27" s="64" t="n"/>
      <c r="Y27" s="64" t="n"/>
      <c r="Z27" s="64" t="n"/>
      <c r="AA27" s="64" t="n"/>
      <c r="AB27" s="64" t="n"/>
      <c r="AC27" s="64" t="n"/>
      <c r="AD27" s="64" t="n"/>
      <c r="AE27" s="64" t="n"/>
      <c r="AF27" s="64" t="n"/>
      <c r="AG27" s="64" t="n"/>
      <c r="AH27" s="64" t="n"/>
      <c r="AI27" s="64" t="n"/>
      <c r="AJ27" s="64" t="n"/>
      <c r="AK27" s="64" t="n"/>
      <c r="AL27" s="64" t="n"/>
      <c r="AM27" s="64" t="n"/>
      <c r="AN27" s="64" t="n"/>
      <c r="AO27" s="64" t="n"/>
      <c r="AP27" s="64" t="n"/>
      <c r="AQ27" s="64" t="n"/>
      <c r="AR27" s="103" t="n"/>
      <c r="AS27" s="103" t="n"/>
      <c r="AT27" s="103" t="n"/>
      <c r="AU27" s="64" t="n"/>
      <c r="AV27" s="64" t="n"/>
      <c r="AW27" s="64" t="n"/>
      <c r="AX27" s="64" t="n"/>
      <c r="AY27" s="103" t="n"/>
    </row>
  </sheetData>
  <mergeCells count="18">
    <mergeCell ref="W20:Y20"/>
    <mergeCell ref="E8:Y8"/>
    <mergeCell ref="V3:Y3"/>
    <mergeCell ref="N12:P12"/>
    <mergeCell ref="E10:Y10"/>
    <mergeCell ref="C4:Y4"/>
    <mergeCell ref="H1:S2"/>
    <mergeCell ref="V2:Y2"/>
    <mergeCell ref="V5:W5"/>
    <mergeCell ref="E11:Y11"/>
    <mergeCell ref="C7:Y7"/>
    <mergeCell ref="E12:G12"/>
    <mergeCell ref="H3:S3"/>
    <mergeCell ref="V1:Y1"/>
    <mergeCell ref="C16:Y17"/>
    <mergeCell ref="W26:Y26"/>
    <mergeCell ref="C22:Y24"/>
    <mergeCell ref="E9:Y9"/>
  </mergeCells>
  <pageMargins left="0.7" right="0.7" top="0.75" bottom="0.75" header="0.3" footer="0.3"/>
</worksheet>
</file>

<file path=xl/worksheets/sheet19.xml><?xml version="1.0" encoding="utf-8"?>
<worksheet xmlns="http://schemas.openxmlformats.org/spreadsheetml/2006/main">
  <sheetPr>
    <outlinePr summaryBelow="0"/>
    <pageSetUpPr/>
  </sheetPr>
  <dimension ref="A1:D30"/>
  <sheetViews>
    <sheetView workbookViewId="0">
      <selection activeCell="A1" sqref="A1"/>
    </sheetView>
  </sheetViews>
  <sheetFormatPr baseColWidth="8" defaultRowHeight="15"/>
  <cols>
    <col width="7.005" bestFit="1" customWidth="1" style="374" min="1" max="1"/>
    <col width="50.71928571428572" bestFit="1" customWidth="1" style="375" min="2" max="2"/>
    <col width="11.86214285714286" bestFit="1" customWidth="1" style="354" min="3" max="3"/>
    <col width="11.86214285714286" bestFit="1" customWidth="1" style="354" min="4" max="4"/>
  </cols>
  <sheetData>
    <row r="1" ht="33.75" customFormat="1" customHeight="1" s="18">
      <c r="A1" s="318" t="inlineStr">
        <is>
          <t>evsjv‡`k K…wl e¨vsK</t>
        </is>
      </c>
    </row>
    <row r="2" ht="19.5" customFormat="1" customHeight="1" s="18">
      <c r="A2" s="319">
        <f>+'Data Input'!D2</f>
        <v/>
      </c>
    </row>
    <row r="3" ht="13.5" customFormat="1" customHeight="1" s="18">
      <c r="A3" s="320">
        <f>+'Data Input'!D3</f>
        <v/>
      </c>
    </row>
    <row r="4" ht="15.75" customFormat="1" customHeight="1" s="18">
      <c r="A4" s="321">
        <f>"Email: "&amp;+'Data Input'!D4</f>
        <v/>
      </c>
      <c r="B4" s="2613" t="n"/>
      <c r="C4" s="2613" t="n"/>
      <c r="D4" s="2613" t="n"/>
    </row>
    <row r="5" ht="25.5" customFormat="1" customHeight="1" s="18">
      <c r="A5" s="323" t="inlineStr">
        <is>
          <t>FY bw_ m~Px</t>
        </is>
      </c>
      <c r="B5" s="2614" t="n"/>
      <c r="C5" s="2614" t="n"/>
      <c r="D5" s="2614" t="n"/>
    </row>
    <row r="6" ht="40.5" customFormat="1" customHeight="1" s="18">
      <c r="A6" s="355">
        <f>'Data Input'!D5&amp;", "&amp;'Data Input'!D8&amp;",  ‡cÖvcvBUit "&amp;'Data Input'!D12</f>
        <v/>
      </c>
      <c r="B6" s="2614" t="n"/>
      <c r="C6" s="2614" t="n"/>
      <c r="D6" s="2614" t="n"/>
    </row>
    <row r="7" ht="17.25" customFormat="1" customHeight="1" s="18">
      <c r="A7" s="327" t="inlineStr">
        <is>
          <t>µt bs</t>
        </is>
      </c>
      <c r="B7" s="37" t="inlineStr">
        <is>
          <t>welq</t>
        </is>
      </c>
      <c r="C7" s="328" t="inlineStr">
        <is>
          <t>c„ôv bs</t>
        </is>
      </c>
      <c r="D7" s="2617" t="n"/>
    </row>
    <row r="8" ht="17.25" customFormat="1" customHeight="1" s="18">
      <c r="A8" s="2618" t="n"/>
      <c r="B8" s="2618" t="n"/>
      <c r="C8" s="331" t="inlineStr">
        <is>
          <t>nB‡Z</t>
        </is>
      </c>
      <c r="D8" s="331" t="inlineStr">
        <is>
          <t>ch©šÍ</t>
        </is>
      </c>
    </row>
    <row r="9" ht="21" customHeight="1">
      <c r="A9" s="357" t="n">
        <v>1</v>
      </c>
      <c r="B9" s="358" t="inlineStr">
        <is>
          <t>myPxcÎ</t>
        </is>
      </c>
      <c r="C9" s="359" t="n"/>
      <c r="D9" s="360" t="n"/>
    </row>
    <row r="10" ht="21" customHeight="1">
      <c r="A10" s="361" t="n">
        <v>2</v>
      </c>
      <c r="B10" s="362" t="inlineStr">
        <is>
          <t>‡bvU mxU/ AMÖvqb cÎ-</t>
        </is>
      </c>
      <c r="C10" s="363" t="n"/>
      <c r="D10" s="364" t="n"/>
    </row>
    <row r="11" ht="21" customHeight="1">
      <c r="A11" s="361" t="n">
        <v>3</v>
      </c>
      <c r="B11" s="362" t="inlineStr">
        <is>
          <t>cvm‡cvU© mvB‡Ri Qwe, AvBwW Kv‡W©i d‡UvKwc I ‡UªW jvB‡mÝ</t>
        </is>
      </c>
      <c r="C11" s="363" t="n"/>
      <c r="D11" s="364" t="n"/>
    </row>
    <row r="12" ht="21" customHeight="1">
      <c r="A12" s="361" t="n">
        <v>4</v>
      </c>
      <c r="B12" s="365" t="inlineStr">
        <is>
          <t>Gj. Gd-5 (Avw_©K we‡kølY I mshyw³ Kwcmn)</t>
        </is>
      </c>
      <c r="C12" s="363" t="n"/>
      <c r="D12" s="364" t="n"/>
    </row>
    <row r="13" ht="21" customHeight="1">
      <c r="A13" s="361" t="n">
        <v>5</v>
      </c>
      <c r="B13" s="365" t="inlineStr">
        <is>
          <t>AvBb Dc‡`óvi gZvgZ (cÖ‡hvR¨ †ÿ‡Î)</t>
        </is>
      </c>
      <c r="C13" s="363" t="n"/>
      <c r="D13" s="366" t="n"/>
    </row>
    <row r="14" ht="21" customHeight="1">
      <c r="A14" s="361" t="n">
        <v>6</v>
      </c>
      <c r="B14" s="365" t="inlineStr">
        <is>
          <t>LvRbvi `vwLjv</t>
        </is>
      </c>
      <c r="C14" s="363" t="n"/>
      <c r="D14" s="364" t="n"/>
    </row>
    <row r="15" ht="21" customHeight="1">
      <c r="A15" s="361" t="n">
        <v>7</v>
      </c>
      <c r="B15" s="365" t="inlineStr">
        <is>
          <t>FY Av‡e`b dig- Gj Gd-8 I FY bevqb dig Gj Gd-58</t>
        </is>
      </c>
      <c r="C15" s="363" t="n"/>
      <c r="D15" s="364" t="n"/>
    </row>
    <row r="16" ht="21" customHeight="1">
      <c r="A16" s="361" t="n">
        <v>8</v>
      </c>
      <c r="B16" s="365" t="inlineStr">
        <is>
          <t>†jb‡`b mxU</t>
        </is>
      </c>
      <c r="C16" s="363" t="n"/>
      <c r="D16" s="364" t="n"/>
    </row>
    <row r="17" ht="21" customHeight="1">
      <c r="A17" s="361" t="n">
        <v>9</v>
      </c>
      <c r="B17" s="362" t="inlineStr">
        <is>
          <t>FY gÄyix cÖ¯Íve †cÖib msµvšÍ e¨e¯’vcK Z_¨mxU</t>
        </is>
      </c>
      <c r="C17" s="363" t="n"/>
      <c r="D17" s="364" t="n"/>
    </row>
    <row r="18" ht="21" customHeight="1">
      <c r="A18" s="361" t="n">
        <v>10</v>
      </c>
      <c r="B18" s="365" t="inlineStr">
        <is>
          <t>wm. AvB. we cÖwZ‡e`b-</t>
        </is>
      </c>
      <c r="C18" s="363" t="n"/>
      <c r="D18" s="364" t="n"/>
    </row>
    <row r="19" ht="21" customHeight="1">
      <c r="A19" s="361" t="n">
        <v>11</v>
      </c>
      <c r="B19" s="365" t="inlineStr">
        <is>
          <t>wm. Avi. wR</t>
        </is>
      </c>
      <c r="C19" s="363" t="n"/>
      <c r="D19" s="367" t="n"/>
    </row>
    <row r="20" ht="21" customHeight="1">
      <c r="A20" s="361" t="n">
        <v>12</v>
      </c>
      <c r="B20" s="365" t="inlineStr">
        <is>
          <t>RvgvbwZ m¤úwËi g~j¨vqY KwgwU KZ©„K g~j¨vqb cªwZ‡e`b</t>
        </is>
      </c>
      <c r="C20" s="363" t="n"/>
      <c r="D20" s="364" t="n"/>
    </row>
    <row r="21" ht="21" customHeight="1">
      <c r="A21" s="361" t="n">
        <v>13</v>
      </c>
      <c r="B21" s="365" t="inlineStr">
        <is>
          <t>mve †iwRwóª Awd‡mi †gŠRvwfwËK g~j¨ ZvwjKv</t>
        </is>
      </c>
      <c r="C21" s="363" t="n"/>
      <c r="D21" s="366" t="n"/>
    </row>
    <row r="22" ht="21" customHeight="1">
      <c r="A22" s="361" t="n">
        <v>14</v>
      </c>
      <c r="B22" s="365" t="inlineStr">
        <is>
          <t>eÜKx m¤úwËi KvMR-cÎvw`</t>
        </is>
      </c>
      <c r="C22" s="363" t="n"/>
      <c r="D22" s="366" t="n"/>
    </row>
    <row r="23" ht="21" customHeight="1">
      <c r="A23" s="361" t="n">
        <v>15</v>
      </c>
      <c r="B23" s="365" t="inlineStr">
        <is>
          <t>wewfbœ ai‡bi cÖZ¨qYcÎ</t>
        </is>
      </c>
      <c r="C23" s="363" t="n"/>
      <c r="D23" s="366" t="n"/>
    </row>
    <row r="24" ht="21" customHeight="1">
      <c r="A24" s="361" t="n">
        <v>16</v>
      </c>
      <c r="B24" s="365" t="inlineStr">
        <is>
          <t>cÖwZôv‡bi g¨vc I jvB‡mÝ</t>
        </is>
      </c>
      <c r="C24" s="363" t="n"/>
      <c r="D24" s="366" t="n"/>
    </row>
    <row r="25" ht="21" customHeight="1">
      <c r="A25" s="361" t="n">
        <v>17</v>
      </c>
      <c r="B25" s="365" t="inlineStr">
        <is>
          <t>‡Ni/cÖK‡íi Ae¯’vb mswkøô Rwgi gvwjKvbv msµvšÍ KvMRcÎ</t>
        </is>
      </c>
      <c r="C25" s="363" t="n"/>
      <c r="D25" s="366" t="n"/>
    </row>
    <row r="26" ht="21" customHeight="1">
      <c r="A26" s="361" t="n">
        <v>18</v>
      </c>
      <c r="B26" s="365" t="inlineStr">
        <is>
          <t>‡gŠRv g¨v‡ci d‡UvKwc</t>
        </is>
      </c>
      <c r="C26" s="363" t="n"/>
      <c r="D26" s="366" t="n"/>
    </row>
    <row r="27" ht="21" customHeight="1">
      <c r="A27" s="361" t="n">
        <v>19</v>
      </c>
      <c r="B27" s="365" t="inlineStr">
        <is>
          <t>cye© F‡bi gÄyixcÎ (hw` _v‡K)</t>
        </is>
      </c>
      <c r="C27" s="363" t="n"/>
      <c r="D27" s="366" t="n"/>
    </row>
    <row r="28" ht="21" customFormat="1" customHeight="1" s="18">
      <c r="A28" s="368" t="n"/>
      <c r="B28" s="369" t="n"/>
      <c r="C28" s="370" t="n"/>
      <c r="D28" s="371" t="n"/>
    </row>
    <row r="29" ht="60.75" customFormat="1" customHeight="1" s="18">
      <c r="A29" s="372" t="n"/>
      <c r="B29" s="76" t="n"/>
      <c r="C29" s="373" t="n"/>
      <c r="D29" s="373" t="n"/>
    </row>
    <row r="30" ht="34.5" customHeight="1">
      <c r="A30" s="350" t="inlineStr">
        <is>
          <t xml:space="preserve">      g~j¨vqbKvix </t>
        </is>
      </c>
      <c r="C30" s="352" t="inlineStr">
        <is>
          <t>e¨e¯’vcK</t>
        </is>
      </c>
    </row>
  </sheetData>
  <mergeCells count="11">
    <mergeCell ref="A1:D1"/>
    <mergeCell ref="A5:D5"/>
    <mergeCell ref="A30:B30"/>
    <mergeCell ref="C7:D7"/>
    <mergeCell ref="A6:D6"/>
    <mergeCell ref="C30:D30"/>
    <mergeCell ref="A4:D4"/>
    <mergeCell ref="A3:D3"/>
    <mergeCell ref="A7:A8"/>
    <mergeCell ref="B7:B8"/>
    <mergeCell ref="A2:D2"/>
  </mergeCells>
  <pageMargins left="0.7" right="0.7" top="0.75" bottom="0.75" header="0.3" footer="0.3"/>
</worksheet>
</file>

<file path=xl/worksheets/sheet20.xml><?xml version="1.0" encoding="utf-8"?>
<worksheet xmlns="http://schemas.openxmlformats.org/spreadsheetml/2006/main">
  <sheetPr>
    <outlinePr summaryBelow="0"/>
    <pageSetUpPr/>
  </sheetPr>
  <dimension ref="A1:D33"/>
  <sheetViews>
    <sheetView workbookViewId="0">
      <selection activeCell="A1" sqref="A1"/>
    </sheetView>
  </sheetViews>
  <sheetFormatPr baseColWidth="8" defaultRowHeight="15"/>
  <cols>
    <col width="7.005" bestFit="1" customWidth="1" style="353" min="1" max="1"/>
    <col width="50.71928571428572" bestFit="1" customWidth="1" style="103" min="2" max="2"/>
    <col width="10.71928571428571" bestFit="1" customWidth="1" style="354" min="3" max="3"/>
    <col width="11.86214285714286" bestFit="1" customWidth="1" style="64" min="4" max="4"/>
  </cols>
  <sheetData>
    <row r="1" ht="33.75" customFormat="1" customHeight="1" s="18">
      <c r="A1" s="318" t="inlineStr">
        <is>
          <t>evsjv‡`k K…wl e¨vsK</t>
        </is>
      </c>
    </row>
    <row r="2" ht="19.5" customFormat="1" customHeight="1" s="18">
      <c r="A2" s="319">
        <f>+'Data Input'!D2</f>
        <v/>
      </c>
    </row>
    <row r="3" ht="13.5" customFormat="1" customHeight="1" s="18">
      <c r="A3" s="320">
        <f>+'Data Input'!D3</f>
        <v/>
      </c>
    </row>
    <row r="4" ht="15.75" customFormat="1" customHeight="1" s="18">
      <c r="A4" s="321">
        <f>"Email: "&amp;+'Data Input'!D4</f>
        <v/>
      </c>
      <c r="B4" s="2613" t="n"/>
      <c r="C4" s="2613" t="n"/>
      <c r="D4" s="2613" t="n"/>
    </row>
    <row r="5" ht="25.5" customFormat="1" customHeight="1" s="18">
      <c r="A5" s="323" t="inlineStr">
        <is>
          <t>FY bw_ m~Px</t>
        </is>
      </c>
      <c r="B5" s="2614" t="n"/>
      <c r="C5" s="2614" t="n"/>
      <c r="D5" s="2614" t="n"/>
    </row>
    <row r="6" ht="40.5" customFormat="1" customHeight="1" s="18">
      <c r="A6" s="325">
        <f>'Data Input'!D5&amp;", "&amp;'Data Input'!D8&amp;",  ‡cÖvcvBUit "&amp;'Data Input'!D12</f>
        <v/>
      </c>
      <c r="B6" s="2614" t="n"/>
      <c r="C6" s="2614" t="n"/>
      <c r="D6" s="2614" t="n"/>
    </row>
    <row r="7" ht="20.25" customFormat="1" customHeight="1" s="18">
      <c r="A7" s="327" t="inlineStr">
        <is>
          <t>µt bs</t>
        </is>
      </c>
      <c r="B7" s="37" t="inlineStr">
        <is>
          <t>welq</t>
        </is>
      </c>
      <c r="C7" s="328" t="inlineStr">
        <is>
          <t>c„ôv bs</t>
        </is>
      </c>
      <c r="D7" s="2617" t="n"/>
    </row>
    <row r="8" ht="23.25" customFormat="1" customHeight="1" s="18">
      <c r="A8" s="2618" t="n"/>
      <c r="B8" s="2618" t="n"/>
      <c r="C8" s="331" t="inlineStr">
        <is>
          <t>nB‡Z</t>
        </is>
      </c>
      <c r="D8" s="331" t="inlineStr">
        <is>
          <t>ch©šÍ</t>
        </is>
      </c>
    </row>
    <row r="9" ht="21" customHeight="1">
      <c r="A9" s="332" t="n">
        <v>1</v>
      </c>
      <c r="B9" s="333" t="inlineStr">
        <is>
          <t>myPxcÎ</t>
        </is>
      </c>
      <c r="C9" s="334" t="n"/>
      <c r="D9" s="335" t="n"/>
    </row>
    <row r="10" ht="21" customFormat="1" customHeight="1" s="18">
      <c r="A10" s="336" t="n">
        <v>2</v>
      </c>
      <c r="B10" s="337" t="inlineStr">
        <is>
          <t>‡bvU mxU/ AMÖvqb cÎ-</t>
        </is>
      </c>
      <c r="C10" s="338" t="n"/>
      <c r="D10" s="339" t="n"/>
    </row>
    <row r="11" ht="21" customFormat="1" customHeight="1" s="18">
      <c r="A11" s="336" t="n">
        <v>3</v>
      </c>
      <c r="B11" s="337" t="inlineStr">
        <is>
          <t>gÄixcÎ, wWwc †bvU I PvR© WKz‡g›Um</t>
        </is>
      </c>
      <c r="C11" s="338" t="n"/>
      <c r="D11" s="339" t="n"/>
    </row>
    <row r="12" ht="21" customFormat="1" customHeight="1" s="18">
      <c r="A12" s="336" t="n">
        <v>4</v>
      </c>
      <c r="B12" s="337" t="inlineStr">
        <is>
          <t>‡UªW jvB‡mÝ, cvm‡cvU© mvB‡Ri Qwe I AvBwW Kv‡W©i d‡UvKwc</t>
        </is>
      </c>
      <c r="C12" s="338" t="n"/>
      <c r="D12" s="339" t="n"/>
    </row>
    <row r="13" ht="21" customFormat="1" customHeight="1" s="18">
      <c r="A13" s="336" t="n">
        <v>5</v>
      </c>
      <c r="B13" s="340" t="inlineStr">
        <is>
          <t>Gj. Gd-5 (Avw_©K we‡kølY, DwKj gZvgZ I mshyw³ Kwcmn)</t>
        </is>
      </c>
      <c r="C13" s="338" t="n"/>
      <c r="D13" s="339" t="n"/>
    </row>
    <row r="14" ht="21" customHeight="1">
      <c r="A14" s="336" t="n">
        <v>6</v>
      </c>
      <c r="B14" s="340" t="inlineStr">
        <is>
          <t>LvRbvi `vwLjv</t>
        </is>
      </c>
      <c r="C14" s="338" t="n"/>
      <c r="D14" s="341" t="n"/>
    </row>
    <row r="15" ht="21" customFormat="1" customHeight="1" s="18">
      <c r="A15" s="336" t="n">
        <v>7</v>
      </c>
      <c r="B15" s="340" t="inlineStr">
        <is>
          <t>FY Av‡e`b dig- Gj Gd-8 I FY bevqb dig Gj Gd-58</t>
        </is>
      </c>
      <c r="C15" s="338" t="n"/>
      <c r="D15" s="339" t="n"/>
    </row>
    <row r="16" ht="21" customFormat="1" customHeight="1" s="18">
      <c r="A16" s="336" t="n">
        <v>8</v>
      </c>
      <c r="B16" s="340" t="inlineStr">
        <is>
          <t>†jb‡`b mxU</t>
        </is>
      </c>
      <c r="C16" s="338" t="n"/>
      <c r="D16" s="339" t="n"/>
    </row>
    <row r="17" ht="21" customFormat="1" customHeight="1" s="18">
      <c r="A17" s="336" t="n">
        <v>9</v>
      </c>
      <c r="B17" s="337" t="inlineStr">
        <is>
          <t>FY gÄyix cÖ¯Íve †cÖib msµvšÍ e¨e¯’vcK Z_¨mxU</t>
        </is>
      </c>
      <c r="C17" s="338" t="n"/>
      <c r="D17" s="339" t="n"/>
    </row>
    <row r="18" ht="21" customHeight="1">
      <c r="A18" s="336" t="n">
        <v>10</v>
      </c>
      <c r="B18" s="340" t="inlineStr">
        <is>
          <t>wm. AvB. we cÖwZ‡e`b</t>
        </is>
      </c>
      <c r="C18" s="338" t="n"/>
      <c r="D18" s="341" t="n"/>
    </row>
    <row r="19" ht="21" customFormat="1" customHeight="1" s="18">
      <c r="A19" s="336" t="n">
        <v>11</v>
      </c>
      <c r="B19" s="340" t="inlineStr">
        <is>
          <t>c~‡ei FY bw_</t>
        </is>
      </c>
      <c r="C19" s="338" t="n"/>
      <c r="D19" s="339" t="n"/>
    </row>
    <row r="20" ht="21" customFormat="1" customHeight="1" s="18">
      <c r="A20" s="336" t="n"/>
      <c r="B20" s="340" t="n"/>
      <c r="C20" s="338" t="n"/>
      <c r="D20" s="342" t="n"/>
    </row>
    <row r="21" ht="21" customHeight="1">
      <c r="A21" s="336" t="n"/>
      <c r="B21" s="340" t="n"/>
      <c r="C21" s="338" t="n"/>
      <c r="D21" s="341" t="n"/>
    </row>
    <row r="22" ht="21" customFormat="1" customHeight="1" s="18">
      <c r="A22" s="336" t="n"/>
      <c r="B22" s="340" t="n"/>
      <c r="C22" s="338" t="n"/>
      <c r="D22" s="339" t="n"/>
    </row>
    <row r="23" ht="21" customHeight="1">
      <c r="A23" s="336" t="n"/>
      <c r="B23" s="340" t="n"/>
      <c r="C23" s="338" t="n"/>
      <c r="D23" s="341" t="n"/>
    </row>
    <row r="24" ht="21" customFormat="1" customHeight="1" s="18">
      <c r="A24" s="336" t="n"/>
      <c r="B24" s="340" t="n"/>
      <c r="C24" s="338" t="n"/>
      <c r="D24" s="342" t="n"/>
    </row>
    <row r="25" ht="21" customFormat="1" customHeight="1" s="18">
      <c r="A25" s="336" t="n"/>
      <c r="B25" s="340" t="n"/>
      <c r="C25" s="338" t="n"/>
      <c r="D25" s="342" t="n"/>
    </row>
    <row r="26" ht="21" customFormat="1" customHeight="1" s="18">
      <c r="A26" s="336" t="n"/>
      <c r="B26" s="340" t="n"/>
      <c r="C26" s="338" t="n"/>
      <c r="D26" s="342" t="n"/>
    </row>
    <row r="27" ht="21" customFormat="1" customHeight="1" s="18">
      <c r="A27" s="336" t="n"/>
      <c r="B27" s="340" t="n"/>
      <c r="C27" s="338" t="n"/>
      <c r="D27" s="342" t="n"/>
    </row>
    <row r="28" ht="21" customFormat="1" customHeight="1" s="18">
      <c r="A28" s="336" t="n"/>
      <c r="B28" s="340" t="n"/>
      <c r="C28" s="338" t="n"/>
      <c r="D28" s="342" t="n"/>
    </row>
    <row r="29" ht="21" customFormat="1" customHeight="1" s="18">
      <c r="A29" s="336" t="n"/>
      <c r="B29" s="343" t="n"/>
      <c r="C29" s="338" t="n"/>
      <c r="D29" s="342" t="n"/>
    </row>
    <row r="30" ht="21" customFormat="1" customHeight="1" s="18">
      <c r="A30" s="344" t="n"/>
      <c r="B30" s="345" t="n"/>
      <c r="C30" s="346" t="n"/>
      <c r="D30" s="347" t="n"/>
    </row>
    <row r="31" ht="60.75" customHeight="1">
      <c r="A31" s="353" t="n"/>
      <c r="B31" s="103" t="n"/>
      <c r="C31" s="354" t="n"/>
      <c r="D31" s="64" t="n"/>
    </row>
    <row r="32" ht="34.5" customHeight="1">
      <c r="A32" s="350" t="inlineStr">
        <is>
          <t xml:space="preserve">      g~j¨vqbKvix </t>
        </is>
      </c>
      <c r="C32" s="354" t="n"/>
      <c r="D32" s="352" t="n"/>
    </row>
    <row r="33" ht="18.75" customHeight="1">
      <c r="A33" s="353" t="n"/>
      <c r="B33" s="103" t="n"/>
      <c r="C33" s="352" t="inlineStr">
        <is>
          <t>e¨e¯’vcK</t>
        </is>
      </c>
      <c r="D33" s="64" t="n"/>
    </row>
  </sheetData>
  <mergeCells count="10">
    <mergeCell ref="A1:D1"/>
    <mergeCell ref="A5:D5"/>
    <mergeCell ref="C7:D7"/>
    <mergeCell ref="A6:D6"/>
    <mergeCell ref="A4:D4"/>
    <mergeCell ref="A3:D3"/>
    <mergeCell ref="A7:A8"/>
    <mergeCell ref="B7:B8"/>
    <mergeCell ref="A32:B32"/>
    <mergeCell ref="A2:D2"/>
  </mergeCells>
  <pageMargins left="0.7" right="0.7" top="0.75" bottom="0.75" header="0.3" footer="0.3"/>
</worksheet>
</file>

<file path=xl/worksheets/sheet21.xml><?xml version="1.0" encoding="utf-8"?>
<worksheet xmlns="http://schemas.openxmlformats.org/spreadsheetml/2006/main">
  <sheetPr>
    <outlinePr summaryBelow="0"/>
    <pageSetUpPr/>
  </sheetPr>
  <dimension ref="A1:BH35"/>
  <sheetViews>
    <sheetView workbookViewId="0">
      <selection activeCell="A1" sqref="A1"/>
    </sheetView>
  </sheetViews>
  <sheetFormatPr baseColWidth="8" defaultRowHeight="15"/>
  <cols>
    <col width="3.719285714285714" bestFit="1" customWidth="1" style="63" min="1" max="1"/>
    <col width="2.719285714285714" bestFit="1" customWidth="1" style="218" min="2" max="2"/>
    <col width="2.290714285714285" bestFit="1" customWidth="1" style="64" min="3" max="3"/>
    <col width="2.290714285714285" bestFit="1" customWidth="1" style="64" min="4" max="4"/>
    <col width="2.290714285714285" bestFit="1" customWidth="1" style="64" min="5" max="5"/>
    <col width="2.290714285714285" bestFit="1" customWidth="1" style="64" min="6" max="6"/>
    <col width="2.290714285714285" bestFit="1" customWidth="1" style="64" min="7" max="7"/>
    <col width="2.290714285714285" bestFit="1" customWidth="1" style="64" min="8" max="8"/>
    <col width="1.290714285714286" bestFit="1" customWidth="1" style="64" min="9" max="9"/>
    <col width="2.719285714285714" bestFit="1" customWidth="1" style="64" min="10" max="10"/>
    <col width="2.719285714285714" bestFit="1" customWidth="1" style="64" min="11" max="11"/>
    <col width="2.290714285714285" bestFit="1" customWidth="1" style="64" min="12" max="12"/>
    <col width="2.290714285714285" bestFit="1" customWidth="1" style="64" min="13" max="13"/>
    <col width="2.290714285714285" bestFit="1" customWidth="1" style="64" min="14" max="14"/>
    <col width="2.290714285714285" bestFit="1" customWidth="1" style="64" min="15" max="15"/>
    <col width="2.290714285714285" bestFit="1" customWidth="1" style="64" min="16" max="16"/>
    <col width="4.433571428571429" bestFit="1" customWidth="1" style="64" min="17" max="17"/>
    <col width="2.290714285714285" bestFit="1" customWidth="1" style="64" min="18" max="18"/>
    <col width="2.290714285714285" bestFit="1" customWidth="1" style="64" min="19" max="19"/>
    <col width="1.719285714285714" bestFit="1" customWidth="1" style="64" min="20" max="20"/>
    <col width="1.719285714285714" bestFit="1" customWidth="1" style="64" min="21" max="21"/>
    <col width="1.719285714285714" bestFit="1" customWidth="1" style="64" min="22" max="22"/>
    <col width="1.719285714285714" bestFit="1" customWidth="1" style="64" min="23" max="23"/>
    <col width="1.719285714285714" bestFit="1" customWidth="1" style="64" min="24" max="24"/>
    <col width="1.147857142857143" bestFit="1" customWidth="1" style="64" min="25" max="25"/>
    <col width="1.719285714285714" bestFit="1" customWidth="1" style="64" min="26" max="26"/>
    <col width="1.719285714285714" bestFit="1" customWidth="1" style="64" min="27" max="27"/>
    <col width="2.290714285714285" bestFit="1" customWidth="1" style="64" min="28" max="28"/>
    <col width="2.290714285714285" bestFit="1" customWidth="1" style="64" min="29" max="29"/>
    <col width="1.862142857142857" bestFit="1" customWidth="1" style="64" min="30" max="30"/>
    <col width="2.862142857142857" bestFit="1" customWidth="1" style="64" min="31" max="31"/>
    <col width="2.862142857142857" bestFit="1" customWidth="1" style="64" min="32" max="32"/>
    <col width="2.862142857142857" bestFit="1" customWidth="1" style="64" min="33" max="33"/>
    <col width="2.290714285714285" bestFit="1" customWidth="1" style="64" min="34" max="34"/>
    <col width="2.290714285714285" bestFit="1" customWidth="1" style="64" min="35" max="35"/>
    <col width="2.290714285714285" bestFit="1" customWidth="1" style="64" min="36" max="36"/>
    <col width="2.290714285714285" bestFit="1" customWidth="1" style="64" min="37" max="37"/>
    <col width="2.290714285714285" bestFit="1" customWidth="1" style="64" min="38" max="38"/>
    <col width="2.290714285714285" bestFit="1" customWidth="1" style="64" min="39" max="39"/>
    <col width="2.290714285714285" bestFit="1" customWidth="1" style="64" min="40" max="40"/>
    <col width="2.005" bestFit="1" customWidth="1" style="64" min="41" max="41"/>
    <col width="2.005" bestFit="1" customWidth="1" style="64" min="42" max="42"/>
    <col width="2.005" bestFit="1" customWidth="1" style="64" min="43" max="43"/>
    <col width="2.005" bestFit="1" customWidth="1" style="64" min="44" max="44"/>
    <col width="2.005" bestFit="1" customWidth="1" style="64" min="45" max="45"/>
    <col width="2.005" bestFit="1" customWidth="1" style="64" min="46" max="46"/>
    <col width="13.57642857142857" bestFit="1" customWidth="1" style="64" min="47" max="47"/>
    <col width="11.43357142857143" bestFit="1" customWidth="1" style="64" min="48" max="48"/>
    <col width="11.71928571428571" bestFit="1" customWidth="1" style="64" min="49" max="49"/>
    <col width="13.57642857142857" bestFit="1" customWidth="1" style="64" min="50" max="50"/>
    <col width="13.57642857142857" bestFit="1" customWidth="1" style="64" min="51" max="51"/>
    <col width="13.57642857142857" bestFit="1" customWidth="1" style="64" min="52" max="52"/>
    <col width="13.57642857142857" bestFit="1" customWidth="1" style="64" min="53" max="53"/>
    <col width="13.57642857142857" bestFit="1" customWidth="1" style="64" min="54" max="54"/>
    <col width="13.57642857142857" bestFit="1" customWidth="1" style="64" min="55" max="55"/>
    <col width="13.57642857142857" bestFit="1" customWidth="1" style="64" min="56" max="56"/>
    <col width="13.57642857142857" bestFit="1" customWidth="1" style="64" min="57" max="57"/>
    <col width="13.57642857142857" bestFit="1" customWidth="1" style="64" min="58" max="58"/>
    <col width="13.57642857142857" bestFit="1" customWidth="1" style="64" min="59" max="59"/>
    <col width="13.57642857142857" bestFit="1" customWidth="1" style="64" min="60" max="60"/>
  </cols>
  <sheetData>
    <row r="1" ht="30.75" customFormat="1" customHeight="1" s="18">
      <c r="A1" s="419" t="inlineStr">
        <is>
          <t>evsjv‡`k K…wl e¨vsK</t>
        </is>
      </c>
      <c r="AU1" s="103" t="n"/>
      <c r="AV1" s="103" t="n"/>
      <c r="AW1" s="103" t="n"/>
      <c r="AX1" s="103" t="n"/>
      <c r="AY1" s="69" t="n"/>
      <c r="AZ1" s="103" t="n"/>
      <c r="BA1" s="103" t="n"/>
      <c r="BB1" s="103" t="n"/>
      <c r="BC1" s="103" t="n"/>
      <c r="BD1" s="103" t="n"/>
      <c r="BE1" s="103" t="n"/>
      <c r="BF1" s="103" t="n"/>
      <c r="BG1" s="103" t="n"/>
      <c r="BH1" s="103" t="n"/>
    </row>
    <row r="2" ht="19.5" customFormat="1" customHeight="1" s="18">
      <c r="A2" s="172">
        <f>+'Data Input'!D2</f>
        <v/>
      </c>
      <c r="AU2" s="103" t="n"/>
      <c r="AV2" s="103" t="n"/>
      <c r="AW2" s="103" t="n"/>
      <c r="AX2" s="103" t="n"/>
      <c r="AY2" s="71" t="n"/>
      <c r="AZ2" s="103" t="n"/>
      <c r="BA2" s="103" t="n"/>
      <c r="BB2" s="103" t="n"/>
      <c r="BC2" s="103" t="n"/>
      <c r="BD2" s="103" t="n"/>
      <c r="BE2" s="103" t="n"/>
      <c r="BF2" s="103" t="n"/>
      <c r="BG2" s="103" t="n"/>
      <c r="BH2" s="103" t="n"/>
    </row>
    <row r="3" ht="13.5" customFormat="1" customHeight="1" s="18">
      <c r="A3" s="173">
        <f>+'Data Input'!D3</f>
        <v/>
      </c>
      <c r="AU3" s="103" t="n"/>
      <c r="AV3" s="103" t="n"/>
      <c r="AW3" s="103" t="n"/>
      <c r="AX3" s="103" t="n"/>
      <c r="AY3" s="73" t="n"/>
      <c r="AZ3" s="103" t="n"/>
      <c r="BA3" s="103" t="n"/>
      <c r="BB3" s="103" t="n"/>
      <c r="BC3" s="103" t="n"/>
      <c r="BD3" s="103" t="n"/>
      <c r="BE3" s="103" t="n"/>
      <c r="BF3" s="103" t="n"/>
      <c r="BG3" s="103" t="n"/>
      <c r="BH3" s="103" t="n"/>
    </row>
    <row r="4" ht="13.5" customFormat="1" customHeight="1" s="18">
      <c r="A4" s="175">
        <f>+'Data Input'!D4</f>
        <v/>
      </c>
      <c r="B4" s="2613" t="n"/>
      <c r="C4" s="2613" t="n"/>
      <c r="D4" s="2613" t="n"/>
      <c r="E4" s="2613" t="n"/>
      <c r="F4" s="2613" t="n"/>
      <c r="G4" s="2613" t="n"/>
      <c r="H4" s="2613" t="n"/>
      <c r="I4" s="2613" t="n"/>
      <c r="J4" s="2613" t="n"/>
      <c r="K4" s="2613" t="n"/>
      <c r="L4" s="2613" t="n"/>
      <c r="M4" s="2613" t="n"/>
      <c r="N4" s="2613" t="n"/>
      <c r="O4" s="2613" t="n"/>
      <c r="P4" s="2613" t="n"/>
      <c r="Q4" s="2613" t="n"/>
      <c r="R4" s="2613" t="n"/>
      <c r="S4" s="2613" t="n"/>
      <c r="T4" s="2613" t="n"/>
      <c r="U4" s="2613" t="n"/>
      <c r="V4" s="2613" t="n"/>
      <c r="W4" s="2613" t="n"/>
      <c r="X4" s="2613" t="n"/>
      <c r="Y4" s="2613" t="n"/>
      <c r="Z4" s="2613" t="n"/>
      <c r="AA4" s="2613" t="n"/>
      <c r="AB4" s="2613" t="n"/>
      <c r="AC4" s="2613" t="n"/>
      <c r="AD4" s="2613" t="n"/>
      <c r="AE4" s="2613" t="n"/>
      <c r="AF4" s="2613" t="n"/>
      <c r="AG4" s="2613" t="n"/>
      <c r="AH4" s="2613" t="n"/>
      <c r="AI4" s="2613" t="n"/>
      <c r="AJ4" s="2613" t="n"/>
      <c r="AK4" s="2613" t="n"/>
      <c r="AL4" s="2613" t="n"/>
      <c r="AM4" s="2613" t="n"/>
      <c r="AN4" s="2613" t="n"/>
      <c r="AO4" s="2613" t="n"/>
      <c r="AP4" s="2613" t="n"/>
      <c r="AQ4" s="2613" t="n"/>
      <c r="AR4" s="2613" t="n"/>
      <c r="AS4" s="2613" t="n"/>
      <c r="AT4" s="2613" t="n"/>
      <c r="AU4" s="103" t="n"/>
      <c r="AV4" s="103" t="n"/>
      <c r="AW4" s="103" t="n"/>
      <c r="AX4" s="103" t="n"/>
      <c r="AY4" s="75" t="n"/>
      <c r="AZ4" s="103" t="n"/>
      <c r="BA4" s="103" t="n"/>
      <c r="BB4" s="103" t="n"/>
      <c r="BC4" s="103" t="n"/>
      <c r="BD4" s="103" t="n"/>
      <c r="BE4" s="103" t="n"/>
      <c r="BF4" s="103" t="n"/>
      <c r="BG4" s="103" t="n"/>
      <c r="BH4" s="103" t="n"/>
    </row>
    <row r="5" ht="16.5" customHeight="1">
      <c r="A5" s="1929">
        <f>"   "&amp;'Data Input'!B5&amp;""&amp;'Data Input'!D5</f>
        <v/>
      </c>
      <c r="B5" s="2614" t="n"/>
      <c r="C5" s="2614" t="n"/>
      <c r="D5" s="2614" t="n"/>
      <c r="E5" s="2614" t="n"/>
      <c r="F5" s="2614" t="n"/>
      <c r="G5" s="2614" t="n"/>
      <c r="H5" s="2614" t="n"/>
      <c r="I5" s="2614" t="n"/>
      <c r="J5" s="2614" t="n"/>
      <c r="K5" s="2614" t="n"/>
      <c r="L5" s="2614" t="n"/>
      <c r="M5" s="2614" t="n"/>
      <c r="N5" s="2614" t="n"/>
      <c r="O5" s="2614" t="n"/>
      <c r="P5" s="2614" t="n"/>
      <c r="Q5" s="2614" t="n"/>
      <c r="R5" s="2614" t="n"/>
      <c r="S5" s="2614" t="n"/>
      <c r="T5" s="2614" t="n"/>
      <c r="U5" s="2614" t="n"/>
      <c r="V5" s="2614" t="n"/>
      <c r="W5" s="2614" t="n"/>
      <c r="X5" s="2614" t="n"/>
      <c r="Y5" s="2614" t="n"/>
      <c r="Z5" s="2614" t="n"/>
      <c r="AA5" s="2614" t="n"/>
      <c r="AB5" s="2614" t="n"/>
      <c r="AC5" s="2614" t="n"/>
      <c r="AD5" s="2614" t="n"/>
      <c r="AE5" s="2614" t="n"/>
      <c r="AF5" s="310" t="n"/>
      <c r="AG5" s="311" t="n"/>
      <c r="AH5" s="311" t="n"/>
      <c r="AI5" s="310" t="n"/>
      <c r="AJ5" s="310" t="n"/>
      <c r="AK5" s="310" t="n"/>
      <c r="AL5" s="311" t="n"/>
      <c r="AM5" s="2614" t="n"/>
      <c r="AN5" s="2614" t="n"/>
      <c r="AO5" s="312" t="n"/>
      <c r="AP5" s="2614" t="n"/>
      <c r="AQ5" s="2614" t="n"/>
      <c r="AR5" s="2614" t="n"/>
      <c r="AS5" s="2614" t="n"/>
      <c r="AT5" s="313" t="n"/>
      <c r="AU5" s="64" t="n"/>
      <c r="AV5" s="64" t="n"/>
      <c r="AW5" s="64" t="n"/>
      <c r="AX5" s="64" t="n"/>
      <c r="AY5" s="64" t="n"/>
      <c r="AZ5" s="64" t="n"/>
      <c r="BA5" s="64" t="n"/>
      <c r="BB5" s="64" t="n"/>
      <c r="BC5" s="64" t="n"/>
      <c r="BD5" s="64" t="n"/>
      <c r="BE5" s="64" t="n"/>
      <c r="BF5" s="64" t="n"/>
      <c r="BG5" s="64" t="n"/>
      <c r="BH5" s="64" t="n"/>
    </row>
    <row r="6" ht="9" customHeight="1">
      <c r="A6" s="600" t="n"/>
      <c r="B6" s="600" t="n"/>
      <c r="C6" s="600" t="n"/>
      <c r="D6" s="600" t="n"/>
      <c r="E6" s="600" t="n"/>
      <c r="F6" s="600" t="n"/>
      <c r="G6" s="600" t="n"/>
      <c r="H6" s="600" t="n"/>
      <c r="I6" s="600" t="n"/>
      <c r="J6" s="600" t="n"/>
      <c r="K6" s="600" t="n"/>
      <c r="L6" s="600" t="n"/>
      <c r="M6" s="600" t="n"/>
      <c r="N6" s="600" t="n"/>
      <c r="O6" s="600" t="n"/>
      <c r="P6" s="600" t="n"/>
      <c r="Q6" s="600" t="n"/>
      <c r="R6" s="600" t="n"/>
      <c r="S6" s="600" t="n"/>
      <c r="T6" s="600" t="n"/>
      <c r="U6" s="600" t="n"/>
      <c r="V6" s="600" t="n"/>
      <c r="W6" s="600" t="n"/>
      <c r="X6" s="600" t="n"/>
      <c r="Y6" s="600" t="n"/>
      <c r="Z6" s="600" t="n"/>
      <c r="AA6" s="600" t="n"/>
      <c r="AB6" s="600" t="n"/>
      <c r="AC6" s="600" t="n"/>
      <c r="AD6" s="600" t="n"/>
      <c r="AE6" s="600" t="n"/>
      <c r="AF6" s="64" t="n"/>
      <c r="AG6" s="76" t="n"/>
      <c r="AH6" s="76" t="n"/>
      <c r="AI6" s="64" t="n"/>
      <c r="AJ6" s="64" t="n"/>
      <c r="AK6" s="64" t="n"/>
      <c r="AL6" s="76" t="n"/>
      <c r="AM6" s="76" t="n"/>
      <c r="AN6" s="76" t="n"/>
      <c r="AO6" s="77" t="n"/>
      <c r="AP6" s="77" t="n"/>
      <c r="AQ6" s="77" t="n"/>
      <c r="AR6" s="77" t="n"/>
      <c r="AS6" s="77" t="n"/>
      <c r="AT6" s="78" t="n"/>
      <c r="AU6" s="64" t="n"/>
      <c r="AV6" s="64" t="n"/>
      <c r="AW6" s="64" t="n"/>
      <c r="AX6" s="64" t="n"/>
      <c r="AY6" s="64" t="n"/>
      <c r="AZ6" s="64" t="n"/>
      <c r="BA6" s="64" t="n"/>
      <c r="BB6" s="64" t="n"/>
      <c r="BC6" s="64" t="n"/>
      <c r="BD6" s="64" t="n"/>
      <c r="BE6" s="64" t="n"/>
      <c r="BF6" s="64" t="n"/>
      <c r="BG6" s="64" t="n"/>
      <c r="BH6" s="64" t="n"/>
    </row>
    <row r="7" ht="16.5" customHeight="1">
      <c r="A7" s="600" t="n"/>
      <c r="B7" s="600" t="n"/>
      <c r="C7" s="600" t="n"/>
      <c r="D7" s="600" t="n"/>
      <c r="E7" s="600" t="n"/>
      <c r="F7" s="600" t="n"/>
      <c r="G7" s="600" t="n"/>
      <c r="H7" s="600" t="n"/>
      <c r="I7" s="600" t="n"/>
      <c r="J7" s="600" t="n"/>
      <c r="K7" s="600" t="n"/>
      <c r="L7" s="600" t="n"/>
      <c r="M7" s="600" t="n"/>
      <c r="N7" s="600" t="n"/>
      <c r="O7" s="600" t="n"/>
      <c r="P7" s="600" t="n"/>
      <c r="Q7" s="600" t="n"/>
      <c r="R7" s="600" t="n"/>
      <c r="S7" s="600" t="n"/>
      <c r="T7" s="600" t="n"/>
      <c r="U7" s="600" t="n"/>
      <c r="V7" s="600" t="n"/>
      <c r="W7" s="600" t="n"/>
      <c r="X7" s="600" t="n"/>
      <c r="Y7" s="600" t="n"/>
      <c r="Z7" s="600" t="n"/>
      <c r="AA7" s="600" t="n"/>
      <c r="AB7" s="600" t="n"/>
      <c r="AC7" s="600" t="n"/>
      <c r="AD7" s="600" t="n"/>
      <c r="AE7" s="600" t="n"/>
      <c r="AF7" s="64" t="n"/>
      <c r="AG7" s="76" t="n"/>
      <c r="AH7" s="76" t="n"/>
      <c r="AI7" s="64" t="n"/>
      <c r="AJ7" s="64" t="n"/>
      <c r="AK7" s="64" t="n"/>
      <c r="AL7" s="76" t="n"/>
      <c r="AM7" s="76" t="n"/>
      <c r="AN7" s="76" t="n"/>
      <c r="AO7" s="77" t="n"/>
      <c r="AP7" s="77" t="n"/>
      <c r="AQ7" s="77" t="n"/>
      <c r="AR7" s="77" t="n"/>
      <c r="AS7" s="77" t="n"/>
      <c r="AT7" s="78" t="n"/>
      <c r="AU7" s="64" t="n"/>
      <c r="AV7" s="64" t="n"/>
      <c r="AW7" s="64" t="n"/>
      <c r="AX7" s="64" t="n"/>
      <c r="AY7" s="64" t="n"/>
      <c r="AZ7" s="64" t="n"/>
      <c r="BA7" s="64" t="n"/>
      <c r="BB7" s="64" t="n"/>
      <c r="BC7" s="64" t="n"/>
      <c r="BD7" s="64" t="n"/>
      <c r="BE7" s="64" t="n"/>
      <c r="BF7" s="64" t="n"/>
      <c r="BG7" s="64" t="n"/>
      <c r="BH7" s="64" t="n"/>
    </row>
    <row r="8" ht="16.5" customHeight="1">
      <c r="A8" s="600" t="n"/>
      <c r="B8" s="600" t="n"/>
      <c r="C8" s="600" t="n"/>
      <c r="D8" s="600" t="n"/>
      <c r="E8" s="600" t="n"/>
      <c r="F8" s="600" t="n"/>
      <c r="G8" s="600" t="n"/>
      <c r="H8" s="600" t="n"/>
      <c r="I8" s="600" t="n"/>
      <c r="J8" s="600" t="n"/>
      <c r="K8" s="600" t="n"/>
      <c r="L8" s="600" t="n"/>
      <c r="M8" s="600" t="n"/>
      <c r="N8" s="600" t="n"/>
      <c r="O8" s="600" t="n"/>
      <c r="P8" s="600" t="n"/>
      <c r="Q8" s="600" t="n"/>
      <c r="R8" s="600" t="n"/>
      <c r="S8" s="600" t="n"/>
      <c r="T8" s="600" t="n"/>
      <c r="U8" s="600" t="n"/>
      <c r="V8" s="600" t="n"/>
      <c r="W8" s="600" t="n"/>
      <c r="X8" s="600" t="n"/>
      <c r="Y8" s="600" t="n"/>
      <c r="Z8" s="600" t="n"/>
      <c r="AA8" s="600" t="n"/>
      <c r="AB8" s="600" t="n"/>
      <c r="AC8" s="600" t="n"/>
      <c r="AD8" s="600" t="n"/>
      <c r="AE8" s="600" t="n"/>
      <c r="AF8" s="64" t="n"/>
      <c r="AG8" s="76" t="n"/>
      <c r="AH8" s="76" t="n"/>
      <c r="AI8" s="64" t="n"/>
      <c r="AJ8" s="64" t="n"/>
      <c r="AK8" s="64" t="n"/>
      <c r="AL8" s="76" t="n"/>
      <c r="AM8" s="76" t="n"/>
      <c r="AN8" s="76" t="n"/>
      <c r="AO8" s="77" t="n"/>
      <c r="AP8" s="77" t="n"/>
      <c r="AQ8" s="77" t="n"/>
      <c r="AR8" s="77" t="n"/>
      <c r="AS8" s="77" t="n"/>
      <c r="AT8" s="78" t="n"/>
      <c r="AU8" s="64" t="n"/>
      <c r="AV8" s="64" t="n"/>
      <c r="AW8" s="64" t="n"/>
      <c r="AX8" s="64" t="n"/>
      <c r="AY8" s="64" t="n"/>
      <c r="AZ8" s="64" t="n"/>
      <c r="BA8" s="64" t="n"/>
      <c r="BB8" s="64" t="n"/>
      <c r="BC8" s="64" t="n"/>
      <c r="BD8" s="64" t="n"/>
      <c r="BE8" s="64" t="n"/>
      <c r="BF8" s="64" t="n"/>
      <c r="BG8" s="64" t="n"/>
      <c r="BH8" s="64" t="n"/>
    </row>
    <row r="9" ht="27.75" customHeight="1">
      <c r="A9" s="86" t="inlineStr">
        <is>
          <t>cÖZ¨qb cÎ</t>
        </is>
      </c>
      <c r="AU9" s="64" t="n"/>
      <c r="AV9" s="64" t="n"/>
      <c r="AW9" s="64" t="n"/>
      <c r="AX9" s="64" t="n"/>
      <c r="AY9" s="64" t="n"/>
      <c r="AZ9" s="64" t="n"/>
      <c r="BA9" s="64" t="n"/>
      <c r="BB9" s="64" t="n"/>
      <c r="BC9" s="64" t="n"/>
      <c r="BD9" s="64" t="n"/>
      <c r="BE9" s="64" t="n"/>
      <c r="BF9" s="64" t="n"/>
      <c r="BG9" s="64" t="n"/>
      <c r="BH9" s="64" t="n"/>
    </row>
    <row r="10" ht="16.5" customHeight="1">
      <c r="A10" s="600" t="n"/>
      <c r="B10" s="600" t="n"/>
      <c r="C10" s="600" t="n"/>
      <c r="D10" s="600" t="n"/>
      <c r="E10" s="600" t="n"/>
      <c r="F10" s="600" t="n"/>
      <c r="G10" s="600" t="n"/>
      <c r="H10" s="600" t="n"/>
      <c r="I10" s="600" t="n"/>
      <c r="J10" s="600" t="n"/>
      <c r="K10" s="600" t="n"/>
      <c r="L10" s="600" t="n"/>
      <c r="M10" s="600" t="n"/>
      <c r="N10" s="600" t="n"/>
      <c r="O10" s="600" t="inlineStr">
        <is>
          <t xml:space="preserve">                                                   </t>
        </is>
      </c>
      <c r="P10" s="600" t="n"/>
      <c r="Q10" s="600" t="n"/>
      <c r="R10" s="600" t="n"/>
      <c r="S10" s="600" t="n"/>
      <c r="T10" s="600" t="n"/>
      <c r="U10" s="600" t="n"/>
      <c r="V10" s="600" t="n"/>
      <c r="W10" s="600" t="n"/>
      <c r="X10" s="600" t="n"/>
      <c r="Y10" s="600" t="n"/>
      <c r="Z10" s="600" t="n"/>
      <c r="AA10" s="600" t="n"/>
      <c r="AB10" s="600" t="n"/>
      <c r="AC10" s="600" t="n"/>
      <c r="AD10" s="600" t="n"/>
      <c r="AE10" s="600" t="n"/>
      <c r="AF10" s="64" t="n"/>
      <c r="AG10" s="76" t="n"/>
      <c r="AH10" s="76" t="n"/>
      <c r="AI10" s="64" t="n"/>
      <c r="AJ10" s="64" t="n"/>
      <c r="AK10" s="64" t="n"/>
      <c r="AL10" s="76" t="n"/>
      <c r="AM10" s="76" t="n"/>
      <c r="AN10" s="76" t="n"/>
      <c r="AO10" s="77" t="n"/>
      <c r="AP10" s="77" t="n"/>
      <c r="AQ10" s="77" t="n"/>
      <c r="AR10" s="77" t="n"/>
      <c r="AS10" s="77" t="n"/>
      <c r="AT10" s="78" t="n"/>
      <c r="AU10" s="64" t="n"/>
      <c r="AV10" s="64" t="n"/>
      <c r="AW10" s="64" t="n"/>
      <c r="AX10" s="64" t="n"/>
      <c r="AY10" s="64" t="n"/>
      <c r="AZ10" s="64" t="n"/>
      <c r="BA10" s="64" t="n"/>
      <c r="BB10" s="64" t="n"/>
      <c r="BC10" s="64" t="n"/>
      <c r="BD10" s="64" t="n"/>
      <c r="BE10" s="64" t="n"/>
      <c r="BF10" s="64" t="n"/>
      <c r="BG10" s="64" t="n"/>
      <c r="BH10" s="64" t="n"/>
    </row>
    <row r="11" ht="16.5" customHeight="1">
      <c r="A11" s="600" t="n"/>
      <c r="B11" s="600" t="n"/>
      <c r="C11" s="600" t="n"/>
      <c r="D11" s="600" t="n"/>
      <c r="E11" s="600" t="n"/>
      <c r="F11" s="600" t="n"/>
      <c r="G11" s="600" t="n"/>
      <c r="H11" s="600" t="n"/>
      <c r="I11" s="600" t="n"/>
      <c r="J11" s="600" t="n"/>
      <c r="K11" s="600" t="n"/>
      <c r="L11" s="600" t="n"/>
      <c r="M11" s="600" t="n"/>
      <c r="N11" s="600" t="n"/>
      <c r="O11" s="600" t="n"/>
      <c r="P11" s="600" t="n"/>
      <c r="Q11" s="600" t="n"/>
      <c r="R11" s="600" t="n"/>
      <c r="S11" s="600" t="n"/>
      <c r="T11" s="600" t="n"/>
      <c r="U11" s="600" t="n"/>
      <c r="V11" s="600" t="n"/>
      <c r="W11" s="600" t="n"/>
      <c r="X11" s="600" t="n"/>
      <c r="Y11" s="600" t="n"/>
      <c r="Z11" s="600" t="n"/>
      <c r="AA11" s="600" t="n"/>
      <c r="AB11" s="600" t="n"/>
      <c r="AC11" s="600" t="n"/>
      <c r="AD11" s="600" t="n"/>
      <c r="AE11" s="600" t="n"/>
      <c r="AF11" s="64" t="n"/>
      <c r="AG11" s="76" t="n"/>
      <c r="AH11" s="76" t="n"/>
      <c r="AI11" s="64" t="n"/>
      <c r="AJ11" s="64" t="n"/>
      <c r="AK11" s="64" t="n"/>
      <c r="AL11" s="76" t="n"/>
      <c r="AM11" s="76" t="n"/>
      <c r="AN11" s="76" t="n"/>
      <c r="AO11" s="77" t="n"/>
      <c r="AP11" s="77" t="n"/>
      <c r="AQ11" s="77" t="n"/>
      <c r="AR11" s="77" t="n"/>
      <c r="AS11" s="77" t="n"/>
      <c r="AT11" s="78" t="n"/>
      <c r="AU11" s="64" t="n"/>
      <c r="AV11" s="64" t="n"/>
      <c r="AW11" s="64" t="n"/>
      <c r="AX11" s="64" t="n"/>
      <c r="AY11" s="64" t="n"/>
      <c r="AZ11" s="64" t="n"/>
      <c r="BA11" s="64" t="n"/>
      <c r="BB11" s="64" t="n"/>
      <c r="BC11" s="64" t="n"/>
      <c r="BD11" s="64" t="n"/>
      <c r="BE11" s="64" t="n"/>
      <c r="BF11" s="64" t="n"/>
      <c r="BG11" s="64" t="n"/>
      <c r="BH11" s="64" t="n"/>
    </row>
    <row r="12" ht="16.5" customHeight="1">
      <c r="A12" s="600" t="n"/>
      <c r="B12" s="600" t="n"/>
      <c r="C12" s="600" t="n"/>
      <c r="D12" s="600" t="n"/>
      <c r="E12" s="314">
        <f>"GB g‡g© cÖZ¨qb Kiv hv‡”Q †h, "&amp;'Data Input'!D5&amp;",  Ò"&amp;'Data Input'!D8&amp;"Ó Gi Av‡e`b`bKvix "&amp;'Data Input'!D12&amp;", wcZv/¯^vgxi bvgt "&amp;'Data Input'!D13&amp;", gvZvi bvgt "&amp;'Data Input'!D14&amp;", wVKvbvt "&amp;+'Data Input'!D17&amp;", Dc‡Rjvt "&amp;'Data Input'!D22&amp;", ‡Rjvt "&amp;'Data Input'!D23&amp;" KZ©„K F‡Yi wecix‡Z cÖ`vbK…Z cÖ¯ÍvweZ RvgvbwZ cÖ¯ÍvweZ eÜKx m¤úwË, evsjv‡`k  K…wl e¨vsK cÖavb Kvh©vjq XvKv, †µwWU wefvM-1 Gi 19/12/2018  Bs Zvwi‡Li cwiKíbv I cwiPvjb cwicÎ bs -28/2018 Gi Aby‡”Q` bs- 6(L) †gvZv‡eK m¤¢ve¨ SzuwKgy³|"</f>
        <v/>
      </c>
      <c r="AO12" s="77" t="n"/>
      <c r="AP12" s="77" t="n"/>
      <c r="AQ12" s="77" t="n"/>
      <c r="AR12" s="77" t="n"/>
      <c r="AS12" s="77" t="n"/>
      <c r="AT12" s="78" t="n"/>
      <c r="AU12" s="64" t="n"/>
      <c r="AV12" s="64" t="n"/>
      <c r="AW12" s="64" t="n"/>
      <c r="AX12" s="64" t="n"/>
      <c r="AY12" s="64" t="n"/>
      <c r="AZ12" s="64" t="n"/>
      <c r="BA12" s="64" t="n"/>
      <c r="BB12" s="64" t="n"/>
      <c r="BC12" s="64" t="n"/>
      <c r="BD12" s="64" t="n"/>
      <c r="BE12" s="64" t="n"/>
      <c r="BF12" s="64" t="n"/>
      <c r="BG12" s="64" t="n"/>
      <c r="BH12" s="64" t="n"/>
    </row>
    <row r="13" ht="16.5" customHeight="1">
      <c r="A13" s="62" t="n"/>
      <c r="B13" s="62" t="n"/>
      <c r="C13" s="62" t="n"/>
      <c r="D13" s="62" t="n"/>
      <c r="AO13" s="90" t="n"/>
      <c r="AP13" s="90" t="n"/>
      <c r="AQ13" s="90" t="n"/>
      <c r="AR13" s="90" t="n"/>
      <c r="AS13" s="90" t="n"/>
      <c r="AT13" s="91" t="n"/>
      <c r="AU13" s="64" t="n"/>
      <c r="AV13" s="64" t="n"/>
      <c r="AW13" s="64" t="n"/>
      <c r="AX13" s="64" t="n"/>
      <c r="AY13" s="64" t="n"/>
      <c r="AZ13" s="64" t="n"/>
      <c r="BA13" s="64" t="n"/>
      <c r="BB13" s="64" t="n"/>
      <c r="BC13" s="64" t="n"/>
      <c r="BD13" s="64" t="n"/>
      <c r="BE13" s="64" t="n"/>
      <c r="BF13" s="64" t="n"/>
      <c r="BG13" s="64" t="n"/>
      <c r="BH13" s="64" t="n"/>
    </row>
    <row r="14" ht="16.5" customFormat="1" customHeight="1" s="18">
      <c r="A14" s="375" t="n"/>
      <c r="B14" s="83" t="n"/>
      <c r="C14" s="83" t="n"/>
      <c r="D14" s="83" t="n"/>
      <c r="AO14" s="83" t="n"/>
      <c r="AP14" s="83" t="n"/>
      <c r="AQ14" s="83" t="n"/>
      <c r="AR14" s="83" t="n"/>
      <c r="AS14" s="83" t="n"/>
      <c r="AT14" s="83" t="n"/>
      <c r="AU14" s="103" t="n"/>
      <c r="AV14" s="103" t="n"/>
      <c r="AW14" s="103" t="n"/>
      <c r="AX14" s="103" t="n"/>
      <c r="AY14" s="103" t="n"/>
      <c r="AZ14" s="103" t="n"/>
      <c r="BA14" s="103" t="n"/>
      <c r="BB14" s="103" t="n"/>
      <c r="BC14" s="103" t="n"/>
      <c r="BD14" s="103" t="n"/>
      <c r="BE14" s="103" t="n"/>
      <c r="BF14" s="103" t="n"/>
      <c r="BG14" s="103" t="n"/>
      <c r="BH14" s="103" t="n"/>
    </row>
    <row r="15" ht="16.5" customFormat="1" customHeight="1" s="18">
      <c r="A15" s="83" t="n"/>
      <c r="B15" s="83" t="n"/>
      <c r="C15" s="83" t="n"/>
      <c r="D15" s="83" t="n"/>
      <c r="AO15" s="83" t="n"/>
      <c r="AP15" s="83" t="n"/>
      <c r="AQ15" s="83" t="n"/>
      <c r="AR15" s="83" t="n"/>
      <c r="AS15" s="83" t="n"/>
      <c r="AT15" s="83" t="n"/>
      <c r="AU15" s="103" t="n"/>
      <c r="AV15" s="103" t="n"/>
      <c r="AW15" s="103" t="n"/>
      <c r="AX15" s="103" t="n"/>
      <c r="AY15" s="103" t="n"/>
      <c r="AZ15" s="103" t="n"/>
      <c r="BA15" s="103" t="n"/>
      <c r="BB15" s="103" t="n"/>
      <c r="BC15" s="103" t="n"/>
      <c r="BD15" s="103" t="n"/>
      <c r="BE15" s="103" t="n"/>
      <c r="BF15" s="103" t="n"/>
      <c r="BG15" s="103" t="n"/>
      <c r="BH15" s="103" t="n"/>
    </row>
    <row r="16" ht="16.5" customFormat="1" customHeight="1" s="18">
      <c r="A16" s="199" t="n"/>
      <c r="B16" s="199" t="n"/>
      <c r="C16" s="199" t="n"/>
      <c r="D16" s="199" t="n"/>
      <c r="AO16" s="199" t="n"/>
      <c r="AP16" s="199" t="n"/>
      <c r="AQ16" s="199" t="n"/>
      <c r="AR16" s="199" t="n"/>
      <c r="AS16" s="199" t="n"/>
      <c r="AT16" s="199" t="n"/>
      <c r="AU16" s="103" t="n"/>
      <c r="AV16" s="103" t="n"/>
      <c r="AW16" s="103" t="n"/>
      <c r="AX16" s="103" t="n"/>
      <c r="AY16" s="103" t="n"/>
      <c r="AZ16" s="103" t="n"/>
      <c r="BA16" s="103" t="n"/>
      <c r="BB16" s="103" t="n"/>
      <c r="BC16" s="103" t="n"/>
      <c r="BD16" s="103" t="n"/>
      <c r="BE16" s="103" t="n"/>
      <c r="BF16" s="103" t="n"/>
      <c r="BG16" s="103" t="n"/>
      <c r="BH16" s="103" t="n"/>
    </row>
    <row r="17" ht="16.5" customHeight="1">
      <c r="A17" s="600" t="n"/>
      <c r="B17" s="600" t="n"/>
      <c r="C17" s="600" t="n"/>
      <c r="D17" s="600" t="n"/>
      <c r="AO17" s="77" t="n"/>
      <c r="AP17" s="77" t="n"/>
      <c r="AQ17" s="77" t="n"/>
      <c r="AR17" s="77" t="n"/>
      <c r="AS17" s="77" t="n"/>
      <c r="AT17" s="78" t="n"/>
      <c r="AU17" s="64" t="n"/>
      <c r="AV17" s="64" t="n"/>
      <c r="AW17" s="64" t="n"/>
      <c r="AX17" s="64" t="n"/>
      <c r="AY17" s="64" t="n"/>
      <c r="AZ17" s="64" t="n"/>
      <c r="BA17" s="64" t="n"/>
      <c r="BB17" s="64" t="n"/>
      <c r="BC17" s="64" t="n"/>
      <c r="BD17" s="64" t="n"/>
      <c r="BE17" s="64" t="n"/>
      <c r="BF17" s="64" t="n"/>
      <c r="BG17" s="64" t="n"/>
      <c r="BH17" s="64" t="n"/>
    </row>
    <row r="18" ht="16.5" customHeight="1">
      <c r="A18" s="600" t="n"/>
      <c r="B18" s="600" t="n"/>
      <c r="C18" s="600" t="n"/>
      <c r="D18" s="600" t="n"/>
      <c r="AO18" s="77" t="n"/>
      <c r="AP18" s="77" t="n"/>
      <c r="AQ18" s="77" t="n"/>
      <c r="AR18" s="77" t="n"/>
      <c r="AS18" s="77" t="n"/>
      <c r="AT18" s="78" t="n"/>
      <c r="AU18" s="64" t="n"/>
      <c r="AV18" s="64" t="n"/>
      <c r="AW18" s="64" t="n"/>
      <c r="AX18" s="64" t="n"/>
      <c r="AY18" s="64" t="n"/>
      <c r="AZ18" s="64" t="n"/>
      <c r="BA18" s="64" t="n"/>
      <c r="BB18" s="64" t="n"/>
      <c r="BC18" s="64" t="n"/>
      <c r="BD18" s="64" t="n"/>
      <c r="BE18" s="64" t="n"/>
      <c r="BF18" s="64" t="n"/>
      <c r="BG18" s="64" t="n"/>
      <c r="BH18" s="64" t="n"/>
    </row>
    <row r="19" ht="16.5" customHeight="1">
      <c r="A19" s="600" t="n"/>
      <c r="B19" s="600" t="n"/>
      <c r="C19" s="600" t="n"/>
      <c r="D19" s="600" t="n"/>
      <c r="AO19" s="77" t="n"/>
      <c r="AP19" s="77" t="n"/>
      <c r="AQ19" s="77" t="n"/>
      <c r="AR19" s="77" t="n"/>
      <c r="AS19" s="77" t="n"/>
      <c r="AT19" s="78" t="n"/>
      <c r="AU19" s="64" t="n"/>
      <c r="AV19" s="64" t="n"/>
      <c r="AW19" s="64" t="n"/>
      <c r="AX19" s="64" t="n"/>
      <c r="AY19" s="64" t="n"/>
      <c r="AZ19" s="64" t="n"/>
      <c r="BA19" s="64" t="n"/>
      <c r="BB19" s="64" t="n"/>
      <c r="BC19" s="64" t="n"/>
      <c r="BD19" s="64" t="n"/>
      <c r="BE19" s="64" t="n"/>
      <c r="BF19" s="64" t="n"/>
      <c r="BG19" s="64" t="n"/>
      <c r="BH19" s="64" t="n"/>
    </row>
    <row r="20" ht="78" customHeight="1">
      <c r="A20" s="600" t="n"/>
      <c r="B20" s="600" t="n"/>
      <c r="C20" s="600" t="n"/>
      <c r="D20" s="600" t="n"/>
      <c r="AO20" s="77" t="n"/>
      <c r="AP20" s="77" t="n"/>
      <c r="AQ20" s="77" t="n"/>
      <c r="AR20" s="77" t="n"/>
      <c r="AS20" s="77" t="n"/>
      <c r="AT20" s="78" t="n"/>
      <c r="AU20" s="64" t="n"/>
      <c r="AV20" s="64" t="n"/>
      <c r="AW20" s="64" t="n"/>
      <c r="AX20" s="64" t="n"/>
      <c r="AY20" s="64" t="n"/>
      <c r="AZ20" s="64" t="n"/>
      <c r="BA20" s="64" t="n"/>
      <c r="BB20" s="64" t="n"/>
      <c r="BC20" s="64" t="n"/>
      <c r="BD20" s="64" t="n"/>
      <c r="BE20" s="64" t="n"/>
      <c r="BF20" s="64" t="n"/>
      <c r="BG20" s="64" t="n"/>
      <c r="BH20" s="64" t="n"/>
    </row>
    <row r="21" ht="43.5" customHeight="1">
      <c r="A21" s="1964" t="n"/>
      <c r="B21" s="1964" t="n"/>
      <c r="C21" s="1964" t="n"/>
      <c r="D21" s="1964" t="n"/>
      <c r="E21" s="1964" t="n"/>
      <c r="F21" s="1964" t="n"/>
      <c r="G21" s="1964" t="n"/>
      <c r="H21" s="1964" t="n"/>
      <c r="I21" s="1964" t="n"/>
      <c r="J21" s="1964" t="n"/>
      <c r="K21" s="1964" t="n"/>
      <c r="L21" s="1964" t="n"/>
      <c r="M21" s="1964" t="n"/>
      <c r="N21" s="1964" t="n"/>
      <c r="O21" s="1964" t="n"/>
      <c r="P21" s="1964" t="n"/>
      <c r="Q21" s="1964" t="n"/>
      <c r="R21" s="1964" t="n"/>
      <c r="S21" s="1964" t="n"/>
      <c r="T21" s="1964" t="n"/>
      <c r="U21" s="1964" t="n"/>
      <c r="V21" s="1964" t="n"/>
      <c r="W21" s="1964" t="n"/>
      <c r="X21" s="1964" t="n"/>
      <c r="Y21" s="1964" t="n"/>
      <c r="Z21" s="1964" t="n"/>
      <c r="AA21" s="1964" t="n"/>
      <c r="AB21" s="1964" t="n"/>
      <c r="AC21" s="1964" t="n"/>
      <c r="AD21" s="1964" t="n"/>
      <c r="AE21" s="1964" t="n"/>
      <c r="AF21" s="64" t="n"/>
      <c r="AG21" s="199" t="n"/>
      <c r="AH21" s="199" t="n"/>
      <c r="AI21" s="64" t="n"/>
      <c r="AJ21" s="64" t="n"/>
      <c r="AK21" s="64" t="n"/>
      <c r="AL21" s="199" t="n"/>
      <c r="AM21" s="199" t="n"/>
      <c r="AN21" s="199" t="n"/>
      <c r="AO21" s="93" t="n"/>
      <c r="AP21" s="93" t="n"/>
      <c r="AQ21" s="93" t="n"/>
      <c r="AR21" s="93" t="n"/>
      <c r="AS21" s="93" t="n"/>
      <c r="AT21" s="94" t="n"/>
      <c r="AU21" s="64" t="n"/>
      <c r="AV21" s="64" t="n"/>
      <c r="AW21" s="64" t="n"/>
      <c r="AX21" s="64" t="n"/>
      <c r="AY21" s="64" t="n"/>
      <c r="AZ21" s="64" t="n"/>
      <c r="BA21" s="64" t="n"/>
      <c r="BB21" s="64" t="n"/>
      <c r="BC21" s="64" t="n"/>
      <c r="BD21" s="64" t="n"/>
      <c r="BE21" s="64" t="n"/>
      <c r="BF21" s="64" t="n"/>
      <c r="BG21" s="64" t="n"/>
      <c r="BH21" s="64" t="n"/>
    </row>
    <row r="22" ht="43.5" customHeight="1">
      <c r="A22" s="219" t="inlineStr">
        <is>
          <t>Avcbvi wek¦¯Í,</t>
        </is>
      </c>
      <c r="AU22" s="64" t="n"/>
      <c r="AV22" s="64" t="n"/>
      <c r="AW22" s="64" t="n"/>
      <c r="AX22" s="64" t="n"/>
      <c r="AY22" s="64" t="n"/>
      <c r="AZ22" s="64" t="n"/>
      <c r="BA22" s="64" t="n"/>
      <c r="BB22" s="64" t="n"/>
      <c r="BC22" s="64" t="n"/>
      <c r="BD22" s="64" t="n"/>
      <c r="BE22" s="64" t="n"/>
      <c r="BF22" s="64" t="n"/>
      <c r="BG22" s="64" t="n"/>
      <c r="BH22" s="64" t="n"/>
    </row>
    <row r="23" ht="102.75" customHeight="1">
      <c r="A23" s="1964" t="n"/>
      <c r="B23" s="1964" t="n"/>
      <c r="C23" s="1964" t="n"/>
      <c r="D23" s="1964" t="n"/>
      <c r="E23" s="1964" t="n"/>
      <c r="F23" s="1964" t="n"/>
      <c r="G23" s="1964" t="n"/>
      <c r="H23" s="1964" t="n"/>
      <c r="I23" s="1964" t="n"/>
      <c r="J23" s="1964" t="n"/>
      <c r="K23" s="1964" t="n"/>
      <c r="L23" s="1964" t="n"/>
      <c r="M23" s="1964" t="n"/>
      <c r="N23" s="1964" t="n"/>
      <c r="O23" s="1964" t="n"/>
      <c r="P23" s="1964" t="n"/>
      <c r="Q23" s="1964" t="n"/>
      <c r="R23" s="1964" t="n"/>
      <c r="S23" s="1964" t="n"/>
      <c r="T23" s="1964" t="n"/>
      <c r="U23" s="1964" t="n"/>
      <c r="V23" s="1964" t="n"/>
      <c r="W23" s="1964" t="n"/>
      <c r="X23" s="1964" t="n"/>
      <c r="Y23" s="1964" t="n"/>
      <c r="Z23" s="1964" t="n"/>
      <c r="AA23" s="1964" t="n"/>
      <c r="AB23" s="1964" t="n"/>
      <c r="AC23" s="1964" t="n"/>
      <c r="AD23" s="1964" t="n"/>
      <c r="AE23" s="219" t="n"/>
      <c r="AP23" s="93" t="n"/>
      <c r="AQ23" s="93" t="n"/>
      <c r="AR23" s="93" t="n"/>
      <c r="AS23" s="93" t="n"/>
      <c r="AT23" s="94" t="n"/>
      <c r="AU23" s="64" t="n"/>
      <c r="AV23" s="64" t="n"/>
      <c r="AW23" s="64" t="n"/>
      <c r="AX23" s="64" t="n"/>
      <c r="AY23" s="64" t="n"/>
      <c r="AZ23" s="64" t="n"/>
      <c r="BA23" s="64" t="n"/>
      <c r="BB23" s="64" t="n"/>
      <c r="BC23" s="64" t="n"/>
      <c r="BD23" s="64" t="n"/>
      <c r="BE23" s="64" t="n"/>
      <c r="BF23" s="64" t="n"/>
      <c r="BG23" s="64" t="n"/>
      <c r="BH23" s="64" t="n"/>
    </row>
    <row r="24" ht="17.25" customHeight="1">
      <c r="A24" s="223" t="inlineStr">
        <is>
          <t>Kg©KZ©v</t>
        </is>
      </c>
      <c r="B24" s="2624" t="n"/>
      <c r="C24" s="2624" t="n"/>
      <c r="D24" s="2624" t="n"/>
      <c r="E24" s="2624" t="n"/>
      <c r="F24" s="2624" t="n"/>
      <c r="G24" s="2624" t="n"/>
      <c r="H24" s="2624" t="n"/>
      <c r="I24" s="2624" t="n"/>
      <c r="J24" s="2624" t="n"/>
      <c r="K24" s="2624" t="n"/>
      <c r="L24" s="64" t="n"/>
      <c r="M24" s="64" t="n"/>
      <c r="N24" s="64" t="n"/>
      <c r="O24" s="64" t="n"/>
      <c r="P24" s="64" t="n"/>
      <c r="Q24" s="1964" t="n"/>
      <c r="R24" s="1964" t="n"/>
      <c r="S24" s="223" t="inlineStr">
        <is>
          <t>2q Kg©KZ©v</t>
        </is>
      </c>
      <c r="T24" s="2624" t="n"/>
      <c r="U24" s="2624" t="n"/>
      <c r="V24" s="2624" t="n"/>
      <c r="W24" s="2624" t="n"/>
      <c r="X24" s="2624" t="n"/>
      <c r="Y24" s="2624" t="n"/>
      <c r="Z24" s="2624" t="n"/>
      <c r="AA24" s="2624" t="n"/>
      <c r="AB24" s="2624" t="n"/>
      <c r="AC24" s="2624" t="n"/>
      <c r="AD24" s="1964" t="n"/>
      <c r="AE24" s="1964" t="n"/>
      <c r="AF24" s="1964" t="n"/>
      <c r="AG24" s="1964" t="n"/>
      <c r="AH24" s="1964" t="n"/>
      <c r="AI24" s="64" t="n"/>
      <c r="AJ24" s="223" t="inlineStr">
        <is>
          <t>e¨e¯’vcK</t>
        </is>
      </c>
      <c r="AK24" s="2624" t="n"/>
      <c r="AL24" s="2624" t="n"/>
      <c r="AM24" s="2624" t="n"/>
      <c r="AN24" s="2624" t="n"/>
      <c r="AO24" s="2624" t="n"/>
      <c r="AP24" s="2624" t="n"/>
      <c r="AQ24" s="2624" t="n"/>
      <c r="AR24" s="2624" t="n"/>
      <c r="AS24" s="2624" t="n"/>
      <c r="AT24" s="2624" t="n"/>
      <c r="AU24" s="64" t="n"/>
      <c r="AV24" s="64" t="n"/>
      <c r="AW24" s="96" t="n"/>
      <c r="AX24" s="96" t="n"/>
      <c r="AY24" s="96" t="n"/>
      <c r="AZ24" s="96" t="n"/>
      <c r="BA24" s="96" t="n"/>
      <c r="BB24" s="96" t="n"/>
      <c r="BC24" s="96" t="n"/>
      <c r="BD24" s="96" t="n"/>
      <c r="BE24" s="96" t="n"/>
      <c r="BF24" s="96" t="n"/>
      <c r="BG24" s="96" t="n"/>
      <c r="BH24" s="96" t="n"/>
    </row>
    <row r="25" ht="17.25" customHeight="1">
      <c r="A25" s="219" t="inlineStr">
        <is>
          <t>evsjv‡`k K…wl e¨vsK,</t>
        </is>
      </c>
      <c r="L25" s="96" t="n"/>
      <c r="M25" s="96" t="n"/>
      <c r="N25" s="64" t="n"/>
      <c r="O25" s="64" t="n"/>
      <c r="P25" s="219" t="inlineStr">
        <is>
          <t>evsjv‡`k K…wl e¨vsK,</t>
        </is>
      </c>
      <c r="AG25" s="1964" t="n"/>
      <c r="AH25" s="1964" t="n"/>
      <c r="AI25" s="64" t="n"/>
      <c r="AJ25" s="219" t="inlineStr">
        <is>
          <t>evsjv‡`k K…wl e¨vsK,</t>
        </is>
      </c>
      <c r="AU25" s="64" t="n"/>
      <c r="AV25" s="64" t="n"/>
      <c r="AW25" s="96" t="n"/>
      <c r="AX25" s="96" t="n"/>
      <c r="AY25" s="96" t="n"/>
      <c r="AZ25" s="96" t="n"/>
      <c r="BA25" s="96" t="n"/>
      <c r="BB25" s="96" t="n"/>
      <c r="BC25" s="96" t="n"/>
      <c r="BD25" s="96" t="n"/>
      <c r="BE25" s="96" t="n"/>
      <c r="BF25" s="96" t="n"/>
      <c r="BG25" s="96" t="n"/>
      <c r="BH25" s="96" t="n"/>
    </row>
    <row r="26" ht="17.25" customHeight="1">
      <c r="A26" s="219">
        <f>+'Data Input'!D2</f>
        <v/>
      </c>
      <c r="L26" s="96" t="n"/>
      <c r="M26" s="96" t="n"/>
      <c r="N26" s="64" t="n"/>
      <c r="O26" s="64" t="n"/>
      <c r="P26" s="219">
        <f>+A26</f>
        <v/>
      </c>
      <c r="AG26" s="1964" t="n"/>
      <c r="AH26" s="1964" t="n"/>
      <c r="AI26" s="64" t="n"/>
      <c r="AJ26" s="219">
        <f>+A2</f>
        <v/>
      </c>
      <c r="AU26" s="64" t="n"/>
      <c r="AV26" s="64" t="n"/>
      <c r="AW26" s="96" t="n"/>
      <c r="AX26" s="96" t="n"/>
      <c r="AY26" s="96" t="n"/>
      <c r="AZ26" s="96" t="n"/>
      <c r="BA26" s="96" t="n"/>
      <c r="BB26" s="96" t="n"/>
      <c r="BC26" s="96" t="n"/>
      <c r="BD26" s="96" t="n"/>
      <c r="BE26" s="96" t="n"/>
      <c r="BF26" s="96" t="n"/>
      <c r="BG26" s="96" t="n"/>
      <c r="BH26" s="96" t="n"/>
    </row>
    <row r="27" ht="17.25" customHeight="1">
      <c r="A27" s="97" t="inlineStr">
        <is>
          <t>(mxj †gvni e¨envi Ki‡Z n‡e)</t>
        </is>
      </c>
      <c r="L27" s="64" t="n"/>
      <c r="M27" s="64" t="n"/>
      <c r="N27" s="64" t="n"/>
      <c r="O27" s="64" t="n"/>
      <c r="P27" s="97" t="inlineStr">
        <is>
          <t>(mxj †gvni e¨envi Ki‡Z n‡e)</t>
        </is>
      </c>
      <c r="AG27" s="99" t="n"/>
      <c r="AH27" s="99" t="n"/>
      <c r="AI27" s="64" t="n"/>
      <c r="AJ27" s="97" t="inlineStr">
        <is>
          <t>(mxj †gvni e¨envi Ki‡Z n‡e)</t>
        </is>
      </c>
      <c r="AU27" s="64" t="n"/>
      <c r="AV27" s="64" t="n"/>
      <c r="AW27" s="64" t="n"/>
      <c r="AX27" s="64" t="n"/>
      <c r="AY27" s="64" t="n"/>
      <c r="AZ27" s="64" t="n"/>
      <c r="BA27" s="76" t="n"/>
      <c r="BB27" s="76" t="n"/>
      <c r="BC27" s="76" t="n"/>
      <c r="BD27" s="76" t="n"/>
      <c r="BE27" s="64" t="n"/>
      <c r="BF27" s="64" t="n"/>
      <c r="BG27" s="64" t="n"/>
      <c r="BH27" s="64" t="n"/>
    </row>
    <row r="28" ht="18.75" customHeight="1">
      <c r="A28" s="63" t="n"/>
      <c r="B28" s="100" t="n"/>
      <c r="C28" s="600" t="n"/>
      <c r="D28" s="600" t="n"/>
      <c r="E28" s="600" t="n"/>
      <c r="F28" s="64" t="n"/>
      <c r="G28" s="64" t="n"/>
      <c r="H28" s="64" t="n"/>
      <c r="I28" s="64" t="n"/>
      <c r="J28" s="64" t="n"/>
      <c r="K28" s="64" t="n"/>
      <c r="L28" s="64" t="n"/>
      <c r="M28" s="64" t="n"/>
      <c r="N28" s="64" t="n"/>
      <c r="O28" s="64" t="n"/>
      <c r="P28" s="64" t="n"/>
      <c r="Q28" s="64" t="n"/>
      <c r="R28" s="64" t="n"/>
      <c r="S28" s="64" t="n"/>
      <c r="T28" s="64" t="n"/>
      <c r="U28" s="64" t="n"/>
      <c r="V28" s="64" t="n"/>
      <c r="W28" s="64" t="n"/>
      <c r="X28" s="64" t="n"/>
      <c r="Y28" s="64" t="n"/>
      <c r="Z28" s="64" t="n"/>
      <c r="AA28" s="64" t="n"/>
      <c r="AB28" s="64" t="n"/>
      <c r="AC28" s="64" t="n"/>
      <c r="AD28" s="64" t="n"/>
      <c r="AE28" s="64" t="n"/>
      <c r="AF28" s="64" t="n"/>
      <c r="AG28" s="64" t="n"/>
      <c r="AH28" s="64" t="n"/>
      <c r="AI28" s="64" t="n"/>
      <c r="AJ28" s="64" t="n"/>
      <c r="AK28" s="64" t="n"/>
      <c r="AL28" s="64" t="n"/>
      <c r="AM28" s="64" t="n"/>
      <c r="AN28" s="64" t="n"/>
      <c r="AO28" s="64" t="n"/>
      <c r="AP28" s="64" t="n"/>
      <c r="AQ28" s="64" t="n"/>
      <c r="AR28" s="64" t="n"/>
      <c r="AS28" s="64" t="n"/>
      <c r="AT28" s="64" t="n"/>
      <c r="AU28" s="64" t="n"/>
      <c r="AV28" s="64" t="n"/>
      <c r="AW28" s="64" t="n"/>
      <c r="AX28" s="64" t="n"/>
      <c r="AY28" s="64" t="n"/>
      <c r="AZ28" s="64" t="n"/>
      <c r="BA28" s="76" t="n"/>
      <c r="BB28" s="76" t="n"/>
      <c r="BC28" s="76" t="n"/>
      <c r="BD28" s="76" t="n"/>
      <c r="BE28" s="64" t="n"/>
      <c r="BF28" s="64" t="n"/>
      <c r="BG28" s="64" t="n"/>
      <c r="BH28" s="64" t="n"/>
    </row>
    <row r="29" ht="18.75" customHeight="1">
      <c r="A29" s="63" t="n"/>
      <c r="B29" s="100" t="n"/>
      <c r="C29" s="600" t="n"/>
      <c r="F29" s="64" t="n"/>
      <c r="G29" s="64" t="n"/>
      <c r="H29" s="64" t="n"/>
      <c r="I29" s="64" t="n"/>
      <c r="J29" s="64" t="n"/>
      <c r="K29" s="64" t="n"/>
      <c r="L29" s="64" t="n"/>
      <c r="M29" s="64" t="n"/>
      <c r="N29" s="64" t="n"/>
      <c r="O29" s="64" t="n"/>
      <c r="P29" s="64" t="n"/>
      <c r="Q29" s="64" t="n"/>
      <c r="R29" s="64" t="n"/>
      <c r="S29" s="64" t="n"/>
      <c r="T29" s="64" t="n"/>
      <c r="U29" s="64" t="n"/>
      <c r="V29" s="64" t="n"/>
      <c r="W29" s="64" t="n"/>
      <c r="X29" s="64" t="n"/>
      <c r="Y29" s="64" t="n"/>
      <c r="Z29" s="64" t="n"/>
      <c r="AA29" s="64" t="n"/>
      <c r="AB29" s="64" t="n"/>
      <c r="AC29" s="64" t="n"/>
      <c r="AD29" s="64" t="n"/>
      <c r="AE29" s="64" t="n"/>
      <c r="AF29" s="64" t="n"/>
      <c r="AG29" s="64" t="n"/>
      <c r="AH29" s="64" t="n"/>
      <c r="AI29" s="64" t="n"/>
      <c r="AJ29" s="64" t="n"/>
      <c r="AK29" s="64" t="n"/>
      <c r="AL29" s="64" t="n"/>
      <c r="AM29" s="64" t="n"/>
      <c r="AN29" s="64" t="n"/>
      <c r="AO29" s="64" t="n"/>
      <c r="AP29" s="64" t="n"/>
      <c r="AQ29" s="64" t="n"/>
      <c r="AR29" s="64" t="n"/>
      <c r="AS29" s="64" t="n"/>
      <c r="AT29" s="64" t="n"/>
      <c r="AU29" s="64" t="n"/>
      <c r="AV29" s="64" t="n"/>
      <c r="AW29" s="64" t="n"/>
      <c r="AX29" s="64" t="n"/>
      <c r="AY29" s="64" t="n"/>
      <c r="AZ29" s="64" t="n"/>
      <c r="BA29" s="76" t="n"/>
      <c r="BB29" s="76" t="n"/>
      <c r="BC29" s="76" t="n"/>
      <c r="BD29" s="76" t="n"/>
      <c r="BE29" s="64" t="n"/>
      <c r="BF29" s="64" t="n"/>
      <c r="BG29" s="64" t="n"/>
      <c r="BH29" s="64" t="n"/>
    </row>
    <row r="30" ht="18.75" customHeight="1">
      <c r="A30" s="63" t="n"/>
      <c r="B30" s="100" t="n"/>
      <c r="C30" s="600" t="n"/>
      <c r="F30" s="64" t="n"/>
      <c r="G30" s="64" t="n"/>
      <c r="H30" s="64" t="n"/>
      <c r="I30" s="64" t="n"/>
      <c r="J30" s="64" t="n"/>
      <c r="K30" s="64" t="n"/>
      <c r="L30" s="64" t="n"/>
      <c r="M30" s="64" t="n"/>
      <c r="N30" s="64" t="n"/>
      <c r="O30" s="64" t="n"/>
      <c r="P30" s="64" t="n"/>
      <c r="Q30" s="64" t="n"/>
      <c r="R30" s="64" t="n"/>
      <c r="S30" s="64" t="n"/>
      <c r="T30" s="64" t="n"/>
      <c r="U30" s="64" t="n"/>
      <c r="V30" s="64" t="n"/>
      <c r="W30" s="64" t="n"/>
      <c r="X30" s="64" t="n"/>
      <c r="Y30" s="64" t="n"/>
      <c r="Z30" s="64" t="n"/>
      <c r="AA30" s="64" t="n"/>
      <c r="AB30" s="64" t="n"/>
      <c r="AC30" s="64" t="n"/>
      <c r="AD30" s="64" t="n"/>
      <c r="AE30" s="64" t="n"/>
      <c r="AF30" s="64" t="n"/>
      <c r="AG30" s="64" t="n"/>
      <c r="AH30" s="64" t="n"/>
      <c r="AI30" s="64" t="n"/>
      <c r="AJ30" s="64" t="n"/>
      <c r="AK30" s="64" t="n"/>
      <c r="AL30" s="64" t="n"/>
      <c r="AM30" s="64" t="n"/>
      <c r="AN30" s="64" t="n"/>
      <c r="AO30" s="64" t="n"/>
      <c r="AP30" s="64" t="n"/>
      <c r="AQ30" s="64" t="n"/>
      <c r="AR30" s="64" t="n"/>
      <c r="AS30" s="64" t="n"/>
      <c r="AT30" s="64" t="n"/>
      <c r="AU30" s="64" t="n"/>
      <c r="AV30" s="64" t="n"/>
      <c r="AW30" s="64" t="n"/>
      <c r="AX30" s="64" t="n"/>
      <c r="AY30" s="64" t="n"/>
      <c r="AZ30" s="64" t="n"/>
      <c r="BA30" s="76" t="n"/>
      <c r="BB30" s="76" t="n"/>
      <c r="BC30" s="76" t="n"/>
      <c r="BD30" s="76" t="n"/>
      <c r="BE30" s="64" t="n"/>
      <c r="BF30" s="64" t="n"/>
      <c r="BG30" s="64" t="n"/>
      <c r="BH30" s="64" t="n"/>
    </row>
    <row r="31" ht="11.25" customFormat="1" customHeight="1" s="18">
      <c r="A31" s="375" t="n"/>
      <c r="B31" s="100" t="n"/>
      <c r="C31" s="103" t="n"/>
      <c r="D31" s="103" t="n"/>
      <c r="E31" s="103" t="n"/>
      <c r="F31" s="103" t="n"/>
      <c r="G31" s="103" t="n"/>
      <c r="H31" s="103" t="n"/>
      <c r="I31" s="103" t="n"/>
      <c r="J31" s="103" t="n"/>
      <c r="K31" s="103" t="n"/>
      <c r="L31" s="103" t="n"/>
      <c r="M31" s="103" t="n"/>
      <c r="N31" s="103" t="n"/>
      <c r="O31" s="103" t="n"/>
      <c r="P31" s="103" t="n"/>
      <c r="Q31" s="103" t="n"/>
      <c r="R31" s="103" t="n"/>
      <c r="S31" s="103" t="n"/>
      <c r="T31" s="103" t="n"/>
      <c r="U31" s="103" t="n"/>
      <c r="V31" s="103" t="n"/>
      <c r="W31" s="103" t="n"/>
      <c r="X31" s="103" t="n"/>
      <c r="Y31" s="103" t="n"/>
      <c r="Z31" s="103" t="n"/>
      <c r="AA31" s="103" t="n"/>
      <c r="AB31" s="103" t="n"/>
      <c r="AC31" s="103" t="n"/>
      <c r="AD31" s="103" t="n"/>
      <c r="AE31" s="103" t="n"/>
      <c r="AF31" s="103" t="n"/>
      <c r="AG31" s="103" t="n"/>
      <c r="AH31" s="103" t="n"/>
      <c r="AI31" s="103" t="n"/>
      <c r="AJ31" s="103" t="n"/>
      <c r="AK31" s="103" t="n"/>
      <c r="AL31" s="103" t="n"/>
      <c r="AM31" s="103" t="n"/>
      <c r="AN31" s="103" t="n"/>
      <c r="AO31" s="103" t="n"/>
      <c r="AP31" s="103" t="n"/>
      <c r="AQ31" s="103" t="n"/>
      <c r="AR31" s="103" t="n"/>
      <c r="AS31" s="103" t="n"/>
      <c r="AT31" s="103" t="n"/>
      <c r="AU31" s="103" t="n"/>
      <c r="AV31" s="103" t="n"/>
      <c r="AW31" s="103" t="n"/>
      <c r="AX31" s="103" t="n"/>
      <c r="AY31" s="103" t="n"/>
      <c r="AZ31" s="103" t="n"/>
      <c r="BA31" s="103" t="n"/>
      <c r="BB31" s="103" t="n"/>
      <c r="BC31" s="103" t="n"/>
      <c r="BD31" s="103" t="n"/>
      <c r="BE31" s="103" t="n"/>
      <c r="BF31" s="103" t="n"/>
      <c r="BG31" s="103" t="n"/>
      <c r="BH31" s="103" t="n"/>
    </row>
    <row r="32" ht="18.75" customFormat="1" customHeight="1" s="18">
      <c r="A32" s="375" t="n"/>
      <c r="B32" s="100" t="n"/>
      <c r="C32" s="103" t="n"/>
      <c r="D32" s="103" t="n"/>
      <c r="E32" s="103" t="n"/>
      <c r="F32" s="103" t="n"/>
      <c r="G32" s="103" t="n"/>
      <c r="H32" s="103" t="n"/>
      <c r="I32" s="103" t="n"/>
      <c r="J32" s="103" t="n"/>
      <c r="K32" s="103" t="n"/>
      <c r="L32" s="103" t="n"/>
      <c r="M32" s="103" t="n"/>
      <c r="N32" s="103" t="n"/>
      <c r="O32" s="103" t="n"/>
      <c r="P32" s="103" t="n"/>
      <c r="Q32" s="103" t="n"/>
      <c r="R32" s="103" t="n"/>
      <c r="S32" s="103" t="n"/>
      <c r="T32" s="103" t="n"/>
      <c r="U32" s="103" t="n"/>
      <c r="V32" s="103" t="n"/>
      <c r="W32" s="103" t="n"/>
      <c r="X32" s="103" t="n"/>
      <c r="Y32" s="103" t="n"/>
      <c r="Z32" s="103" t="n"/>
      <c r="AA32" s="103" t="n"/>
      <c r="AB32" s="103" t="n"/>
      <c r="AC32" s="103" t="n"/>
      <c r="AD32" s="103" t="n"/>
      <c r="AE32" s="103" t="n"/>
      <c r="AF32" s="103" t="n"/>
      <c r="AG32" s="103" t="n"/>
      <c r="AH32" s="103" t="n"/>
      <c r="AI32" s="103" t="n"/>
      <c r="AJ32" s="103" t="n"/>
      <c r="AK32" s="103" t="n"/>
      <c r="AL32" s="103" t="n"/>
      <c r="AM32" s="103" t="n"/>
      <c r="AN32" s="103" t="n"/>
      <c r="AO32" s="103" t="n"/>
      <c r="AP32" s="103" t="n"/>
      <c r="AQ32" s="103" t="n"/>
      <c r="AR32" s="103" t="n"/>
      <c r="AS32" s="103" t="n"/>
      <c r="AT32" s="103" t="n"/>
      <c r="AU32" s="103" t="n"/>
      <c r="AV32" s="103" t="n"/>
      <c r="AW32" s="103" t="n"/>
      <c r="AX32" s="103" t="n"/>
      <c r="AY32" s="103" t="n"/>
      <c r="AZ32" s="103" t="n"/>
      <c r="BA32" s="103" t="n"/>
      <c r="BB32" s="103" t="n"/>
      <c r="BC32" s="103" t="n"/>
      <c r="BD32" s="103" t="n"/>
      <c r="BE32" s="103" t="n"/>
      <c r="BF32" s="103" t="n"/>
      <c r="BG32" s="103" t="n"/>
      <c r="BH32" s="103" t="n"/>
    </row>
    <row r="33" ht="18.75" customHeight="1">
      <c r="A33" s="600" t="n"/>
      <c r="B33" s="186" t="n"/>
      <c r="C33" s="64" t="n"/>
      <c r="D33" s="64" t="n"/>
      <c r="E33" s="64" t="n"/>
      <c r="F33" s="64" t="n"/>
      <c r="G33" s="64" t="n"/>
      <c r="H33" s="64" t="n"/>
      <c r="I33" s="64" t="n"/>
      <c r="J33" s="64" t="n"/>
      <c r="K33" s="64" t="n"/>
      <c r="L33" s="64" t="n"/>
      <c r="M33" s="64" t="n"/>
      <c r="N33" s="64" t="n"/>
      <c r="O33" s="64" t="n"/>
      <c r="P33" s="64" t="n"/>
      <c r="Q33" s="64" t="n"/>
      <c r="R33" s="64" t="n"/>
      <c r="S33" s="64" t="n"/>
      <c r="T33" s="64" t="n"/>
      <c r="U33" s="64" t="n"/>
      <c r="V33" s="64" t="n"/>
      <c r="W33" s="64" t="n"/>
      <c r="X33" s="64" t="n"/>
      <c r="Y33" s="64" t="n"/>
      <c r="Z33" s="64" t="n"/>
      <c r="AA33" s="64" t="n"/>
      <c r="AB33" s="64" t="n"/>
      <c r="AC33" s="64" t="n"/>
      <c r="AD33" s="64" t="n"/>
      <c r="AE33" s="64" t="n"/>
      <c r="AF33" s="64" t="n"/>
      <c r="AG33" s="64" t="n"/>
      <c r="AH33" s="64" t="n"/>
      <c r="AI33" s="64" t="n"/>
      <c r="AJ33" s="64" t="n"/>
      <c r="AK33" s="64" t="n"/>
      <c r="AL33" s="64" t="n"/>
      <c r="AM33" s="64" t="n"/>
      <c r="AN33" s="64" t="n"/>
      <c r="AO33" s="64" t="n"/>
      <c r="AP33" s="64" t="n"/>
      <c r="AQ33" s="64" t="n"/>
      <c r="AR33" s="64" t="n"/>
      <c r="AS33" s="64" t="n"/>
      <c r="AT33" s="64" t="n"/>
      <c r="AU33" s="64" t="n"/>
      <c r="AV33" s="64" t="n"/>
      <c r="AW33" s="64" t="n"/>
      <c r="AX33" s="64" t="n"/>
      <c r="AY33" s="64" t="n"/>
      <c r="AZ33" s="64" t="n"/>
      <c r="BA33" s="64" t="n"/>
      <c r="BB33" s="64" t="n"/>
      <c r="BC33" s="64" t="n"/>
      <c r="BD33" s="64" t="n"/>
      <c r="BE33" s="64" t="n"/>
      <c r="BF33" s="64" t="n"/>
      <c r="BG33" s="64" t="n"/>
      <c r="BH33" s="64" t="n"/>
    </row>
    <row r="34" ht="18.75" customHeight="1">
      <c r="A34" s="600" t="n"/>
      <c r="B34" s="186" t="n"/>
      <c r="C34" s="64" t="n"/>
      <c r="D34" s="64" t="n"/>
      <c r="E34" s="64" t="n"/>
      <c r="F34" s="64" t="n"/>
      <c r="G34" s="64" t="n"/>
      <c r="H34" s="64" t="n"/>
      <c r="I34" s="64" t="n"/>
      <c r="J34" s="64" t="n"/>
      <c r="K34" s="64" t="n"/>
      <c r="L34" s="64" t="n"/>
      <c r="M34" s="64" t="n"/>
      <c r="N34" s="64" t="n"/>
      <c r="O34" s="64" t="n"/>
      <c r="P34" s="64" t="n"/>
      <c r="Q34" s="64" t="n"/>
      <c r="R34" s="64" t="n"/>
      <c r="S34" s="64" t="n"/>
      <c r="T34" s="64" t="n"/>
      <c r="U34" s="64" t="n"/>
      <c r="V34" s="64" t="n"/>
      <c r="W34" s="64" t="n"/>
      <c r="X34" s="64" t="n"/>
      <c r="Y34" s="64" t="n"/>
      <c r="Z34" s="64" t="n"/>
      <c r="AA34" s="64" t="n"/>
      <c r="AB34" s="64" t="n"/>
      <c r="AC34" s="64" t="n"/>
      <c r="AD34" s="64" t="n"/>
      <c r="AE34" s="64" t="n"/>
      <c r="AF34" s="64" t="n"/>
      <c r="AG34" s="64" t="n"/>
      <c r="AH34" s="64" t="n"/>
      <c r="AI34" s="64" t="n"/>
      <c r="AJ34" s="64" t="n"/>
      <c r="AK34" s="64" t="n"/>
      <c r="AL34" s="64" t="n"/>
      <c r="AM34" s="64" t="n"/>
      <c r="AN34" s="64" t="n"/>
      <c r="AO34" s="64" t="n"/>
      <c r="AP34" s="64" t="n"/>
      <c r="AQ34" s="64" t="n"/>
      <c r="AR34" s="64" t="n"/>
      <c r="AS34" s="64" t="n"/>
      <c r="AT34" s="64" t="n"/>
      <c r="AU34" s="64" t="n"/>
      <c r="AV34" s="64" t="n"/>
      <c r="AW34" s="64" t="n"/>
      <c r="AX34" s="64" t="n"/>
      <c r="AY34" s="64" t="n"/>
      <c r="AZ34" s="64" t="n"/>
      <c r="BA34" s="64" t="n"/>
      <c r="BB34" s="64" t="n"/>
      <c r="BC34" s="64" t="n"/>
      <c r="BD34" s="64" t="n"/>
      <c r="BE34" s="64" t="n"/>
      <c r="BF34" s="64" t="n"/>
      <c r="BG34" s="64" t="n"/>
      <c r="BH34" s="64" t="n"/>
    </row>
    <row r="35" ht="18.75" customHeight="1">
      <c r="A35" s="600" t="n"/>
      <c r="B35" s="186" t="n"/>
      <c r="C35" s="64" t="n"/>
      <c r="D35" s="64" t="n"/>
      <c r="E35" s="64" t="n"/>
      <c r="F35" s="64" t="n"/>
      <c r="G35" s="64" t="n"/>
      <c r="H35" s="64" t="n"/>
      <c r="I35" s="64" t="n"/>
      <c r="J35" s="64" t="n"/>
      <c r="K35" s="64" t="n"/>
      <c r="L35" s="64" t="n"/>
      <c r="M35" s="64" t="n"/>
      <c r="N35" s="64" t="n"/>
      <c r="O35" s="64" t="n"/>
      <c r="P35" s="64" t="n"/>
      <c r="Q35" s="64" t="n"/>
      <c r="R35" s="64" t="n"/>
      <c r="S35" s="64" t="n"/>
      <c r="T35" s="64" t="n"/>
      <c r="U35" s="64" t="n"/>
      <c r="V35" s="64" t="n"/>
      <c r="W35" s="64" t="n"/>
      <c r="X35" s="64" t="n"/>
      <c r="Y35" s="64" t="n"/>
      <c r="Z35" s="64" t="n"/>
      <c r="AA35" s="64" t="n"/>
      <c r="AB35" s="64" t="n"/>
      <c r="AC35" s="64" t="n"/>
      <c r="AD35" s="64" t="n"/>
      <c r="AE35" s="64" t="n"/>
      <c r="AF35" s="64" t="n"/>
      <c r="AG35" s="64" t="n"/>
      <c r="AH35" s="64" t="n"/>
      <c r="AI35" s="64" t="n"/>
      <c r="AJ35" s="64" t="n"/>
      <c r="AK35" s="64" t="n"/>
      <c r="AL35" s="64" t="n"/>
      <c r="AM35" s="64" t="n"/>
      <c r="AN35" s="64" t="n"/>
      <c r="AO35" s="64" t="n"/>
      <c r="AP35" s="64" t="n"/>
      <c r="AQ35" s="64" t="n"/>
      <c r="AR35" s="64" t="n"/>
      <c r="AS35" s="64" t="n"/>
      <c r="AT35" s="64" t="n"/>
      <c r="AU35" s="64" t="n"/>
      <c r="AV35" s="64" t="n"/>
      <c r="AW35" s="64" t="n"/>
      <c r="AX35" s="64" t="n"/>
      <c r="AY35" s="64" t="n"/>
      <c r="AZ35" s="64" t="n"/>
      <c r="BA35" s="64" t="n"/>
      <c r="BB35" s="64" t="n"/>
      <c r="BC35" s="64" t="n"/>
      <c r="BD35" s="64" t="n"/>
      <c r="BE35" s="64" t="n"/>
      <c r="BF35" s="64" t="n"/>
      <c r="BG35" s="64" t="n"/>
      <c r="BH35" s="64" t="n"/>
    </row>
  </sheetData>
  <mergeCells count="25">
    <mergeCell ref="A3:AT3"/>
    <mergeCell ref="A24:K24"/>
    <mergeCell ref="A5:AE5"/>
    <mergeCell ref="E12:AN20"/>
    <mergeCell ref="A2:AT2"/>
    <mergeCell ref="P26:AF26"/>
    <mergeCell ref="P25:AF25"/>
    <mergeCell ref="AJ27:AT27"/>
    <mergeCell ref="A22:AT22"/>
    <mergeCell ref="A4:AT4"/>
    <mergeCell ref="A25:K25"/>
    <mergeCell ref="AL5:AN5"/>
    <mergeCell ref="A27:K27"/>
    <mergeCell ref="AE23:AO23"/>
    <mergeCell ref="P27:AF27"/>
    <mergeCell ref="A9:AT9"/>
    <mergeCell ref="A26:K26"/>
    <mergeCell ref="AO5:AS5"/>
    <mergeCell ref="S24:AC24"/>
    <mergeCell ref="AJ24:AT24"/>
    <mergeCell ref="C30:E30"/>
    <mergeCell ref="A1:AT1"/>
    <mergeCell ref="AJ26:AT26"/>
    <mergeCell ref="AJ25:AT25"/>
    <mergeCell ref="C29:E29"/>
  </mergeCells>
  <pageMargins left="0.7" right="0.7" top="0.75" bottom="0.75" header="0.3" footer="0.3"/>
</worksheet>
</file>

<file path=xl/worksheets/sheet22.xml><?xml version="1.0" encoding="utf-8"?>
<worksheet xmlns="http://schemas.openxmlformats.org/spreadsheetml/2006/main">
  <sheetPr>
    <outlinePr summaryBelow="0"/>
    <pageSetUpPr/>
  </sheetPr>
  <dimension ref="A1:BH35"/>
  <sheetViews>
    <sheetView workbookViewId="0">
      <selection activeCell="A1" sqref="A1"/>
    </sheetView>
  </sheetViews>
  <sheetFormatPr baseColWidth="8" defaultRowHeight="15"/>
  <cols>
    <col width="3.719285714285714" bestFit="1" customWidth="1" style="63" min="1" max="1"/>
    <col width="4.433571428571429" bestFit="1" customWidth="1" style="218" min="2" max="2"/>
    <col width="2.290714285714285" bestFit="1" customWidth="1" style="64" min="3" max="3"/>
    <col width="2.290714285714285" bestFit="1" customWidth="1" style="64" min="4" max="4"/>
    <col width="2.290714285714285" bestFit="1" customWidth="1" style="64" min="5" max="5"/>
    <col width="2.290714285714285" bestFit="1" customWidth="1" style="64" min="6" max="6"/>
    <col width="2.290714285714285" bestFit="1" customWidth="1" style="64" min="7" max="7"/>
    <col width="2.290714285714285" bestFit="1" customWidth="1" style="64" min="8" max="8"/>
    <col width="1.290714285714286" bestFit="1" customWidth="1" style="64" min="9" max="9"/>
    <col width="2.719285714285714" bestFit="1" customWidth="1" style="64" min="10" max="10"/>
    <col width="2.719285714285714" bestFit="1" customWidth="1" style="64" min="11" max="11"/>
    <col width="2.290714285714285" bestFit="1" customWidth="1" style="64" min="12" max="12"/>
    <col width="2.290714285714285" bestFit="1" customWidth="1" style="64" min="13" max="13"/>
    <col width="2.290714285714285" bestFit="1" customWidth="1" style="64" min="14" max="14"/>
    <col width="2.290714285714285" bestFit="1" customWidth="1" style="64" min="15" max="15"/>
    <col width="2.290714285714285" bestFit="1" customWidth="1" style="64" min="16" max="16"/>
    <col width="2.290714285714285" bestFit="1" customWidth="1" style="64" min="17" max="17"/>
    <col width="2.290714285714285" bestFit="1" customWidth="1" style="64" min="18" max="18"/>
    <col width="2.290714285714285" bestFit="1" customWidth="1" style="64" min="19" max="19"/>
    <col width="1.719285714285714" bestFit="1" customWidth="1" style="64" min="20" max="20"/>
    <col width="1.719285714285714" bestFit="1" customWidth="1" style="64" min="21" max="21"/>
    <col width="1.719285714285714" bestFit="1" customWidth="1" style="64" min="22" max="22"/>
    <col width="1.719285714285714" bestFit="1" customWidth="1" style="64" min="23" max="23"/>
    <col width="1.719285714285714" bestFit="1" customWidth="1" style="64" min="24" max="24"/>
    <col width="1.147857142857143" bestFit="1" customWidth="1" style="64" min="25" max="25"/>
    <col width="1.719285714285714" bestFit="1" customWidth="1" style="64" min="26" max="26"/>
    <col width="1.719285714285714" bestFit="1" customWidth="1" style="64" min="27" max="27"/>
    <col width="2.290714285714285" bestFit="1" customWidth="1" style="64" min="28" max="28"/>
    <col width="2.290714285714285" bestFit="1" customWidth="1" style="64" min="29" max="29"/>
    <col width="1.862142857142857" bestFit="1" customWidth="1" style="64" min="30" max="30"/>
    <col width="2.862142857142857" bestFit="1" customWidth="1" style="64" min="31" max="31"/>
    <col width="2.862142857142857" bestFit="1" customWidth="1" style="64" min="32" max="32"/>
    <col width="2.862142857142857" bestFit="1" customWidth="1" style="64" min="33" max="33"/>
    <col width="2.290714285714285" bestFit="1" customWidth="1" style="64" min="34" max="34"/>
    <col width="2.290714285714285" bestFit="1" customWidth="1" style="64" min="35" max="35"/>
    <col width="2.290714285714285" bestFit="1" customWidth="1" style="64" min="36" max="36"/>
    <col width="2.290714285714285" bestFit="1" customWidth="1" style="64" min="37" max="37"/>
    <col width="2.290714285714285" bestFit="1" customWidth="1" style="64" min="38" max="38"/>
    <col width="2.290714285714285" bestFit="1" customWidth="1" style="64" min="39" max="39"/>
    <col width="2.290714285714285" bestFit="1" customWidth="1" style="64" min="40" max="40"/>
    <col width="2.290714285714285" bestFit="1" customWidth="1" style="64" min="41" max="41"/>
    <col width="3.147857142857143" bestFit="1" customWidth="1" style="64" min="42" max="42"/>
    <col width="2.290714285714285" bestFit="1" customWidth="1" style="64" min="43" max="43"/>
    <col width="2.147857142857143" bestFit="1" customWidth="1" style="64" min="44" max="44"/>
    <col width="2.290714285714285" bestFit="1" customWidth="1" style="64" min="45" max="45"/>
    <col width="3.147857142857143" bestFit="1" customWidth="1" style="64" min="46" max="46"/>
    <col width="13.57642857142857" bestFit="1" customWidth="1" style="64" min="47" max="47"/>
    <col width="11.43357142857143" bestFit="1" customWidth="1" style="64" min="48" max="48"/>
    <col width="11.71928571428571" bestFit="1" customWidth="1" style="64" min="49" max="49"/>
    <col width="13.57642857142857" bestFit="1" customWidth="1" style="64" min="50" max="50"/>
    <col width="13.57642857142857" bestFit="1" customWidth="1" style="64" min="51" max="51"/>
    <col width="13.57642857142857" bestFit="1" customWidth="1" style="64" min="52" max="52"/>
    <col width="13.57642857142857" bestFit="1" customWidth="1" style="64" min="53" max="53"/>
    <col width="13.57642857142857" bestFit="1" customWidth="1" style="64" min="54" max="54"/>
    <col width="13.57642857142857" bestFit="1" customWidth="1" style="64" min="55" max="55"/>
    <col width="13.57642857142857" bestFit="1" customWidth="1" style="64" min="56" max="56"/>
    <col width="13.57642857142857" bestFit="1" customWidth="1" style="64" min="57" max="57"/>
    <col width="13.57642857142857" bestFit="1" customWidth="1" style="64" min="58" max="58"/>
    <col width="13.57642857142857" bestFit="1" customWidth="1" style="64" min="59" max="59"/>
    <col width="13.57642857142857" bestFit="1" customWidth="1" style="64" min="60" max="60"/>
  </cols>
  <sheetData>
    <row r="1" ht="30.75" customFormat="1" customHeight="1" s="18">
      <c r="A1" s="419" t="inlineStr">
        <is>
          <t>evsjv‡`k K…wl e¨vsK</t>
        </is>
      </c>
      <c r="AU1" s="103" t="n"/>
      <c r="AV1" s="103" t="n"/>
      <c r="AW1" s="103" t="n"/>
      <c r="AX1" s="103" t="n"/>
      <c r="AY1" s="69" t="n"/>
      <c r="AZ1" s="103" t="n"/>
      <c r="BA1" s="103" t="n"/>
      <c r="BB1" s="103" t="n"/>
      <c r="BC1" s="103" t="n"/>
      <c r="BD1" s="103" t="n"/>
      <c r="BE1" s="103" t="n"/>
      <c r="BF1" s="103" t="n"/>
      <c r="BG1" s="103" t="n"/>
      <c r="BH1" s="103" t="n"/>
    </row>
    <row r="2" ht="19.5" customFormat="1" customHeight="1" s="18">
      <c r="A2" s="172">
        <f>+'Data Input'!D2</f>
        <v/>
      </c>
      <c r="AU2" s="103" t="n"/>
      <c r="AV2" s="103" t="n"/>
      <c r="AW2" s="103" t="n"/>
      <c r="AX2" s="103" t="n"/>
      <c r="AY2" s="71" t="n"/>
      <c r="AZ2" s="103" t="n"/>
      <c r="BA2" s="103" t="n"/>
      <c r="BB2" s="103" t="n"/>
      <c r="BC2" s="103" t="n"/>
      <c r="BD2" s="103" t="n"/>
      <c r="BE2" s="103" t="n"/>
      <c r="BF2" s="103" t="n"/>
      <c r="BG2" s="103" t="n"/>
      <c r="BH2" s="103" t="n"/>
    </row>
    <row r="3" ht="13.5" customFormat="1" customHeight="1" s="18">
      <c r="A3" s="173">
        <f>+'Data Input'!D3</f>
        <v/>
      </c>
      <c r="AU3" s="103" t="n"/>
      <c r="AV3" s="103" t="n"/>
      <c r="AW3" s="103" t="n"/>
      <c r="AX3" s="103" t="n"/>
      <c r="AY3" s="73" t="n"/>
      <c r="AZ3" s="103" t="n"/>
      <c r="BA3" s="103" t="n"/>
      <c r="BB3" s="103" t="n"/>
      <c r="BC3" s="103" t="n"/>
      <c r="BD3" s="103" t="n"/>
      <c r="BE3" s="103" t="n"/>
      <c r="BF3" s="103" t="n"/>
      <c r="BG3" s="103" t="n"/>
      <c r="BH3" s="103" t="n"/>
    </row>
    <row r="4" ht="13.5" customFormat="1" customHeight="1" s="18">
      <c r="A4" s="175">
        <f>+'Data Input'!D4</f>
        <v/>
      </c>
      <c r="B4" s="2613" t="n"/>
      <c r="C4" s="2613" t="n"/>
      <c r="D4" s="2613" t="n"/>
      <c r="E4" s="2613" t="n"/>
      <c r="F4" s="2613" t="n"/>
      <c r="G4" s="2613" t="n"/>
      <c r="H4" s="2613" t="n"/>
      <c r="I4" s="2613" t="n"/>
      <c r="J4" s="2613" t="n"/>
      <c r="K4" s="2613" t="n"/>
      <c r="L4" s="2613" t="n"/>
      <c r="M4" s="2613" t="n"/>
      <c r="N4" s="2613" t="n"/>
      <c r="O4" s="2613" t="n"/>
      <c r="P4" s="2613" t="n"/>
      <c r="Q4" s="2613" t="n"/>
      <c r="R4" s="2613" t="n"/>
      <c r="S4" s="2613" t="n"/>
      <c r="T4" s="2613" t="n"/>
      <c r="U4" s="2613" t="n"/>
      <c r="V4" s="2613" t="n"/>
      <c r="W4" s="2613" t="n"/>
      <c r="X4" s="2613" t="n"/>
      <c r="Y4" s="2613" t="n"/>
      <c r="Z4" s="2613" t="n"/>
      <c r="AA4" s="2613" t="n"/>
      <c r="AB4" s="2613" t="n"/>
      <c r="AC4" s="2613" t="n"/>
      <c r="AD4" s="2613" t="n"/>
      <c r="AE4" s="2613" t="n"/>
      <c r="AF4" s="2613" t="n"/>
      <c r="AG4" s="2613" t="n"/>
      <c r="AH4" s="2613" t="n"/>
      <c r="AI4" s="2613" t="n"/>
      <c r="AJ4" s="2613" t="n"/>
      <c r="AK4" s="2613" t="n"/>
      <c r="AL4" s="2613" t="n"/>
      <c r="AM4" s="2613" t="n"/>
      <c r="AN4" s="2613" t="n"/>
      <c r="AO4" s="2613" t="n"/>
      <c r="AP4" s="2613" t="n"/>
      <c r="AQ4" s="2613" t="n"/>
      <c r="AR4" s="2613" t="n"/>
      <c r="AS4" s="2613" t="n"/>
      <c r="AT4" s="2613" t="n"/>
      <c r="AU4" s="103" t="n"/>
      <c r="AV4" s="103" t="n"/>
      <c r="AW4" s="103" t="n"/>
      <c r="AX4" s="103" t="n"/>
      <c r="AY4" s="75" t="n"/>
      <c r="AZ4" s="103" t="n"/>
      <c r="BA4" s="103" t="n"/>
      <c r="BB4" s="103" t="n"/>
      <c r="BC4" s="103" t="n"/>
      <c r="BD4" s="103" t="n"/>
      <c r="BE4" s="103" t="n"/>
      <c r="BF4" s="103" t="n"/>
      <c r="BG4" s="103" t="n"/>
      <c r="BH4" s="103" t="n"/>
    </row>
    <row r="5" ht="16.5" customHeight="1">
      <c r="A5" s="1929">
        <f>"   "&amp;'Data Input'!B5&amp;""&amp;'Data Input'!D5</f>
        <v/>
      </c>
      <c r="B5" s="2614" t="n"/>
      <c r="C5" s="2614" t="n"/>
      <c r="D5" s="2614" t="n"/>
      <c r="E5" s="2614" t="n"/>
      <c r="F5" s="2614" t="n"/>
      <c r="G5" s="2614" t="n"/>
      <c r="H5" s="2614" t="n"/>
      <c r="I5" s="2614" t="n"/>
      <c r="J5" s="2614" t="n"/>
      <c r="K5" s="2614" t="n"/>
      <c r="L5" s="2614" t="n"/>
      <c r="M5" s="2614" t="n"/>
      <c r="N5" s="2614" t="n"/>
      <c r="O5" s="2614" t="n"/>
      <c r="P5" s="2614" t="n"/>
      <c r="Q5" s="2614" t="n"/>
      <c r="R5" s="2614" t="n"/>
      <c r="S5" s="2614" t="n"/>
      <c r="T5" s="2614" t="n"/>
      <c r="U5" s="2614" t="n"/>
      <c r="V5" s="2614" t="n"/>
      <c r="W5" s="2614" t="n"/>
      <c r="X5" s="2614" t="n"/>
      <c r="Y5" s="2614" t="n"/>
      <c r="Z5" s="2614" t="n"/>
      <c r="AA5" s="2614" t="n"/>
      <c r="AB5" s="2614" t="n"/>
      <c r="AC5" s="2614" t="n"/>
      <c r="AD5" s="2614" t="n"/>
      <c r="AE5" s="2614" t="n"/>
      <c r="AF5" s="310" t="n"/>
      <c r="AG5" s="311" t="n"/>
      <c r="AH5" s="311" t="n"/>
      <c r="AI5" s="310" t="n"/>
      <c r="AJ5" s="310" t="n"/>
      <c r="AK5" s="310" t="n"/>
      <c r="AL5" s="311" t="n"/>
      <c r="AM5" s="2614" t="n"/>
      <c r="AN5" s="2614" t="n"/>
      <c r="AO5" s="312" t="n"/>
      <c r="AP5" s="2614" t="n"/>
      <c r="AQ5" s="2614" t="n"/>
      <c r="AR5" s="2614" t="n"/>
      <c r="AS5" s="2614" t="n"/>
      <c r="AT5" s="313" t="n"/>
      <c r="AU5" s="64" t="n"/>
      <c r="AV5" s="64" t="n"/>
      <c r="AW5" s="64" t="n"/>
      <c r="AX5" s="64" t="n"/>
      <c r="AY5" s="64" t="n"/>
      <c r="AZ5" s="64" t="n"/>
      <c r="BA5" s="64" t="n"/>
      <c r="BB5" s="64" t="n"/>
      <c r="BC5" s="64" t="n"/>
      <c r="BD5" s="64" t="n"/>
      <c r="BE5" s="64" t="n"/>
      <c r="BF5" s="64" t="n"/>
      <c r="BG5" s="64" t="n"/>
      <c r="BH5" s="64" t="n"/>
    </row>
    <row r="6" ht="9" customHeight="1">
      <c r="A6" s="600" t="n"/>
      <c r="B6" s="600" t="n"/>
      <c r="C6" s="600" t="n"/>
      <c r="D6" s="600" t="n"/>
      <c r="E6" s="600" t="n"/>
      <c r="F6" s="600" t="n"/>
      <c r="G6" s="600" t="n"/>
      <c r="H6" s="600" t="n"/>
      <c r="I6" s="600" t="n"/>
      <c r="J6" s="600" t="n"/>
      <c r="K6" s="600" t="n"/>
      <c r="L6" s="600" t="n"/>
      <c r="M6" s="600" t="n"/>
      <c r="N6" s="600" t="n"/>
      <c r="O6" s="600" t="n"/>
      <c r="P6" s="600" t="n"/>
      <c r="Q6" s="600" t="n"/>
      <c r="R6" s="600" t="n"/>
      <c r="S6" s="600" t="n"/>
      <c r="T6" s="600" t="n"/>
      <c r="U6" s="600" t="n"/>
      <c r="V6" s="600" t="n"/>
      <c r="W6" s="600" t="n"/>
      <c r="X6" s="600" t="n"/>
      <c r="Y6" s="600" t="n"/>
      <c r="Z6" s="600" t="n"/>
      <c r="AA6" s="600" t="n"/>
      <c r="AB6" s="600" t="n"/>
      <c r="AC6" s="600" t="n"/>
      <c r="AD6" s="600" t="n"/>
      <c r="AE6" s="600" t="n"/>
      <c r="AF6" s="64" t="n"/>
      <c r="AG6" s="76" t="n"/>
      <c r="AH6" s="76" t="n"/>
      <c r="AI6" s="64" t="n"/>
      <c r="AJ6" s="64" t="n"/>
      <c r="AK6" s="64" t="n"/>
      <c r="AL6" s="76" t="n"/>
      <c r="AM6" s="76" t="n"/>
      <c r="AN6" s="76" t="n"/>
      <c r="AO6" s="77" t="n"/>
      <c r="AP6" s="77" t="n"/>
      <c r="AQ6" s="77" t="n"/>
      <c r="AR6" s="77" t="n"/>
      <c r="AS6" s="77" t="n"/>
      <c r="AT6" s="78" t="n"/>
      <c r="AU6" s="64" t="n"/>
      <c r="AV6" s="64" t="n"/>
      <c r="AW6" s="64" t="n"/>
      <c r="AX6" s="64" t="n"/>
      <c r="AY6" s="64" t="n"/>
      <c r="AZ6" s="64" t="n"/>
      <c r="BA6" s="64" t="n"/>
      <c r="BB6" s="64" t="n"/>
      <c r="BC6" s="64" t="n"/>
      <c r="BD6" s="64" t="n"/>
      <c r="BE6" s="64" t="n"/>
      <c r="BF6" s="64" t="n"/>
      <c r="BG6" s="64" t="n"/>
      <c r="BH6" s="64" t="n"/>
    </row>
    <row r="7" ht="16.5" customHeight="1">
      <c r="A7" s="600" t="n"/>
      <c r="B7" s="600" t="n"/>
      <c r="C7" s="600" t="n"/>
      <c r="D7" s="600" t="n"/>
      <c r="E7" s="600" t="n"/>
      <c r="F7" s="600" t="n"/>
      <c r="G7" s="600" t="n"/>
      <c r="H7" s="600" t="n"/>
      <c r="I7" s="600" t="n"/>
      <c r="J7" s="600" t="n"/>
      <c r="K7" s="600" t="n"/>
      <c r="L7" s="600" t="n"/>
      <c r="M7" s="600" t="n"/>
      <c r="N7" s="600" t="n"/>
      <c r="O7" s="600" t="n"/>
      <c r="P7" s="600" t="n"/>
      <c r="Q7" s="600" t="n"/>
      <c r="R7" s="600" t="n"/>
      <c r="S7" s="600" t="n"/>
      <c r="T7" s="600" t="n"/>
      <c r="U7" s="600" t="n"/>
      <c r="V7" s="600" t="n"/>
      <c r="W7" s="600" t="n"/>
      <c r="X7" s="600" t="n"/>
      <c r="Y7" s="600" t="n"/>
      <c r="Z7" s="600" t="n"/>
      <c r="AA7" s="600" t="n"/>
      <c r="AB7" s="600" t="n"/>
      <c r="AC7" s="600" t="n"/>
      <c r="AD7" s="600" t="n"/>
      <c r="AE7" s="600" t="n"/>
      <c r="AF7" s="64" t="n"/>
      <c r="AG7" s="76" t="n"/>
      <c r="AH7" s="76" t="n"/>
      <c r="AI7" s="64" t="n"/>
      <c r="AJ7" s="64" t="n"/>
      <c r="AK7" s="64" t="n"/>
      <c r="AL7" s="76" t="n"/>
      <c r="AM7" s="76" t="n"/>
      <c r="AN7" s="76" t="n"/>
      <c r="AO7" s="77" t="n"/>
      <c r="AP7" s="77" t="n"/>
      <c r="AQ7" s="77" t="n"/>
      <c r="AR7" s="77" t="n"/>
      <c r="AS7" s="77" t="n"/>
      <c r="AT7" s="78" t="n"/>
      <c r="AU7" s="64" t="n"/>
      <c r="AV7" s="64" t="n"/>
      <c r="AW7" s="64" t="n"/>
      <c r="AX7" s="64" t="n"/>
      <c r="AY7" s="64" t="n"/>
      <c r="AZ7" s="64" t="n"/>
      <c r="BA7" s="64" t="n"/>
      <c r="BB7" s="64" t="n"/>
      <c r="BC7" s="64" t="n"/>
      <c r="BD7" s="64" t="n"/>
      <c r="BE7" s="64" t="n"/>
      <c r="BF7" s="64" t="n"/>
      <c r="BG7" s="64" t="n"/>
      <c r="BH7" s="64" t="n"/>
    </row>
    <row r="8" ht="16.5" customHeight="1">
      <c r="A8" s="600" t="n"/>
      <c r="B8" s="600" t="n"/>
      <c r="C8" s="600" t="n"/>
      <c r="D8" s="600" t="n"/>
      <c r="E8" s="600" t="n"/>
      <c r="F8" s="600" t="n"/>
      <c r="G8" s="600" t="n"/>
      <c r="H8" s="600" t="n"/>
      <c r="I8" s="600" t="n"/>
      <c r="J8" s="600" t="n"/>
      <c r="K8" s="600" t="n"/>
      <c r="L8" s="600" t="n"/>
      <c r="M8" s="600" t="n"/>
      <c r="N8" s="600" t="n"/>
      <c r="O8" s="600" t="n"/>
      <c r="P8" s="600" t="n"/>
      <c r="Q8" s="600" t="n"/>
      <c r="R8" s="600" t="n"/>
      <c r="S8" s="600" t="n"/>
      <c r="T8" s="600" t="n"/>
      <c r="U8" s="600" t="n"/>
      <c r="V8" s="600" t="n"/>
      <c r="W8" s="600" t="n"/>
      <c r="X8" s="600" t="n"/>
      <c r="Y8" s="600" t="n"/>
      <c r="Z8" s="600" t="n"/>
      <c r="AA8" s="600" t="n"/>
      <c r="AB8" s="600" t="n"/>
      <c r="AC8" s="600" t="n"/>
      <c r="AD8" s="600" t="n"/>
      <c r="AE8" s="600" t="n"/>
      <c r="AF8" s="64" t="n"/>
      <c r="AG8" s="76" t="n"/>
      <c r="AH8" s="76" t="n"/>
      <c r="AI8" s="64" t="n"/>
      <c r="AJ8" s="64" t="n"/>
      <c r="AK8" s="64" t="n"/>
      <c r="AL8" s="76" t="n"/>
      <c r="AM8" s="76" t="n"/>
      <c r="AN8" s="76" t="n"/>
      <c r="AO8" s="77" t="n"/>
      <c r="AP8" s="77" t="n"/>
      <c r="AQ8" s="77" t="n"/>
      <c r="AR8" s="77" t="n"/>
      <c r="AS8" s="77" t="n"/>
      <c r="AT8" s="78" t="n"/>
      <c r="AU8" s="64" t="n"/>
      <c r="AV8" s="64" t="n"/>
      <c r="AW8" s="64" t="n"/>
      <c r="AX8" s="64" t="n"/>
      <c r="AY8" s="64" t="n"/>
      <c r="AZ8" s="64" t="n"/>
      <c r="BA8" s="64" t="n"/>
      <c r="BB8" s="64" t="n"/>
      <c r="BC8" s="64" t="n"/>
      <c r="BD8" s="64" t="n"/>
      <c r="BE8" s="64" t="n"/>
      <c r="BF8" s="64" t="n"/>
      <c r="BG8" s="64" t="n"/>
      <c r="BH8" s="64" t="n"/>
    </row>
    <row r="9" ht="27.75" customHeight="1">
      <c r="A9" s="86" t="inlineStr">
        <is>
          <t>cÖZ¨qb cÎ</t>
        </is>
      </c>
      <c r="AU9" s="64" t="n"/>
      <c r="AV9" s="64" t="n"/>
      <c r="AW9" s="64" t="n"/>
      <c r="AX9" s="64" t="n"/>
      <c r="AY9" s="64" t="n"/>
      <c r="AZ9" s="64" t="n"/>
      <c r="BA9" s="64" t="n"/>
      <c r="BB9" s="64" t="n"/>
      <c r="BC9" s="64" t="n"/>
      <c r="BD9" s="64" t="n"/>
      <c r="BE9" s="64" t="n"/>
      <c r="BF9" s="64" t="n"/>
      <c r="BG9" s="64" t="n"/>
      <c r="BH9" s="64" t="n"/>
    </row>
    <row r="10" ht="16.5" customHeight="1">
      <c r="A10" s="600" t="n"/>
      <c r="B10" s="600" t="n"/>
      <c r="C10" s="600" t="n"/>
      <c r="D10" s="600" t="n"/>
      <c r="E10" s="600" t="n"/>
      <c r="F10" s="600" t="n"/>
      <c r="G10" s="600" t="n"/>
      <c r="H10" s="600" t="n"/>
      <c r="I10" s="600" t="n"/>
      <c r="J10" s="600" t="n"/>
      <c r="K10" s="600" t="n"/>
      <c r="L10" s="600" t="n"/>
      <c r="M10" s="600" t="n"/>
      <c r="N10" s="600" t="n"/>
      <c r="O10" s="600" t="inlineStr">
        <is>
          <t xml:space="preserve">                                                   </t>
        </is>
      </c>
      <c r="P10" s="600" t="n"/>
      <c r="Q10" s="600" t="n"/>
      <c r="R10" s="600" t="n"/>
      <c r="S10" s="600" t="n"/>
      <c r="T10" s="600" t="n"/>
      <c r="U10" s="600" t="n"/>
      <c r="V10" s="600" t="n"/>
      <c r="W10" s="600" t="n"/>
      <c r="X10" s="600" t="n"/>
      <c r="Y10" s="600" t="n"/>
      <c r="Z10" s="600" t="n"/>
      <c r="AA10" s="600" t="n"/>
      <c r="AB10" s="600" t="n"/>
      <c r="AC10" s="600" t="n"/>
      <c r="AD10" s="600" t="n"/>
      <c r="AE10" s="600" t="n"/>
      <c r="AF10" s="64" t="n"/>
      <c r="AG10" s="76" t="n"/>
      <c r="AH10" s="76" t="n"/>
      <c r="AI10" s="64" t="n"/>
      <c r="AJ10" s="64" t="n"/>
      <c r="AK10" s="64" t="n"/>
      <c r="AL10" s="76" t="n"/>
      <c r="AM10" s="76" t="n"/>
      <c r="AN10" s="76" t="n"/>
      <c r="AO10" s="77" t="n"/>
      <c r="AP10" s="77" t="n"/>
      <c r="AQ10" s="77" t="n"/>
      <c r="AR10" s="77" t="n"/>
      <c r="AS10" s="77" t="n"/>
      <c r="AT10" s="78" t="n"/>
      <c r="AU10" s="64" t="n"/>
      <c r="AV10" s="64" t="n"/>
      <c r="AW10" s="64" t="n"/>
      <c r="AX10" s="64" t="n"/>
      <c r="AY10" s="64" t="n"/>
      <c r="AZ10" s="64" t="n"/>
      <c r="BA10" s="64" t="n"/>
      <c r="BB10" s="64" t="n"/>
      <c r="BC10" s="64" t="n"/>
      <c r="BD10" s="64" t="n"/>
      <c r="BE10" s="64" t="n"/>
      <c r="BF10" s="64" t="n"/>
      <c r="BG10" s="64" t="n"/>
      <c r="BH10" s="64" t="n"/>
    </row>
    <row r="11" ht="16.5" customHeight="1">
      <c r="A11" s="600" t="n"/>
      <c r="B11" s="600" t="n"/>
      <c r="C11" s="600" t="n"/>
      <c r="D11" s="600" t="n"/>
      <c r="E11" s="600" t="n"/>
      <c r="F11" s="600" t="n"/>
      <c r="G11" s="600" t="n"/>
      <c r="H11" s="600" t="n"/>
      <c r="I11" s="600" t="n"/>
      <c r="J11" s="600" t="n"/>
      <c r="K11" s="600" t="n"/>
      <c r="L11" s="600" t="n"/>
      <c r="M11" s="600" t="n"/>
      <c r="N11" s="600" t="n"/>
      <c r="O11" s="600" t="n"/>
      <c r="P11" s="600" t="n"/>
      <c r="Q11" s="600" t="n"/>
      <c r="R11" s="600" t="n"/>
      <c r="S11" s="600" t="n"/>
      <c r="T11" s="600" t="n"/>
      <c r="U11" s="600" t="n"/>
      <c r="V11" s="600" t="n"/>
      <c r="W11" s="600" t="n"/>
      <c r="X11" s="600" t="n"/>
      <c r="Y11" s="600" t="n"/>
      <c r="Z11" s="600" t="n"/>
      <c r="AA11" s="600" t="n"/>
      <c r="AB11" s="600" t="n"/>
      <c r="AC11" s="600" t="n"/>
      <c r="AD11" s="600" t="n"/>
      <c r="AE11" s="600" t="n"/>
      <c r="AF11" s="64" t="n"/>
      <c r="AG11" s="76" t="n"/>
      <c r="AH11" s="76" t="n"/>
      <c r="AI11" s="64" t="n"/>
      <c r="AJ11" s="64" t="n"/>
      <c r="AK11" s="64" t="n"/>
      <c r="AL11" s="76" t="n"/>
      <c r="AM11" s="76" t="n"/>
      <c r="AN11" s="76" t="n"/>
      <c r="AO11" s="77" t="n"/>
      <c r="AP11" s="77" t="n"/>
      <c r="AQ11" s="77" t="n"/>
      <c r="AR11" s="77" t="n"/>
      <c r="AS11" s="77" t="n"/>
      <c r="AT11" s="78" t="n"/>
      <c r="AU11" s="64" t="n"/>
      <c r="AV11" s="64" t="n"/>
      <c r="AW11" s="64" t="n"/>
      <c r="AX11" s="64" t="n"/>
      <c r="AY11" s="64" t="n"/>
      <c r="AZ11" s="64" t="n"/>
      <c r="BA11" s="64" t="n"/>
      <c r="BB11" s="64" t="n"/>
      <c r="BC11" s="64" t="n"/>
      <c r="BD11" s="64" t="n"/>
      <c r="BE11" s="64" t="n"/>
      <c r="BF11" s="64" t="n"/>
      <c r="BG11" s="64" t="n"/>
      <c r="BH11" s="64" t="n"/>
    </row>
    <row r="12" ht="16.5" customHeight="1">
      <c r="A12" s="600" t="n"/>
      <c r="B12" s="600" t="n"/>
      <c r="C12" s="600" t="n"/>
      <c r="D12" s="600" t="n"/>
      <c r="E12" s="314">
        <f>"GB g‡g© cÖZ¨qb Kiv hv‡”Q †h, "&amp;'Data Input'!D5&amp;",  Ò"&amp;'Data Input'!D8&amp;"Ó bvgxq  FY  †Km Gi Av‡e`b`bKvix "&amp;'Data Input'!D12&amp;", wcZv/¯^vgxi bvgt "&amp;'Data Input'!D13&amp;", gvZvi bvgt "&amp;'Data Input'!D14&amp;", wVKvbvt "&amp;+'Data Input'!D17&amp;", Dc‡Rjvt "&amp;'Data Input'!D22&amp;", ‡Rjvt "&amp;'Data Input'!D23&amp;" KZ©„K F‡Yi wecix‡Z cÖ`vbK…Z m¤úwË mg~‡n evsjv‡`k e¨vsK cwi`k©b, Af¨šÍixY wbixÿv I evwYwR¨K wbixÿvq ‡Kvb AvcwË bvB|"</f>
        <v/>
      </c>
      <c r="AO12" s="77" t="n"/>
      <c r="AP12" s="77" t="n"/>
      <c r="AQ12" s="77" t="n"/>
      <c r="AR12" s="77" t="n"/>
      <c r="AS12" s="77" t="n"/>
      <c r="AT12" s="78" t="n"/>
      <c r="AU12" s="64" t="n"/>
      <c r="AV12" s="64" t="n"/>
      <c r="AW12" s="64" t="n"/>
      <c r="AX12" s="64" t="n"/>
      <c r="AY12" s="64" t="n"/>
      <c r="AZ12" s="64" t="n"/>
      <c r="BA12" s="64" t="n"/>
      <c r="BB12" s="64" t="n"/>
      <c r="BC12" s="64" t="n"/>
      <c r="BD12" s="64" t="n"/>
      <c r="BE12" s="64" t="n"/>
      <c r="BF12" s="64" t="n"/>
      <c r="BG12" s="64" t="n"/>
      <c r="BH12" s="64" t="n"/>
    </row>
    <row r="13" ht="16.5" customHeight="1">
      <c r="A13" s="62" t="n"/>
      <c r="B13" s="62" t="n"/>
      <c r="C13" s="62" t="n"/>
      <c r="D13" s="62" t="n"/>
      <c r="AO13" s="90" t="n"/>
      <c r="AP13" s="90" t="n"/>
      <c r="AQ13" s="90" t="n"/>
      <c r="AR13" s="90" t="n"/>
      <c r="AS13" s="90" t="n"/>
      <c r="AT13" s="91" t="n"/>
      <c r="AU13" s="64" t="n"/>
      <c r="AV13" s="64" t="n"/>
      <c r="AW13" s="64" t="n"/>
      <c r="AX13" s="64" t="n"/>
      <c r="AY13" s="64" t="n"/>
      <c r="AZ13" s="64" t="n"/>
      <c r="BA13" s="64" t="n"/>
      <c r="BB13" s="64" t="n"/>
      <c r="BC13" s="64" t="n"/>
      <c r="BD13" s="64" t="n"/>
      <c r="BE13" s="64" t="n"/>
      <c r="BF13" s="64" t="n"/>
      <c r="BG13" s="64" t="n"/>
      <c r="BH13" s="64" t="n"/>
    </row>
    <row r="14" ht="16.5" customFormat="1" customHeight="1" s="18">
      <c r="A14" s="375" t="n"/>
      <c r="B14" s="83" t="n"/>
      <c r="C14" s="83" t="n"/>
      <c r="D14" s="83" t="n"/>
      <c r="AO14" s="83" t="n"/>
      <c r="AP14" s="83" t="n"/>
      <c r="AQ14" s="83" t="n"/>
      <c r="AR14" s="83" t="n"/>
      <c r="AS14" s="83" t="n"/>
      <c r="AT14" s="83" t="n"/>
      <c r="AU14" s="103" t="n"/>
      <c r="AV14" s="103" t="n"/>
      <c r="AW14" s="103" t="n"/>
      <c r="AX14" s="103" t="n"/>
      <c r="AY14" s="103" t="n"/>
      <c r="AZ14" s="103" t="n"/>
      <c r="BA14" s="103" t="n"/>
      <c r="BB14" s="103" t="n"/>
      <c r="BC14" s="103" t="n"/>
      <c r="BD14" s="103" t="n"/>
      <c r="BE14" s="103" t="n"/>
      <c r="BF14" s="103" t="n"/>
      <c r="BG14" s="103" t="n"/>
      <c r="BH14" s="103" t="n"/>
    </row>
    <row r="15" ht="27" customFormat="1" customHeight="1" s="18">
      <c r="A15" s="83" t="n"/>
      <c r="B15" s="83" t="n"/>
      <c r="C15" s="83" t="n"/>
      <c r="D15" s="83" t="n"/>
      <c r="AO15" s="83" t="n"/>
      <c r="AP15" s="83" t="n"/>
      <c r="AQ15" s="83" t="n"/>
      <c r="AR15" s="83" t="n"/>
      <c r="AS15" s="83" t="n"/>
      <c r="AT15" s="83" t="n"/>
      <c r="AU15" s="103" t="n"/>
      <c r="AV15" s="103" t="n"/>
      <c r="AW15" s="103" t="n"/>
      <c r="AX15" s="103" t="n"/>
      <c r="AY15" s="103" t="n"/>
      <c r="AZ15" s="103" t="n"/>
      <c r="BA15" s="103" t="n"/>
      <c r="BB15" s="103" t="n"/>
      <c r="BC15" s="103" t="n"/>
      <c r="BD15" s="103" t="n"/>
      <c r="BE15" s="103" t="n"/>
      <c r="BF15" s="103" t="n"/>
      <c r="BG15" s="103" t="n"/>
      <c r="BH15" s="103" t="n"/>
    </row>
    <row r="16" ht="16.5" customFormat="1" customHeight="1" s="18">
      <c r="A16" s="199" t="n"/>
      <c r="B16" s="199" t="n"/>
      <c r="C16" s="199" t="n"/>
      <c r="D16" s="199" t="n"/>
      <c r="AO16" s="199" t="n"/>
      <c r="AP16" s="199" t="n"/>
      <c r="AQ16" s="199" t="n"/>
      <c r="AR16" s="199" t="n"/>
      <c r="AS16" s="199" t="n"/>
      <c r="AT16" s="199" t="n"/>
      <c r="AU16" s="103" t="n"/>
      <c r="AV16" s="103" t="n"/>
      <c r="AW16" s="103" t="n"/>
      <c r="AX16" s="103" t="n"/>
      <c r="AY16" s="103" t="n"/>
      <c r="AZ16" s="103" t="n"/>
      <c r="BA16" s="103" t="n"/>
      <c r="BB16" s="103" t="n"/>
      <c r="BC16" s="103" t="n"/>
      <c r="BD16" s="103" t="n"/>
      <c r="BE16" s="103" t="n"/>
      <c r="BF16" s="103" t="n"/>
      <c r="BG16" s="103" t="n"/>
      <c r="BH16" s="103" t="n"/>
    </row>
    <row r="17" ht="16.5" customHeight="1">
      <c r="A17" s="600" t="n"/>
      <c r="B17" s="600" t="n"/>
      <c r="C17" s="600" t="n"/>
      <c r="D17" s="600" t="n"/>
      <c r="AO17" s="77" t="n"/>
      <c r="AP17" s="77" t="n"/>
      <c r="AQ17" s="77" t="n"/>
      <c r="AR17" s="77" t="n"/>
      <c r="AS17" s="77" t="n"/>
      <c r="AT17" s="78" t="n"/>
      <c r="AU17" s="64" t="n"/>
      <c r="AV17" s="64" t="n"/>
      <c r="AW17" s="64" t="n"/>
      <c r="AX17" s="64" t="n"/>
      <c r="AY17" s="64" t="n"/>
      <c r="AZ17" s="64" t="n"/>
      <c r="BA17" s="64" t="n"/>
      <c r="BB17" s="64" t="n"/>
      <c r="BC17" s="64" t="n"/>
      <c r="BD17" s="64" t="n"/>
      <c r="BE17" s="64" t="n"/>
      <c r="BF17" s="64" t="n"/>
      <c r="BG17" s="64" t="n"/>
      <c r="BH17" s="64" t="n"/>
    </row>
    <row r="18" ht="39" customHeight="1">
      <c r="A18" s="600" t="n"/>
      <c r="B18" s="600" t="n"/>
      <c r="C18" s="600" t="n"/>
      <c r="D18" s="600" t="n"/>
      <c r="AO18" s="77" t="n"/>
      <c r="AP18" s="77" t="n"/>
      <c r="AQ18" s="77" t="n"/>
      <c r="AR18" s="77" t="n"/>
      <c r="AS18" s="77" t="n"/>
      <c r="AT18" s="78" t="n"/>
      <c r="AU18" s="64" t="n"/>
      <c r="AV18" s="64" t="n"/>
      <c r="AW18" s="64" t="n"/>
      <c r="AX18" s="64" t="n"/>
      <c r="AY18" s="64" t="n"/>
      <c r="AZ18" s="64" t="n"/>
      <c r="BA18" s="64" t="n"/>
      <c r="BB18" s="64" t="n"/>
      <c r="BC18" s="64" t="n"/>
      <c r="BD18" s="64" t="n"/>
      <c r="BE18" s="64" t="n"/>
      <c r="BF18" s="64" t="n"/>
      <c r="BG18" s="64" t="n"/>
      <c r="BH18" s="64" t="n"/>
    </row>
    <row r="19" ht="16.5" customHeight="1">
      <c r="A19" s="600" t="n"/>
      <c r="B19" s="600" t="n"/>
      <c r="C19" s="600" t="n"/>
      <c r="D19" s="600" t="n"/>
      <c r="AO19" s="77" t="n"/>
      <c r="AP19" s="77" t="n"/>
      <c r="AQ19" s="77" t="n"/>
      <c r="AR19" s="77" t="n"/>
      <c r="AS19" s="77" t="n"/>
      <c r="AT19" s="78" t="n"/>
      <c r="AU19" s="64" t="n"/>
      <c r="AV19" s="64" t="n"/>
      <c r="AW19" s="64" t="n"/>
      <c r="AX19" s="64" t="n"/>
      <c r="AY19" s="64" t="n"/>
      <c r="AZ19" s="64" t="n"/>
      <c r="BA19" s="64" t="n"/>
      <c r="BB19" s="64" t="n"/>
      <c r="BC19" s="64" t="n"/>
      <c r="BD19" s="64" t="n"/>
      <c r="BE19" s="64" t="n"/>
      <c r="BF19" s="64" t="n"/>
      <c r="BG19" s="64" t="n"/>
      <c r="BH19" s="64" t="n"/>
    </row>
    <row r="20" ht="40.5" customHeight="1">
      <c r="A20" s="600" t="n"/>
      <c r="B20" s="600" t="n"/>
      <c r="C20" s="600" t="n"/>
      <c r="D20" s="600" t="n"/>
      <c r="AO20" s="77" t="n"/>
      <c r="AP20" s="77" t="n"/>
      <c r="AQ20" s="77" t="n"/>
      <c r="AR20" s="77" t="n"/>
      <c r="AS20" s="77" t="n"/>
      <c r="AT20" s="78" t="n"/>
      <c r="AU20" s="64" t="n"/>
      <c r="AV20" s="64" t="n"/>
      <c r="AW20" s="64" t="n"/>
      <c r="AX20" s="64" t="n"/>
      <c r="AY20" s="64" t="n"/>
      <c r="AZ20" s="64" t="n"/>
      <c r="BA20" s="64" t="n"/>
      <c r="BB20" s="64" t="n"/>
      <c r="BC20" s="64" t="n"/>
      <c r="BD20" s="64" t="n"/>
      <c r="BE20" s="64" t="n"/>
      <c r="BF20" s="64" t="n"/>
      <c r="BG20" s="64" t="n"/>
      <c r="BH20" s="64" t="n"/>
    </row>
    <row r="21" ht="43.5" customHeight="1">
      <c r="A21" s="1964" t="n"/>
      <c r="B21" s="1964" t="n"/>
      <c r="C21" s="1964" t="n"/>
      <c r="D21" s="1964" t="n"/>
      <c r="E21" s="1964" t="n"/>
      <c r="F21" s="1964" t="n"/>
      <c r="G21" s="1964" t="n"/>
      <c r="H21" s="1964" t="n"/>
      <c r="I21" s="1964" t="n"/>
      <c r="J21" s="1964" t="n"/>
      <c r="K21" s="1964" t="n"/>
      <c r="L21" s="1964" t="n"/>
      <c r="M21" s="1964" t="n"/>
      <c r="N21" s="1964" t="n"/>
      <c r="O21" s="1964" t="n"/>
      <c r="P21" s="1964" t="n"/>
      <c r="Q21" s="1964" t="n"/>
      <c r="R21" s="1964" t="n"/>
      <c r="S21" s="1964" t="n"/>
      <c r="T21" s="1964" t="n"/>
      <c r="U21" s="1964" t="n"/>
      <c r="V21" s="1964" t="n"/>
      <c r="W21" s="1964" t="n"/>
      <c r="X21" s="1964" t="n"/>
      <c r="Y21" s="1964" t="n"/>
      <c r="Z21" s="1964" t="n"/>
      <c r="AA21" s="1964" t="n"/>
      <c r="AB21" s="1964" t="n"/>
      <c r="AC21" s="1964" t="n"/>
      <c r="AD21" s="1964" t="n"/>
      <c r="AE21" s="1964" t="n"/>
      <c r="AF21" s="64" t="n"/>
      <c r="AG21" s="199" t="n"/>
      <c r="AH21" s="199" t="n"/>
      <c r="AI21" s="64" t="n"/>
      <c r="AJ21" s="64" t="n"/>
      <c r="AK21" s="64" t="n"/>
      <c r="AL21" s="199" t="n"/>
      <c r="AM21" s="199" t="n"/>
      <c r="AN21" s="199" t="n"/>
      <c r="AO21" s="93" t="n"/>
      <c r="AP21" s="93" t="n"/>
      <c r="AQ21" s="93" t="n"/>
      <c r="AR21" s="93" t="n"/>
      <c r="AS21" s="93" t="n"/>
      <c r="AT21" s="94" t="n"/>
      <c r="AU21" s="64" t="n"/>
      <c r="AV21" s="64" t="n"/>
      <c r="AW21" s="64" t="n"/>
      <c r="AX21" s="64" t="n"/>
      <c r="AY21" s="64" t="n"/>
      <c r="AZ21" s="64" t="n"/>
      <c r="BA21" s="64" t="n"/>
      <c r="BB21" s="64" t="n"/>
      <c r="BC21" s="64" t="n"/>
      <c r="BD21" s="64" t="n"/>
      <c r="BE21" s="64" t="n"/>
      <c r="BF21" s="64" t="n"/>
      <c r="BG21" s="64" t="n"/>
      <c r="BH21" s="64" t="n"/>
    </row>
    <row r="22" ht="43.5" customHeight="1">
      <c r="A22" s="219" t="inlineStr">
        <is>
          <t>Avcbvi wek¦¯Í,</t>
        </is>
      </c>
      <c r="AU22" s="64" t="n"/>
      <c r="AV22" s="64" t="n"/>
      <c r="AW22" s="64" t="n"/>
      <c r="AX22" s="64" t="n"/>
      <c r="AY22" s="64" t="n"/>
      <c r="AZ22" s="64" t="n"/>
      <c r="BA22" s="64" t="n"/>
      <c r="BB22" s="64" t="n"/>
      <c r="BC22" s="64" t="n"/>
      <c r="BD22" s="64" t="n"/>
      <c r="BE22" s="64" t="n"/>
      <c r="BF22" s="64" t="n"/>
      <c r="BG22" s="64" t="n"/>
      <c r="BH22" s="64" t="n"/>
    </row>
    <row r="23" ht="102.75" customHeight="1">
      <c r="A23" s="1964" t="n"/>
      <c r="B23" s="1964" t="n"/>
      <c r="C23" s="1964" t="n"/>
      <c r="D23" s="1964" t="n"/>
      <c r="E23" s="1964" t="n"/>
      <c r="F23" s="1964" t="n"/>
      <c r="G23" s="1964" t="n"/>
      <c r="H23" s="1964" t="n"/>
      <c r="I23" s="1964" t="n"/>
      <c r="J23" s="1964" t="n"/>
      <c r="K23" s="1964" t="n"/>
      <c r="L23" s="1964" t="n"/>
      <c r="M23" s="1964" t="n"/>
      <c r="N23" s="1964" t="n"/>
      <c r="O23" s="1964" t="n"/>
      <c r="P23" s="1964" t="n"/>
      <c r="Q23" s="1964" t="n"/>
      <c r="R23" s="1964" t="n"/>
      <c r="S23" s="1964" t="n"/>
      <c r="T23" s="1964" t="n"/>
      <c r="U23" s="1964" t="n"/>
      <c r="V23" s="1964" t="n"/>
      <c r="W23" s="1964" t="n"/>
      <c r="X23" s="1964" t="n"/>
      <c r="Y23" s="1964" t="n"/>
      <c r="Z23" s="1964" t="n"/>
      <c r="AA23" s="1964" t="n"/>
      <c r="AB23" s="1964" t="n"/>
      <c r="AC23" s="1964" t="n"/>
      <c r="AD23" s="1964" t="n"/>
      <c r="AE23" s="219" t="n"/>
      <c r="AP23" s="93" t="n"/>
      <c r="AQ23" s="93" t="n"/>
      <c r="AR23" s="93" t="n"/>
      <c r="AS23" s="93" t="n"/>
      <c r="AT23" s="94" t="n"/>
      <c r="AU23" s="64" t="n"/>
      <c r="AV23" s="64" t="n"/>
      <c r="AW23" s="64" t="n"/>
      <c r="AX23" s="64" t="n"/>
      <c r="AY23" s="64" t="n"/>
      <c r="AZ23" s="64" t="n"/>
      <c r="BA23" s="64" t="n"/>
      <c r="BB23" s="64" t="n"/>
      <c r="BC23" s="64" t="n"/>
      <c r="BD23" s="64" t="n"/>
      <c r="BE23" s="64" t="n"/>
      <c r="BF23" s="64" t="n"/>
      <c r="BG23" s="64" t="n"/>
      <c r="BH23" s="64" t="n"/>
    </row>
    <row r="24" ht="17.25" customHeight="1">
      <c r="A24" s="223" t="inlineStr">
        <is>
          <t>Kg©KZ©v</t>
        </is>
      </c>
      <c r="B24" s="2624" t="n"/>
      <c r="C24" s="2624" t="n"/>
      <c r="D24" s="2624" t="n"/>
      <c r="E24" s="2624" t="n"/>
      <c r="F24" s="2624" t="n"/>
      <c r="G24" s="2624" t="n"/>
      <c r="H24" s="2624" t="n"/>
      <c r="I24" s="2624" t="n"/>
      <c r="J24" s="2624" t="n"/>
      <c r="K24" s="2624" t="n"/>
      <c r="L24" s="64" t="n"/>
      <c r="M24" s="64" t="n"/>
      <c r="N24" s="64" t="n"/>
      <c r="O24" s="64" t="n"/>
      <c r="P24" s="64" t="n"/>
      <c r="Q24" s="1964" t="n"/>
      <c r="R24" s="1964" t="n"/>
      <c r="S24" s="223" t="inlineStr">
        <is>
          <t>2q Kg©KZ©v</t>
        </is>
      </c>
      <c r="T24" s="2624" t="n"/>
      <c r="U24" s="2624" t="n"/>
      <c r="V24" s="2624" t="n"/>
      <c r="W24" s="2624" t="n"/>
      <c r="X24" s="2624" t="n"/>
      <c r="Y24" s="2624" t="n"/>
      <c r="Z24" s="2624" t="n"/>
      <c r="AA24" s="2624" t="n"/>
      <c r="AB24" s="2624" t="n"/>
      <c r="AC24" s="2624" t="n"/>
      <c r="AD24" s="1964" t="n"/>
      <c r="AE24" s="1964" t="n"/>
      <c r="AF24" s="1964" t="n"/>
      <c r="AG24" s="1964" t="n"/>
      <c r="AH24" s="1964" t="n"/>
      <c r="AI24" s="64" t="n"/>
      <c r="AJ24" s="223" t="inlineStr">
        <is>
          <t>e¨e¯’vcK</t>
        </is>
      </c>
      <c r="AK24" s="2624" t="n"/>
      <c r="AL24" s="2624" t="n"/>
      <c r="AM24" s="2624" t="n"/>
      <c r="AN24" s="2624" t="n"/>
      <c r="AO24" s="2624" t="n"/>
      <c r="AP24" s="2624" t="n"/>
      <c r="AQ24" s="2624" t="n"/>
      <c r="AR24" s="2624" t="n"/>
      <c r="AS24" s="2624" t="n"/>
      <c r="AT24" s="2624" t="n"/>
      <c r="AU24" s="64" t="n"/>
      <c r="AV24" s="64" t="n"/>
      <c r="AW24" s="96" t="n"/>
      <c r="AX24" s="96" t="n"/>
      <c r="AY24" s="96" t="n"/>
      <c r="AZ24" s="96" t="n"/>
      <c r="BA24" s="96" t="n"/>
      <c r="BB24" s="96" t="n"/>
      <c r="BC24" s="96" t="n"/>
      <c r="BD24" s="96" t="n"/>
      <c r="BE24" s="96" t="n"/>
      <c r="BF24" s="96" t="n"/>
      <c r="BG24" s="96" t="n"/>
      <c r="BH24" s="96" t="n"/>
    </row>
    <row r="25" ht="17.25" customHeight="1">
      <c r="A25" s="219" t="inlineStr">
        <is>
          <t>evsjv‡`k K…wl e¨vsK,</t>
        </is>
      </c>
      <c r="L25" s="96" t="n"/>
      <c r="M25" s="96" t="n"/>
      <c r="N25" s="64" t="n"/>
      <c r="O25" s="64" t="n"/>
      <c r="P25" s="219" t="inlineStr">
        <is>
          <t>evsjv‡`k K…wl e¨vsK,</t>
        </is>
      </c>
      <c r="AG25" s="1964" t="n"/>
      <c r="AH25" s="1964" t="n"/>
      <c r="AI25" s="64" t="n"/>
      <c r="AJ25" s="219" t="inlineStr">
        <is>
          <t>evsjv‡`k K…wl e¨vsK,</t>
        </is>
      </c>
      <c r="AU25" s="64" t="n"/>
      <c r="AV25" s="64" t="n"/>
      <c r="AW25" s="96" t="n"/>
      <c r="AX25" s="96" t="n"/>
      <c r="AY25" s="96" t="n"/>
      <c r="AZ25" s="96" t="n"/>
      <c r="BA25" s="96" t="n"/>
      <c r="BB25" s="96" t="n"/>
      <c r="BC25" s="96" t="n"/>
      <c r="BD25" s="96" t="n"/>
      <c r="BE25" s="96" t="n"/>
      <c r="BF25" s="96" t="n"/>
      <c r="BG25" s="96" t="n"/>
      <c r="BH25" s="96" t="n"/>
    </row>
    <row r="26" ht="17.25" customHeight="1">
      <c r="A26" s="219">
        <f>+'Data Input'!D2</f>
        <v/>
      </c>
      <c r="L26" s="96" t="n"/>
      <c r="M26" s="96" t="n"/>
      <c r="N26" s="64" t="n"/>
      <c r="O26" s="64" t="n"/>
      <c r="P26" s="219">
        <f>+A26</f>
        <v/>
      </c>
      <c r="AG26" s="1964" t="n"/>
      <c r="AH26" s="1964" t="n"/>
      <c r="AI26" s="64" t="n"/>
      <c r="AJ26" s="219">
        <f>+A2</f>
        <v/>
      </c>
      <c r="AU26" s="64" t="n"/>
      <c r="AV26" s="64" t="n"/>
      <c r="AW26" s="96" t="n"/>
      <c r="AX26" s="96" t="n"/>
      <c r="AY26" s="96" t="n"/>
      <c r="AZ26" s="96" t="n"/>
      <c r="BA26" s="96" t="n"/>
      <c r="BB26" s="96" t="n"/>
      <c r="BC26" s="96" t="n"/>
      <c r="BD26" s="96" t="n"/>
      <c r="BE26" s="96" t="n"/>
      <c r="BF26" s="96" t="n"/>
      <c r="BG26" s="96" t="n"/>
      <c r="BH26" s="96" t="n"/>
    </row>
    <row r="27" ht="17.25" customHeight="1">
      <c r="A27" s="97" t="inlineStr">
        <is>
          <t>(mxj †gvni e¨envi Ki‡Z n‡e)</t>
        </is>
      </c>
      <c r="L27" s="64" t="n"/>
      <c r="M27" s="64" t="n"/>
      <c r="N27" s="64" t="n"/>
      <c r="O27" s="64" t="n"/>
      <c r="P27" s="97" t="inlineStr">
        <is>
          <t>(mxj †gvni e¨envi Ki‡Z n‡e)</t>
        </is>
      </c>
      <c r="AG27" s="99" t="n"/>
      <c r="AH27" s="99" t="n"/>
      <c r="AI27" s="64" t="n"/>
      <c r="AJ27" s="97" t="inlineStr">
        <is>
          <t>(mxj †gvni e¨envi Ki‡Z n‡e)</t>
        </is>
      </c>
      <c r="AU27" s="64" t="n"/>
      <c r="AV27" s="64" t="n"/>
      <c r="AW27" s="64" t="n"/>
      <c r="AX27" s="64" t="n"/>
      <c r="AY27" s="64" t="n"/>
      <c r="AZ27" s="64" t="n"/>
      <c r="BA27" s="76" t="n"/>
      <c r="BB27" s="76" t="n"/>
      <c r="BC27" s="76" t="n"/>
      <c r="BD27" s="76" t="n"/>
      <c r="BE27" s="64" t="n"/>
      <c r="BF27" s="64" t="n"/>
      <c r="BG27" s="64" t="n"/>
      <c r="BH27" s="64" t="n"/>
    </row>
    <row r="28" ht="18.75" customHeight="1">
      <c r="A28" s="63" t="n"/>
      <c r="B28" s="100" t="n"/>
      <c r="C28" s="600" t="n"/>
      <c r="D28" s="600" t="n"/>
      <c r="E28" s="600" t="n"/>
      <c r="F28" s="64" t="n"/>
      <c r="G28" s="64" t="n"/>
      <c r="H28" s="64" t="n"/>
      <c r="I28" s="64" t="n"/>
      <c r="J28" s="64" t="n"/>
      <c r="K28" s="64" t="n"/>
      <c r="L28" s="64" t="n"/>
      <c r="M28" s="64" t="n"/>
      <c r="N28" s="64" t="n"/>
      <c r="O28" s="64" t="n"/>
      <c r="P28" s="64" t="n"/>
      <c r="Q28" s="64" t="n"/>
      <c r="R28" s="64" t="n"/>
      <c r="S28" s="64" t="n"/>
      <c r="T28" s="64" t="n"/>
      <c r="U28" s="64" t="n"/>
      <c r="V28" s="64" t="n"/>
      <c r="W28" s="64" t="n"/>
      <c r="X28" s="64" t="n"/>
      <c r="Y28" s="64" t="n"/>
      <c r="Z28" s="64" t="n"/>
      <c r="AA28" s="64" t="n"/>
      <c r="AB28" s="64" t="n"/>
      <c r="AC28" s="64" t="n"/>
      <c r="AD28" s="64" t="n"/>
      <c r="AE28" s="64" t="n"/>
      <c r="AF28" s="64" t="n"/>
      <c r="AG28" s="64" t="n"/>
      <c r="AH28" s="64" t="n"/>
      <c r="AI28" s="64" t="n"/>
      <c r="AJ28" s="64" t="n"/>
      <c r="AK28" s="64" t="n"/>
      <c r="AL28" s="64" t="n"/>
      <c r="AM28" s="64" t="n"/>
      <c r="AN28" s="64" t="n"/>
      <c r="AO28" s="64" t="n"/>
      <c r="AP28" s="64" t="n"/>
      <c r="AQ28" s="64" t="n"/>
      <c r="AR28" s="64" t="n"/>
      <c r="AS28" s="64" t="n"/>
      <c r="AT28" s="64" t="n"/>
      <c r="AU28" s="64" t="n"/>
      <c r="AV28" s="64" t="n"/>
      <c r="AW28" s="64" t="n"/>
      <c r="AX28" s="64" t="n"/>
      <c r="AY28" s="64" t="n"/>
      <c r="AZ28" s="64" t="n"/>
      <c r="BA28" s="76" t="n"/>
      <c r="BB28" s="76" t="n"/>
      <c r="BC28" s="76" t="n"/>
      <c r="BD28" s="76" t="n"/>
      <c r="BE28" s="64" t="n"/>
      <c r="BF28" s="64" t="n"/>
      <c r="BG28" s="64" t="n"/>
      <c r="BH28" s="64" t="n"/>
    </row>
    <row r="29" ht="18.75" customHeight="1">
      <c r="A29" s="63" t="n"/>
      <c r="B29" s="100" t="n"/>
      <c r="C29" s="600" t="n"/>
      <c r="F29" s="64" t="n"/>
      <c r="G29" s="64" t="n"/>
      <c r="H29" s="64" t="n"/>
      <c r="I29" s="64" t="n"/>
      <c r="J29" s="64" t="n"/>
      <c r="K29" s="64" t="n"/>
      <c r="L29" s="64" t="n"/>
      <c r="M29" s="64" t="n"/>
      <c r="N29" s="64" t="n"/>
      <c r="O29" s="64" t="n"/>
      <c r="P29" s="64" t="n"/>
      <c r="Q29" s="64" t="n"/>
      <c r="R29" s="64" t="n"/>
      <c r="S29" s="64" t="n"/>
      <c r="T29" s="64" t="n"/>
      <c r="U29" s="64" t="n"/>
      <c r="V29" s="64" t="n"/>
      <c r="W29" s="64" t="n"/>
      <c r="X29" s="64" t="n"/>
      <c r="Y29" s="64" t="n"/>
      <c r="Z29" s="64" t="n"/>
      <c r="AA29" s="64" t="n"/>
      <c r="AB29" s="64" t="n"/>
      <c r="AC29" s="64" t="n"/>
      <c r="AD29" s="64" t="n"/>
      <c r="AE29" s="64" t="n"/>
      <c r="AF29" s="64" t="n"/>
      <c r="AG29" s="64" t="n"/>
      <c r="AH29" s="64" t="n"/>
      <c r="AI29" s="64" t="n"/>
      <c r="AJ29" s="64" t="n"/>
      <c r="AK29" s="64" t="n"/>
      <c r="AL29" s="64" t="n"/>
      <c r="AM29" s="64" t="n"/>
      <c r="AN29" s="64" t="n"/>
      <c r="AO29" s="64" t="n"/>
      <c r="AP29" s="64" t="n"/>
      <c r="AQ29" s="64" t="n"/>
      <c r="AR29" s="64" t="n"/>
      <c r="AS29" s="64" t="n"/>
      <c r="AT29" s="64" t="n"/>
      <c r="AU29" s="64" t="n"/>
      <c r="AV29" s="64" t="n"/>
      <c r="AW29" s="64" t="n"/>
      <c r="AX29" s="64" t="n"/>
      <c r="AY29" s="64" t="n"/>
      <c r="AZ29" s="64" t="n"/>
      <c r="BA29" s="76" t="n"/>
      <c r="BB29" s="76" t="n"/>
      <c r="BC29" s="76" t="n"/>
      <c r="BD29" s="76" t="n"/>
      <c r="BE29" s="64" t="n"/>
      <c r="BF29" s="64" t="n"/>
      <c r="BG29" s="64" t="n"/>
      <c r="BH29" s="64" t="n"/>
    </row>
    <row r="30" ht="18.75" customHeight="1">
      <c r="A30" s="63" t="n"/>
      <c r="B30" s="100" t="n"/>
      <c r="C30" s="600" t="n"/>
      <c r="F30" s="64" t="n"/>
      <c r="G30" s="64" t="n"/>
      <c r="H30" s="64" t="n"/>
      <c r="I30" s="64" t="n"/>
      <c r="J30" s="64" t="n"/>
      <c r="K30" s="64" t="n"/>
      <c r="L30" s="64" t="n"/>
      <c r="M30" s="64" t="n"/>
      <c r="N30" s="64" t="n"/>
      <c r="O30" s="64" t="n"/>
      <c r="P30" s="64" t="n"/>
      <c r="Q30" s="64" t="n"/>
      <c r="R30" s="64" t="n"/>
      <c r="S30" s="64" t="n"/>
      <c r="T30" s="64" t="n"/>
      <c r="U30" s="64" t="n"/>
      <c r="V30" s="64" t="n"/>
      <c r="W30" s="64" t="n"/>
      <c r="X30" s="64" t="n"/>
      <c r="Y30" s="64" t="n"/>
      <c r="Z30" s="64" t="n"/>
      <c r="AA30" s="64" t="n"/>
      <c r="AB30" s="64" t="n"/>
      <c r="AC30" s="64" t="n"/>
      <c r="AD30" s="64" t="n"/>
      <c r="AE30" s="64" t="n"/>
      <c r="AF30" s="64" t="n"/>
      <c r="AG30" s="64" t="n"/>
      <c r="AH30" s="64" t="n"/>
      <c r="AI30" s="64" t="n"/>
      <c r="AJ30" s="64" t="n"/>
      <c r="AK30" s="64" t="n"/>
      <c r="AL30" s="64" t="n"/>
      <c r="AM30" s="64" t="n"/>
      <c r="AN30" s="64" t="n"/>
      <c r="AO30" s="64" t="n"/>
      <c r="AP30" s="64" t="n"/>
      <c r="AQ30" s="64" t="n"/>
      <c r="AR30" s="64" t="n"/>
      <c r="AS30" s="64" t="n"/>
      <c r="AT30" s="64" t="n"/>
      <c r="AU30" s="64" t="n"/>
      <c r="AV30" s="64" t="n"/>
      <c r="AW30" s="64" t="n"/>
      <c r="AX30" s="64" t="n"/>
      <c r="AY30" s="64" t="n"/>
      <c r="AZ30" s="64" t="n"/>
      <c r="BA30" s="76" t="n"/>
      <c r="BB30" s="76" t="n"/>
      <c r="BC30" s="76" t="n"/>
      <c r="BD30" s="76" t="n"/>
      <c r="BE30" s="64" t="n"/>
      <c r="BF30" s="64" t="n"/>
      <c r="BG30" s="64" t="n"/>
      <c r="BH30" s="64" t="n"/>
    </row>
    <row r="31" ht="11.25" customFormat="1" customHeight="1" s="18">
      <c r="A31" s="375" t="n"/>
      <c r="B31" s="100" t="n"/>
      <c r="C31" s="103" t="n"/>
      <c r="D31" s="103" t="n"/>
      <c r="E31" s="103" t="n"/>
      <c r="F31" s="103" t="n"/>
      <c r="G31" s="103" t="n"/>
      <c r="H31" s="103" t="n"/>
      <c r="I31" s="103" t="n"/>
      <c r="J31" s="103" t="n"/>
      <c r="K31" s="103" t="n"/>
      <c r="L31" s="103" t="n"/>
      <c r="M31" s="103" t="n"/>
      <c r="N31" s="103" t="n"/>
      <c r="O31" s="103" t="n"/>
      <c r="P31" s="103" t="n"/>
      <c r="Q31" s="103" t="n"/>
      <c r="R31" s="103" t="n"/>
      <c r="S31" s="103" t="n"/>
      <c r="T31" s="103" t="n"/>
      <c r="U31" s="103" t="n"/>
      <c r="V31" s="103" t="n"/>
      <c r="W31" s="103" t="n"/>
      <c r="X31" s="103" t="n"/>
      <c r="Y31" s="103" t="n"/>
      <c r="Z31" s="103" t="n"/>
      <c r="AA31" s="103" t="n"/>
      <c r="AB31" s="103" t="n"/>
      <c r="AC31" s="103" t="n"/>
      <c r="AD31" s="103" t="n"/>
      <c r="AE31" s="103" t="n"/>
      <c r="AF31" s="103" t="n"/>
      <c r="AG31" s="103" t="n"/>
      <c r="AH31" s="103" t="n"/>
      <c r="AI31" s="103" t="n"/>
      <c r="AJ31" s="103" t="n"/>
      <c r="AK31" s="103" t="n"/>
      <c r="AL31" s="103" t="n"/>
      <c r="AM31" s="103" t="n"/>
      <c r="AN31" s="103" t="n"/>
      <c r="AO31" s="103" t="n"/>
      <c r="AP31" s="103" t="n"/>
      <c r="AQ31" s="103" t="n"/>
      <c r="AR31" s="103" t="n"/>
      <c r="AS31" s="103" t="n"/>
      <c r="AT31" s="103" t="n"/>
      <c r="AU31" s="103" t="n"/>
      <c r="AV31" s="103" t="n"/>
      <c r="AW31" s="103" t="n"/>
      <c r="AX31" s="103" t="n"/>
      <c r="AY31" s="103" t="n"/>
      <c r="AZ31" s="103" t="n"/>
      <c r="BA31" s="103" t="n"/>
      <c r="BB31" s="103" t="n"/>
      <c r="BC31" s="103" t="n"/>
      <c r="BD31" s="103" t="n"/>
      <c r="BE31" s="103" t="n"/>
      <c r="BF31" s="103" t="n"/>
      <c r="BG31" s="103" t="n"/>
      <c r="BH31" s="103" t="n"/>
    </row>
    <row r="32" ht="18.75" customFormat="1" customHeight="1" s="18">
      <c r="A32" s="375" t="n"/>
      <c r="B32" s="100" t="n"/>
      <c r="C32" s="103" t="n"/>
      <c r="D32" s="103" t="n"/>
      <c r="E32" s="103" t="n"/>
      <c r="F32" s="103" t="n"/>
      <c r="G32" s="103" t="n"/>
      <c r="H32" s="103" t="n"/>
      <c r="I32" s="103" t="n"/>
      <c r="J32" s="103" t="n"/>
      <c r="K32" s="103" t="n"/>
      <c r="L32" s="103" t="n"/>
      <c r="M32" s="103" t="n"/>
      <c r="N32" s="103" t="n"/>
      <c r="O32" s="103" t="n"/>
      <c r="P32" s="103" t="n"/>
      <c r="Q32" s="103" t="n"/>
      <c r="R32" s="103" t="n"/>
      <c r="S32" s="103" t="n"/>
      <c r="T32" s="103" t="n"/>
      <c r="U32" s="103" t="n"/>
      <c r="V32" s="103" t="n"/>
      <c r="W32" s="103" t="n"/>
      <c r="X32" s="103" t="n"/>
      <c r="Y32" s="103" t="n"/>
      <c r="Z32" s="103" t="n"/>
      <c r="AA32" s="103" t="n"/>
      <c r="AB32" s="103" t="n"/>
      <c r="AC32" s="103" t="n"/>
      <c r="AD32" s="103" t="n"/>
      <c r="AE32" s="103" t="n"/>
      <c r="AF32" s="103" t="n"/>
      <c r="AG32" s="103" t="n"/>
      <c r="AH32" s="103" t="n"/>
      <c r="AI32" s="103" t="n"/>
      <c r="AJ32" s="103" t="n"/>
      <c r="AK32" s="103" t="n"/>
      <c r="AL32" s="103" t="n"/>
      <c r="AM32" s="103" t="n"/>
      <c r="AN32" s="103" t="n"/>
      <c r="AO32" s="103" t="n"/>
      <c r="AP32" s="103" t="n"/>
      <c r="AQ32" s="103" t="n"/>
      <c r="AR32" s="103" t="n"/>
      <c r="AS32" s="103" t="n"/>
      <c r="AT32" s="103" t="n"/>
      <c r="AU32" s="103" t="n"/>
      <c r="AV32" s="103" t="n"/>
      <c r="AW32" s="103" t="n"/>
      <c r="AX32" s="103" t="n"/>
      <c r="AY32" s="103" t="n"/>
      <c r="AZ32" s="103" t="n"/>
      <c r="BA32" s="103" t="n"/>
      <c r="BB32" s="103" t="n"/>
      <c r="BC32" s="103" t="n"/>
      <c r="BD32" s="103" t="n"/>
      <c r="BE32" s="103" t="n"/>
      <c r="BF32" s="103" t="n"/>
      <c r="BG32" s="103" t="n"/>
      <c r="BH32" s="103" t="n"/>
    </row>
    <row r="33" ht="18.75" customHeight="1">
      <c r="A33" s="600" t="n"/>
      <c r="B33" s="186" t="n"/>
      <c r="C33" s="64" t="n"/>
      <c r="D33" s="64" t="n"/>
      <c r="E33" s="64" t="n"/>
      <c r="F33" s="64" t="n"/>
      <c r="G33" s="64" t="n"/>
      <c r="H33" s="64" t="n"/>
      <c r="I33" s="64" t="n"/>
      <c r="J33" s="64" t="n"/>
      <c r="K33" s="64" t="n"/>
      <c r="L33" s="64" t="n"/>
      <c r="M33" s="64" t="n"/>
      <c r="N33" s="64" t="n"/>
      <c r="O33" s="64" t="n"/>
      <c r="P33" s="64" t="n"/>
      <c r="Q33" s="64" t="n"/>
      <c r="R33" s="64" t="n"/>
      <c r="S33" s="64" t="n"/>
      <c r="T33" s="64" t="n"/>
      <c r="U33" s="64" t="n"/>
      <c r="V33" s="64" t="n"/>
      <c r="W33" s="64" t="n"/>
      <c r="X33" s="64" t="n"/>
      <c r="Y33" s="64" t="n"/>
      <c r="Z33" s="64" t="n"/>
      <c r="AA33" s="64" t="n"/>
      <c r="AB33" s="64" t="n"/>
      <c r="AC33" s="64" t="n"/>
      <c r="AD33" s="64" t="n"/>
      <c r="AE33" s="64" t="n"/>
      <c r="AF33" s="64" t="n"/>
      <c r="AG33" s="64" t="n"/>
      <c r="AH33" s="64" t="n"/>
      <c r="AI33" s="64" t="n"/>
      <c r="AJ33" s="64" t="n"/>
      <c r="AK33" s="64" t="n"/>
      <c r="AL33" s="64" t="n"/>
      <c r="AM33" s="64" t="n"/>
      <c r="AN33" s="64" t="n"/>
      <c r="AO33" s="64" t="n"/>
      <c r="AP33" s="64" t="n"/>
      <c r="AQ33" s="64" t="n"/>
      <c r="AR33" s="64" t="n"/>
      <c r="AS33" s="64" t="n"/>
      <c r="AT33" s="64" t="n"/>
      <c r="AU33" s="64" t="n"/>
      <c r="AV33" s="64" t="n"/>
      <c r="AW33" s="64" t="n"/>
      <c r="AX33" s="64" t="n"/>
      <c r="AY33" s="64" t="n"/>
      <c r="AZ33" s="64" t="n"/>
      <c r="BA33" s="64" t="n"/>
      <c r="BB33" s="64" t="n"/>
      <c r="BC33" s="64" t="n"/>
      <c r="BD33" s="64" t="n"/>
      <c r="BE33" s="64" t="n"/>
      <c r="BF33" s="64" t="n"/>
      <c r="BG33" s="64" t="n"/>
      <c r="BH33" s="64" t="n"/>
    </row>
    <row r="34" ht="18.75" customHeight="1">
      <c r="A34" s="600" t="n"/>
      <c r="B34" s="186" t="n"/>
      <c r="C34" s="64" t="n"/>
      <c r="D34" s="64" t="n"/>
      <c r="E34" s="64" t="n"/>
      <c r="F34" s="64" t="n"/>
      <c r="G34" s="64" t="n"/>
      <c r="H34" s="64" t="n"/>
      <c r="I34" s="64" t="n"/>
      <c r="J34" s="64" t="n"/>
      <c r="K34" s="64" t="n"/>
      <c r="L34" s="64" t="n"/>
      <c r="M34" s="64" t="n"/>
      <c r="N34" s="64" t="n"/>
      <c r="O34" s="64" t="n"/>
      <c r="P34" s="64" t="n"/>
      <c r="Q34" s="64" t="n"/>
      <c r="R34" s="64" t="n"/>
      <c r="S34" s="64" t="n"/>
      <c r="T34" s="64" t="n"/>
      <c r="U34" s="64" t="n"/>
      <c r="V34" s="64" t="n"/>
      <c r="W34" s="64" t="n"/>
      <c r="X34" s="64" t="n"/>
      <c r="Y34" s="64" t="n"/>
      <c r="Z34" s="64" t="n"/>
      <c r="AA34" s="64" t="n"/>
      <c r="AB34" s="64" t="n"/>
      <c r="AC34" s="64" t="n"/>
      <c r="AD34" s="64" t="n"/>
      <c r="AE34" s="64" t="n"/>
      <c r="AF34" s="64" t="n"/>
      <c r="AG34" s="64" t="n"/>
      <c r="AH34" s="64" t="n"/>
      <c r="AI34" s="64" t="n"/>
      <c r="AJ34" s="64" t="n"/>
      <c r="AK34" s="64" t="n"/>
      <c r="AL34" s="64" t="n"/>
      <c r="AM34" s="64" t="n"/>
      <c r="AN34" s="64" t="n"/>
      <c r="AO34" s="64" t="n"/>
      <c r="AP34" s="64" t="n"/>
      <c r="AQ34" s="64" t="n"/>
      <c r="AR34" s="64" t="n"/>
      <c r="AS34" s="64" t="n"/>
      <c r="AT34" s="64" t="n"/>
      <c r="AU34" s="64" t="n"/>
      <c r="AV34" s="64" t="n"/>
      <c r="AW34" s="64" t="n"/>
      <c r="AX34" s="64" t="n"/>
      <c r="AY34" s="64" t="n"/>
      <c r="AZ34" s="64" t="n"/>
      <c r="BA34" s="64" t="n"/>
      <c r="BB34" s="64" t="n"/>
      <c r="BC34" s="64" t="n"/>
      <c r="BD34" s="64" t="n"/>
      <c r="BE34" s="64" t="n"/>
      <c r="BF34" s="64" t="n"/>
      <c r="BG34" s="64" t="n"/>
      <c r="BH34" s="64" t="n"/>
    </row>
    <row r="35" ht="18.75" customHeight="1">
      <c r="A35" s="600" t="n"/>
      <c r="B35" s="186" t="n"/>
      <c r="C35" s="64" t="n"/>
      <c r="D35" s="64" t="n"/>
      <c r="E35" s="64" t="n"/>
      <c r="F35" s="64" t="n"/>
      <c r="G35" s="64" t="n"/>
      <c r="H35" s="64" t="n"/>
      <c r="I35" s="64" t="n"/>
      <c r="J35" s="64" t="n"/>
      <c r="K35" s="64" t="n"/>
      <c r="L35" s="64" t="n"/>
      <c r="M35" s="64" t="n"/>
      <c r="N35" s="64" t="n"/>
      <c r="O35" s="64" t="n"/>
      <c r="P35" s="64" t="n"/>
      <c r="Q35" s="64" t="n"/>
      <c r="R35" s="64" t="n"/>
      <c r="S35" s="64" t="n"/>
      <c r="T35" s="64" t="n"/>
      <c r="U35" s="64" t="n"/>
      <c r="V35" s="64" t="n"/>
      <c r="W35" s="64" t="n"/>
      <c r="X35" s="64" t="n"/>
      <c r="Y35" s="64" t="n"/>
      <c r="Z35" s="64" t="n"/>
      <c r="AA35" s="64" t="n"/>
      <c r="AB35" s="64" t="n"/>
      <c r="AC35" s="64" t="n"/>
      <c r="AD35" s="64" t="n"/>
      <c r="AE35" s="64" t="n"/>
      <c r="AF35" s="64" t="n"/>
      <c r="AG35" s="64" t="n"/>
      <c r="AH35" s="64" t="n"/>
      <c r="AI35" s="64" t="n"/>
      <c r="AJ35" s="64" t="n"/>
      <c r="AK35" s="64" t="n"/>
      <c r="AL35" s="64" t="n"/>
      <c r="AM35" s="64" t="n"/>
      <c r="AN35" s="64" t="n"/>
      <c r="AO35" s="64" t="n"/>
      <c r="AP35" s="64" t="n"/>
      <c r="AQ35" s="64" t="n"/>
      <c r="AR35" s="64" t="n"/>
      <c r="AS35" s="64" t="n"/>
      <c r="AT35" s="64" t="n"/>
      <c r="AU35" s="64" t="n"/>
      <c r="AV35" s="64" t="n"/>
      <c r="AW35" s="64" t="n"/>
      <c r="AX35" s="64" t="n"/>
      <c r="AY35" s="64" t="n"/>
      <c r="AZ35" s="64" t="n"/>
      <c r="BA35" s="64" t="n"/>
      <c r="BB35" s="64" t="n"/>
      <c r="BC35" s="64" t="n"/>
      <c r="BD35" s="64" t="n"/>
      <c r="BE35" s="64" t="n"/>
      <c r="BF35" s="64" t="n"/>
      <c r="BG35" s="64" t="n"/>
      <c r="BH35" s="64" t="n"/>
    </row>
  </sheetData>
  <mergeCells count="25">
    <mergeCell ref="A3:AT3"/>
    <mergeCell ref="A24:K24"/>
    <mergeCell ref="A5:AE5"/>
    <mergeCell ref="E12:AN20"/>
    <mergeCell ref="A2:AT2"/>
    <mergeCell ref="P26:AF26"/>
    <mergeCell ref="P25:AF25"/>
    <mergeCell ref="AJ27:AT27"/>
    <mergeCell ref="A22:AT22"/>
    <mergeCell ref="A4:AT4"/>
    <mergeCell ref="A25:K25"/>
    <mergeCell ref="AL5:AN5"/>
    <mergeCell ref="A27:K27"/>
    <mergeCell ref="AE23:AO23"/>
    <mergeCell ref="P27:AF27"/>
    <mergeCell ref="A9:AT9"/>
    <mergeCell ref="A26:K26"/>
    <mergeCell ref="AO5:AS5"/>
    <mergeCell ref="S24:AC24"/>
    <mergeCell ref="AJ24:AT24"/>
    <mergeCell ref="C30:E30"/>
    <mergeCell ref="A1:AT1"/>
    <mergeCell ref="AJ26:AT26"/>
    <mergeCell ref="AJ25:AT25"/>
    <mergeCell ref="C29:E29"/>
  </mergeCells>
  <pageMargins left="0.7" right="0.7" top="0.75" bottom="0.75" header="0.3" footer="0.3"/>
</worksheet>
</file>

<file path=xl/worksheets/sheet23.xml><?xml version="1.0" encoding="utf-8"?>
<worksheet xmlns="http://schemas.openxmlformats.org/spreadsheetml/2006/main">
  <sheetPr>
    <outlinePr summaryBelow="0"/>
    <pageSetUpPr/>
  </sheetPr>
  <dimension ref="A1:BH32"/>
  <sheetViews>
    <sheetView workbookViewId="0">
      <selection activeCell="A1" sqref="A1"/>
    </sheetView>
  </sheetViews>
  <sheetFormatPr baseColWidth="8" defaultRowHeight="15"/>
  <cols>
    <col width="3.719285714285714" bestFit="1" customWidth="1" style="63" min="1" max="1"/>
    <col width="4.433571428571429" bestFit="1" customWidth="1" style="218" min="2" max="2"/>
    <col width="2.290714285714285" bestFit="1" customWidth="1" style="64" min="3" max="3"/>
    <col width="2.290714285714285" bestFit="1" customWidth="1" style="64" min="4" max="4"/>
    <col width="2.290714285714285" bestFit="1" customWidth="1" style="64" min="5" max="5"/>
    <col width="2.290714285714285" bestFit="1" customWidth="1" style="64" min="6" max="6"/>
    <col width="2.290714285714285" bestFit="1" customWidth="1" style="64" min="7" max="7"/>
    <col width="2.290714285714285" bestFit="1" customWidth="1" style="64" min="8" max="8"/>
    <col width="1.290714285714286" bestFit="1" customWidth="1" style="64" min="9" max="9"/>
    <col width="2.719285714285714" bestFit="1" customWidth="1" style="64" min="10" max="10"/>
    <col width="2.719285714285714" bestFit="1" customWidth="1" style="64" min="11" max="11"/>
    <col width="2.290714285714285" bestFit="1" customWidth="1" style="64" min="12" max="12"/>
    <col width="2.290714285714285" bestFit="1" customWidth="1" style="64" min="13" max="13"/>
    <col width="2.290714285714285" bestFit="1" customWidth="1" style="64" min="14" max="14"/>
    <col width="2.290714285714285" bestFit="1" customWidth="1" style="64" min="15" max="15"/>
    <col width="2.290714285714285" bestFit="1" customWidth="1" style="64" min="16" max="16"/>
    <col width="2.290714285714285" bestFit="1" customWidth="1" style="64" min="17" max="17"/>
    <col width="2.290714285714285" bestFit="1" customWidth="1" style="64" min="18" max="18"/>
    <col width="2.290714285714285" bestFit="1" customWidth="1" style="64" min="19" max="19"/>
    <col width="1.719285714285714" bestFit="1" customWidth="1" style="64" min="20" max="20"/>
    <col width="1.719285714285714" bestFit="1" customWidth="1" style="64" min="21" max="21"/>
    <col width="1.719285714285714" bestFit="1" customWidth="1" style="64" min="22" max="22"/>
    <col width="1.719285714285714" bestFit="1" customWidth="1" style="64" min="23" max="23"/>
    <col width="1.719285714285714" bestFit="1" customWidth="1" style="64" min="24" max="24"/>
    <col width="1.147857142857143" bestFit="1" customWidth="1" style="64" min="25" max="25"/>
    <col width="1.719285714285714" bestFit="1" customWidth="1" style="64" min="26" max="26"/>
    <col width="1.719285714285714" bestFit="1" customWidth="1" style="64" min="27" max="27"/>
    <col width="2.290714285714285" bestFit="1" customWidth="1" style="64" min="28" max="28"/>
    <col width="2.290714285714285" bestFit="1" customWidth="1" style="64" min="29" max="29"/>
    <col width="1.862142857142857" bestFit="1" customWidth="1" style="64" min="30" max="30"/>
    <col width="2.862142857142857" bestFit="1" customWidth="1" style="64" min="31" max="31"/>
    <col width="2.862142857142857" bestFit="1" customWidth="1" style="64" min="32" max="32"/>
    <col width="2.862142857142857" bestFit="1" customWidth="1" style="64" min="33" max="33"/>
    <col width="2.290714285714285" bestFit="1" customWidth="1" style="64" min="34" max="34"/>
    <col width="2.290714285714285" bestFit="1" customWidth="1" style="64" min="35" max="35"/>
    <col width="2.290714285714285" bestFit="1" customWidth="1" style="64" min="36" max="36"/>
    <col width="2.290714285714285" bestFit="1" customWidth="1" style="64" min="37" max="37"/>
    <col width="2.290714285714285" bestFit="1" customWidth="1" style="64" min="38" max="38"/>
    <col width="2.290714285714285" bestFit="1" customWidth="1" style="64" min="39" max="39"/>
    <col width="2.290714285714285" bestFit="1" customWidth="1" style="64" min="40" max="40"/>
    <col width="2.290714285714285" bestFit="1" customWidth="1" style="64" min="41" max="41"/>
    <col width="3.147857142857143" bestFit="1" customWidth="1" style="64" min="42" max="42"/>
    <col width="2.290714285714285" bestFit="1" customWidth="1" style="64" min="43" max="43"/>
    <col width="2.147857142857143" bestFit="1" customWidth="1" style="64" min="44" max="44"/>
    <col width="1.719285714285714" bestFit="1" customWidth="1" style="64" min="45" max="45"/>
    <col width="3.147857142857143" bestFit="1" customWidth="1" style="64" min="46" max="46"/>
    <col width="13.57642857142857" bestFit="1" customWidth="1" style="64" min="47" max="47"/>
    <col width="11.43357142857143" bestFit="1" customWidth="1" style="64" min="48" max="48"/>
    <col width="11.71928571428571" bestFit="1" customWidth="1" style="64" min="49" max="49"/>
    <col width="26.86214285714286" bestFit="1" customWidth="1" style="64" min="50" max="50"/>
    <col width="26.86214285714286" bestFit="1" customWidth="1" style="64" min="51" max="51"/>
    <col width="13.57642857142857" bestFit="1" customWidth="1" style="64" min="52" max="52"/>
    <col width="13.57642857142857" bestFit="1" customWidth="1" style="64" min="53" max="53"/>
    <col width="13.57642857142857" bestFit="1" customWidth="1" style="64" min="54" max="54"/>
    <col width="13.57642857142857" bestFit="1" customWidth="1" style="64" min="55" max="55"/>
    <col width="13.57642857142857" bestFit="1" customWidth="1" style="64" min="56" max="56"/>
    <col width="13.57642857142857" bestFit="1" customWidth="1" style="64" min="57" max="57"/>
    <col width="13.57642857142857" bestFit="1" customWidth="1" style="64" min="58" max="58"/>
    <col width="13.57642857142857" bestFit="1" customWidth="1" style="64" min="59" max="59"/>
    <col width="13.57642857142857" bestFit="1" customWidth="1" style="64" min="60" max="60"/>
  </cols>
  <sheetData>
    <row r="1" ht="30.75" customFormat="1" customHeight="1" s="18">
      <c r="A1" s="419" t="inlineStr">
        <is>
          <t>evsjv‡`k K…wl e¨vsK</t>
        </is>
      </c>
      <c r="AU1" s="103" t="n"/>
      <c r="AV1" s="103" t="n"/>
      <c r="AW1" s="103" t="n"/>
      <c r="AX1" s="103" t="n"/>
      <c r="AY1" s="69" t="n"/>
      <c r="AZ1" s="103" t="n"/>
      <c r="BA1" s="103" t="n"/>
      <c r="BB1" s="103" t="n"/>
      <c r="BC1" s="103" t="n"/>
      <c r="BD1" s="103" t="n"/>
      <c r="BE1" s="103" t="n"/>
      <c r="BF1" s="103" t="n"/>
      <c r="BG1" s="103" t="n"/>
      <c r="BH1" s="103" t="n"/>
    </row>
    <row r="2" ht="19.5" customFormat="1" customHeight="1" s="18">
      <c r="A2" s="172">
        <f>+'Data Input'!D2</f>
        <v/>
      </c>
      <c r="AU2" s="103" t="n"/>
      <c r="AV2" s="103" t="n"/>
      <c r="AW2" s="103" t="n"/>
      <c r="AX2" s="103" t="n"/>
      <c r="AY2" s="71" t="n"/>
      <c r="AZ2" s="103" t="n"/>
      <c r="BA2" s="103" t="n"/>
      <c r="BB2" s="103" t="n"/>
      <c r="BC2" s="103" t="n"/>
      <c r="BD2" s="103" t="n"/>
      <c r="BE2" s="103" t="n"/>
      <c r="BF2" s="103" t="n"/>
      <c r="BG2" s="103" t="n"/>
      <c r="BH2" s="103" t="n"/>
    </row>
    <row r="3" ht="13.5" customFormat="1" customHeight="1" s="18">
      <c r="A3" s="173">
        <f>+'Data Input'!D3</f>
        <v/>
      </c>
      <c r="AU3" s="103" t="n"/>
      <c r="AV3" s="103" t="n"/>
      <c r="AW3" s="103" t="n"/>
      <c r="AX3" s="103" t="n"/>
      <c r="AY3" s="73" t="n"/>
      <c r="AZ3" s="103" t="n"/>
      <c r="BA3" s="103" t="n"/>
      <c r="BB3" s="103" t="n"/>
      <c r="BC3" s="103" t="n"/>
      <c r="BD3" s="103" t="n"/>
      <c r="BE3" s="103" t="n"/>
      <c r="BF3" s="103" t="n"/>
      <c r="BG3" s="103" t="n"/>
      <c r="BH3" s="103" t="n"/>
    </row>
    <row r="4" ht="13.5" customFormat="1" customHeight="1" s="18">
      <c r="A4" s="175">
        <f>+'Data Input'!D4</f>
        <v/>
      </c>
      <c r="B4" s="2613" t="n"/>
      <c r="C4" s="2613" t="n"/>
      <c r="D4" s="2613" t="n"/>
      <c r="E4" s="2613" t="n"/>
      <c r="F4" s="2613" t="n"/>
      <c r="G4" s="2613" t="n"/>
      <c r="H4" s="2613" t="n"/>
      <c r="I4" s="2613" t="n"/>
      <c r="J4" s="2613" t="n"/>
      <c r="K4" s="2613" t="n"/>
      <c r="L4" s="2613" t="n"/>
      <c r="M4" s="2613" t="n"/>
      <c r="N4" s="2613" t="n"/>
      <c r="O4" s="2613" t="n"/>
      <c r="P4" s="2613" t="n"/>
      <c r="Q4" s="2613" t="n"/>
      <c r="R4" s="2613" t="n"/>
      <c r="S4" s="2613" t="n"/>
      <c r="T4" s="2613" t="n"/>
      <c r="U4" s="2613" t="n"/>
      <c r="V4" s="2613" t="n"/>
      <c r="W4" s="2613" t="n"/>
      <c r="X4" s="2613" t="n"/>
      <c r="Y4" s="2613" t="n"/>
      <c r="Z4" s="2613" t="n"/>
      <c r="AA4" s="2613" t="n"/>
      <c r="AB4" s="2613" t="n"/>
      <c r="AC4" s="2613" t="n"/>
      <c r="AD4" s="2613" t="n"/>
      <c r="AE4" s="2613" t="n"/>
      <c r="AF4" s="2613" t="n"/>
      <c r="AG4" s="2613" t="n"/>
      <c r="AH4" s="2613" t="n"/>
      <c r="AI4" s="2613" t="n"/>
      <c r="AJ4" s="2613" t="n"/>
      <c r="AK4" s="2613" t="n"/>
      <c r="AL4" s="2613" t="n"/>
      <c r="AM4" s="2613" t="n"/>
      <c r="AN4" s="2613" t="n"/>
      <c r="AO4" s="2613" t="n"/>
      <c r="AP4" s="2613" t="n"/>
      <c r="AQ4" s="2613" t="n"/>
      <c r="AR4" s="2613" t="n"/>
      <c r="AS4" s="2613" t="n"/>
      <c r="AT4" s="2613" t="n"/>
      <c r="AU4" s="103" t="n"/>
      <c r="AV4" s="103" t="n"/>
      <c r="AW4" s="103" t="n"/>
      <c r="AX4" s="103" t="n"/>
      <c r="AY4" s="75" t="n"/>
      <c r="AZ4" s="103" t="n"/>
      <c r="BA4" s="103" t="n"/>
      <c r="BB4" s="103" t="n"/>
      <c r="BC4" s="103" t="n"/>
      <c r="BD4" s="103" t="n"/>
      <c r="BE4" s="103" t="n"/>
      <c r="BF4" s="103" t="n"/>
      <c r="BG4" s="103" t="n"/>
      <c r="BH4" s="103" t="n"/>
    </row>
    <row r="5" ht="16.5" customHeight="1">
      <c r="A5" s="1929">
        <f>"   "&amp;'Data Input'!B5&amp;""&amp;'Data Input'!D5</f>
        <v/>
      </c>
      <c r="B5" s="2614" t="n"/>
      <c r="C5" s="2614" t="n"/>
      <c r="D5" s="2614" t="n"/>
      <c r="E5" s="2614" t="n"/>
      <c r="F5" s="2614" t="n"/>
      <c r="G5" s="2614" t="n"/>
      <c r="H5" s="2614" t="n"/>
      <c r="I5" s="2614" t="n"/>
      <c r="J5" s="2614" t="n"/>
      <c r="K5" s="2614" t="n"/>
      <c r="L5" s="2614" t="n"/>
      <c r="M5" s="2614" t="n"/>
      <c r="N5" s="2614" t="n"/>
      <c r="O5" s="2614" t="n"/>
      <c r="P5" s="2614" t="n"/>
      <c r="Q5" s="2614" t="n"/>
      <c r="R5" s="2614" t="n"/>
      <c r="S5" s="2614" t="n"/>
      <c r="T5" s="2614" t="n"/>
      <c r="U5" s="2614" t="n"/>
      <c r="V5" s="2614" t="n"/>
      <c r="W5" s="2614" t="n"/>
      <c r="X5" s="2614" t="n"/>
      <c r="Y5" s="2614" t="n"/>
      <c r="Z5" s="2614" t="n"/>
      <c r="AA5" s="2614" t="n"/>
      <c r="AB5" s="2614" t="n"/>
      <c r="AC5" s="2614" t="n"/>
      <c r="AD5" s="2614" t="n"/>
      <c r="AE5" s="2614" t="n"/>
      <c r="AF5" s="310" t="n"/>
      <c r="AG5" s="311" t="n"/>
      <c r="AH5" s="311" t="n"/>
      <c r="AI5" s="310" t="n"/>
      <c r="AJ5" s="310" t="n"/>
      <c r="AK5" s="310" t="n"/>
      <c r="AL5" s="311" t="n"/>
      <c r="AM5" s="2614" t="n"/>
      <c r="AN5" s="2614" t="n"/>
      <c r="AO5" s="312" t="n"/>
      <c r="AP5" s="2614" t="n"/>
      <c r="AQ5" s="2614" t="n"/>
      <c r="AR5" s="2614" t="n"/>
      <c r="AS5" s="2614" t="n"/>
      <c r="AT5" s="313" t="n"/>
      <c r="AU5" s="64" t="n"/>
      <c r="AV5" s="64" t="n"/>
      <c r="AW5" s="64" t="n"/>
      <c r="AX5" s="64" t="n"/>
      <c r="AY5" s="64" t="n"/>
      <c r="AZ5" s="64" t="n"/>
      <c r="BA5" s="64" t="n"/>
      <c r="BB5" s="64" t="n"/>
      <c r="BC5" s="64" t="n"/>
      <c r="BD5" s="64" t="n"/>
      <c r="BE5" s="64" t="n"/>
      <c r="BF5" s="64" t="n"/>
      <c r="BG5" s="64" t="n"/>
      <c r="BH5" s="64" t="n"/>
    </row>
    <row r="6" ht="9" customHeight="1">
      <c r="A6" s="600" t="n"/>
      <c r="B6" s="600" t="n"/>
      <c r="C6" s="600" t="n"/>
      <c r="D6" s="600" t="n"/>
      <c r="E6" s="600" t="n"/>
      <c r="F6" s="600" t="n"/>
      <c r="G6" s="600" t="n"/>
      <c r="H6" s="600" t="n"/>
      <c r="I6" s="600" t="n"/>
      <c r="J6" s="600" t="n"/>
      <c r="K6" s="600" t="n"/>
      <c r="L6" s="600" t="n"/>
      <c r="M6" s="600" t="n"/>
      <c r="N6" s="600" t="n"/>
      <c r="O6" s="600" t="n"/>
      <c r="P6" s="600" t="n"/>
      <c r="Q6" s="600" t="n"/>
      <c r="R6" s="600" t="n"/>
      <c r="S6" s="600" t="n"/>
      <c r="T6" s="600" t="n"/>
      <c r="U6" s="600" t="n"/>
      <c r="V6" s="600" t="n"/>
      <c r="W6" s="600" t="n"/>
      <c r="X6" s="600" t="n"/>
      <c r="Y6" s="600" t="n"/>
      <c r="Z6" s="600" t="n"/>
      <c r="AA6" s="600" t="n"/>
      <c r="AB6" s="600" t="n"/>
      <c r="AC6" s="600" t="n"/>
      <c r="AD6" s="600" t="n"/>
      <c r="AE6" s="600" t="n"/>
      <c r="AF6" s="64" t="n"/>
      <c r="AG6" s="76" t="n"/>
      <c r="AH6" s="76" t="n"/>
      <c r="AI6" s="64" t="n"/>
      <c r="AJ6" s="64" t="n"/>
      <c r="AK6" s="64" t="n"/>
      <c r="AL6" s="76" t="n"/>
      <c r="AM6" s="76" t="n"/>
      <c r="AN6" s="76" t="n"/>
      <c r="AO6" s="77" t="n"/>
      <c r="AP6" s="77" t="n"/>
      <c r="AQ6" s="77" t="n"/>
      <c r="AR6" s="77" t="n"/>
      <c r="AS6" s="77" t="n"/>
      <c r="AT6" s="78" t="n"/>
      <c r="AU6" s="64" t="n"/>
      <c r="AV6" s="64" t="n"/>
      <c r="AW6" s="64" t="n"/>
      <c r="AX6" s="64" t="n"/>
      <c r="AY6" s="64" t="n"/>
      <c r="AZ6" s="64" t="n"/>
      <c r="BA6" s="64" t="n"/>
      <c r="BB6" s="64" t="n"/>
      <c r="BC6" s="64" t="n"/>
      <c r="BD6" s="64" t="n"/>
      <c r="BE6" s="64" t="n"/>
      <c r="BF6" s="64" t="n"/>
      <c r="BG6" s="64" t="n"/>
      <c r="BH6" s="64" t="n"/>
    </row>
    <row r="7" ht="16.5" customHeight="1">
      <c r="A7" s="600" t="n"/>
      <c r="B7" s="600" t="n"/>
      <c r="C7" s="600" t="n"/>
      <c r="D7" s="600" t="n"/>
      <c r="E7" s="600" t="n"/>
      <c r="F7" s="600" t="n"/>
      <c r="G7" s="600" t="n"/>
      <c r="H7" s="600" t="n"/>
      <c r="I7" s="600" t="n"/>
      <c r="J7" s="600" t="n"/>
      <c r="K7" s="600" t="n"/>
      <c r="L7" s="600" t="n"/>
      <c r="M7" s="600" t="n"/>
      <c r="N7" s="600" t="n"/>
      <c r="O7" s="600" t="n"/>
      <c r="P7" s="600" t="n"/>
      <c r="Q7" s="600" t="n"/>
      <c r="R7" s="600" t="n"/>
      <c r="S7" s="600" t="n"/>
      <c r="T7" s="600" t="n"/>
      <c r="U7" s="600" t="n"/>
      <c r="V7" s="600" t="n"/>
      <c r="W7" s="600" t="n"/>
      <c r="X7" s="600" t="n"/>
      <c r="Y7" s="600" t="n"/>
      <c r="Z7" s="600" t="n"/>
      <c r="AA7" s="600" t="n"/>
      <c r="AB7" s="600" t="n"/>
      <c r="AC7" s="600" t="n"/>
      <c r="AD7" s="600" t="n"/>
      <c r="AE7" s="600" t="n"/>
      <c r="AF7" s="64" t="n"/>
      <c r="AG7" s="76" t="n"/>
      <c r="AH7" s="76" t="n"/>
      <c r="AI7" s="64" t="n"/>
      <c r="AJ7" s="64" t="n"/>
      <c r="AK7" s="64" t="n"/>
      <c r="AL7" s="76" t="n"/>
      <c r="AM7" s="76" t="n"/>
      <c r="AN7" s="76" t="n"/>
      <c r="AO7" s="77" t="n"/>
      <c r="AP7" s="77" t="n"/>
      <c r="AQ7" s="77" t="n"/>
      <c r="AR7" s="77" t="n"/>
      <c r="AS7" s="77" t="n"/>
      <c r="AT7" s="78" t="n"/>
      <c r="AU7" s="64" t="n"/>
      <c r="AV7" s="64" t="n"/>
      <c r="AW7" s="64" t="n"/>
      <c r="AX7" s="64" t="n"/>
      <c r="AY7" s="64" t="n"/>
      <c r="AZ7" s="64" t="n"/>
      <c r="BA7" s="64" t="n"/>
      <c r="BB7" s="64" t="n"/>
      <c r="BC7" s="64" t="n"/>
      <c r="BD7" s="64" t="n"/>
      <c r="BE7" s="64" t="n"/>
      <c r="BF7" s="64" t="n"/>
      <c r="BG7" s="64" t="n"/>
      <c r="BH7" s="64" t="n"/>
    </row>
    <row r="8" ht="16.5" customHeight="1">
      <c r="A8" s="600" t="n"/>
      <c r="B8" s="600" t="n"/>
      <c r="C8" s="600" t="n"/>
      <c r="D8" s="600" t="n"/>
      <c r="E8" s="600" t="n"/>
      <c r="F8" s="600" t="n"/>
      <c r="G8" s="600" t="n"/>
      <c r="H8" s="600" t="n"/>
      <c r="I8" s="600" t="n"/>
      <c r="J8" s="600" t="n"/>
      <c r="K8" s="600" t="n"/>
      <c r="L8" s="600" t="n"/>
      <c r="M8" s="600" t="n"/>
      <c r="N8" s="600" t="n"/>
      <c r="O8" s="600" t="n"/>
      <c r="P8" s="600" t="n"/>
      <c r="Q8" s="600" t="n"/>
      <c r="R8" s="600" t="n"/>
      <c r="S8" s="600" t="n"/>
      <c r="T8" s="600" t="n"/>
      <c r="U8" s="600" t="n"/>
      <c r="V8" s="600" t="n"/>
      <c r="W8" s="600" t="n"/>
      <c r="X8" s="600" t="n"/>
      <c r="Y8" s="600" t="n"/>
      <c r="Z8" s="600" t="n"/>
      <c r="AA8" s="600" t="n"/>
      <c r="AB8" s="600" t="n"/>
      <c r="AC8" s="600" t="n"/>
      <c r="AD8" s="600" t="n"/>
      <c r="AE8" s="600" t="n"/>
      <c r="AF8" s="64" t="n"/>
      <c r="AG8" s="76" t="n"/>
      <c r="AH8" s="76" t="n"/>
      <c r="AI8" s="64" t="n"/>
      <c r="AJ8" s="64" t="n"/>
      <c r="AK8" s="64" t="n"/>
      <c r="AL8" s="76" t="n"/>
      <c r="AM8" s="76" t="n"/>
      <c r="AN8" s="76" t="n"/>
      <c r="AO8" s="77" t="n"/>
      <c r="AP8" s="77" t="n"/>
      <c r="AQ8" s="77" t="n"/>
      <c r="AR8" s="77" t="n"/>
      <c r="AS8" s="77" t="n"/>
      <c r="AT8" s="78" t="n"/>
      <c r="AU8" s="64" t="n"/>
      <c r="AV8" s="64" t="n"/>
      <c r="AW8" s="64" t="n"/>
      <c r="AX8" s="64" t="n"/>
      <c r="AY8" s="64" t="n"/>
      <c r="AZ8" s="64" t="n"/>
      <c r="BA8" s="64" t="n"/>
      <c r="BB8" s="64" t="n"/>
      <c r="BC8" s="64" t="n"/>
      <c r="BD8" s="64" t="n"/>
      <c r="BE8" s="64" t="n"/>
      <c r="BF8" s="64" t="n"/>
      <c r="BG8" s="64" t="n"/>
      <c r="BH8" s="64" t="n"/>
    </row>
    <row r="9" ht="27.75" customHeight="1">
      <c r="A9" s="14" t="inlineStr">
        <is>
          <t>cÖZ¨qb cÎ</t>
        </is>
      </c>
      <c r="AU9" s="64" t="n"/>
      <c r="AV9" s="64" t="n"/>
      <c r="AW9" s="64" t="n"/>
      <c r="AX9" s="64" t="n"/>
      <c r="AY9" s="64" t="n"/>
      <c r="AZ9" s="64" t="n"/>
      <c r="BA9" s="64" t="n"/>
      <c r="BB9" s="64" t="n"/>
      <c r="BC9" s="64" t="n"/>
      <c r="BD9" s="64" t="n"/>
      <c r="BE9" s="64" t="n"/>
      <c r="BF9" s="64" t="n"/>
      <c r="BG9" s="64" t="n"/>
      <c r="BH9" s="64" t="n"/>
    </row>
    <row r="10" ht="16.5" customHeight="1">
      <c r="A10" s="600" t="n"/>
      <c r="B10" s="600" t="n"/>
      <c r="C10" s="600" t="n"/>
      <c r="D10" s="600" t="n"/>
      <c r="E10" s="600" t="n"/>
      <c r="F10" s="600" t="n"/>
      <c r="G10" s="600" t="n"/>
      <c r="H10" s="600" t="n"/>
      <c r="I10" s="600" t="n"/>
      <c r="J10" s="600" t="n"/>
      <c r="K10" s="600" t="n"/>
      <c r="L10" s="600" t="n"/>
      <c r="M10" s="600" t="n"/>
      <c r="N10" s="600" t="n"/>
      <c r="O10" s="600" t="inlineStr">
        <is>
          <t xml:space="preserve">                                                   </t>
        </is>
      </c>
      <c r="P10" s="600" t="n"/>
      <c r="Q10" s="600" t="n"/>
      <c r="R10" s="600" t="n"/>
      <c r="S10" s="600" t="n"/>
      <c r="T10" s="600" t="n"/>
      <c r="U10" s="600" t="n"/>
      <c r="V10" s="600" t="n"/>
      <c r="W10" s="600" t="n"/>
      <c r="X10" s="600" t="n"/>
      <c r="Y10" s="600" t="n"/>
      <c r="Z10" s="600" t="n"/>
      <c r="AA10" s="600" t="n"/>
      <c r="AB10" s="600" t="n"/>
      <c r="AC10" s="600" t="n"/>
      <c r="AD10" s="600" t="n"/>
      <c r="AE10" s="600" t="n"/>
      <c r="AF10" s="64" t="n"/>
      <c r="AG10" s="76" t="n"/>
      <c r="AH10" s="76" t="n"/>
      <c r="AI10" s="64" t="n"/>
      <c r="AJ10" s="64" t="n"/>
      <c r="AK10" s="64" t="n"/>
      <c r="AL10" s="76" t="n"/>
      <c r="AM10" s="76" t="n"/>
      <c r="AN10" s="76" t="n"/>
      <c r="AO10" s="77" t="n"/>
      <c r="AP10" s="77" t="n"/>
      <c r="AQ10" s="77" t="n"/>
      <c r="AR10" s="77" t="n"/>
      <c r="AS10" s="77" t="n"/>
      <c r="AT10" s="78" t="n"/>
      <c r="AU10" s="64" t="n"/>
      <c r="AV10" s="64" t="n"/>
      <c r="AW10" s="64" t="n"/>
      <c r="AX10" s="64" t="n"/>
      <c r="AY10" s="64" t="n"/>
      <c r="AZ10" s="64" t="n"/>
      <c r="BA10" s="64" t="n"/>
      <c r="BB10" s="64" t="n"/>
      <c r="BC10" s="64" t="n"/>
      <c r="BD10" s="64" t="n"/>
      <c r="BE10" s="64" t="n"/>
      <c r="BF10" s="64" t="n"/>
      <c r="BG10" s="64" t="n"/>
      <c r="BH10" s="64" t="n"/>
    </row>
    <row r="11" ht="16.5" customHeight="1">
      <c r="A11" s="600" t="n"/>
      <c r="B11" s="600" t="n"/>
      <c r="C11" s="600" t="n"/>
      <c r="D11" s="600" t="n"/>
      <c r="E11" s="600" t="n"/>
      <c r="F11" s="600" t="n"/>
      <c r="G11" s="600" t="n"/>
      <c r="H11" s="600" t="n"/>
      <c r="I11" s="600" t="n"/>
      <c r="J11" s="600" t="n"/>
      <c r="K11" s="600" t="n"/>
      <c r="L11" s="600" t="n"/>
      <c r="M11" s="600" t="n"/>
      <c r="N11" s="600" t="n"/>
      <c r="O11" s="600" t="n"/>
      <c r="P11" s="600" t="n"/>
      <c r="Q11" s="600" t="n"/>
      <c r="R11" s="600" t="n"/>
      <c r="S11" s="600" t="n"/>
      <c r="T11" s="600" t="n"/>
      <c r="U11" s="600" t="n"/>
      <c r="V11" s="600" t="n"/>
      <c r="W11" s="600" t="n"/>
      <c r="X11" s="600" t="n"/>
      <c r="Y11" s="600" t="n"/>
      <c r="Z11" s="600" t="n"/>
      <c r="AA11" s="600" t="n"/>
      <c r="AB11" s="600" t="n"/>
      <c r="AC11" s="600" t="n"/>
      <c r="AD11" s="600" t="n"/>
      <c r="AE11" s="600" t="n"/>
      <c r="AF11" s="64" t="n"/>
      <c r="AG11" s="76" t="n"/>
      <c r="AH11" s="76" t="n"/>
      <c r="AI11" s="64" t="n"/>
      <c r="AJ11" s="64" t="n"/>
      <c r="AK11" s="64" t="n"/>
      <c r="AL11" s="76" t="n"/>
      <c r="AM11" s="76" t="n"/>
      <c r="AN11" s="76" t="n"/>
      <c r="AO11" s="77" t="n"/>
      <c r="AP11" s="77" t="n"/>
      <c r="AQ11" s="77" t="n"/>
      <c r="AR11" s="77" t="n"/>
      <c r="AS11" s="77" t="n"/>
      <c r="AT11" s="78" t="n"/>
      <c r="AU11" s="64" t="n"/>
      <c r="AV11" s="64" t="n"/>
      <c r="AW11" s="64" t="n"/>
      <c r="AX11" s="64" t="n"/>
      <c r="AY11" s="64" t="n"/>
      <c r="AZ11" s="64" t="n"/>
      <c r="BA11" s="64" t="n"/>
      <c r="BB11" s="64" t="n"/>
      <c r="BC11" s="64" t="n"/>
      <c r="BD11" s="64" t="n"/>
      <c r="BE11" s="64" t="n"/>
      <c r="BF11" s="64" t="n"/>
      <c r="BG11" s="64" t="n"/>
      <c r="BH11" s="64" t="n"/>
    </row>
    <row r="12" ht="16.5" customHeight="1">
      <c r="A12" s="600" t="n"/>
      <c r="B12" s="600" t="n"/>
      <c r="C12" s="600" t="n"/>
      <c r="D12" s="600" t="n"/>
      <c r="E12" s="314">
        <f>"GB g‡g© cÖZ¨qb Kiv hv‡”Q †h, "&amp;'Data Input'!D5&amp;",  Ò"&amp;'Data Input'!D8&amp;"Ó bvgxq  FY  †Km Gi Av‡e`b`bKvix "&amp;'Data Input'!D12&amp;", wcZv/¯^vgxi bvgt "&amp;'Data Input'!D13&amp;", gvZvi bvgt "&amp;'Data Input'!D14&amp;", wVKvbvt "&amp;+'Data Input'!D17&amp;", Dc‡Rjvt "&amp;'Data Input'!D22&amp;", ‡Rjvt "&amp;'Data Input'!D23&amp;" KZ©„K F‡Yi wecix‡Z cÖ`vbK…Z cÖ¯ÍvweZ RvgvbwZ m¤úwËi gvwjKvbv ¯^Z¡ m¤úK©xZ g~j KvMR cÎ kvLvq FY bw_‡Z bw_f~³ Av‡Q"</f>
        <v/>
      </c>
      <c r="AO12" s="77" t="n"/>
      <c r="AP12" s="77" t="n"/>
      <c r="AQ12" s="77" t="n"/>
      <c r="AR12" s="77" t="n"/>
      <c r="AS12" s="77" t="n"/>
      <c r="AT12" s="78" t="n"/>
      <c r="AU12" s="64" t="n"/>
      <c r="AV12" s="64" t="n"/>
      <c r="AW12" s="64" t="n"/>
      <c r="AX12" s="64" t="n"/>
      <c r="AY12" s="64" t="n"/>
      <c r="AZ12" s="64" t="n"/>
      <c r="BA12" s="64" t="n"/>
      <c r="BB12" s="64" t="n"/>
      <c r="BC12" s="64" t="n"/>
      <c r="BD12" s="64" t="n"/>
      <c r="BE12" s="64" t="n"/>
      <c r="BF12" s="64" t="n"/>
      <c r="BG12" s="64" t="n"/>
      <c r="BH12" s="64" t="n"/>
    </row>
    <row r="13" ht="60" customHeight="1">
      <c r="A13" s="600" t="n"/>
      <c r="B13" s="600" t="n"/>
      <c r="C13" s="600" t="n"/>
      <c r="D13" s="600" t="n"/>
      <c r="AO13" s="77" t="n"/>
      <c r="AP13" s="77" t="n"/>
      <c r="AQ13" s="77" t="n"/>
      <c r="AR13" s="77" t="n"/>
      <c r="AS13" s="77" t="n"/>
      <c r="AT13" s="78" t="n"/>
      <c r="AU13" s="64" t="n"/>
      <c r="AV13" s="64" t="n"/>
      <c r="AW13" s="64" t="n"/>
      <c r="AX13" s="64" t="n"/>
      <c r="AY13" s="64" t="n"/>
      <c r="AZ13" s="64" t="n"/>
      <c r="BA13" s="64" t="n"/>
      <c r="BB13" s="64" t="n"/>
      <c r="BC13" s="64" t="n"/>
      <c r="BD13" s="64" t="n"/>
      <c r="BE13" s="64" t="n"/>
      <c r="BF13" s="64" t="n"/>
      <c r="BG13" s="64" t="n"/>
      <c r="BH13" s="64" t="n"/>
    </row>
    <row r="14" ht="57.75" customFormat="1" customHeight="1" s="18">
      <c r="A14" s="375" t="n"/>
      <c r="B14" s="199" t="n"/>
      <c r="C14" s="199" t="n"/>
      <c r="D14" s="199" t="n"/>
      <c r="AO14" s="199" t="n"/>
      <c r="AP14" s="199" t="n"/>
      <c r="AQ14" s="199" t="n"/>
      <c r="AR14" s="199" t="n"/>
      <c r="AS14" s="199" t="n"/>
      <c r="AT14" s="199" t="n"/>
      <c r="AU14" s="103" t="n"/>
      <c r="AV14" s="103" t="n"/>
      <c r="AW14" s="103" t="n"/>
      <c r="AX14" s="103" t="n"/>
      <c r="AY14" s="103" t="n"/>
      <c r="AZ14" s="103" t="n"/>
      <c r="BA14" s="103" t="n"/>
      <c r="BB14" s="103" t="n"/>
      <c r="BC14" s="103" t="n"/>
      <c r="BD14" s="103" t="n"/>
      <c r="BE14" s="103" t="n"/>
      <c r="BF14" s="103" t="n"/>
      <c r="BG14" s="103" t="n"/>
      <c r="BH14" s="103" t="n"/>
    </row>
    <row r="15" ht="57.75" customFormat="1" customHeight="1" s="18">
      <c r="A15" s="199" t="n"/>
      <c r="B15" s="199" t="n"/>
      <c r="C15" s="199" t="n"/>
      <c r="D15" s="199" t="n"/>
      <c r="AO15" s="199" t="n"/>
      <c r="AP15" s="199" t="n"/>
      <c r="AQ15" s="199" t="n"/>
      <c r="AR15" s="199" t="n"/>
      <c r="AS15" s="199" t="n"/>
      <c r="AT15" s="199" t="n"/>
      <c r="AU15" s="103" t="n"/>
      <c r="AV15" s="103" t="n"/>
      <c r="AW15" s="103" t="n"/>
      <c r="AX15" s="103" t="n"/>
      <c r="AY15" s="103" t="n"/>
      <c r="AZ15" s="103" t="n"/>
      <c r="BA15" s="103" t="n"/>
      <c r="BB15" s="103" t="n"/>
      <c r="BC15" s="103" t="n"/>
      <c r="BD15" s="103" t="n"/>
      <c r="BE15" s="103" t="n"/>
      <c r="BF15" s="103" t="n"/>
      <c r="BG15" s="103" t="n"/>
      <c r="BH15" s="103" t="n"/>
    </row>
    <row r="16" ht="21" customFormat="1" customHeight="1" s="18">
      <c r="A16" s="199" t="n"/>
      <c r="B16" s="199" t="n"/>
      <c r="C16" s="199" t="n"/>
      <c r="D16" s="199" t="n"/>
      <c r="E16" s="199" t="n"/>
      <c r="F16" s="199" t="n"/>
      <c r="G16" s="199" t="n"/>
      <c r="H16" s="199" t="n"/>
      <c r="I16" s="199" t="n"/>
      <c r="J16" s="199" t="n"/>
      <c r="K16" s="199" t="n"/>
      <c r="L16" s="199" t="n"/>
      <c r="M16" s="199" t="n"/>
      <c r="N16" s="199" t="n"/>
      <c r="O16" s="199" t="n"/>
      <c r="P16" s="199" t="n"/>
      <c r="Q16" s="199" t="n"/>
      <c r="R16" s="199" t="n"/>
      <c r="S16" s="199" t="n"/>
      <c r="T16" s="199" t="n"/>
      <c r="U16" s="199" t="n"/>
      <c r="V16" s="199" t="n"/>
      <c r="W16" s="199" t="n"/>
      <c r="X16" s="199" t="n"/>
      <c r="Y16" s="199" t="n"/>
      <c r="Z16" s="199" t="n"/>
      <c r="AA16" s="199" t="n"/>
      <c r="AB16" s="199" t="n"/>
      <c r="AC16" s="199" t="n"/>
      <c r="AD16" s="199" t="n"/>
      <c r="AE16" s="199" t="n"/>
      <c r="AF16" s="199" t="n"/>
      <c r="AG16" s="199" t="n"/>
      <c r="AH16" s="199" t="n"/>
      <c r="AI16" s="199" t="n"/>
      <c r="AJ16" s="199" t="n"/>
      <c r="AK16" s="199" t="n"/>
      <c r="AL16" s="199" t="n"/>
      <c r="AM16" s="199" t="n"/>
      <c r="AN16" s="199" t="n"/>
      <c r="AO16" s="199" t="n"/>
      <c r="AP16" s="199" t="n"/>
      <c r="AQ16" s="199" t="n"/>
      <c r="AR16" s="199" t="n"/>
      <c r="AS16" s="199" t="n"/>
      <c r="AT16" s="199" t="n"/>
      <c r="AU16" s="103" t="n"/>
      <c r="AV16" s="103" t="n"/>
      <c r="AW16" s="103" t="n"/>
      <c r="AX16" s="103" t="n"/>
      <c r="AY16" s="103" t="n"/>
      <c r="AZ16" s="103" t="n"/>
      <c r="BA16" s="103" t="n"/>
      <c r="BB16" s="103" t="n"/>
      <c r="BC16" s="103" t="n"/>
      <c r="BD16" s="103" t="n"/>
      <c r="BE16" s="103" t="n"/>
      <c r="BF16" s="103" t="n"/>
      <c r="BG16" s="103" t="n"/>
      <c r="BH16" s="103" t="n"/>
    </row>
    <row r="17" ht="16.5" customHeight="1">
      <c r="A17" s="600" t="n"/>
      <c r="B17" s="600" t="n"/>
      <c r="C17" s="600" t="n"/>
      <c r="D17" s="600" t="n"/>
      <c r="E17" s="600" t="n"/>
      <c r="F17" s="600" t="n"/>
      <c r="G17" s="600" t="n"/>
      <c r="H17" s="600" t="n"/>
      <c r="I17" s="600" t="n"/>
      <c r="J17" s="600" t="n"/>
      <c r="K17" s="600" t="n"/>
      <c r="L17" s="600" t="n"/>
      <c r="M17" s="600" t="n"/>
      <c r="N17" s="600" t="n"/>
      <c r="O17" s="600" t="n"/>
      <c r="P17" s="600" t="n"/>
      <c r="Q17" s="600" t="n"/>
      <c r="R17" s="600" t="n"/>
      <c r="S17" s="600" t="n"/>
      <c r="T17" s="600" t="n"/>
      <c r="U17" s="600" t="n"/>
      <c r="V17" s="600" t="n"/>
      <c r="W17" s="600" t="n"/>
      <c r="X17" s="600" t="n"/>
      <c r="Y17" s="600" t="n"/>
      <c r="Z17" s="600" t="n"/>
      <c r="AA17" s="600" t="n"/>
      <c r="AB17" s="600" t="n"/>
      <c r="AC17" s="600" t="n"/>
      <c r="AD17" s="600" t="n"/>
      <c r="AE17" s="600" t="n"/>
      <c r="AF17" s="64" t="n"/>
      <c r="AG17" s="76" t="n"/>
      <c r="AH17" s="76" t="n"/>
      <c r="AI17" s="64" t="n"/>
      <c r="AJ17" s="64" t="n"/>
      <c r="AK17" s="64" t="n"/>
      <c r="AL17" s="76" t="n"/>
      <c r="AM17" s="76" t="n"/>
      <c r="AN17" s="76" t="n"/>
      <c r="AO17" s="77" t="n"/>
      <c r="AP17" s="77" t="n"/>
      <c r="AQ17" s="77" t="n"/>
      <c r="AR17" s="77" t="n"/>
      <c r="AS17" s="77" t="n"/>
      <c r="AT17" s="78" t="n"/>
      <c r="AU17" s="64" t="n"/>
      <c r="AV17" s="64" t="n"/>
      <c r="AW17" s="64" t="n"/>
      <c r="AX17" s="399" t="n"/>
      <c r="AY17" s="316" t="n"/>
      <c r="AZ17" s="64" t="n"/>
      <c r="BA17" s="64" t="n"/>
      <c r="BB17" s="64" t="n"/>
      <c r="BC17" s="64" t="n"/>
      <c r="BD17" s="64" t="n"/>
      <c r="BE17" s="64" t="n"/>
      <c r="BF17" s="64" t="n"/>
      <c r="BG17" s="64" t="n"/>
      <c r="BH17" s="64" t="n"/>
    </row>
    <row r="18" ht="18.75" customHeight="1">
      <c r="A18" s="1964" t="n"/>
      <c r="B18" s="1964" t="n"/>
      <c r="C18" s="1964" t="n"/>
      <c r="D18" s="1964" t="n"/>
      <c r="E18" s="1964" t="n"/>
      <c r="F18" s="1964" t="n"/>
      <c r="G18" s="1964" t="n"/>
      <c r="H18" s="1964" t="n"/>
      <c r="I18" s="1964" t="n"/>
      <c r="J18" s="1964" t="n"/>
      <c r="K18" s="1964" t="n"/>
      <c r="L18" s="1964" t="n"/>
      <c r="M18" s="1964" t="n"/>
      <c r="N18" s="1964" t="n"/>
      <c r="O18" s="1964" t="n"/>
      <c r="P18" s="1964" t="n"/>
      <c r="Q18" s="1964" t="n"/>
      <c r="R18" s="1964" t="n"/>
      <c r="S18" s="1964" t="n"/>
      <c r="T18" s="1964" t="n"/>
      <c r="U18" s="1964" t="n"/>
      <c r="V18" s="1964" t="n"/>
      <c r="W18" s="1964" t="n"/>
      <c r="X18" s="1964" t="n"/>
      <c r="Y18" s="1964" t="n"/>
      <c r="Z18" s="1964" t="n"/>
      <c r="AA18" s="1964" t="n"/>
      <c r="AB18" s="1964" t="n"/>
      <c r="AC18" s="1964" t="n"/>
      <c r="AD18" s="1964" t="n"/>
      <c r="AE18" s="1964" t="n"/>
      <c r="AF18" s="64" t="n"/>
      <c r="AG18" s="199" t="n"/>
      <c r="AH18" s="199" t="n"/>
      <c r="AI18" s="64" t="n"/>
      <c r="AJ18" s="64" t="n"/>
      <c r="AK18" s="64" t="n"/>
      <c r="AL18" s="199" t="n"/>
      <c r="AM18" s="199" t="n"/>
      <c r="AN18" s="199" t="n"/>
      <c r="AO18" s="93" t="n"/>
      <c r="AP18" s="93" t="n"/>
      <c r="AQ18" s="93" t="n"/>
      <c r="AR18" s="93" t="n"/>
      <c r="AS18" s="93" t="n"/>
      <c r="AT18" s="94" t="n"/>
      <c r="AU18" s="64" t="n"/>
      <c r="AV18" s="64" t="n"/>
      <c r="AW18" s="64" t="n"/>
      <c r="AX18" s="64" t="n"/>
      <c r="AY18" s="64" t="n"/>
      <c r="AZ18" s="64" t="n"/>
      <c r="BA18" s="64" t="n"/>
      <c r="BB18" s="64" t="n"/>
      <c r="BC18" s="64" t="n"/>
      <c r="BD18" s="64" t="n"/>
      <c r="BE18" s="64" t="n"/>
      <c r="BF18" s="64" t="n"/>
      <c r="BG18" s="64" t="n"/>
      <c r="BH18" s="64" t="n"/>
    </row>
    <row r="19" ht="22.5" customHeight="1">
      <c r="A19" s="1964" t="n"/>
      <c r="B19" s="1964" t="n"/>
      <c r="C19" s="1964" t="n"/>
      <c r="D19" s="1964" t="n"/>
      <c r="E19" s="1964" t="n"/>
      <c r="F19" s="1964" t="n"/>
      <c r="G19" s="1964" t="n"/>
      <c r="H19" s="1964" t="n"/>
      <c r="I19" s="1964" t="n"/>
      <c r="J19" s="1964" t="n"/>
      <c r="K19" s="1964" t="n"/>
      <c r="L19" s="1964" t="n"/>
      <c r="M19" s="1964" t="n"/>
      <c r="N19" s="1964" t="n"/>
      <c r="O19" s="1964" t="n"/>
      <c r="P19" s="1964" t="n"/>
      <c r="Q19" s="1964" t="n"/>
      <c r="R19" s="1964" t="n"/>
      <c r="S19" s="1964" t="n"/>
      <c r="T19" s="1964" t="n"/>
      <c r="U19" s="1964" t="n"/>
      <c r="V19" s="1964" t="n"/>
      <c r="W19" s="1964" t="n"/>
      <c r="X19" s="1964" t="n"/>
      <c r="Y19" s="1964" t="n"/>
      <c r="Z19" s="1964" t="n"/>
      <c r="AA19" s="1964" t="n"/>
      <c r="AB19" s="1964" t="n"/>
      <c r="AC19" s="219" t="inlineStr">
        <is>
          <t>Avcbvi wek¦¯Í,</t>
        </is>
      </c>
      <c r="AQ19" s="93" t="n"/>
      <c r="AR19" s="93" t="n"/>
      <c r="AS19" s="93" t="n"/>
      <c r="AT19" s="94" t="n"/>
      <c r="AU19" s="64" t="n"/>
      <c r="AV19" s="64" t="n"/>
      <c r="AW19" s="64" t="n"/>
      <c r="AX19" s="64" t="n"/>
      <c r="AY19" s="64" t="n"/>
      <c r="AZ19" s="64" t="n"/>
      <c r="BA19" s="64" t="n"/>
      <c r="BB19" s="64" t="n"/>
      <c r="BC19" s="64" t="n"/>
      <c r="BD19" s="64" t="n"/>
      <c r="BE19" s="64" t="n"/>
      <c r="BF19" s="64" t="n"/>
      <c r="BG19" s="64" t="n"/>
      <c r="BH19" s="64" t="n"/>
    </row>
    <row r="20" ht="82.5" customHeight="1">
      <c r="A20" s="1964" t="n"/>
      <c r="B20" s="1964" t="n"/>
      <c r="C20" s="1964" t="n"/>
      <c r="D20" s="1964" t="n"/>
      <c r="E20" s="1964" t="n"/>
      <c r="F20" s="1964" t="n"/>
      <c r="G20" s="1964" t="n"/>
      <c r="H20" s="1964" t="n"/>
      <c r="I20" s="1964" t="n"/>
      <c r="J20" s="1964" t="n"/>
      <c r="K20" s="1964" t="n"/>
      <c r="L20" s="1964" t="n"/>
      <c r="M20" s="1964" t="n"/>
      <c r="N20" s="1964" t="n"/>
      <c r="O20" s="1964" t="n"/>
      <c r="P20" s="1964" t="n"/>
      <c r="Q20" s="1964" t="n"/>
      <c r="R20" s="1964" t="n"/>
      <c r="S20" s="1964" t="n"/>
      <c r="T20" s="1964" t="n"/>
      <c r="U20" s="1964" t="n"/>
      <c r="V20" s="1964" t="n"/>
      <c r="W20" s="1964" t="n"/>
      <c r="X20" s="1964" t="n"/>
      <c r="Y20" s="1964" t="n"/>
      <c r="Z20" s="1964" t="n"/>
      <c r="AA20" s="1964" t="n"/>
      <c r="AB20" s="1964" t="n"/>
      <c r="AC20" s="1964" t="n"/>
      <c r="AD20" s="1964" t="n"/>
      <c r="AE20" s="219" t="n"/>
      <c r="AP20" s="93" t="n"/>
      <c r="AQ20" s="93" t="n"/>
      <c r="AR20" s="93" t="n"/>
      <c r="AS20" s="93" t="n"/>
      <c r="AT20" s="94" t="n"/>
      <c r="AU20" s="64" t="n"/>
      <c r="AV20" s="64" t="n"/>
      <c r="AW20" s="64" t="n"/>
      <c r="AX20" s="64" t="n"/>
      <c r="AY20" s="64" t="n"/>
      <c r="AZ20" s="64" t="n"/>
      <c r="BA20" s="64" t="n"/>
      <c r="BB20" s="64" t="n"/>
      <c r="BC20" s="64" t="n"/>
      <c r="BD20" s="64" t="n"/>
      <c r="BE20" s="64" t="n"/>
      <c r="BF20" s="64" t="n"/>
      <c r="BG20" s="64" t="n"/>
      <c r="BH20" s="64" t="n"/>
    </row>
    <row r="21" ht="17.25" customHeight="1">
      <c r="A21" s="63" t="n"/>
      <c r="B21" s="168" t="n"/>
      <c r="C21" s="199" t="n"/>
      <c r="D21" s="199" t="n"/>
      <c r="E21" s="199" t="n"/>
      <c r="F21" s="64" t="n"/>
      <c r="G21" s="64" t="n"/>
      <c r="H21" s="64" t="n"/>
      <c r="I21" s="64" t="n"/>
      <c r="J21" s="64" t="n"/>
      <c r="K21" s="64" t="n"/>
      <c r="L21" s="64" t="n"/>
      <c r="M21" s="64" t="n"/>
      <c r="N21" s="64" t="n"/>
      <c r="O21" s="64" t="n"/>
      <c r="P21" s="64" t="n"/>
      <c r="Q21" s="64" t="n"/>
      <c r="R21" s="64" t="n"/>
      <c r="S21" s="64" t="n"/>
      <c r="T21" s="64" t="n"/>
      <c r="U21" s="64" t="n"/>
      <c r="V21" s="64" t="n"/>
      <c r="W21" s="64" t="n"/>
      <c r="X21" s="64" t="n"/>
      <c r="Y21" s="64" t="n"/>
      <c r="Z21" s="64" t="n"/>
      <c r="AA21" s="64" t="n"/>
      <c r="AB21" s="64" t="n"/>
      <c r="AC21" s="219" t="inlineStr">
        <is>
          <t>e¨e¯’vcK</t>
        </is>
      </c>
      <c r="AR21" s="64" t="n"/>
      <c r="AS21" s="64" t="n"/>
      <c r="AT21" s="64" t="n"/>
      <c r="AU21" s="64" t="n"/>
      <c r="AV21" s="64" t="n"/>
      <c r="AW21" s="96" t="n"/>
      <c r="AX21" s="96" t="n"/>
      <c r="AY21" s="96" t="n"/>
      <c r="AZ21" s="96" t="n"/>
      <c r="BA21" s="96" t="n"/>
      <c r="BB21" s="96" t="n"/>
      <c r="BC21" s="96" t="n"/>
      <c r="BD21" s="96" t="n"/>
      <c r="BE21" s="96" t="n"/>
      <c r="BF21" s="96" t="n"/>
      <c r="BG21" s="96" t="n"/>
      <c r="BH21" s="96" t="n"/>
    </row>
    <row r="22" ht="17.25" customHeight="1">
      <c r="A22" s="63" t="n"/>
      <c r="B22" s="168" t="n"/>
      <c r="C22" s="64" t="n"/>
      <c r="D22" s="64" t="n"/>
      <c r="E22" s="64" t="n"/>
      <c r="F22" s="96" t="n"/>
      <c r="G22" s="96" t="n"/>
      <c r="H22" s="96" t="n"/>
      <c r="I22" s="96" t="n"/>
      <c r="J22" s="96" t="n"/>
      <c r="K22" s="96" t="n"/>
      <c r="L22" s="96" t="n"/>
      <c r="M22" s="96" t="n"/>
      <c r="N22" s="64" t="n"/>
      <c r="O22" s="64" t="n"/>
      <c r="P22" s="64" t="n"/>
      <c r="Q22" s="64" t="n"/>
      <c r="R22" s="64" t="n"/>
      <c r="S22" s="64" t="n"/>
      <c r="T22" s="64" t="n"/>
      <c r="U22" s="64" t="n"/>
      <c r="V22" s="64" t="n"/>
      <c r="W22" s="64" t="n"/>
      <c r="X22" s="64" t="n"/>
      <c r="Y22" s="64" t="n"/>
      <c r="Z22" s="64" t="n"/>
      <c r="AA22" s="64" t="n"/>
      <c r="AB22" s="64" t="n"/>
      <c r="AC22" s="219" t="inlineStr">
        <is>
          <t>evsjv‡`k K…wl e¨vsK,</t>
        </is>
      </c>
      <c r="AR22" s="64" t="n"/>
      <c r="AS22" s="64" t="n"/>
      <c r="AT22" s="64" t="n"/>
      <c r="AU22" s="64" t="n"/>
      <c r="AV22" s="64" t="n"/>
      <c r="AW22" s="96" t="n"/>
      <c r="AX22" s="96" t="n"/>
      <c r="AY22" s="96" t="n"/>
      <c r="AZ22" s="96" t="n"/>
      <c r="BA22" s="96" t="n"/>
      <c r="BB22" s="96" t="n"/>
      <c r="BC22" s="96" t="n"/>
      <c r="BD22" s="96" t="n"/>
      <c r="BE22" s="96" t="n"/>
      <c r="BF22" s="96" t="n"/>
      <c r="BG22" s="96" t="n"/>
      <c r="BH22" s="96" t="n"/>
    </row>
    <row r="23" ht="17.25" customHeight="1">
      <c r="A23" s="63" t="n"/>
      <c r="B23" s="168" t="n"/>
      <c r="C23" s="1964" t="n"/>
      <c r="F23" s="96" t="n"/>
      <c r="G23" s="96" t="n"/>
      <c r="H23" s="96" t="n"/>
      <c r="I23" s="96" t="n"/>
      <c r="J23" s="96" t="n"/>
      <c r="K23" s="96" t="n"/>
      <c r="L23" s="96" t="n"/>
      <c r="M23" s="96" t="n"/>
      <c r="N23" s="64" t="n"/>
      <c r="O23" s="64" t="n"/>
      <c r="P23" s="64" t="n"/>
      <c r="Q23" s="64" t="n"/>
      <c r="R23" s="64" t="n"/>
      <c r="S23" s="64" t="n"/>
      <c r="T23" s="64" t="n"/>
      <c r="U23" s="64" t="n"/>
      <c r="V23" s="64" t="n"/>
      <c r="W23" s="64" t="n"/>
      <c r="X23" s="64" t="n"/>
      <c r="Y23" s="64" t="n"/>
      <c r="Z23" s="64" t="n"/>
      <c r="AA23" s="64" t="n"/>
      <c r="AB23" s="64" t="n"/>
      <c r="AC23" s="219">
        <f>+A2</f>
        <v/>
      </c>
      <c r="AR23" s="64" t="n"/>
      <c r="AS23" s="64" t="n"/>
      <c r="AT23" s="64" t="n"/>
      <c r="AU23" s="64" t="n"/>
      <c r="AV23" s="64" t="n"/>
      <c r="AW23" s="96" t="n"/>
      <c r="AX23" s="96" t="n"/>
      <c r="AY23" s="96" t="n"/>
      <c r="AZ23" s="96" t="n"/>
      <c r="BA23" s="96" t="n"/>
      <c r="BB23" s="96" t="n"/>
      <c r="BC23" s="96" t="n"/>
      <c r="BD23" s="96" t="n"/>
      <c r="BE23" s="96" t="n"/>
      <c r="BF23" s="96" t="n"/>
      <c r="BG23" s="96" t="n"/>
      <c r="BH23" s="96" t="n"/>
    </row>
    <row r="24" ht="17.25" customHeight="1">
      <c r="A24" s="63" t="n"/>
      <c r="B24" s="168" t="n"/>
      <c r="C24" s="1964" t="n"/>
      <c r="D24" s="1964" t="n"/>
      <c r="E24" s="1964" t="n"/>
      <c r="F24" s="96" t="n"/>
      <c r="G24" s="96" t="n"/>
      <c r="H24" s="96" t="n"/>
      <c r="I24" s="96" t="n"/>
      <c r="J24" s="96" t="n"/>
      <c r="K24" s="96" t="n"/>
      <c r="L24" s="96" t="n"/>
      <c r="M24" s="96" t="n"/>
      <c r="N24" s="64" t="n"/>
      <c r="O24" s="64" t="n"/>
      <c r="P24" s="64" t="n"/>
      <c r="Q24" s="64" t="n"/>
      <c r="R24" s="64" t="n"/>
      <c r="S24" s="64" t="n"/>
      <c r="T24" s="64" t="n"/>
      <c r="U24" s="64" t="n"/>
      <c r="V24" s="64" t="n"/>
      <c r="W24" s="64" t="n"/>
      <c r="X24" s="64" t="n"/>
      <c r="Y24" s="64" t="n"/>
      <c r="Z24" s="64" t="n"/>
      <c r="AA24" s="64" t="n"/>
      <c r="AB24" s="64" t="n"/>
      <c r="AC24" s="1324" t="inlineStr">
        <is>
          <t>(mxj †gvni e¨envi Ki‡Z n‡e)</t>
        </is>
      </c>
      <c r="AR24" s="64" t="n"/>
      <c r="AS24" s="64" t="n"/>
      <c r="AT24" s="64" t="n"/>
      <c r="AU24" s="64" t="n"/>
      <c r="AV24" s="64" t="n"/>
      <c r="AW24" s="96" t="n"/>
      <c r="AX24" s="96" t="n"/>
      <c r="AY24" s="96" t="n"/>
      <c r="AZ24" s="96" t="n"/>
      <c r="BA24" s="199" t="n"/>
      <c r="BB24" s="199" t="n"/>
      <c r="BC24" s="199" t="n"/>
      <c r="BD24" s="199" t="n"/>
      <c r="BE24" s="64" t="n"/>
      <c r="BF24" s="64" t="n"/>
      <c r="BG24" s="64" t="n"/>
      <c r="BH24" s="64" t="n"/>
    </row>
    <row r="25" ht="18.75" customHeight="1">
      <c r="A25" s="63" t="n"/>
      <c r="B25" s="168" t="n"/>
      <c r="C25" s="1964" t="n"/>
      <c r="D25" s="1964" t="n"/>
      <c r="E25" s="1964" t="n"/>
      <c r="F25" s="96" t="n"/>
      <c r="G25" s="96" t="n"/>
      <c r="H25" s="96" t="n"/>
      <c r="I25" s="96" t="n"/>
      <c r="J25" s="96" t="n"/>
      <c r="K25" s="96" t="n"/>
      <c r="L25" s="96" t="n"/>
      <c r="M25" s="96" t="n"/>
      <c r="N25" s="64" t="n"/>
      <c r="O25" s="64" t="n"/>
      <c r="P25" s="64" t="n"/>
      <c r="Q25" s="64" t="n"/>
      <c r="R25" s="64" t="n"/>
      <c r="S25" s="64" t="n"/>
      <c r="T25" s="64" t="n"/>
      <c r="U25" s="64" t="n"/>
      <c r="V25" s="64" t="n"/>
      <c r="W25" s="64" t="n"/>
      <c r="X25" s="64" t="n"/>
      <c r="Y25" s="64" t="n"/>
      <c r="Z25" s="64" t="n"/>
      <c r="AA25" s="64" t="n"/>
      <c r="AB25" s="64" t="n"/>
      <c r="AC25" s="64" t="n"/>
      <c r="AD25" s="64" t="n"/>
      <c r="AE25" s="64" t="n"/>
      <c r="AF25" s="64" t="n"/>
      <c r="AG25" s="64" t="n"/>
      <c r="AH25" s="64" t="n"/>
      <c r="AI25" s="64" t="n"/>
      <c r="AJ25" s="64" t="n"/>
      <c r="AK25" s="64" t="n"/>
      <c r="AL25" s="64" t="n"/>
      <c r="AM25" s="64" t="n"/>
      <c r="AN25" s="64" t="n"/>
      <c r="AO25" s="64" t="n"/>
      <c r="AP25" s="64" t="n"/>
      <c r="AQ25" s="64" t="n"/>
      <c r="AR25" s="64" t="n"/>
      <c r="AS25" s="64" t="n"/>
      <c r="AT25" s="64" t="n"/>
      <c r="AU25" s="64" t="n"/>
      <c r="AV25" s="64" t="n"/>
      <c r="AW25" s="96" t="n"/>
      <c r="AX25" s="96" t="n"/>
      <c r="AY25" s="96" t="n"/>
      <c r="AZ25" s="96" t="n"/>
      <c r="BA25" s="199" t="n"/>
      <c r="BB25" s="199" t="n"/>
      <c r="BC25" s="199" t="n"/>
      <c r="BD25" s="199" t="n"/>
      <c r="BE25" s="64" t="n"/>
      <c r="BF25" s="64" t="n"/>
      <c r="BG25" s="64" t="n"/>
      <c r="BH25" s="64" t="n"/>
    </row>
    <row r="26" ht="18.75" customHeight="1">
      <c r="A26" s="63" t="n"/>
      <c r="B26" s="100" t="n"/>
      <c r="C26" s="600" t="n"/>
      <c r="F26" s="64" t="n"/>
      <c r="G26" s="64" t="n"/>
      <c r="H26" s="64" t="n"/>
      <c r="I26" s="64" t="n"/>
      <c r="J26" s="64" t="n"/>
      <c r="K26" s="64" t="n"/>
      <c r="L26" s="64" t="n"/>
      <c r="M26" s="64" t="n"/>
      <c r="N26" s="64" t="n"/>
      <c r="O26" s="64" t="n"/>
      <c r="P26" s="64" t="n"/>
      <c r="Q26" s="64" t="n"/>
      <c r="R26" s="64" t="n"/>
      <c r="S26" s="64" t="n"/>
      <c r="T26" s="64" t="n"/>
      <c r="U26" s="64" t="n"/>
      <c r="V26" s="64" t="n"/>
      <c r="W26" s="64" t="n"/>
      <c r="X26" s="64" t="n"/>
      <c r="Y26" s="64" t="n"/>
      <c r="Z26" s="64" t="n"/>
      <c r="AA26" s="64" t="n"/>
      <c r="AB26" s="64" t="n"/>
      <c r="AC26" s="64" t="n"/>
      <c r="AD26" s="64" t="n"/>
      <c r="AE26" s="64" t="n"/>
      <c r="AF26" s="64" t="n"/>
      <c r="AG26" s="64" t="n"/>
      <c r="AH26" s="64" t="n"/>
      <c r="AI26" s="64" t="n"/>
      <c r="AJ26" s="64" t="n"/>
      <c r="AK26" s="64" t="n"/>
      <c r="AL26" s="64" t="n"/>
      <c r="AM26" s="64" t="n"/>
      <c r="AN26" s="64" t="n"/>
      <c r="AO26" s="64" t="n"/>
      <c r="AP26" s="64" t="n"/>
      <c r="AQ26" s="64" t="n"/>
      <c r="AR26" s="64" t="n"/>
      <c r="AS26" s="64" t="n"/>
      <c r="AT26" s="64" t="n"/>
      <c r="AU26" s="64" t="n"/>
      <c r="AV26" s="64" t="n"/>
      <c r="AW26" s="64" t="n"/>
      <c r="AX26" s="64" t="n"/>
      <c r="AY26" s="64" t="n"/>
      <c r="AZ26" s="64" t="n"/>
      <c r="BA26" s="76" t="n"/>
      <c r="BB26" s="76" t="n"/>
      <c r="BC26" s="76" t="n"/>
      <c r="BD26" s="76" t="n"/>
      <c r="BE26" s="64" t="n"/>
      <c r="BF26" s="64" t="n"/>
      <c r="BG26" s="64" t="n"/>
      <c r="BH26" s="64" t="n"/>
    </row>
    <row r="27" ht="18.75" customHeight="1">
      <c r="A27" s="63" t="n"/>
      <c r="B27" s="100" t="n"/>
      <c r="C27" s="600" t="n"/>
      <c r="F27" s="64" t="n"/>
      <c r="G27" s="64" t="n"/>
      <c r="H27" s="64" t="n"/>
      <c r="I27" s="64" t="n"/>
      <c r="J27" s="64" t="n"/>
      <c r="K27" s="64" t="n"/>
      <c r="L27" s="64" t="n"/>
      <c r="M27" s="64" t="n"/>
      <c r="N27" s="64" t="n"/>
      <c r="O27" s="64" t="n"/>
      <c r="P27" s="64" t="n"/>
      <c r="Q27" s="64" t="n"/>
      <c r="R27" s="64" t="n"/>
      <c r="S27" s="64" t="n"/>
      <c r="T27" s="64" t="n"/>
      <c r="U27" s="64" t="n"/>
      <c r="V27" s="64" t="n"/>
      <c r="W27" s="64" t="n"/>
      <c r="X27" s="64" t="n"/>
      <c r="Y27" s="64" t="n"/>
      <c r="Z27" s="64" t="n"/>
      <c r="AA27" s="64" t="n"/>
      <c r="AB27" s="64" t="n"/>
      <c r="AC27" s="64" t="n"/>
      <c r="AD27" s="64" t="n"/>
      <c r="AE27" s="64" t="n"/>
      <c r="AF27" s="64" t="n"/>
      <c r="AG27" s="64" t="n"/>
      <c r="AH27" s="64" t="n"/>
      <c r="AI27" s="64" t="n"/>
      <c r="AJ27" s="64" t="n"/>
      <c r="AK27" s="64" t="n"/>
      <c r="AL27" s="64" t="n"/>
      <c r="AM27" s="64" t="n"/>
      <c r="AN27" s="64" t="n"/>
      <c r="AO27" s="64" t="n"/>
      <c r="AP27" s="64" t="n"/>
      <c r="AQ27" s="64" t="n"/>
      <c r="AR27" s="64" t="n"/>
      <c r="AS27" s="64" t="n"/>
      <c r="AT27" s="64" t="n"/>
      <c r="AU27" s="64" t="n"/>
      <c r="AV27" s="64" t="n"/>
      <c r="AW27" s="64" t="n"/>
      <c r="AX27" s="64" t="n"/>
      <c r="AY27" s="64" t="n"/>
      <c r="AZ27" s="64" t="n"/>
      <c r="BA27" s="76" t="n"/>
      <c r="BB27" s="76" t="n"/>
      <c r="BC27" s="76" t="n"/>
      <c r="BD27" s="76" t="n"/>
      <c r="BE27" s="64" t="n"/>
      <c r="BF27" s="64" t="n"/>
      <c r="BG27" s="64" t="n"/>
      <c r="BH27" s="64" t="n"/>
    </row>
    <row r="28" ht="11.25" customFormat="1" customHeight="1" s="18">
      <c r="A28" s="375" t="n"/>
      <c r="B28" s="100" t="n"/>
      <c r="C28" s="103" t="n"/>
      <c r="D28" s="103" t="n"/>
      <c r="E28" s="103" t="n"/>
      <c r="F28" s="103" t="n"/>
      <c r="G28" s="103" t="n"/>
      <c r="H28" s="103" t="n"/>
      <c r="I28" s="103" t="n"/>
      <c r="J28" s="103" t="n"/>
      <c r="K28" s="103" t="n"/>
      <c r="L28" s="103" t="n"/>
      <c r="M28" s="103" t="n"/>
      <c r="N28" s="103" t="n"/>
      <c r="O28" s="103" t="n"/>
      <c r="P28" s="103" t="n"/>
      <c r="Q28" s="103" t="n"/>
      <c r="R28" s="103" t="n"/>
      <c r="S28" s="103" t="n"/>
      <c r="T28" s="103" t="n"/>
      <c r="U28" s="103" t="n"/>
      <c r="V28" s="103" t="n"/>
      <c r="W28" s="103" t="n"/>
      <c r="X28" s="103" t="n"/>
      <c r="Y28" s="103" t="n"/>
      <c r="Z28" s="103" t="n"/>
      <c r="AA28" s="103" t="n"/>
      <c r="AB28" s="103" t="n"/>
      <c r="AC28" s="103" t="n"/>
      <c r="AD28" s="103" t="n"/>
      <c r="AE28" s="103" t="n"/>
      <c r="AF28" s="103" t="n"/>
      <c r="AG28" s="103" t="n"/>
      <c r="AH28" s="103" t="n"/>
      <c r="AI28" s="103" t="n"/>
      <c r="AJ28" s="103" t="n"/>
      <c r="AK28" s="103" t="n"/>
      <c r="AL28" s="103" t="n"/>
      <c r="AM28" s="103" t="n"/>
      <c r="AN28" s="103" t="n"/>
      <c r="AO28" s="103" t="n"/>
      <c r="AP28" s="103" t="n"/>
      <c r="AQ28" s="103" t="n"/>
      <c r="AR28" s="103" t="n"/>
      <c r="AS28" s="103" t="n"/>
      <c r="AT28" s="103" t="n"/>
      <c r="AU28" s="103" t="n"/>
      <c r="AV28" s="103" t="n"/>
      <c r="AW28" s="103" t="n"/>
      <c r="AX28" s="103" t="n"/>
      <c r="AY28" s="103" t="n"/>
      <c r="AZ28" s="103" t="n"/>
      <c r="BA28" s="103" t="n"/>
      <c r="BB28" s="103" t="n"/>
      <c r="BC28" s="103" t="n"/>
      <c r="BD28" s="103" t="n"/>
      <c r="BE28" s="103" t="n"/>
      <c r="BF28" s="103" t="n"/>
      <c r="BG28" s="103" t="n"/>
      <c r="BH28" s="103" t="n"/>
    </row>
    <row r="29" ht="18.75" customFormat="1" customHeight="1" s="18">
      <c r="A29" s="375" t="n"/>
      <c r="B29" s="100" t="n"/>
      <c r="C29" s="103" t="n"/>
      <c r="D29" s="103" t="n"/>
      <c r="E29" s="103" t="n"/>
      <c r="F29" s="103" t="n"/>
      <c r="G29" s="103" t="n"/>
      <c r="H29" s="103" t="n"/>
      <c r="I29" s="103" t="n"/>
      <c r="J29" s="103" t="n"/>
      <c r="K29" s="103" t="n"/>
      <c r="L29" s="103" t="n"/>
      <c r="M29" s="103" t="n"/>
      <c r="N29" s="103" t="n"/>
      <c r="O29" s="103" t="n"/>
      <c r="P29" s="103" t="n"/>
      <c r="Q29" s="103" t="n"/>
      <c r="R29" s="103" t="n"/>
      <c r="S29" s="103" t="n"/>
      <c r="T29" s="103" t="n"/>
      <c r="U29" s="103" t="n"/>
      <c r="V29" s="103" t="n"/>
      <c r="W29" s="103" t="n"/>
      <c r="X29" s="103" t="n"/>
      <c r="Y29" s="103" t="n"/>
      <c r="Z29" s="103" t="n"/>
      <c r="AA29" s="103" t="n"/>
      <c r="AB29" s="103" t="n"/>
      <c r="AC29" s="103" t="n"/>
      <c r="AD29" s="103" t="n"/>
      <c r="AE29" s="103" t="n"/>
      <c r="AF29" s="103" t="n"/>
      <c r="AG29" s="103" t="n"/>
      <c r="AH29" s="103" t="n"/>
      <c r="AI29" s="103" t="n"/>
      <c r="AJ29" s="103" t="n"/>
      <c r="AK29" s="103" t="n"/>
      <c r="AL29" s="103" t="n"/>
      <c r="AM29" s="103" t="n"/>
      <c r="AN29" s="103" t="n"/>
      <c r="AO29" s="103" t="n"/>
      <c r="AP29" s="103" t="n"/>
      <c r="AQ29" s="103" t="n"/>
      <c r="AR29" s="103" t="n"/>
      <c r="AS29" s="103" t="n"/>
      <c r="AT29" s="103" t="n"/>
      <c r="AU29" s="103" t="n"/>
      <c r="AV29" s="103" t="n"/>
      <c r="AW29" s="103" t="n"/>
      <c r="AX29" s="103" t="n"/>
      <c r="AY29" s="103" t="n"/>
      <c r="AZ29" s="103" t="n"/>
      <c r="BA29" s="103" t="n"/>
      <c r="BB29" s="103" t="n"/>
      <c r="BC29" s="103" t="n"/>
      <c r="BD29" s="103" t="n"/>
      <c r="BE29" s="103" t="n"/>
      <c r="BF29" s="103" t="n"/>
      <c r="BG29" s="103" t="n"/>
      <c r="BH29" s="103" t="n"/>
    </row>
    <row r="30" ht="18.75" customHeight="1">
      <c r="A30" s="600" t="n"/>
      <c r="B30" s="186" t="n"/>
      <c r="C30" s="64" t="n"/>
      <c r="D30" s="64" t="n"/>
      <c r="E30" s="64" t="n"/>
      <c r="F30" s="64" t="n"/>
      <c r="G30" s="64" t="n"/>
      <c r="H30" s="64" t="n"/>
      <c r="I30" s="64" t="n"/>
      <c r="J30" s="64" t="n"/>
      <c r="K30" s="64" t="n"/>
      <c r="L30" s="64" t="n"/>
      <c r="M30" s="64" t="n"/>
      <c r="N30" s="64" t="n"/>
      <c r="O30" s="64" t="n"/>
      <c r="P30" s="64" t="n"/>
      <c r="Q30" s="64" t="n"/>
      <c r="R30" s="64" t="n"/>
      <c r="S30" s="64" t="n"/>
      <c r="T30" s="64" t="n"/>
      <c r="U30" s="64" t="n"/>
      <c r="V30" s="64" t="n"/>
      <c r="W30" s="64" t="n"/>
      <c r="X30" s="64" t="n"/>
      <c r="Y30" s="64" t="n"/>
      <c r="Z30" s="64" t="n"/>
      <c r="AA30" s="64" t="n"/>
      <c r="AB30" s="64" t="n"/>
      <c r="AC30" s="64" t="n"/>
      <c r="AD30" s="64" t="n"/>
      <c r="AE30" s="64" t="n"/>
      <c r="AF30" s="64" t="n"/>
      <c r="AG30" s="64" t="n"/>
      <c r="AH30" s="64" t="n"/>
      <c r="AI30" s="64" t="n"/>
      <c r="AJ30" s="64" t="n"/>
      <c r="AK30" s="64" t="n"/>
      <c r="AL30" s="64" t="n"/>
      <c r="AM30" s="64" t="n"/>
      <c r="AN30" s="64" t="n"/>
      <c r="AO30" s="64" t="n"/>
      <c r="AP30" s="64" t="n"/>
      <c r="AQ30" s="64" t="n"/>
      <c r="AR30" s="64" t="n"/>
      <c r="AS30" s="64" t="n"/>
      <c r="AT30" s="64" t="n"/>
      <c r="AU30" s="64" t="n"/>
      <c r="AV30" s="64" t="n"/>
      <c r="AW30" s="64" t="n"/>
      <c r="AX30" s="64" t="n"/>
      <c r="AY30" s="64" t="n"/>
      <c r="AZ30" s="64" t="n"/>
      <c r="BA30" s="64" t="n"/>
      <c r="BB30" s="64" t="n"/>
      <c r="BC30" s="64" t="n"/>
      <c r="BD30" s="64" t="n"/>
      <c r="BE30" s="64" t="n"/>
      <c r="BF30" s="64" t="n"/>
      <c r="BG30" s="64" t="n"/>
      <c r="BH30" s="64" t="n"/>
    </row>
    <row r="31" ht="18.75" customHeight="1">
      <c r="A31" s="600" t="n"/>
      <c r="B31" s="186" t="n"/>
      <c r="C31" s="64" t="n"/>
      <c r="D31" s="64" t="n"/>
      <c r="E31" s="64" t="n"/>
      <c r="F31" s="64" t="n"/>
      <c r="G31" s="64" t="n"/>
      <c r="H31" s="64" t="n"/>
      <c r="I31" s="64" t="n"/>
      <c r="J31" s="64" t="n"/>
      <c r="K31" s="64" t="n"/>
      <c r="L31" s="64" t="n"/>
      <c r="M31" s="64" t="n"/>
      <c r="N31" s="64" t="n"/>
      <c r="O31" s="64" t="n"/>
      <c r="P31" s="64" t="n"/>
      <c r="Q31" s="64" t="n"/>
      <c r="R31" s="64" t="n"/>
      <c r="S31" s="64" t="n"/>
      <c r="T31" s="64" t="n"/>
      <c r="U31" s="64" t="n"/>
      <c r="V31" s="64" t="n"/>
      <c r="W31" s="64" t="n"/>
      <c r="X31" s="64" t="n"/>
      <c r="Y31" s="64" t="n"/>
      <c r="Z31" s="64" t="n"/>
      <c r="AA31" s="64" t="n"/>
      <c r="AB31" s="64" t="n"/>
      <c r="AC31" s="64" t="n"/>
      <c r="AD31" s="64" t="n"/>
      <c r="AE31" s="64" t="n"/>
      <c r="AF31" s="64" t="n"/>
      <c r="AG31" s="64" t="n"/>
      <c r="AH31" s="64" t="n"/>
      <c r="AI31" s="64" t="n"/>
      <c r="AJ31" s="64" t="n"/>
      <c r="AK31" s="64" t="n"/>
      <c r="AL31" s="64" t="n"/>
      <c r="AM31" s="64" t="n"/>
      <c r="AN31" s="64" t="n"/>
      <c r="AO31" s="64" t="n"/>
      <c r="AP31" s="64" t="n"/>
      <c r="AQ31" s="64" t="n"/>
      <c r="AR31" s="64" t="n"/>
      <c r="AS31" s="64" t="n"/>
      <c r="AT31" s="64" t="n"/>
      <c r="AU31" s="64" t="n"/>
      <c r="AV31" s="64" t="n"/>
      <c r="AW31" s="64" t="n"/>
      <c r="AX31" s="64" t="n"/>
      <c r="AY31" s="64" t="n"/>
      <c r="AZ31" s="64" t="n"/>
      <c r="BA31" s="64" t="n"/>
      <c r="BB31" s="64" t="n"/>
      <c r="BC31" s="64" t="n"/>
      <c r="BD31" s="64" t="n"/>
      <c r="BE31" s="64" t="n"/>
      <c r="BF31" s="64" t="n"/>
      <c r="BG31" s="64" t="n"/>
      <c r="BH31" s="64" t="n"/>
    </row>
    <row r="32" ht="18.75" customHeight="1">
      <c r="A32" s="600" t="n"/>
      <c r="B32" s="186" t="n"/>
      <c r="C32" s="64" t="n"/>
      <c r="D32" s="64" t="n"/>
      <c r="E32" s="64" t="n"/>
      <c r="F32" s="64" t="n"/>
      <c r="G32" s="64" t="n"/>
      <c r="H32" s="64" t="n"/>
      <c r="I32" s="64" t="n"/>
      <c r="J32" s="64" t="n"/>
      <c r="K32" s="64" t="n"/>
      <c r="L32" s="64" t="n"/>
      <c r="M32" s="64" t="n"/>
      <c r="N32" s="64" t="n"/>
      <c r="O32" s="64" t="n"/>
      <c r="P32" s="64" t="n"/>
      <c r="Q32" s="64" t="n"/>
      <c r="R32" s="64" t="n"/>
      <c r="S32" s="64" t="n"/>
      <c r="T32" s="64" t="n"/>
      <c r="U32" s="64" t="n"/>
      <c r="V32" s="64" t="n"/>
      <c r="W32" s="64" t="n"/>
      <c r="X32" s="64" t="n"/>
      <c r="Y32" s="64" t="n"/>
      <c r="Z32" s="64" t="n"/>
      <c r="AA32" s="64" t="n"/>
      <c r="AB32" s="64" t="n"/>
      <c r="AC32" s="64" t="n"/>
      <c r="AD32" s="64" t="n"/>
      <c r="AE32" s="64" t="n"/>
      <c r="AF32" s="64" t="n"/>
      <c r="AG32" s="64" t="n"/>
      <c r="AH32" s="64" t="n"/>
      <c r="AI32" s="64" t="n"/>
      <c r="AJ32" s="64" t="n"/>
      <c r="AK32" s="64" t="n"/>
      <c r="AL32" s="64" t="n"/>
      <c r="AM32" s="64" t="n"/>
      <c r="AN32" s="64" t="n"/>
      <c r="AO32" s="64" t="n"/>
      <c r="AP32" s="64" t="n"/>
      <c r="AQ32" s="64" t="n"/>
      <c r="AR32" s="64" t="n"/>
      <c r="AS32" s="64" t="n"/>
      <c r="AT32" s="64" t="n"/>
      <c r="AU32" s="64" t="n"/>
      <c r="AV32" s="64" t="n"/>
      <c r="AW32" s="64" t="n"/>
      <c r="AX32" s="64" t="n"/>
      <c r="AY32" s="64" t="n"/>
      <c r="AZ32" s="64" t="n"/>
      <c r="BA32" s="64" t="n"/>
      <c r="BB32" s="64" t="n"/>
      <c r="BC32" s="64" t="n"/>
      <c r="BD32" s="64" t="n"/>
      <c r="BE32" s="64" t="n"/>
      <c r="BF32" s="64" t="n"/>
      <c r="BG32" s="64" t="n"/>
      <c r="BH32" s="64" t="n"/>
    </row>
  </sheetData>
  <mergeCells count="18">
    <mergeCell ref="C27:E27"/>
    <mergeCell ref="A9:AT9"/>
    <mergeCell ref="AC21:AQ21"/>
    <mergeCell ref="A3:AT3"/>
    <mergeCell ref="A4:AT4"/>
    <mergeCell ref="AE20:AO20"/>
    <mergeCell ref="C23:E23"/>
    <mergeCell ref="AL5:AN5"/>
    <mergeCell ref="AC24:AQ24"/>
    <mergeCell ref="A5:AE5"/>
    <mergeCell ref="A2:AT2"/>
    <mergeCell ref="E12:AN15"/>
    <mergeCell ref="AO5:AS5"/>
    <mergeCell ref="C26:E26"/>
    <mergeCell ref="AC22:AQ22"/>
    <mergeCell ref="AC23:AQ23"/>
    <mergeCell ref="AC19:AP19"/>
    <mergeCell ref="A1:AT1"/>
  </mergeCells>
  <pageMargins left="0.7" right="0.7" top="0.75" bottom="0.75" header="0.3" footer="0.3"/>
</worksheet>
</file>

<file path=xl/worksheets/sheet24.xml><?xml version="1.0" encoding="utf-8"?>
<worksheet xmlns="http://schemas.openxmlformats.org/spreadsheetml/2006/main">
  <sheetPr>
    <outlinePr summaryBelow="0"/>
    <pageSetUpPr/>
  </sheetPr>
  <dimension ref="A1:AY72"/>
  <sheetViews>
    <sheetView workbookViewId="0">
      <selection activeCell="A1" sqref="A1"/>
    </sheetView>
  </sheetViews>
  <sheetFormatPr baseColWidth="8" defaultRowHeight="15"/>
  <cols>
    <col width="7.005" bestFit="1" customWidth="1" style="64" min="1" max="1"/>
    <col width="6.862142857142857" bestFit="1" customWidth="1" style="136" min="2" max="2"/>
    <col width="20.005" bestFit="1" customWidth="1" style="64" min="3" max="3"/>
    <col width="3.719285714285714" bestFit="1" customWidth="1" style="64" min="4" max="4"/>
    <col width="13.57642857142857" bestFit="1" customWidth="1" style="64" min="5" max="5"/>
    <col width="13.57642857142857" bestFit="1" customWidth="1" style="64" min="6" max="6"/>
    <col width="11.14785714285714" bestFit="1" customWidth="1" style="307" min="7" max="7"/>
    <col width="13.57642857142857" bestFit="1" customWidth="1" style="308" min="8" max="8"/>
    <col width="13.57642857142857" bestFit="1" customWidth="1" style="64" min="9" max="9"/>
    <col width="2.862142857142857" bestFit="1" customWidth="1" style="64" min="10" max="10"/>
    <col width="13.57642857142857" bestFit="1" customWidth="1" style="64" min="11" max="11"/>
    <col width="13.57642857142857" bestFit="1" customWidth="1" style="64" min="12" max="12"/>
    <col width="13.57642857142857" bestFit="1" customWidth="1" style="64" min="13" max="13"/>
    <col width="13.57642857142857" bestFit="1" customWidth="1" style="103" min="14" max="14"/>
    <col width="13.57642857142857" bestFit="1" customWidth="1" style="103" min="15" max="15"/>
    <col width="13.57642857142857" bestFit="1" customWidth="1" style="103" min="16" max="16"/>
    <col width="13.57642857142857" bestFit="1" customWidth="1" style="103" min="17" max="17"/>
    <col width="13.57642857142857" bestFit="1" customWidth="1" style="103" min="18" max="18"/>
    <col width="13.57642857142857" bestFit="1" customWidth="1" style="103" min="19" max="19"/>
    <col width="13.57642857142857" bestFit="1" customWidth="1" style="103" min="20" max="20"/>
    <col width="13.57642857142857" bestFit="1" customWidth="1" style="103" min="21" max="21"/>
    <col width="13.57642857142857" bestFit="1" customWidth="1" style="103" min="22" max="22"/>
    <col width="13.57642857142857" bestFit="1" customWidth="1" style="103" min="23" max="23"/>
    <col width="13.57642857142857" bestFit="1" customWidth="1" style="103" min="24" max="24"/>
    <col width="13.57642857142857" bestFit="1" customWidth="1" style="103" min="25" max="25"/>
    <col width="13.57642857142857" bestFit="1" customWidth="1" style="103" min="26" max="26"/>
    <col width="13.57642857142857" bestFit="1" customWidth="1" style="103" min="27" max="27"/>
    <col width="13.57642857142857" bestFit="1" customWidth="1" style="103" min="28" max="28"/>
    <col width="13.57642857142857" bestFit="1" customWidth="1" style="103" min="29" max="29"/>
    <col width="13.57642857142857" bestFit="1" customWidth="1" style="103" min="30" max="30"/>
    <col width="13.57642857142857" bestFit="1" customWidth="1" style="103" min="31" max="31"/>
    <col width="13.57642857142857" bestFit="1" customWidth="1" style="103" min="32" max="32"/>
    <col width="13.57642857142857" bestFit="1" customWidth="1" style="103" min="33" max="33"/>
    <col width="13.57642857142857" bestFit="1" customWidth="1" style="103" min="34" max="34"/>
    <col width="13.57642857142857" bestFit="1" customWidth="1" style="103" min="35" max="35"/>
    <col width="13.57642857142857" bestFit="1" customWidth="1" style="103" min="36" max="36"/>
    <col width="13.57642857142857" bestFit="1" customWidth="1" style="103" min="37" max="37"/>
    <col width="13.57642857142857" bestFit="1" customWidth="1" style="103" min="38" max="38"/>
    <col width="13.57642857142857" bestFit="1" customWidth="1" style="103" min="39" max="39"/>
    <col width="13.57642857142857" bestFit="1" customWidth="1" style="103" min="40" max="40"/>
    <col width="13.57642857142857" bestFit="1" customWidth="1" style="103" min="41" max="41"/>
    <col width="13.57642857142857" bestFit="1" customWidth="1" style="103" min="42" max="42"/>
    <col width="13.57642857142857" bestFit="1" customWidth="1" style="103" min="43" max="43"/>
    <col width="13.57642857142857" bestFit="1" customWidth="1" style="103" min="44" max="44"/>
    <col width="13.57642857142857" bestFit="1" customWidth="1" style="103" min="45" max="45"/>
    <col width="13.57642857142857" bestFit="1" customWidth="1" style="103" min="46" max="46"/>
    <col width="13.57642857142857" bestFit="1" customWidth="1" style="64" min="47" max="47"/>
    <col width="13.57642857142857" bestFit="1" customWidth="1" style="64" min="48" max="48"/>
    <col width="13.57642857142857" bestFit="1" customWidth="1" style="64" min="49" max="49"/>
    <col width="13.57642857142857" bestFit="1" customWidth="1" style="64" min="50" max="50"/>
    <col width="13.57642857142857" bestFit="1" customWidth="1" style="103" min="51" max="51"/>
  </cols>
  <sheetData>
    <row r="1" ht="30.75" customFormat="1" customHeight="1" s="18">
      <c r="A1" s="419" t="n"/>
      <c r="K1" s="69" t="n"/>
      <c r="L1" s="69" t="n"/>
      <c r="M1" s="69" t="n"/>
      <c r="N1" s="69" t="n"/>
      <c r="O1" s="69" t="n"/>
      <c r="P1" s="69" t="n"/>
      <c r="Q1" s="69" t="n"/>
      <c r="R1" s="69" t="n"/>
      <c r="S1" s="69" t="n"/>
      <c r="T1" s="69" t="n"/>
      <c r="U1" s="69" t="n"/>
      <c r="V1" s="69" t="n"/>
      <c r="W1" s="69" t="n"/>
      <c r="X1" s="69" t="n"/>
      <c r="Y1" s="69" t="n"/>
      <c r="Z1" s="69" t="n"/>
      <c r="AA1" s="69" t="n"/>
      <c r="AB1" s="69" t="n"/>
      <c r="AC1" s="69" t="n"/>
      <c r="AD1" s="69" t="n"/>
      <c r="AE1" s="69" t="n"/>
      <c r="AF1" s="69" t="n"/>
      <c r="AG1" s="69" t="n"/>
      <c r="AH1" s="69" t="n"/>
      <c r="AI1" s="69" t="n"/>
      <c r="AJ1" s="69" t="n"/>
      <c r="AK1" s="69" t="n"/>
      <c r="AL1" s="69" t="n"/>
      <c r="AM1" s="69" t="n"/>
      <c r="AN1" s="69" t="n"/>
      <c r="AO1" s="69" t="n"/>
      <c r="AP1" s="69" t="n"/>
      <c r="AQ1" s="69" t="n"/>
      <c r="AR1" s="69" t="n"/>
      <c r="AS1" s="69" t="n"/>
      <c r="AT1" s="69" t="n"/>
      <c r="AU1" s="103" t="n"/>
      <c r="AV1" s="103" t="n"/>
      <c r="AW1" s="103" t="n"/>
      <c r="AX1" s="103" t="n"/>
      <c r="AY1" s="69" t="n"/>
    </row>
    <row r="2" ht="19.5" customFormat="1" customHeight="1" s="18">
      <c r="A2" s="172" t="n"/>
      <c r="K2" s="232" t="n"/>
      <c r="L2" s="232" t="n"/>
      <c r="M2" s="232" t="n"/>
      <c r="N2" s="232" t="n"/>
      <c r="O2" s="232" t="n"/>
      <c r="P2" s="232" t="n"/>
      <c r="Q2" s="232" t="n"/>
      <c r="R2" s="232" t="n"/>
      <c r="S2" s="232" t="n"/>
      <c r="T2" s="232" t="n"/>
      <c r="U2" s="232" t="n"/>
      <c r="V2" s="232" t="n"/>
      <c r="W2" s="232" t="n"/>
      <c r="X2" s="232" t="n"/>
      <c r="Y2" s="232" t="n"/>
      <c r="Z2" s="232" t="n"/>
      <c r="AA2" s="232" t="n"/>
      <c r="AB2" s="232" t="n"/>
      <c r="AC2" s="232" t="n"/>
      <c r="AD2" s="232" t="n"/>
      <c r="AE2" s="232" t="n"/>
      <c r="AF2" s="232" t="n"/>
      <c r="AG2" s="232" t="n"/>
      <c r="AH2" s="232" t="n"/>
      <c r="AI2" s="232" t="n"/>
      <c r="AJ2" s="232" t="n"/>
      <c r="AK2" s="232" t="n"/>
      <c r="AL2" s="232" t="n"/>
      <c r="AM2" s="232" t="n"/>
      <c r="AN2" s="232" t="n"/>
      <c r="AO2" s="232" t="n"/>
      <c r="AP2" s="232" t="n"/>
      <c r="AQ2" s="232" t="n"/>
      <c r="AR2" s="232" t="n"/>
      <c r="AS2" s="232" t="n"/>
      <c r="AT2" s="232" t="n"/>
      <c r="AU2" s="103" t="n"/>
      <c r="AV2" s="103" t="n"/>
      <c r="AW2" s="103" t="n"/>
      <c r="AX2" s="103" t="n"/>
      <c r="AY2" s="71" t="n"/>
    </row>
    <row r="3" ht="13.5" customFormat="1" customHeight="1" s="18">
      <c r="A3" s="173" t="n"/>
      <c r="K3" s="73" t="n"/>
      <c r="L3" s="73" t="n"/>
      <c r="M3" s="73" t="n"/>
      <c r="N3" s="73" t="n"/>
      <c r="O3" s="73" t="n"/>
      <c r="P3" s="73" t="n"/>
      <c r="Q3" s="73" t="n"/>
      <c r="R3" s="73" t="n"/>
      <c r="S3" s="73" t="n"/>
      <c r="T3" s="73" t="n"/>
      <c r="U3" s="73" t="n"/>
      <c r="V3" s="73" t="n"/>
      <c r="W3" s="73" t="n"/>
      <c r="X3" s="73" t="n"/>
      <c r="Y3" s="73" t="n"/>
      <c r="Z3" s="73" t="n"/>
      <c r="AA3" s="73" t="n"/>
      <c r="AB3" s="73" t="n"/>
      <c r="AC3" s="73" t="n"/>
      <c r="AD3" s="73" t="n"/>
      <c r="AE3" s="73" t="n"/>
      <c r="AF3" s="73" t="n"/>
      <c r="AG3" s="73" t="n"/>
      <c r="AH3" s="73" t="n"/>
      <c r="AI3" s="73" t="n"/>
      <c r="AJ3" s="73" t="n"/>
      <c r="AK3" s="73" t="n"/>
      <c r="AL3" s="73" t="n"/>
      <c r="AM3" s="73" t="n"/>
      <c r="AN3" s="73" t="n"/>
      <c r="AO3" s="73" t="n"/>
      <c r="AP3" s="73" t="n"/>
      <c r="AQ3" s="73" t="n"/>
      <c r="AR3" s="73" t="n"/>
      <c r="AS3" s="73" t="n"/>
      <c r="AT3" s="73" t="n"/>
      <c r="AU3" s="103" t="n"/>
      <c r="AV3" s="103" t="n"/>
      <c r="AW3" s="103" t="n"/>
      <c r="AX3" s="103" t="n"/>
      <c r="AY3" s="73" t="n"/>
    </row>
    <row r="4" ht="13.5" customFormat="1" customHeight="1" s="18">
      <c r="A4" s="74" t="n"/>
      <c r="K4" s="75" t="n"/>
      <c r="L4" s="75" t="n"/>
      <c r="M4" s="75" t="n"/>
      <c r="N4" s="75" t="n"/>
      <c r="O4" s="75" t="n"/>
      <c r="P4" s="75" t="n"/>
      <c r="Q4" s="75" t="n"/>
      <c r="R4" s="75" t="n"/>
      <c r="S4" s="75" t="n"/>
      <c r="T4" s="75" t="n"/>
      <c r="U4" s="75" t="n"/>
      <c r="V4" s="75" t="n"/>
      <c r="W4" s="75" t="n"/>
      <c r="X4" s="75" t="n"/>
      <c r="Y4" s="75" t="n"/>
      <c r="Z4" s="75" t="n"/>
      <c r="AA4" s="75" t="n"/>
      <c r="AB4" s="75" t="n"/>
      <c r="AC4" s="75" t="n"/>
      <c r="AD4" s="75" t="n"/>
      <c r="AE4" s="75" t="n"/>
      <c r="AF4" s="75" t="n"/>
      <c r="AG4" s="75" t="n"/>
      <c r="AH4" s="75" t="n"/>
      <c r="AI4" s="75" t="n"/>
      <c r="AJ4" s="75" t="n"/>
      <c r="AK4" s="75" t="n"/>
      <c r="AL4" s="75" t="n"/>
      <c r="AM4" s="75" t="n"/>
      <c r="AN4" s="75" t="n"/>
      <c r="AO4" s="75" t="n"/>
      <c r="AP4" s="75" t="n"/>
      <c r="AQ4" s="75" t="n"/>
      <c r="AR4" s="75" t="n"/>
      <c r="AS4" s="75" t="n"/>
      <c r="AT4" s="75" t="n"/>
      <c r="AU4" s="103" t="n"/>
      <c r="AV4" s="103" t="n"/>
      <c r="AW4" s="103" t="n"/>
      <c r="AX4" s="103" t="n"/>
      <c r="AY4" s="75" t="n"/>
    </row>
    <row r="5" ht="18" customHeight="1">
      <c r="A5" s="239" t="n"/>
      <c r="B5" s="136" t="n"/>
      <c r="C5" s="64" t="n"/>
      <c r="D5" s="64" t="n"/>
      <c r="E5" s="64" t="n"/>
      <c r="F5" s="64" t="n"/>
      <c r="G5" s="307" t="n"/>
      <c r="H5" s="241" t="n"/>
      <c r="I5" s="64" t="n"/>
      <c r="J5" s="78" t="n"/>
      <c r="K5" s="64" t="n"/>
      <c r="L5" s="64" t="n"/>
      <c r="M5" s="64" t="n"/>
      <c r="N5" s="103" t="n"/>
      <c r="O5" s="103" t="n"/>
      <c r="P5" s="103" t="n"/>
      <c r="Q5" s="103" t="n"/>
      <c r="R5" s="103" t="n"/>
      <c r="S5" s="103" t="n"/>
      <c r="T5" s="103" t="n"/>
      <c r="U5" s="103" t="n"/>
      <c r="V5" s="103" t="n"/>
      <c r="W5" s="103" t="n"/>
      <c r="X5" s="103" t="n"/>
      <c r="Y5" s="103" t="n"/>
      <c r="Z5" s="103" t="n"/>
      <c r="AA5" s="103" t="n"/>
      <c r="AB5" s="103" t="n"/>
      <c r="AC5" s="103" t="n"/>
      <c r="AD5" s="103" t="n"/>
      <c r="AE5" s="103" t="n"/>
      <c r="AF5" s="103" t="n"/>
      <c r="AG5" s="103" t="n"/>
      <c r="AH5" s="103" t="n"/>
      <c r="AI5" s="103" t="n"/>
      <c r="AJ5" s="103" t="n"/>
      <c r="AK5" s="103" t="n"/>
      <c r="AL5" s="103" t="n"/>
      <c r="AM5" s="103" t="n"/>
      <c r="AN5" s="103" t="n"/>
      <c r="AO5" s="103" t="n"/>
      <c r="AP5" s="103" t="n"/>
      <c r="AQ5" s="103" t="n"/>
      <c r="AR5" s="103" t="n"/>
      <c r="AS5" s="103" t="n"/>
      <c r="AT5" s="103" t="n"/>
      <c r="AU5" s="64" t="n"/>
      <c r="AV5" s="64" t="n"/>
      <c r="AW5" s="64" t="n"/>
      <c r="AX5" s="64" t="n"/>
      <c r="AY5" s="103" t="n"/>
    </row>
    <row r="6" ht="18.75" customHeight="1">
      <c r="A6" s="191">
        <f>'Data Input'!D8</f>
        <v/>
      </c>
      <c r="K6" s="64" t="n"/>
      <c r="L6" s="243" t="inlineStr">
        <is>
          <t>১ম আবেদনকারী</t>
        </is>
      </c>
      <c r="N6" s="103" t="n"/>
      <c r="O6" s="103" t="n"/>
      <c r="P6" s="103" t="n"/>
      <c r="Q6" s="103" t="n"/>
      <c r="R6" s="103" t="n"/>
      <c r="S6" s="103" t="n"/>
      <c r="T6" s="103" t="n"/>
      <c r="U6" s="103" t="n"/>
      <c r="V6" s="103" t="n"/>
      <c r="W6" s="103" t="n"/>
      <c r="X6" s="103" t="n"/>
      <c r="Y6" s="103" t="n"/>
      <c r="Z6" s="103" t="n"/>
      <c r="AA6" s="103" t="n"/>
      <c r="AB6" s="103" t="n"/>
      <c r="AC6" s="103" t="n"/>
      <c r="AD6" s="103" t="n"/>
      <c r="AE6" s="103" t="n"/>
      <c r="AF6" s="103" t="n"/>
      <c r="AG6" s="103" t="n"/>
      <c r="AH6" s="103" t="n"/>
      <c r="AI6" s="103" t="n"/>
      <c r="AJ6" s="103" t="n"/>
      <c r="AK6" s="103" t="n"/>
      <c r="AL6" s="103" t="n"/>
      <c r="AM6" s="103" t="n"/>
      <c r="AN6" s="103" t="n"/>
      <c r="AO6" s="103" t="n"/>
      <c r="AP6" s="103" t="n"/>
      <c r="AQ6" s="103" t="n"/>
      <c r="AR6" s="103" t="n"/>
      <c r="AS6" s="103" t="n"/>
      <c r="AT6" s="103" t="n"/>
      <c r="AU6" s="64" t="n"/>
      <c r="AV6" s="64" t="n"/>
      <c r="AW6" s="64" t="n"/>
      <c r="AX6" s="64" t="n"/>
      <c r="AY6" s="103" t="n"/>
    </row>
    <row r="7" ht="23.25" customHeight="1">
      <c r="A7" s="195">
        <f>'Data Input'!D12</f>
        <v/>
      </c>
      <c r="K7" s="64" t="n"/>
      <c r="L7" s="64" t="n"/>
      <c r="M7" s="64" t="n"/>
      <c r="N7" s="103" t="n"/>
      <c r="O7" s="103" t="n"/>
      <c r="P7" s="103" t="n"/>
      <c r="Q7" s="103" t="n"/>
      <c r="R7" s="103" t="n"/>
      <c r="S7" s="103" t="n"/>
      <c r="T7" s="103" t="n"/>
      <c r="U7" s="103" t="n"/>
      <c r="V7" s="103" t="n"/>
      <c r="W7" s="103" t="n"/>
      <c r="X7" s="103" t="n"/>
      <c r="Y7" s="103" t="n"/>
      <c r="Z7" s="103" t="n"/>
      <c r="AA7" s="103" t="n"/>
      <c r="AB7" s="103" t="n"/>
      <c r="AC7" s="103" t="n"/>
      <c r="AD7" s="103" t="n"/>
      <c r="AE7" s="103" t="n"/>
      <c r="AF7" s="103" t="n"/>
      <c r="AG7" s="103" t="n"/>
      <c r="AH7" s="103" t="n"/>
      <c r="AI7" s="103" t="n"/>
      <c r="AJ7" s="103" t="n"/>
      <c r="AK7" s="103" t="n"/>
      <c r="AL7" s="103" t="n"/>
      <c r="AM7" s="103" t="n"/>
      <c r="AN7" s="103" t="n"/>
      <c r="AO7" s="103" t="n"/>
      <c r="AP7" s="103" t="n"/>
      <c r="AQ7" s="103" t="n"/>
      <c r="AR7" s="103" t="n"/>
      <c r="AS7" s="103" t="n"/>
      <c r="AT7" s="103" t="n"/>
      <c r="AU7" s="64" t="n"/>
      <c r="AV7" s="64" t="n"/>
      <c r="AW7" s="64" t="n"/>
      <c r="AX7" s="64" t="n"/>
      <c r="AY7" s="103" t="n"/>
    </row>
    <row r="8" ht="23.25" customHeight="1">
      <c r="A8" s="195">
        <f>'Data Input'!B13&amp;'Data Input'!C13&amp;" "&amp;'Data Input'!D13</f>
        <v/>
      </c>
      <c r="K8" s="64" t="n"/>
      <c r="L8" s="64" t="n"/>
      <c r="M8" s="64" t="n"/>
      <c r="N8" s="103" t="n"/>
      <c r="O8" s="103" t="n"/>
      <c r="P8" s="103" t="n"/>
      <c r="Q8" s="103" t="n"/>
      <c r="R8" s="103" t="n"/>
      <c r="S8" s="103" t="n"/>
      <c r="T8" s="103" t="n"/>
      <c r="U8" s="103" t="n"/>
      <c r="V8" s="103" t="n"/>
      <c r="W8" s="103" t="n"/>
      <c r="X8" s="103" t="n"/>
      <c r="Y8" s="103" t="n"/>
      <c r="Z8" s="103" t="n"/>
      <c r="AA8" s="103" t="n"/>
      <c r="AB8" s="103" t="n"/>
      <c r="AC8" s="103" t="n"/>
      <c r="AD8" s="103" t="n"/>
      <c r="AE8" s="103" t="n"/>
      <c r="AF8" s="103" t="n"/>
      <c r="AG8" s="103" t="n"/>
      <c r="AH8" s="103" t="n"/>
      <c r="AI8" s="103" t="n"/>
      <c r="AJ8" s="103" t="n"/>
      <c r="AK8" s="103" t="n"/>
      <c r="AL8" s="103" t="n"/>
      <c r="AM8" s="103" t="n"/>
      <c r="AN8" s="103" t="n"/>
      <c r="AO8" s="103" t="n"/>
      <c r="AP8" s="103" t="n"/>
      <c r="AQ8" s="103" t="n"/>
      <c r="AR8" s="103" t="n"/>
      <c r="AS8" s="103" t="n"/>
      <c r="AT8" s="103" t="n"/>
      <c r="AU8" s="64" t="n"/>
      <c r="AV8" s="64" t="n"/>
      <c r="AW8" s="64" t="n"/>
      <c r="AX8" s="64" t="n"/>
      <c r="AY8" s="103" t="n"/>
    </row>
    <row r="9" ht="9" customHeight="1">
      <c r="A9" s="195" t="n"/>
      <c r="K9" s="64" t="n"/>
      <c r="L9" s="64" t="n"/>
      <c r="M9" s="64" t="n"/>
      <c r="N9" s="103" t="n"/>
      <c r="O9" s="103" t="n"/>
      <c r="P9" s="103" t="n"/>
      <c r="Q9" s="103" t="n"/>
      <c r="R9" s="103" t="n"/>
      <c r="S9" s="103" t="n"/>
      <c r="T9" s="103" t="n"/>
      <c r="U9" s="103" t="n"/>
      <c r="V9" s="103" t="n"/>
      <c r="W9" s="103" t="n"/>
      <c r="X9" s="103" t="n"/>
      <c r="Y9" s="103" t="n"/>
      <c r="Z9" s="103" t="n"/>
      <c r="AA9" s="103" t="n"/>
      <c r="AB9" s="103" t="n"/>
      <c r="AC9" s="103" t="n"/>
      <c r="AD9" s="103" t="n"/>
      <c r="AE9" s="103" t="n"/>
      <c r="AF9" s="103" t="n"/>
      <c r="AG9" s="103" t="n"/>
      <c r="AH9" s="103" t="n"/>
      <c r="AI9" s="103" t="n"/>
      <c r="AJ9" s="103" t="n"/>
      <c r="AK9" s="103" t="n"/>
      <c r="AL9" s="103" t="n"/>
      <c r="AM9" s="103" t="n"/>
      <c r="AN9" s="103" t="n"/>
      <c r="AO9" s="103" t="n"/>
      <c r="AP9" s="103" t="n"/>
      <c r="AQ9" s="103" t="n"/>
      <c r="AR9" s="103" t="n"/>
      <c r="AS9" s="103" t="n"/>
      <c r="AT9" s="103" t="n"/>
      <c r="AU9" s="64" t="n"/>
      <c r="AV9" s="64" t="n"/>
      <c r="AW9" s="64" t="n"/>
      <c r="AX9" s="64" t="n"/>
      <c r="AY9" s="103" t="n"/>
    </row>
    <row r="10" ht="9" customHeight="1">
      <c r="A10" s="195" t="n"/>
      <c r="K10" s="64" t="n"/>
      <c r="L10" s="64" t="n"/>
      <c r="M10" s="64" t="n"/>
      <c r="N10" s="103" t="n"/>
      <c r="O10" s="103" t="n"/>
      <c r="P10" s="103" t="n"/>
      <c r="Q10" s="103" t="n"/>
      <c r="R10" s="103" t="n"/>
      <c r="S10" s="103" t="n"/>
      <c r="T10" s="103" t="n"/>
      <c r="U10" s="103" t="n"/>
      <c r="V10" s="103" t="n"/>
      <c r="W10" s="103" t="n"/>
      <c r="X10" s="103" t="n"/>
      <c r="Y10" s="103" t="n"/>
      <c r="Z10" s="103" t="n"/>
      <c r="AA10" s="103" t="n"/>
      <c r="AB10" s="103" t="n"/>
      <c r="AC10" s="103" t="n"/>
      <c r="AD10" s="103" t="n"/>
      <c r="AE10" s="103" t="n"/>
      <c r="AF10" s="103" t="n"/>
      <c r="AG10" s="103" t="n"/>
      <c r="AH10" s="103" t="n"/>
      <c r="AI10" s="103" t="n"/>
      <c r="AJ10" s="103" t="n"/>
      <c r="AK10" s="103" t="n"/>
      <c r="AL10" s="103" t="n"/>
      <c r="AM10" s="103" t="n"/>
      <c r="AN10" s="103" t="n"/>
      <c r="AO10" s="103" t="n"/>
      <c r="AP10" s="103" t="n"/>
      <c r="AQ10" s="103" t="n"/>
      <c r="AR10" s="103" t="n"/>
      <c r="AS10" s="103" t="n"/>
      <c r="AT10" s="103" t="n"/>
      <c r="AU10" s="64" t="n"/>
      <c r="AV10" s="64" t="n"/>
      <c r="AW10" s="64" t="n"/>
      <c r="AX10" s="64" t="n"/>
      <c r="AY10" s="103" t="n"/>
    </row>
    <row r="11" ht="23.25" customHeight="1">
      <c r="A11" s="195">
        <f>+'Data Input'!D9</f>
        <v/>
      </c>
      <c r="K11" s="64" t="n"/>
      <c r="L11" s="64" t="n"/>
      <c r="M11" s="64" t="n"/>
      <c r="N11" s="103" t="n"/>
      <c r="O11" s="103" t="n"/>
      <c r="P11" s="103" t="n"/>
      <c r="Q11" s="103" t="n"/>
      <c r="R11" s="103" t="n"/>
      <c r="S11" s="103" t="n"/>
      <c r="T11" s="103" t="n"/>
      <c r="U11" s="103" t="n"/>
      <c r="V11" s="103" t="n"/>
      <c r="W11" s="103" t="n"/>
      <c r="X11" s="103" t="n"/>
      <c r="Y11" s="103" t="n"/>
      <c r="Z11" s="103" t="n"/>
      <c r="AA11" s="103" t="n"/>
      <c r="AB11" s="103" t="n"/>
      <c r="AC11" s="103" t="n"/>
      <c r="AD11" s="103" t="n"/>
      <c r="AE11" s="103" t="n"/>
      <c r="AF11" s="103" t="n"/>
      <c r="AG11" s="103" t="n"/>
      <c r="AH11" s="103" t="n"/>
      <c r="AI11" s="103" t="n"/>
      <c r="AJ11" s="103" t="n"/>
      <c r="AK11" s="103" t="n"/>
      <c r="AL11" s="103" t="n"/>
      <c r="AM11" s="103" t="n"/>
      <c r="AN11" s="103" t="n"/>
      <c r="AO11" s="103" t="n"/>
      <c r="AP11" s="103" t="n"/>
      <c r="AQ11" s="103" t="n"/>
      <c r="AR11" s="103" t="n"/>
      <c r="AS11" s="103" t="n"/>
      <c r="AT11" s="103" t="n"/>
      <c r="AU11" s="64" t="n"/>
      <c r="AV11" s="64" t="n"/>
      <c r="AW11" s="64" t="n"/>
      <c r="AX11" s="64" t="n"/>
      <c r="AY11" s="103" t="n"/>
    </row>
    <row r="12" ht="23.25" customHeight="1">
      <c r="A12" s="195">
        <f>"‡gvevBj bst +88 "&amp;'Data Input'!D16</f>
        <v/>
      </c>
      <c r="K12" s="64" t="n"/>
      <c r="L12" s="64" t="n"/>
      <c r="M12" s="64" t="n"/>
      <c r="N12" s="103" t="n"/>
      <c r="O12" s="103" t="n"/>
      <c r="P12" s="103" t="n"/>
      <c r="Q12" s="103" t="n"/>
      <c r="R12" s="103" t="n"/>
      <c r="S12" s="103" t="n"/>
      <c r="T12" s="103" t="n"/>
      <c r="U12" s="103" t="n"/>
      <c r="V12" s="103" t="n"/>
      <c r="W12" s="103" t="n"/>
      <c r="X12" s="103" t="n"/>
      <c r="Y12" s="103" t="n"/>
      <c r="Z12" s="103" t="n"/>
      <c r="AA12" s="103" t="n"/>
      <c r="AB12" s="103" t="n"/>
      <c r="AC12" s="103" t="n"/>
      <c r="AD12" s="103" t="n"/>
      <c r="AE12" s="103" t="n"/>
      <c r="AF12" s="103" t="n"/>
      <c r="AG12" s="103" t="n"/>
      <c r="AH12" s="103" t="n"/>
      <c r="AI12" s="103" t="n"/>
      <c r="AJ12" s="103" t="n"/>
      <c r="AK12" s="103" t="n"/>
      <c r="AL12" s="103" t="n"/>
      <c r="AM12" s="103" t="n"/>
      <c r="AN12" s="103" t="n"/>
      <c r="AO12" s="103" t="n"/>
      <c r="AP12" s="103" t="n"/>
      <c r="AQ12" s="103" t="n"/>
      <c r="AR12" s="103" t="n"/>
      <c r="AS12" s="103" t="n"/>
      <c r="AT12" s="103" t="n"/>
      <c r="AU12" s="64" t="n"/>
      <c r="AV12" s="64" t="n"/>
      <c r="AW12" s="64" t="n"/>
      <c r="AX12" s="64" t="n"/>
      <c r="AY12" s="103" t="n"/>
    </row>
    <row r="13" ht="6.75" customHeight="1">
      <c r="A13" s="98" t="n"/>
      <c r="K13" s="64" t="n"/>
      <c r="L13" s="64" t="n"/>
      <c r="M13" s="64" t="n"/>
      <c r="N13" s="103" t="n"/>
      <c r="O13" s="103" t="n"/>
      <c r="P13" s="103" t="n"/>
      <c r="Q13" s="103" t="n"/>
      <c r="R13" s="103" t="n"/>
      <c r="S13" s="103" t="n"/>
      <c r="T13" s="103" t="n"/>
      <c r="U13" s="103" t="n"/>
      <c r="V13" s="103" t="n"/>
      <c r="W13" s="103" t="n"/>
      <c r="X13" s="103" t="n"/>
      <c r="Y13" s="103" t="n"/>
      <c r="Z13" s="103" t="n"/>
      <c r="AA13" s="103" t="n"/>
      <c r="AB13" s="103" t="n"/>
      <c r="AC13" s="103" t="n"/>
      <c r="AD13" s="103" t="n"/>
      <c r="AE13" s="103" t="n"/>
      <c r="AF13" s="103" t="n"/>
      <c r="AG13" s="103" t="n"/>
      <c r="AH13" s="103" t="n"/>
      <c r="AI13" s="103" t="n"/>
      <c r="AJ13" s="103" t="n"/>
      <c r="AK13" s="103" t="n"/>
      <c r="AL13" s="103" t="n"/>
      <c r="AM13" s="103" t="n"/>
      <c r="AN13" s="103" t="n"/>
      <c r="AO13" s="103" t="n"/>
      <c r="AP13" s="103" t="n"/>
      <c r="AQ13" s="103" t="n"/>
      <c r="AR13" s="103" t="n"/>
      <c r="AS13" s="103" t="n"/>
      <c r="AT13" s="103" t="n"/>
      <c r="AU13" s="64" t="n"/>
      <c r="AV13" s="64" t="n"/>
      <c r="AW13" s="64" t="n"/>
      <c r="AX13" s="64" t="n"/>
      <c r="AY13" s="103" t="n"/>
    </row>
    <row r="14" ht="18.75" customHeight="1">
      <c r="A14" s="250" t="inlineStr">
        <is>
          <t>cwim¤ú` I `vq msµvšÍ †NvlYv</t>
        </is>
      </c>
      <c r="K14" s="64" t="n"/>
      <c r="L14" s="64" t="n"/>
      <c r="M14" s="64" t="n"/>
      <c r="N14" s="103" t="n"/>
      <c r="O14" s="103" t="n"/>
      <c r="P14" s="103" t="n"/>
      <c r="Q14" s="103" t="n"/>
      <c r="R14" s="103" t="n"/>
      <c r="S14" s="103" t="n"/>
      <c r="T14" s="103" t="n"/>
      <c r="U14" s="103" t="n"/>
      <c r="V14" s="103" t="n"/>
      <c r="W14" s="103" t="n"/>
      <c r="X14" s="103" t="n"/>
      <c r="Y14" s="103" t="n"/>
      <c r="Z14" s="103" t="n"/>
      <c r="AA14" s="103" t="n"/>
      <c r="AB14" s="103" t="n"/>
      <c r="AC14" s="103" t="n"/>
      <c r="AD14" s="103" t="n"/>
      <c r="AE14" s="103" t="n"/>
      <c r="AF14" s="103" t="n"/>
      <c r="AG14" s="103" t="n"/>
      <c r="AH14" s="103" t="n"/>
      <c r="AI14" s="103" t="n"/>
      <c r="AJ14" s="103" t="n"/>
      <c r="AK14" s="103" t="n"/>
      <c r="AL14" s="103" t="n"/>
      <c r="AM14" s="103" t="n"/>
      <c r="AN14" s="103" t="n"/>
      <c r="AO14" s="103" t="n"/>
      <c r="AP14" s="103" t="n"/>
      <c r="AQ14" s="103" t="n"/>
      <c r="AR14" s="103" t="n"/>
      <c r="AS14" s="103" t="n"/>
      <c r="AT14" s="103" t="n"/>
      <c r="AU14" s="64" t="n"/>
      <c r="AV14" s="64" t="n"/>
      <c r="AW14" s="64" t="n"/>
      <c r="AX14" s="64" t="n"/>
      <c r="AY14" s="103" t="n"/>
    </row>
    <row r="15" ht="18.75" customHeight="1">
      <c r="A15" s="64" t="n"/>
      <c r="B15" s="254" t="inlineStr">
        <is>
          <t>Avwg GB g‡g© †Nvlbv KiwQ †h,Avgvi wb¤œ ewY©Z m¤úwË I `vq †`bv i‡q‡Q|</t>
        </is>
      </c>
      <c r="C15" s="64" t="n"/>
      <c r="D15" s="255" t="n"/>
      <c r="E15" s="255" t="n"/>
      <c r="F15" s="255" t="n"/>
      <c r="G15" s="256" t="n"/>
      <c r="H15" s="257" t="n"/>
      <c r="I15" s="255" t="n"/>
      <c r="J15" s="255" t="n"/>
      <c r="K15" s="64" t="n"/>
      <c r="L15" s="64" t="n"/>
      <c r="M15" s="64" t="n"/>
      <c r="N15" s="103" t="n"/>
      <c r="O15" s="103" t="n"/>
      <c r="P15" s="103" t="n"/>
      <c r="Q15" s="103" t="n"/>
      <c r="R15" s="103" t="n"/>
      <c r="S15" s="103" t="n"/>
      <c r="T15" s="103" t="n"/>
      <c r="U15" s="103" t="n"/>
      <c r="V15" s="103" t="n"/>
      <c r="W15" s="103" t="n"/>
      <c r="X15" s="103" t="n"/>
      <c r="Y15" s="103" t="n"/>
      <c r="Z15" s="103" t="n"/>
      <c r="AA15" s="103" t="n"/>
      <c r="AB15" s="103" t="n"/>
      <c r="AC15" s="103" t="n"/>
      <c r="AD15" s="103" t="n"/>
      <c r="AE15" s="103" t="n"/>
      <c r="AF15" s="103" t="n"/>
      <c r="AG15" s="103" t="n"/>
      <c r="AH15" s="103" t="n"/>
      <c r="AI15" s="103" t="n"/>
      <c r="AJ15" s="103" t="n"/>
      <c r="AK15" s="103" t="n"/>
      <c r="AL15" s="103" t="n"/>
      <c r="AM15" s="103" t="n"/>
      <c r="AN15" s="103" t="n"/>
      <c r="AO15" s="103" t="n"/>
      <c r="AP15" s="103" t="n"/>
      <c r="AQ15" s="103" t="n"/>
      <c r="AR15" s="103" t="n"/>
      <c r="AS15" s="103" t="n"/>
      <c r="AT15" s="103" t="n"/>
      <c r="AU15" s="64" t="n"/>
      <c r="AV15" s="64" t="n"/>
      <c r="AW15" s="64" t="n"/>
      <c r="AX15" s="64" t="n"/>
      <c r="AY15" s="103" t="n"/>
    </row>
    <row r="16" ht="3.75" customHeight="1">
      <c r="A16" s="64" t="n"/>
      <c r="B16" s="254" t="n"/>
      <c r="C16" s="255" t="n"/>
      <c r="D16" s="255" t="n"/>
      <c r="E16" s="255" t="n"/>
      <c r="F16" s="255" t="n"/>
      <c r="G16" s="256" t="n"/>
      <c r="H16" s="257" t="n"/>
      <c r="I16" s="255" t="n"/>
      <c r="J16" s="255" t="n"/>
      <c r="K16" s="64" t="n"/>
      <c r="L16" s="64" t="n"/>
      <c r="M16" s="64" t="n"/>
      <c r="N16" s="103" t="n"/>
      <c r="O16" s="103" t="n"/>
      <c r="P16" s="103" t="n"/>
      <c r="Q16" s="103" t="n"/>
      <c r="R16" s="103" t="n"/>
      <c r="S16" s="103" t="n"/>
      <c r="T16" s="103" t="n"/>
      <c r="U16" s="103" t="n"/>
      <c r="V16" s="103" t="n"/>
      <c r="W16" s="103" t="n"/>
      <c r="X16" s="103" t="n"/>
      <c r="Y16" s="103" t="n"/>
      <c r="Z16" s="103" t="n"/>
      <c r="AA16" s="103" t="n"/>
      <c r="AB16" s="103" t="n"/>
      <c r="AC16" s="103" t="n"/>
      <c r="AD16" s="103" t="n"/>
      <c r="AE16" s="103" t="n"/>
      <c r="AF16" s="103" t="n"/>
      <c r="AG16" s="103" t="n"/>
      <c r="AH16" s="103" t="n"/>
      <c r="AI16" s="103" t="n"/>
      <c r="AJ16" s="103" t="n"/>
      <c r="AK16" s="103" t="n"/>
      <c r="AL16" s="103" t="n"/>
      <c r="AM16" s="103" t="n"/>
      <c r="AN16" s="103" t="n"/>
      <c r="AO16" s="103" t="n"/>
      <c r="AP16" s="103" t="n"/>
      <c r="AQ16" s="103" t="n"/>
      <c r="AR16" s="103" t="n"/>
      <c r="AS16" s="103" t="n"/>
      <c r="AT16" s="103" t="n"/>
      <c r="AU16" s="64" t="n"/>
      <c r="AV16" s="64" t="n"/>
      <c r="AW16" s="64" t="n"/>
      <c r="AX16" s="64" t="n"/>
      <c r="AY16" s="103" t="n"/>
    </row>
    <row r="17" ht="18.75" customHeight="1">
      <c r="A17" s="64" t="n"/>
      <c r="B17" s="258" t="inlineStr">
        <is>
          <t>(K) m¤ú`t</t>
        </is>
      </c>
      <c r="C17" s="259" t="n"/>
      <c r="D17" s="259" t="n"/>
      <c r="E17" s="259" t="n"/>
      <c r="F17" s="259" t="n"/>
      <c r="G17" s="260" t="n"/>
      <c r="H17" s="261" t="n"/>
      <c r="I17" s="243" t="inlineStr">
        <is>
          <t>(jÿ UvKvq)</t>
        </is>
      </c>
      <c r="K17" s="64" t="n"/>
      <c r="L17" s="64" t="n"/>
      <c r="M17" s="64" t="n"/>
      <c r="N17" s="103" t="n"/>
      <c r="O17" s="103" t="n"/>
      <c r="P17" s="103" t="n"/>
      <c r="Q17" s="103" t="n"/>
      <c r="R17" s="103" t="n"/>
      <c r="S17" s="103" t="n"/>
      <c r="T17" s="103" t="n"/>
      <c r="U17" s="103" t="n"/>
      <c r="V17" s="103" t="n"/>
      <c r="W17" s="103" t="n"/>
      <c r="X17" s="103" t="n"/>
      <c r="Y17" s="103" t="n"/>
      <c r="Z17" s="103" t="n"/>
      <c r="AA17" s="103" t="n"/>
      <c r="AB17" s="103" t="n"/>
      <c r="AC17" s="103" t="n"/>
      <c r="AD17" s="103" t="n"/>
      <c r="AE17" s="103" t="n"/>
      <c r="AF17" s="103" t="n"/>
      <c r="AG17" s="103" t="n"/>
      <c r="AH17" s="103" t="n"/>
      <c r="AI17" s="103" t="n"/>
      <c r="AJ17" s="103" t="n"/>
      <c r="AK17" s="103" t="n"/>
      <c r="AL17" s="103" t="n"/>
      <c r="AM17" s="103" t="n"/>
      <c r="AN17" s="103" t="n"/>
      <c r="AO17" s="103" t="n"/>
      <c r="AP17" s="103" t="n"/>
      <c r="AQ17" s="103" t="n"/>
      <c r="AR17" s="103" t="n"/>
      <c r="AS17" s="103" t="n"/>
      <c r="AT17" s="103" t="n"/>
      <c r="AU17" s="64" t="n"/>
      <c r="AV17" s="64" t="n"/>
      <c r="AW17" s="64" t="n"/>
      <c r="AX17" s="64" t="n"/>
      <c r="AY17" s="103" t="n"/>
    </row>
    <row r="18" ht="18.75" customFormat="1" customHeight="1" s="18">
      <c r="A18" s="103" t="n"/>
      <c r="B18" s="262" t="inlineStr">
        <is>
          <t>µt bs</t>
        </is>
      </c>
      <c r="C18" s="263" t="inlineStr">
        <is>
          <t>m¤ú‡`i weeiY</t>
        </is>
      </c>
      <c r="D18" s="2617" t="n"/>
      <c r="E18" s="263" t="inlineStr">
        <is>
          <t>‡gŠRv,LwZqvb,`vM bs</t>
        </is>
      </c>
      <c r="F18" s="2617" t="n"/>
      <c r="G18" s="264" t="inlineStr">
        <is>
          <t>Rwgi cwigvb (GKi)</t>
        </is>
      </c>
      <c r="H18" s="265" t="inlineStr">
        <is>
          <t>evRvi g~j¨</t>
        </is>
      </c>
      <c r="I18" s="263" t="inlineStr">
        <is>
          <t>gšÍe¨</t>
        </is>
      </c>
      <c r="J18" s="2617" t="n"/>
      <c r="K18" s="103" t="n"/>
      <c r="L18" s="103" t="n"/>
      <c r="M18" s="103" t="n"/>
      <c r="N18" s="103" t="n"/>
      <c r="O18" s="103" t="n"/>
      <c r="P18" s="103" t="n"/>
      <c r="Q18" s="103" t="n"/>
      <c r="R18" s="103" t="n"/>
      <c r="S18" s="103" t="n"/>
      <c r="T18" s="103" t="n"/>
      <c r="U18" s="103" t="n"/>
      <c r="V18" s="103" t="n"/>
      <c r="W18" s="103" t="n"/>
      <c r="X18" s="103" t="n"/>
      <c r="Y18" s="103" t="n"/>
      <c r="Z18" s="103" t="n"/>
      <c r="AA18" s="103" t="n"/>
      <c r="AB18" s="103" t="n"/>
      <c r="AC18" s="103" t="n"/>
      <c r="AD18" s="103" t="n"/>
      <c r="AE18" s="103" t="n"/>
      <c r="AF18" s="103" t="n"/>
      <c r="AG18" s="103" t="n"/>
      <c r="AH18" s="103" t="n"/>
      <c r="AI18" s="103" t="n"/>
      <c r="AJ18" s="103" t="n"/>
      <c r="AK18" s="103" t="n"/>
      <c r="AL18" s="103" t="n"/>
      <c r="AM18" s="103" t="n"/>
      <c r="AN18" s="103" t="n"/>
      <c r="AO18" s="103" t="n"/>
      <c r="AP18" s="103" t="n"/>
      <c r="AQ18" s="103" t="n"/>
      <c r="AR18" s="103" t="n"/>
      <c r="AS18" s="103" t="n"/>
      <c r="AT18" s="103" t="n"/>
      <c r="AU18" s="103" t="n"/>
      <c r="AV18" s="103" t="n"/>
      <c r="AW18" s="103" t="n"/>
      <c r="AX18" s="103" t="n"/>
      <c r="AY18" s="103" t="n"/>
    </row>
    <row r="19" ht="18.75" customFormat="1" customHeight="1" s="18">
      <c r="A19" s="103" t="n"/>
      <c r="B19" s="266" t="n">
        <v>1</v>
      </c>
      <c r="C19" s="267" t="inlineStr">
        <is>
          <t>Rwg</t>
        </is>
      </c>
      <c r="D19" s="2617" t="n"/>
      <c r="E19" s="267" t="inlineStr">
        <is>
          <t>cyivcvov, (Gj.Gd-5 g‡Z)</t>
        </is>
      </c>
      <c r="F19" s="2617" t="n"/>
      <c r="G19" s="268">
        <f>+'Data Input'!N48</f>
        <v/>
      </c>
      <c r="H19" s="269">
        <f>(+'LF-5'!Y65+'LF-5'!Y70+'LF-5'!AB75)/100000</f>
        <v/>
      </c>
      <c r="I19" s="269" t="n"/>
      <c r="J19" s="2617" t="n"/>
      <c r="K19" s="103" t="n"/>
      <c r="L19" s="103" t="n"/>
      <c r="M19" s="103" t="n"/>
      <c r="N19" s="103" t="n"/>
      <c r="O19" s="103" t="n"/>
      <c r="P19" s="103" t="n"/>
      <c r="Q19" s="103" t="n"/>
      <c r="R19" s="103" t="n"/>
      <c r="S19" s="103" t="n"/>
      <c r="T19" s="103" t="n"/>
      <c r="U19" s="103" t="n"/>
      <c r="V19" s="103" t="n"/>
      <c r="W19" s="103" t="n"/>
      <c r="X19" s="103" t="n"/>
      <c r="Y19" s="103" t="n"/>
      <c r="Z19" s="103" t="n"/>
      <c r="AA19" s="103" t="n"/>
      <c r="AB19" s="103" t="n"/>
      <c r="AC19" s="103" t="n"/>
      <c r="AD19" s="103" t="n"/>
      <c r="AE19" s="103" t="n"/>
      <c r="AF19" s="103" t="n"/>
      <c r="AG19" s="103" t="n"/>
      <c r="AH19" s="103" t="n"/>
      <c r="AI19" s="103" t="n"/>
      <c r="AJ19" s="103" t="n"/>
      <c r="AK19" s="103" t="n"/>
      <c r="AL19" s="103" t="n"/>
      <c r="AM19" s="103" t="n"/>
      <c r="AN19" s="103" t="n"/>
      <c r="AO19" s="103" t="n"/>
      <c r="AP19" s="103" t="n"/>
      <c r="AQ19" s="103" t="n"/>
      <c r="AR19" s="103" t="n"/>
      <c r="AS19" s="103" t="n"/>
      <c r="AT19" s="103" t="n"/>
      <c r="AU19" s="103" t="n"/>
      <c r="AV19" s="103" t="n"/>
      <c r="AW19" s="103" t="n"/>
      <c r="AX19" s="103" t="n"/>
      <c r="AY19" s="103" t="n"/>
    </row>
    <row r="20" ht="18.75" customFormat="1" customHeight="1" s="18">
      <c r="A20" s="103" t="n"/>
      <c r="B20" s="266" t="n">
        <v>2</v>
      </c>
      <c r="C20" s="270" t="inlineStr">
        <is>
          <t>BgviZ</t>
        </is>
      </c>
      <c r="D20" s="2617" t="n"/>
      <c r="E20" s="270" t="inlineStr">
        <is>
          <t>1 wU</t>
        </is>
      </c>
      <c r="F20" s="2617" t="n"/>
      <c r="G20" s="271" t="n"/>
      <c r="H20" s="272" t="n">
        <v>8.5</v>
      </c>
      <c r="I20" s="269" t="n"/>
      <c r="J20" s="2617" t="n"/>
      <c r="K20" s="103" t="n"/>
      <c r="L20" s="103" t="n"/>
      <c r="M20" s="103" t="n"/>
      <c r="N20" s="103" t="n"/>
      <c r="O20" s="103" t="n"/>
      <c r="P20" s="103" t="n"/>
      <c r="Q20" s="103" t="n"/>
      <c r="R20" s="103" t="n"/>
      <c r="S20" s="103" t="n"/>
      <c r="T20" s="103" t="n"/>
      <c r="U20" s="103" t="n"/>
      <c r="V20" s="103" t="n"/>
      <c r="W20" s="103" t="n"/>
      <c r="X20" s="103" t="n"/>
      <c r="Y20" s="103" t="n"/>
      <c r="Z20" s="103" t="n"/>
      <c r="AA20" s="103" t="n"/>
      <c r="AB20" s="103" t="n"/>
      <c r="AC20" s="103" t="n"/>
      <c r="AD20" s="103" t="n"/>
      <c r="AE20" s="103" t="n"/>
      <c r="AF20" s="103" t="n"/>
      <c r="AG20" s="103" t="n"/>
      <c r="AH20" s="103" t="n"/>
      <c r="AI20" s="103" t="n"/>
      <c r="AJ20" s="103" t="n"/>
      <c r="AK20" s="103" t="n"/>
      <c r="AL20" s="103" t="n"/>
      <c r="AM20" s="103" t="n"/>
      <c r="AN20" s="103" t="n"/>
      <c r="AO20" s="103" t="n"/>
      <c r="AP20" s="103" t="n"/>
      <c r="AQ20" s="103" t="n"/>
      <c r="AR20" s="103" t="n"/>
      <c r="AS20" s="103" t="n"/>
      <c r="AT20" s="103" t="n"/>
      <c r="AU20" s="103" t="n"/>
      <c r="AV20" s="103" t="n"/>
      <c r="AW20" s="103" t="n"/>
      <c r="AX20" s="103" t="n"/>
      <c r="AY20" s="103" t="n"/>
    </row>
    <row r="21" ht="18.75" customFormat="1" customHeight="1" s="18">
      <c r="A21" s="103" t="n"/>
      <c r="B21" s="266" t="n">
        <v>3</v>
      </c>
      <c r="C21" s="270" t="inlineStr">
        <is>
          <t>Nievox</t>
        </is>
      </c>
      <c r="D21" s="2617" t="n"/>
      <c r="E21" s="270" t="inlineStr">
        <is>
          <t>3 wU</t>
        </is>
      </c>
      <c r="F21" s="2617" t="n"/>
      <c r="G21" s="271" t="n"/>
      <c r="H21" s="272" t="n">
        <v>5.79</v>
      </c>
      <c r="I21" s="269" t="n"/>
      <c r="J21" s="2617" t="n"/>
      <c r="K21" s="103" t="n"/>
      <c r="L21" s="103" t="n"/>
      <c r="M21" s="103" t="n"/>
      <c r="N21" s="103" t="n"/>
      <c r="O21" s="103" t="n"/>
      <c r="P21" s="103" t="n"/>
      <c r="Q21" s="103" t="n"/>
      <c r="R21" s="103" t="n"/>
      <c r="S21" s="103" t="n"/>
      <c r="T21" s="103" t="n"/>
      <c r="U21" s="103" t="n"/>
      <c r="V21" s="103" t="n"/>
      <c r="W21" s="103" t="n"/>
      <c r="X21" s="103" t="n"/>
      <c r="Y21" s="103" t="n"/>
      <c r="Z21" s="103" t="n"/>
      <c r="AA21" s="103" t="n"/>
      <c r="AB21" s="103" t="n"/>
      <c r="AC21" s="103" t="n"/>
      <c r="AD21" s="103" t="n"/>
      <c r="AE21" s="103" t="n"/>
      <c r="AF21" s="103" t="n"/>
      <c r="AG21" s="103" t="n"/>
      <c r="AH21" s="103" t="n"/>
      <c r="AI21" s="103" t="n"/>
      <c r="AJ21" s="103" t="n"/>
      <c r="AK21" s="103" t="n"/>
      <c r="AL21" s="103" t="n"/>
      <c r="AM21" s="103" t="n"/>
      <c r="AN21" s="103" t="n"/>
      <c r="AO21" s="103" t="n"/>
      <c r="AP21" s="103" t="n"/>
      <c r="AQ21" s="103" t="n"/>
      <c r="AR21" s="103" t="n"/>
      <c r="AS21" s="103" t="n"/>
      <c r="AT21" s="103" t="n"/>
      <c r="AU21" s="103" t="n"/>
      <c r="AV21" s="103" t="n"/>
      <c r="AW21" s="103" t="n"/>
      <c r="AX21" s="103" t="n"/>
      <c r="AY21" s="103" t="n"/>
    </row>
    <row r="22" ht="18.75" customFormat="1" customHeight="1" s="18">
      <c r="A22" s="103" t="n"/>
      <c r="B22" s="266" t="n">
        <v>4</v>
      </c>
      <c r="C22" s="270" t="inlineStr">
        <is>
          <t>Ab¨vb¨</t>
        </is>
      </c>
      <c r="D22" s="2617" t="n"/>
      <c r="E22" s="270" t="inlineStr">
        <is>
          <t>K…wl m¤ú`</t>
        </is>
      </c>
      <c r="F22" s="2617" t="n"/>
      <c r="G22" s="271" t="n"/>
      <c r="H22" s="272" t="n">
        <v>11.6</v>
      </c>
      <c r="I22" s="269" t="n"/>
      <c r="J22" s="2617" t="n"/>
      <c r="K22" s="103" t="n"/>
      <c r="L22" s="103" t="n"/>
      <c r="M22" s="103" t="n"/>
      <c r="N22" s="103" t="n"/>
      <c r="O22" s="103" t="n"/>
      <c r="P22" s="103" t="n"/>
      <c r="Q22" s="103" t="n"/>
      <c r="R22" s="103" t="n"/>
      <c r="S22" s="103" t="n"/>
      <c r="T22" s="103" t="n"/>
      <c r="U22" s="103" t="n"/>
      <c r="V22" s="103" t="n"/>
      <c r="W22" s="103" t="n"/>
      <c r="X22" s="103" t="n"/>
      <c r="Y22" s="103" t="n"/>
      <c r="Z22" s="103" t="n"/>
      <c r="AA22" s="103" t="n"/>
      <c r="AB22" s="103" t="n"/>
      <c r="AC22" s="103" t="n"/>
      <c r="AD22" s="103" t="n"/>
      <c r="AE22" s="103" t="n"/>
      <c r="AF22" s="103" t="n"/>
      <c r="AG22" s="103" t="n"/>
      <c r="AH22" s="103" t="n"/>
      <c r="AI22" s="103" t="n"/>
      <c r="AJ22" s="103" t="n"/>
      <c r="AK22" s="103" t="n"/>
      <c r="AL22" s="103" t="n"/>
      <c r="AM22" s="103" t="n"/>
      <c r="AN22" s="103" t="n"/>
      <c r="AO22" s="103" t="n"/>
      <c r="AP22" s="103" t="n"/>
      <c r="AQ22" s="103" t="n"/>
      <c r="AR22" s="103" t="n"/>
      <c r="AS22" s="103" t="n"/>
      <c r="AT22" s="103" t="n"/>
      <c r="AU22" s="103" t="n"/>
      <c r="AV22" s="103" t="n"/>
      <c r="AW22" s="103" t="n"/>
      <c r="AX22" s="103" t="n"/>
      <c r="AY22" s="103" t="n"/>
    </row>
    <row r="23" ht="18.75" customHeight="1">
      <c r="A23" s="64" t="n"/>
      <c r="B23" s="262" t="inlineStr">
        <is>
          <t>‡gvUt</t>
        </is>
      </c>
      <c r="C23" s="2614" t="n"/>
      <c r="D23" s="2617" t="n"/>
      <c r="E23" s="1057" t="n"/>
      <c r="F23" s="2617" t="n"/>
      <c r="G23" s="278" t="n"/>
      <c r="H23" s="269">
        <f>SUM(H19:H22)</f>
        <v/>
      </c>
      <c r="I23" s="269" t="n"/>
      <c r="J23" s="2617" t="n"/>
      <c r="K23" s="64" t="n"/>
      <c r="L23" s="64" t="n"/>
      <c r="M23" s="64" t="n"/>
      <c r="N23" s="103" t="n"/>
      <c r="O23" s="103" t="n"/>
      <c r="P23" s="103" t="n"/>
      <c r="Q23" s="103" t="n"/>
      <c r="R23" s="103" t="n"/>
      <c r="S23" s="103" t="n"/>
      <c r="T23" s="103" t="n"/>
      <c r="U23" s="103" t="n"/>
      <c r="V23" s="103" t="n"/>
      <c r="W23" s="103" t="n"/>
      <c r="X23" s="103" t="n"/>
      <c r="Y23" s="103" t="n"/>
      <c r="Z23" s="103" t="n"/>
      <c r="AA23" s="103" t="n"/>
      <c r="AB23" s="103" t="n"/>
      <c r="AC23" s="103" t="n"/>
      <c r="AD23" s="103" t="n"/>
      <c r="AE23" s="103" t="n"/>
      <c r="AF23" s="103" t="n"/>
      <c r="AG23" s="103" t="n"/>
      <c r="AH23" s="103" t="n"/>
      <c r="AI23" s="103" t="n"/>
      <c r="AJ23" s="103" t="n"/>
      <c r="AK23" s="103" t="n"/>
      <c r="AL23" s="103" t="n"/>
      <c r="AM23" s="103" t="n"/>
      <c r="AN23" s="103" t="n"/>
      <c r="AO23" s="103" t="n"/>
      <c r="AP23" s="103" t="n"/>
      <c r="AQ23" s="103" t="n"/>
      <c r="AR23" s="103" t="n"/>
      <c r="AS23" s="103" t="n"/>
      <c r="AT23" s="103" t="n"/>
      <c r="AU23" s="64" t="n"/>
      <c r="AV23" s="64" t="n"/>
      <c r="AW23" s="64" t="n"/>
      <c r="AX23" s="64" t="n"/>
      <c r="AY23" s="103" t="n"/>
    </row>
    <row r="24" ht="27.75" customHeight="1">
      <c r="A24" s="64" t="n"/>
      <c r="B24" s="281" t="n"/>
      <c r="C24" s="282" t="n"/>
      <c r="D24" s="282" t="n"/>
      <c r="E24" s="282" t="n"/>
      <c r="F24" s="282" t="n"/>
      <c r="G24" s="283" t="n"/>
      <c r="H24" s="284" t="n"/>
      <c r="I24" s="282" t="n"/>
      <c r="J24" s="64" t="n"/>
      <c r="K24" s="64" t="n"/>
      <c r="L24" s="64" t="n"/>
      <c r="M24" s="64" t="n"/>
      <c r="N24" s="103" t="n"/>
      <c r="O24" s="103" t="n"/>
      <c r="P24" s="103" t="n"/>
      <c r="Q24" s="103" t="n"/>
      <c r="R24" s="103" t="n"/>
      <c r="S24" s="103" t="n"/>
      <c r="T24" s="103" t="n"/>
      <c r="U24" s="103" t="n"/>
      <c r="V24" s="103" t="n"/>
      <c r="W24" s="103" t="n"/>
      <c r="X24" s="103" t="n"/>
      <c r="Y24" s="103" t="n"/>
      <c r="Z24" s="103" t="n"/>
      <c r="AA24" s="103" t="n"/>
      <c r="AB24" s="103" t="n"/>
      <c r="AC24" s="103" t="n"/>
      <c r="AD24" s="103" t="n"/>
      <c r="AE24" s="103" t="n"/>
      <c r="AF24" s="103" t="n"/>
      <c r="AG24" s="103" t="n"/>
      <c r="AH24" s="103" t="n"/>
      <c r="AI24" s="103" t="n"/>
      <c r="AJ24" s="103" t="n"/>
      <c r="AK24" s="103" t="n"/>
      <c r="AL24" s="103" t="n"/>
      <c r="AM24" s="103" t="n"/>
      <c r="AN24" s="103" t="n"/>
      <c r="AO24" s="103" t="n"/>
      <c r="AP24" s="103" t="n"/>
      <c r="AQ24" s="103" t="n"/>
      <c r="AR24" s="103" t="n"/>
      <c r="AS24" s="103" t="n"/>
      <c r="AT24" s="103" t="n"/>
      <c r="AU24" s="64" t="n"/>
      <c r="AV24" s="64" t="n"/>
      <c r="AW24" s="64" t="n"/>
      <c r="AX24" s="64" t="n"/>
      <c r="AY24" s="103" t="n"/>
    </row>
    <row r="25" ht="18.75" customHeight="1">
      <c r="A25" s="64" t="n"/>
      <c r="B25" s="258" t="inlineStr">
        <is>
          <t>(L) `vqt</t>
        </is>
      </c>
      <c r="C25" s="295" t="n"/>
      <c r="D25" s="295" t="n"/>
      <c r="E25" s="295" t="n"/>
      <c r="F25" s="282" t="n"/>
      <c r="G25" s="283" t="n"/>
      <c r="H25" s="284" t="n"/>
      <c r="I25" s="243" t="inlineStr">
        <is>
          <t>(jÿ UvKvq)</t>
        </is>
      </c>
      <c r="K25" s="64" t="n"/>
      <c r="L25" s="64" t="n"/>
      <c r="M25" s="64" t="n"/>
      <c r="N25" s="103" t="n"/>
      <c r="O25" s="103" t="n"/>
      <c r="P25" s="103" t="n"/>
      <c r="Q25" s="103" t="n"/>
      <c r="R25" s="103" t="n"/>
      <c r="S25" s="103" t="n"/>
      <c r="T25" s="103" t="n"/>
      <c r="U25" s="103" t="n"/>
      <c r="V25" s="103" t="n"/>
      <c r="W25" s="103" t="n"/>
      <c r="X25" s="103" t="n"/>
      <c r="Y25" s="103" t="n"/>
      <c r="Z25" s="103" t="n"/>
      <c r="AA25" s="103" t="n"/>
      <c r="AB25" s="103" t="n"/>
      <c r="AC25" s="103" t="n"/>
      <c r="AD25" s="103" t="n"/>
      <c r="AE25" s="103" t="n"/>
      <c r="AF25" s="103" t="n"/>
      <c r="AG25" s="103" t="n"/>
      <c r="AH25" s="103" t="n"/>
      <c r="AI25" s="103" t="n"/>
      <c r="AJ25" s="103" t="n"/>
      <c r="AK25" s="103" t="n"/>
      <c r="AL25" s="103" t="n"/>
      <c r="AM25" s="103" t="n"/>
      <c r="AN25" s="103" t="n"/>
      <c r="AO25" s="103" t="n"/>
      <c r="AP25" s="103" t="n"/>
      <c r="AQ25" s="103" t="n"/>
      <c r="AR25" s="103" t="n"/>
      <c r="AS25" s="103" t="n"/>
      <c r="AT25" s="103" t="n"/>
      <c r="AU25" s="64" t="n"/>
      <c r="AV25" s="64" t="n"/>
      <c r="AW25" s="64" t="n"/>
      <c r="AX25" s="64" t="n"/>
      <c r="AY25" s="103" t="n"/>
    </row>
    <row r="26" ht="16.5" customHeight="1">
      <c r="A26" s="64" t="n"/>
      <c r="B26" s="262" t="inlineStr">
        <is>
          <t>µt bs</t>
        </is>
      </c>
      <c r="C26" s="263" t="inlineStr">
        <is>
          <t>FY`vbKvix cÖwZôv‡bi bvg</t>
        </is>
      </c>
      <c r="D26" s="2614" t="n"/>
      <c r="E26" s="2617" t="n"/>
      <c r="F26" s="263" t="inlineStr">
        <is>
          <t>F‡Yi cÖK…wZ/weeiY</t>
        </is>
      </c>
      <c r="G26" s="2617" t="n"/>
      <c r="H26" s="265" t="inlineStr">
        <is>
          <t>UvKvi cwigvb</t>
        </is>
      </c>
      <c r="I26" s="286" t="n"/>
      <c r="J26" s="2617" t="n"/>
      <c r="K26" s="64" t="n"/>
      <c r="L26" s="64" t="n"/>
      <c r="M26" s="64" t="n"/>
      <c r="N26" s="103" t="n"/>
      <c r="O26" s="103" t="n"/>
      <c r="P26" s="103" t="n"/>
      <c r="Q26" s="103" t="n"/>
      <c r="R26" s="103" t="n"/>
      <c r="S26" s="103" t="n"/>
      <c r="T26" s="103" t="n"/>
      <c r="U26" s="103" t="n"/>
      <c r="V26" s="103" t="n"/>
      <c r="W26" s="103" t="n"/>
      <c r="X26" s="103" t="n"/>
      <c r="Y26" s="103" t="n"/>
      <c r="Z26" s="103" t="n"/>
      <c r="AA26" s="103" t="n"/>
      <c r="AB26" s="103" t="n"/>
      <c r="AC26" s="103" t="n"/>
      <c r="AD26" s="103" t="n"/>
      <c r="AE26" s="103" t="n"/>
      <c r="AF26" s="103" t="n"/>
      <c r="AG26" s="103" t="n"/>
      <c r="AH26" s="103" t="n"/>
      <c r="AI26" s="103" t="n"/>
      <c r="AJ26" s="103" t="n"/>
      <c r="AK26" s="103" t="n"/>
      <c r="AL26" s="103" t="n"/>
      <c r="AM26" s="103" t="n"/>
      <c r="AN26" s="103" t="n"/>
      <c r="AO26" s="103" t="n"/>
      <c r="AP26" s="103" t="n"/>
      <c r="AQ26" s="103" t="n"/>
      <c r="AR26" s="103" t="n"/>
      <c r="AS26" s="103" t="n"/>
      <c r="AT26" s="103" t="n"/>
      <c r="AU26" s="64" t="n"/>
      <c r="AV26" s="64" t="n"/>
      <c r="AW26" s="64" t="n"/>
      <c r="AX26" s="64" t="n"/>
      <c r="AY26" s="103" t="n"/>
    </row>
    <row r="27" ht="16.5" customHeight="1">
      <c r="A27" s="64" t="n"/>
      <c r="B27" s="266" t="n">
        <v>1</v>
      </c>
      <c r="C27" s="287" t="inlineStr">
        <is>
          <t>we‡Kwe,cyivcvov evRvi kvLv,dwi`cyi</t>
        </is>
      </c>
      <c r="D27" s="2614" t="n"/>
      <c r="E27" s="2617" t="n"/>
      <c r="F27" s="287" t="inlineStr">
        <is>
          <t>FY</t>
        </is>
      </c>
      <c r="G27" s="2617" t="n"/>
      <c r="H27" s="289">
        <f>+'Nobayon Form-LF-58'!AG30</f>
        <v/>
      </c>
      <c r="I27" s="286" t="n"/>
      <c r="J27" s="2617" t="n"/>
      <c r="K27" s="64" t="n"/>
      <c r="L27" s="295" t="inlineStr">
        <is>
          <t>আগে এল.এফ 58</t>
        </is>
      </c>
      <c r="M27" s="64" t="n"/>
      <c r="N27" s="103" t="n"/>
      <c r="O27" s="103" t="n"/>
      <c r="P27" s="103" t="n"/>
      <c r="Q27" s="103" t="n"/>
      <c r="R27" s="103" t="n"/>
      <c r="S27" s="103" t="n"/>
      <c r="T27" s="103" t="n"/>
      <c r="U27" s="103" t="n"/>
      <c r="V27" s="103" t="n"/>
      <c r="W27" s="103" t="n"/>
      <c r="X27" s="103" t="n"/>
      <c r="Y27" s="103" t="n"/>
      <c r="Z27" s="103" t="n"/>
      <c r="AA27" s="103" t="n"/>
      <c r="AB27" s="103" t="n"/>
      <c r="AC27" s="103" t="n"/>
      <c r="AD27" s="103" t="n"/>
      <c r="AE27" s="103" t="n"/>
      <c r="AF27" s="103" t="n"/>
      <c r="AG27" s="103" t="n"/>
      <c r="AH27" s="103" t="n"/>
      <c r="AI27" s="103" t="n"/>
      <c r="AJ27" s="103" t="n"/>
      <c r="AK27" s="103" t="n"/>
      <c r="AL27" s="103" t="n"/>
      <c r="AM27" s="103" t="n"/>
      <c r="AN27" s="103" t="n"/>
      <c r="AO27" s="103" t="n"/>
      <c r="AP27" s="103" t="n"/>
      <c r="AQ27" s="103" t="n"/>
      <c r="AR27" s="103" t="n"/>
      <c r="AS27" s="103" t="n"/>
      <c r="AT27" s="103" t="n"/>
      <c r="AU27" s="64" t="n"/>
      <c r="AV27" s="64" t="n"/>
      <c r="AW27" s="64" t="n"/>
      <c r="AX27" s="64" t="n"/>
      <c r="AY27" s="103" t="n"/>
    </row>
    <row r="28" ht="18.75" customHeight="1">
      <c r="A28" s="64" t="n"/>
      <c r="B28" s="266" t="n">
        <v>2</v>
      </c>
      <c r="C28" s="287" t="inlineStr">
        <is>
          <t>Ab¨vb¨ `vq</t>
        </is>
      </c>
      <c r="D28" s="2614" t="n"/>
      <c r="E28" s="2617" t="n"/>
      <c r="F28" s="287" t="inlineStr">
        <is>
          <t>e¨emvwqK</t>
        </is>
      </c>
      <c r="G28" s="2617" t="n"/>
      <c r="H28" s="289" t="n">
        <v>18.32</v>
      </c>
      <c r="I28" s="286" t="n"/>
      <c r="J28" s="2617" t="n"/>
      <c r="K28" s="64" t="n"/>
      <c r="L28" s="64" t="n"/>
      <c r="M28" s="64" t="n"/>
      <c r="N28" s="103" t="n"/>
      <c r="O28" s="103" t="n"/>
      <c r="P28" s="103" t="n"/>
      <c r="Q28" s="103" t="n"/>
      <c r="R28" s="103" t="n"/>
      <c r="S28" s="103" t="n"/>
      <c r="T28" s="103" t="n"/>
      <c r="U28" s="103" t="n"/>
      <c r="V28" s="103" t="n"/>
      <c r="W28" s="103" t="n"/>
      <c r="X28" s="103" t="n"/>
      <c r="Y28" s="103" t="n"/>
      <c r="Z28" s="103" t="n"/>
      <c r="AA28" s="103" t="n"/>
      <c r="AB28" s="103" t="n"/>
      <c r="AC28" s="103" t="n"/>
      <c r="AD28" s="103" t="n"/>
      <c r="AE28" s="103" t="n"/>
      <c r="AF28" s="103" t="n"/>
      <c r="AG28" s="103" t="n"/>
      <c r="AH28" s="103" t="n"/>
      <c r="AI28" s="103" t="n"/>
      <c r="AJ28" s="103" t="n"/>
      <c r="AK28" s="103" t="n"/>
      <c r="AL28" s="103" t="n"/>
      <c r="AM28" s="103" t="n"/>
      <c r="AN28" s="103" t="n"/>
      <c r="AO28" s="103" t="n"/>
      <c r="AP28" s="103" t="n"/>
      <c r="AQ28" s="103" t="n"/>
      <c r="AR28" s="103" t="n"/>
      <c r="AS28" s="103" t="n"/>
      <c r="AT28" s="103" t="n"/>
      <c r="AU28" s="64" t="n"/>
      <c r="AV28" s="64" t="n"/>
      <c r="AW28" s="64" t="n"/>
      <c r="AX28" s="64" t="n"/>
      <c r="AY28" s="103" t="n"/>
    </row>
    <row r="29" ht="18.75" customHeight="1">
      <c r="A29" s="64" t="n"/>
      <c r="B29" s="290" t="n"/>
      <c r="C29" s="287" t="n"/>
      <c r="D29" s="2614" t="n"/>
      <c r="E29" s="2617" t="n"/>
      <c r="F29" s="287" t="n"/>
      <c r="G29" s="2617" t="n"/>
      <c r="H29" s="289" t="n"/>
      <c r="I29" s="286" t="n"/>
      <c r="J29" s="2617" t="n"/>
      <c r="K29" s="64" t="n"/>
      <c r="L29" s="64" t="n"/>
      <c r="M29" s="64" t="n"/>
      <c r="N29" s="103" t="n"/>
      <c r="O29" s="103" t="n"/>
      <c r="P29" s="103" t="n"/>
      <c r="Q29" s="103" t="n"/>
      <c r="R29" s="103" t="n"/>
      <c r="S29" s="103" t="n"/>
      <c r="T29" s="103" t="n"/>
      <c r="U29" s="103" t="n"/>
      <c r="V29" s="103" t="n"/>
      <c r="W29" s="103" t="n"/>
      <c r="X29" s="103" t="n"/>
      <c r="Y29" s="103" t="n"/>
      <c r="Z29" s="103" t="n"/>
      <c r="AA29" s="103" t="n"/>
      <c r="AB29" s="103" t="n"/>
      <c r="AC29" s="103" t="n"/>
      <c r="AD29" s="103" t="n"/>
      <c r="AE29" s="103" t="n"/>
      <c r="AF29" s="103" t="n"/>
      <c r="AG29" s="103" t="n"/>
      <c r="AH29" s="103" t="n"/>
      <c r="AI29" s="103" t="n"/>
      <c r="AJ29" s="103" t="n"/>
      <c r="AK29" s="103" t="n"/>
      <c r="AL29" s="103" t="n"/>
      <c r="AM29" s="103" t="n"/>
      <c r="AN29" s="103" t="n"/>
      <c r="AO29" s="103" t="n"/>
      <c r="AP29" s="103" t="n"/>
      <c r="AQ29" s="103" t="n"/>
      <c r="AR29" s="103" t="n"/>
      <c r="AS29" s="103" t="n"/>
      <c r="AT29" s="103" t="n"/>
      <c r="AU29" s="64" t="n"/>
      <c r="AV29" s="64" t="n"/>
      <c r="AW29" s="64" t="n"/>
      <c r="AX29" s="64" t="n"/>
      <c r="AY29" s="103" t="n"/>
    </row>
    <row r="30" ht="18.75" customHeight="1">
      <c r="A30" s="64" t="n"/>
      <c r="B30" s="262" t="inlineStr">
        <is>
          <t>‡gvUt</t>
        </is>
      </c>
      <c r="C30" s="2614" t="n"/>
      <c r="D30" s="2614" t="n"/>
      <c r="E30" s="2617" t="n"/>
      <c r="F30" s="286" t="n"/>
      <c r="G30" s="2617" t="n"/>
      <c r="H30" s="265">
        <f>SUM(H27:H29)</f>
        <v/>
      </c>
      <c r="I30" s="286" t="n"/>
      <c r="J30" s="2617" t="n"/>
      <c r="K30" s="64" t="n"/>
      <c r="L30" s="64" t="n"/>
      <c r="M30" s="64" t="n"/>
      <c r="N30" s="103" t="n"/>
      <c r="O30" s="103" t="n"/>
      <c r="P30" s="103" t="n"/>
      <c r="Q30" s="103" t="n"/>
      <c r="R30" s="103" t="n"/>
      <c r="S30" s="103" t="n"/>
      <c r="T30" s="103" t="n"/>
      <c r="U30" s="103" t="n"/>
      <c r="V30" s="103" t="n"/>
      <c r="W30" s="103" t="n"/>
      <c r="X30" s="103" t="n"/>
      <c r="Y30" s="103" t="n"/>
      <c r="Z30" s="103" t="n"/>
      <c r="AA30" s="103" t="n"/>
      <c r="AB30" s="103" t="n"/>
      <c r="AC30" s="103" t="n"/>
      <c r="AD30" s="103" t="n"/>
      <c r="AE30" s="103" t="n"/>
      <c r="AF30" s="103" t="n"/>
      <c r="AG30" s="103" t="n"/>
      <c r="AH30" s="103" t="n"/>
      <c r="AI30" s="103" t="n"/>
      <c r="AJ30" s="103" t="n"/>
      <c r="AK30" s="103" t="n"/>
      <c r="AL30" s="103" t="n"/>
      <c r="AM30" s="103" t="n"/>
      <c r="AN30" s="103" t="n"/>
      <c r="AO30" s="103" t="n"/>
      <c r="AP30" s="103" t="n"/>
      <c r="AQ30" s="103" t="n"/>
      <c r="AR30" s="103" t="n"/>
      <c r="AS30" s="103" t="n"/>
      <c r="AT30" s="103" t="n"/>
      <c r="AU30" s="64" t="n"/>
      <c r="AV30" s="64" t="n"/>
      <c r="AW30" s="64" t="n"/>
      <c r="AX30" s="64" t="n"/>
      <c r="AY30" s="103" t="n"/>
    </row>
    <row r="31" ht="24" customHeight="1">
      <c r="A31" s="64" t="n"/>
      <c r="B31" s="136" t="n"/>
      <c r="C31" s="76" t="n"/>
      <c r="D31" s="64" t="n"/>
      <c r="E31" s="64" t="n"/>
      <c r="F31" s="64" t="n"/>
      <c r="G31" s="292" t="n"/>
      <c r="H31" s="293" t="n"/>
      <c r="I31" s="294" t="n"/>
      <c r="J31" s="294" t="n"/>
      <c r="K31" s="64" t="n"/>
      <c r="L31" s="64" t="n"/>
      <c r="M31" s="64" t="n"/>
      <c r="N31" s="103" t="n"/>
      <c r="O31" s="103" t="n"/>
      <c r="P31" s="103" t="n"/>
      <c r="Q31" s="103" t="n"/>
      <c r="R31" s="103" t="n"/>
      <c r="S31" s="103" t="n"/>
      <c r="T31" s="103" t="n"/>
      <c r="U31" s="103" t="n"/>
      <c r="V31" s="103" t="n"/>
      <c r="W31" s="103" t="n"/>
      <c r="X31" s="103" t="n"/>
      <c r="Y31" s="103" t="n"/>
      <c r="Z31" s="103" t="n"/>
      <c r="AA31" s="103" t="n"/>
      <c r="AB31" s="103" t="n"/>
      <c r="AC31" s="103" t="n"/>
      <c r="AD31" s="103" t="n"/>
      <c r="AE31" s="103" t="n"/>
      <c r="AF31" s="103" t="n"/>
      <c r="AG31" s="103" t="n"/>
      <c r="AH31" s="103" t="n"/>
      <c r="AI31" s="103" t="n"/>
      <c r="AJ31" s="103" t="n"/>
      <c r="AK31" s="103" t="n"/>
      <c r="AL31" s="103" t="n"/>
      <c r="AM31" s="103" t="n"/>
      <c r="AN31" s="103" t="n"/>
      <c r="AO31" s="103" t="n"/>
      <c r="AP31" s="103" t="n"/>
      <c r="AQ31" s="103" t="n"/>
      <c r="AR31" s="103" t="n"/>
      <c r="AS31" s="103" t="n"/>
      <c r="AT31" s="103" t="n"/>
      <c r="AU31" s="64" t="n"/>
      <c r="AV31" s="64" t="n"/>
      <c r="AW31" s="64" t="n"/>
      <c r="AX31" s="64" t="n"/>
      <c r="AY31" s="103" t="n"/>
    </row>
    <row r="32" ht="18.75" customHeight="1">
      <c r="A32" s="64" t="n"/>
      <c r="B32" s="258" t="inlineStr">
        <is>
          <t>(M) bxU m¤ú` (K - L)t</t>
        </is>
      </c>
      <c r="C32" s="64" t="n"/>
      <c r="D32" s="295" t="n"/>
      <c r="E32" s="295">
        <f>TEXT(H23-H30,"00.00")&amp;"  jÿ UvKv gvÎ|"</f>
        <v/>
      </c>
      <c r="F32" s="295" t="n"/>
      <c r="G32" s="296" t="n"/>
      <c r="H32" s="297" t="n"/>
      <c r="I32" s="295" t="n"/>
      <c r="J32" s="64" t="n"/>
      <c r="K32" s="64" t="n"/>
      <c r="L32" s="64" t="n"/>
      <c r="M32" s="64" t="n"/>
      <c r="N32" s="103" t="n"/>
      <c r="O32" s="103" t="n"/>
      <c r="P32" s="103" t="n"/>
      <c r="Q32" s="103" t="n"/>
      <c r="R32" s="103" t="n"/>
      <c r="S32" s="103" t="n"/>
      <c r="T32" s="103" t="n"/>
      <c r="U32" s="103" t="n"/>
      <c r="V32" s="103" t="n"/>
      <c r="W32" s="103" t="n"/>
      <c r="X32" s="103" t="n"/>
      <c r="Y32" s="103" t="n"/>
      <c r="Z32" s="103" t="n"/>
      <c r="AA32" s="103" t="n"/>
      <c r="AB32" s="103" t="n"/>
      <c r="AC32" s="103" t="n"/>
      <c r="AD32" s="103" t="n"/>
      <c r="AE32" s="103" t="n"/>
      <c r="AF32" s="103" t="n"/>
      <c r="AG32" s="103" t="n"/>
      <c r="AH32" s="103" t="n"/>
      <c r="AI32" s="103" t="n"/>
      <c r="AJ32" s="103" t="n"/>
      <c r="AK32" s="103" t="n"/>
      <c r="AL32" s="103" t="n"/>
      <c r="AM32" s="103" t="n"/>
      <c r="AN32" s="103" t="n"/>
      <c r="AO32" s="103" t="n"/>
      <c r="AP32" s="103" t="n"/>
      <c r="AQ32" s="103" t="n"/>
      <c r="AR32" s="103" t="n"/>
      <c r="AS32" s="103" t="n"/>
      <c r="AT32" s="103" t="n"/>
      <c r="AU32" s="64" t="n"/>
      <c r="AV32" s="64" t="n"/>
      <c r="AW32" s="64" t="n"/>
      <c r="AX32" s="64" t="n"/>
      <c r="AY32" s="103" t="n"/>
    </row>
    <row r="33" ht="24" customHeight="1">
      <c r="A33" s="64" t="n"/>
      <c r="B33" s="111" t="n"/>
      <c r="C33" s="64" t="n"/>
      <c r="D33" s="64" t="n"/>
      <c r="E33" s="614" t="n"/>
      <c r="F33" s="614" t="n"/>
      <c r="G33" s="292" t="n"/>
      <c r="H33" s="293" t="n"/>
      <c r="I33" s="614" t="n"/>
      <c r="J33" s="64" t="n"/>
      <c r="K33" s="64" t="n"/>
      <c r="L33" s="64" t="n"/>
      <c r="M33" s="64" t="n"/>
      <c r="N33" s="103" t="n"/>
      <c r="O33" s="103" t="n"/>
      <c r="P33" s="103" t="n"/>
      <c r="Q33" s="103" t="n"/>
      <c r="R33" s="103" t="n"/>
      <c r="S33" s="103" t="n"/>
      <c r="T33" s="103" t="n"/>
      <c r="U33" s="103" t="n"/>
      <c r="V33" s="103" t="n"/>
      <c r="W33" s="103" t="n"/>
      <c r="X33" s="103" t="n"/>
      <c r="Y33" s="103" t="n"/>
      <c r="Z33" s="103" t="n"/>
      <c r="AA33" s="103" t="n"/>
      <c r="AB33" s="103" t="n"/>
      <c r="AC33" s="103" t="n"/>
      <c r="AD33" s="103" t="n"/>
      <c r="AE33" s="103" t="n"/>
      <c r="AF33" s="103" t="n"/>
      <c r="AG33" s="103" t="n"/>
      <c r="AH33" s="103" t="n"/>
      <c r="AI33" s="103" t="n"/>
      <c r="AJ33" s="103" t="n"/>
      <c r="AK33" s="103" t="n"/>
      <c r="AL33" s="103" t="n"/>
      <c r="AM33" s="103" t="n"/>
      <c r="AN33" s="103" t="n"/>
      <c r="AO33" s="103" t="n"/>
      <c r="AP33" s="103" t="n"/>
      <c r="AQ33" s="103" t="n"/>
      <c r="AR33" s="103" t="n"/>
      <c r="AS33" s="103" t="n"/>
      <c r="AT33" s="103" t="n"/>
      <c r="AU33" s="64" t="n"/>
      <c r="AV33" s="64" t="n"/>
      <c r="AW33" s="64" t="n"/>
      <c r="AX33" s="64" t="n"/>
      <c r="AY33" s="103" t="n"/>
    </row>
    <row r="34" ht="15.75" customHeight="1">
      <c r="A34" s="64" t="n"/>
      <c r="B34" s="111" t="inlineStr">
        <is>
          <t>Avwg AviI †NvlYv KiwQ Dc‡iv³ Z_¨vejx mwVK I wbf©yj|</t>
        </is>
      </c>
      <c r="C34" s="64" t="n"/>
      <c r="D34" s="64" t="n"/>
      <c r="E34" s="614" t="n"/>
      <c r="F34" s="614" t="n"/>
      <c r="G34" s="292" t="n"/>
      <c r="H34" s="293" t="n"/>
      <c r="I34" s="614" t="n"/>
      <c r="J34" s="64" t="n"/>
      <c r="K34" s="64" t="n"/>
      <c r="L34" s="64" t="n"/>
      <c r="M34" s="64" t="n"/>
      <c r="N34" s="103" t="n"/>
      <c r="O34" s="103" t="n"/>
      <c r="P34" s="103" t="n"/>
      <c r="Q34" s="103" t="n"/>
      <c r="R34" s="103" t="n"/>
      <c r="S34" s="103" t="n"/>
      <c r="T34" s="103" t="n"/>
      <c r="U34" s="103" t="n"/>
      <c r="V34" s="103" t="n"/>
      <c r="W34" s="103" t="n"/>
      <c r="X34" s="103" t="n"/>
      <c r="Y34" s="103" t="n"/>
      <c r="Z34" s="103" t="n"/>
      <c r="AA34" s="103" t="n"/>
      <c r="AB34" s="103" t="n"/>
      <c r="AC34" s="103" t="n"/>
      <c r="AD34" s="103" t="n"/>
      <c r="AE34" s="103" t="n"/>
      <c r="AF34" s="103" t="n"/>
      <c r="AG34" s="103" t="n"/>
      <c r="AH34" s="103" t="n"/>
      <c r="AI34" s="103" t="n"/>
      <c r="AJ34" s="103" t="n"/>
      <c r="AK34" s="103" t="n"/>
      <c r="AL34" s="103" t="n"/>
      <c r="AM34" s="103" t="n"/>
      <c r="AN34" s="103" t="n"/>
      <c r="AO34" s="103" t="n"/>
      <c r="AP34" s="103" t="n"/>
      <c r="AQ34" s="103" t="n"/>
      <c r="AR34" s="103" t="n"/>
      <c r="AS34" s="103" t="n"/>
      <c r="AT34" s="103" t="n"/>
      <c r="AU34" s="64" t="n"/>
      <c r="AV34" s="64" t="n"/>
      <c r="AW34" s="64" t="n"/>
      <c r="AX34" s="64" t="n"/>
      <c r="AY34" s="103" t="n"/>
    </row>
    <row r="35" ht="15.75" customHeight="1">
      <c r="A35" s="64" t="n"/>
      <c r="B35" s="136" t="n"/>
      <c r="C35" s="64" t="n"/>
      <c r="D35" s="64" t="n"/>
      <c r="E35" s="614" t="n"/>
      <c r="F35" s="614" t="n"/>
      <c r="G35" s="292" t="n"/>
      <c r="H35" s="293" t="n"/>
      <c r="I35" s="614" t="n"/>
      <c r="J35" s="64" t="n"/>
      <c r="K35" s="64" t="n"/>
      <c r="L35" s="64" t="n"/>
      <c r="M35" s="64" t="n"/>
      <c r="N35" s="103" t="n"/>
      <c r="O35" s="103" t="n"/>
      <c r="P35" s="103" t="n"/>
      <c r="Q35" s="103" t="n"/>
      <c r="R35" s="103" t="n"/>
      <c r="S35" s="103" t="n"/>
      <c r="T35" s="103" t="n"/>
      <c r="U35" s="103" t="n"/>
      <c r="V35" s="103" t="n"/>
      <c r="W35" s="103" t="n"/>
      <c r="X35" s="103" t="n"/>
      <c r="Y35" s="103" t="n"/>
      <c r="Z35" s="103" t="n"/>
      <c r="AA35" s="103" t="n"/>
      <c r="AB35" s="103" t="n"/>
      <c r="AC35" s="103" t="n"/>
      <c r="AD35" s="103" t="n"/>
      <c r="AE35" s="103" t="n"/>
      <c r="AF35" s="103" t="n"/>
      <c r="AG35" s="103" t="n"/>
      <c r="AH35" s="103" t="n"/>
      <c r="AI35" s="103" t="n"/>
      <c r="AJ35" s="103" t="n"/>
      <c r="AK35" s="103" t="n"/>
      <c r="AL35" s="103" t="n"/>
      <c r="AM35" s="103" t="n"/>
      <c r="AN35" s="103" t="n"/>
      <c r="AO35" s="103" t="n"/>
      <c r="AP35" s="103" t="n"/>
      <c r="AQ35" s="103" t="n"/>
      <c r="AR35" s="103" t="n"/>
      <c r="AS35" s="103" t="n"/>
      <c r="AT35" s="103" t="n"/>
      <c r="AU35" s="64" t="n"/>
      <c r="AV35" s="64" t="n"/>
      <c r="AW35" s="64" t="n"/>
      <c r="AX35" s="64" t="n"/>
      <c r="AY35" s="103" t="n"/>
    </row>
    <row r="36" ht="36.75" customHeight="1">
      <c r="A36" s="64" t="n"/>
      <c r="B36" s="136" t="n"/>
      <c r="C36" s="64" t="n"/>
      <c r="D36" s="64" t="n"/>
      <c r="E36" s="64" t="n"/>
      <c r="F36" s="64" t="n"/>
      <c r="G36" s="307" t="n"/>
      <c r="H36" s="308" t="n"/>
      <c r="I36" s="64" t="n"/>
      <c r="J36" s="64" t="n"/>
      <c r="K36" s="64" t="n"/>
      <c r="L36" s="64" t="n"/>
      <c r="M36" s="64" t="n"/>
      <c r="N36" s="103" t="n"/>
      <c r="O36" s="103" t="n"/>
      <c r="P36" s="103" t="n"/>
      <c r="Q36" s="103" t="n"/>
      <c r="R36" s="103" t="n"/>
      <c r="S36" s="103" t="n"/>
      <c r="T36" s="103" t="n"/>
      <c r="U36" s="103" t="n"/>
      <c r="V36" s="103" t="n"/>
      <c r="W36" s="103" t="n"/>
      <c r="X36" s="103" t="n"/>
      <c r="Y36" s="103" t="n"/>
      <c r="Z36" s="103" t="n"/>
      <c r="AA36" s="103" t="n"/>
      <c r="AB36" s="103" t="n"/>
      <c r="AC36" s="103" t="n"/>
      <c r="AD36" s="103" t="n"/>
      <c r="AE36" s="103" t="n"/>
      <c r="AF36" s="103" t="n"/>
      <c r="AG36" s="103" t="n"/>
      <c r="AH36" s="103" t="n"/>
      <c r="AI36" s="103" t="n"/>
      <c r="AJ36" s="103" t="n"/>
      <c r="AK36" s="103" t="n"/>
      <c r="AL36" s="103" t="n"/>
      <c r="AM36" s="103" t="n"/>
      <c r="AN36" s="103" t="n"/>
      <c r="AO36" s="103" t="n"/>
      <c r="AP36" s="103" t="n"/>
      <c r="AQ36" s="103" t="n"/>
      <c r="AR36" s="103" t="n"/>
      <c r="AS36" s="103" t="n"/>
      <c r="AT36" s="103" t="n"/>
      <c r="AU36" s="64" t="n"/>
      <c r="AV36" s="64" t="n"/>
      <c r="AW36" s="64" t="n"/>
      <c r="AX36" s="64" t="n"/>
      <c r="AY36" s="103" t="n"/>
    </row>
    <row r="37" ht="26.25" customHeight="1">
      <c r="A37" s="64" t="n"/>
      <c r="B37" s="136" t="n"/>
      <c r="C37" s="64" t="n"/>
      <c r="D37" s="64" t="n"/>
      <c r="E37" s="64" t="n"/>
      <c r="F37" s="64" t="n"/>
      <c r="G37" s="307" t="n"/>
      <c r="H37" s="308" t="n"/>
      <c r="I37" s="64" t="n"/>
      <c r="J37" s="64" t="n"/>
      <c r="K37" s="64" t="n"/>
      <c r="L37" s="64" t="n"/>
      <c r="M37" s="64" t="n"/>
      <c r="N37" s="103" t="n"/>
      <c r="O37" s="103" t="n"/>
      <c r="P37" s="103" t="n"/>
      <c r="Q37" s="103" t="n"/>
      <c r="R37" s="103" t="n"/>
      <c r="S37" s="103" t="n"/>
      <c r="T37" s="103" t="n"/>
      <c r="U37" s="103" t="n"/>
      <c r="V37" s="103" t="n"/>
      <c r="W37" s="103" t="n"/>
      <c r="X37" s="103" t="n"/>
      <c r="Y37" s="103" t="n"/>
      <c r="Z37" s="103" t="n"/>
      <c r="AA37" s="103" t="n"/>
      <c r="AB37" s="103" t="n"/>
      <c r="AC37" s="103" t="n"/>
      <c r="AD37" s="103" t="n"/>
      <c r="AE37" s="103" t="n"/>
      <c r="AF37" s="103" t="n"/>
      <c r="AG37" s="103" t="n"/>
      <c r="AH37" s="103" t="n"/>
      <c r="AI37" s="103" t="n"/>
      <c r="AJ37" s="103" t="n"/>
      <c r="AK37" s="103" t="n"/>
      <c r="AL37" s="103" t="n"/>
      <c r="AM37" s="103" t="n"/>
      <c r="AN37" s="103" t="n"/>
      <c r="AO37" s="103" t="n"/>
      <c r="AP37" s="103" t="n"/>
      <c r="AQ37" s="103" t="n"/>
      <c r="AR37" s="103" t="n"/>
      <c r="AS37" s="103" t="n"/>
      <c r="AT37" s="103" t="n"/>
      <c r="AU37" s="64" t="n"/>
      <c r="AV37" s="64" t="n"/>
      <c r="AW37" s="64" t="n"/>
      <c r="AX37" s="64" t="n"/>
      <c r="AY37" s="103" t="n"/>
    </row>
    <row r="38" ht="15.75" customFormat="1" customHeight="1" s="18">
      <c r="A38" s="103" t="n"/>
      <c r="B38" s="224" t="n"/>
      <c r="D38" s="103" t="n"/>
      <c r="E38" s="222" t="n"/>
      <c r="H38" s="301" t="n"/>
      <c r="K38" s="103" t="n"/>
      <c r="L38" s="103" t="n"/>
      <c r="M38" s="103" t="n"/>
      <c r="N38" s="103" t="n"/>
      <c r="O38" s="103" t="n"/>
      <c r="P38" s="103" t="n"/>
      <c r="Q38" s="103" t="n"/>
      <c r="R38" s="103" t="n"/>
      <c r="S38" s="103" t="n"/>
      <c r="T38" s="103" t="n"/>
      <c r="U38" s="103" t="n"/>
      <c r="V38" s="103" t="n"/>
      <c r="W38" s="103" t="n"/>
      <c r="X38" s="103" t="n"/>
      <c r="Y38" s="103" t="n"/>
      <c r="Z38" s="103" t="n"/>
      <c r="AA38" s="103" t="n"/>
      <c r="AB38" s="103" t="n"/>
      <c r="AC38" s="103" t="n"/>
      <c r="AD38" s="103" t="n"/>
      <c r="AE38" s="103" t="n"/>
      <c r="AF38" s="103" t="n"/>
      <c r="AG38" s="103" t="n"/>
      <c r="AH38" s="103" t="n"/>
      <c r="AI38" s="103" t="n"/>
      <c r="AJ38" s="103" t="n"/>
      <c r="AK38" s="103" t="n"/>
      <c r="AL38" s="103" t="n"/>
      <c r="AM38" s="103" t="n"/>
      <c r="AN38" s="103" t="n"/>
      <c r="AO38" s="103" t="n"/>
      <c r="AP38" s="103" t="n"/>
      <c r="AQ38" s="103" t="n"/>
      <c r="AR38" s="103" t="n"/>
      <c r="AS38" s="103" t="n"/>
      <c r="AT38" s="103" t="n"/>
      <c r="AU38" s="103" t="n"/>
      <c r="AV38" s="103" t="n"/>
      <c r="AW38" s="103" t="n"/>
      <c r="AX38" s="103" t="n"/>
      <c r="AY38" s="103" t="n"/>
    </row>
    <row r="39" ht="15.75" customHeight="1">
      <c r="A39" s="219" t="inlineStr">
        <is>
          <t>¯^Z¡vwaKvix</t>
        </is>
      </c>
      <c r="D39" s="219" t="n"/>
      <c r="E39" s="219" t="inlineStr">
        <is>
          <t>Kg©KZ©v</t>
        </is>
      </c>
      <c r="G39" s="303" t="n"/>
      <c r="H39" s="304" t="inlineStr">
        <is>
          <t>e¨e¯’vcK</t>
        </is>
      </c>
      <c r="K39" s="1964" t="n"/>
      <c r="L39" s="64" t="n"/>
      <c r="M39" s="64" t="n"/>
      <c r="N39" s="103" t="n"/>
      <c r="O39" s="103" t="n"/>
      <c r="P39" s="103" t="n"/>
      <c r="Q39" s="103" t="n"/>
      <c r="R39" s="103" t="n"/>
      <c r="S39" s="103" t="n"/>
      <c r="T39" s="103" t="n"/>
      <c r="U39" s="103" t="n"/>
      <c r="V39" s="103" t="n"/>
      <c r="W39" s="103" t="n"/>
      <c r="X39" s="103" t="n"/>
      <c r="Y39" s="103" t="n"/>
      <c r="Z39" s="103" t="n"/>
      <c r="AA39" s="103" t="n"/>
      <c r="AB39" s="103" t="n"/>
      <c r="AC39" s="103" t="n"/>
      <c r="AD39" s="103" t="n"/>
      <c r="AE39" s="103" t="n"/>
      <c r="AF39" s="103" t="n"/>
      <c r="AG39" s="103" t="n"/>
      <c r="AH39" s="103" t="n"/>
      <c r="AI39" s="103" t="n"/>
      <c r="AJ39" s="103" t="n"/>
      <c r="AK39" s="103" t="n"/>
      <c r="AL39" s="103" t="n"/>
      <c r="AM39" s="103" t="n"/>
      <c r="AN39" s="103" t="n"/>
      <c r="AO39" s="103" t="n"/>
      <c r="AP39" s="103" t="n"/>
      <c r="AQ39" s="103" t="n"/>
      <c r="AR39" s="103" t="n"/>
      <c r="AS39" s="103" t="n"/>
      <c r="AT39" s="103" t="n"/>
      <c r="AU39" s="64" t="n"/>
      <c r="AV39" s="64" t="n"/>
      <c r="AW39" s="64" t="n"/>
      <c r="AX39" s="64" t="n"/>
      <c r="AY39" s="103" t="n"/>
    </row>
    <row r="40" ht="15.75" customHeight="1">
      <c r="A40" s="219">
        <f>+'Data Input'!D8</f>
        <v/>
      </c>
      <c r="D40" s="219" t="n"/>
      <c r="E40" s="219" t="inlineStr">
        <is>
          <t>evsjv‡`k K…wl e¨vsK</t>
        </is>
      </c>
      <c r="G40" s="303" t="n"/>
      <c r="H40" s="304" t="inlineStr">
        <is>
          <t>evsjv‡`k K…wl e¨vsK</t>
        </is>
      </c>
      <c r="K40" s="1964" t="n"/>
      <c r="L40" s="64" t="n"/>
      <c r="M40" s="64" t="n"/>
      <c r="N40" s="103" t="n"/>
      <c r="O40" s="103" t="n"/>
      <c r="P40" s="103" t="n"/>
      <c r="Q40" s="103" t="n"/>
      <c r="R40" s="103" t="n"/>
      <c r="S40" s="103" t="n"/>
      <c r="T40" s="103" t="n"/>
      <c r="U40" s="103" t="n"/>
      <c r="V40" s="103" t="n"/>
      <c r="W40" s="103" t="n"/>
      <c r="X40" s="103" t="n"/>
      <c r="Y40" s="103" t="n"/>
      <c r="Z40" s="103" t="n"/>
      <c r="AA40" s="103" t="n"/>
      <c r="AB40" s="103" t="n"/>
      <c r="AC40" s="103" t="n"/>
      <c r="AD40" s="103" t="n"/>
      <c r="AE40" s="103" t="n"/>
      <c r="AF40" s="103" t="n"/>
      <c r="AG40" s="103" t="n"/>
      <c r="AH40" s="103" t="n"/>
      <c r="AI40" s="103" t="n"/>
      <c r="AJ40" s="103" t="n"/>
      <c r="AK40" s="103" t="n"/>
      <c r="AL40" s="103" t="n"/>
      <c r="AM40" s="103" t="n"/>
      <c r="AN40" s="103" t="n"/>
      <c r="AO40" s="103" t="n"/>
      <c r="AP40" s="103" t="n"/>
      <c r="AQ40" s="103" t="n"/>
      <c r="AR40" s="103" t="n"/>
      <c r="AS40" s="103" t="n"/>
      <c r="AT40" s="103" t="n"/>
      <c r="AU40" s="64" t="n"/>
      <c r="AV40" s="64" t="n"/>
      <c r="AW40" s="64" t="n"/>
      <c r="AX40" s="64" t="n"/>
      <c r="AY40" s="103" t="n"/>
    </row>
    <row r="41" ht="15.75" customHeight="1">
      <c r="A41" s="603" t="n"/>
      <c r="D41" s="219" t="n"/>
      <c r="E41" s="219">
        <f>+'Data Input'!$D$2</f>
        <v/>
      </c>
      <c r="G41" s="303" t="n"/>
      <c r="H41" s="304">
        <f>+'Data Input'!$D$2</f>
        <v/>
      </c>
      <c r="K41" s="1964" t="n"/>
      <c r="L41" s="64" t="n"/>
      <c r="M41" s="64" t="n"/>
      <c r="N41" s="103" t="n"/>
      <c r="O41" s="103" t="n"/>
      <c r="P41" s="103" t="n"/>
      <c r="Q41" s="103" t="n"/>
      <c r="R41" s="103" t="n"/>
      <c r="S41" s="103" t="n"/>
      <c r="T41" s="103" t="n"/>
      <c r="U41" s="103" t="n"/>
      <c r="V41" s="103" t="n"/>
      <c r="W41" s="103" t="n"/>
      <c r="X41" s="103" t="n"/>
      <c r="Y41" s="103" t="n"/>
      <c r="Z41" s="103" t="n"/>
      <c r="AA41" s="103" t="n"/>
      <c r="AB41" s="103" t="n"/>
      <c r="AC41" s="103" t="n"/>
      <c r="AD41" s="103" t="n"/>
      <c r="AE41" s="103" t="n"/>
      <c r="AF41" s="103" t="n"/>
      <c r="AG41" s="103" t="n"/>
      <c r="AH41" s="103" t="n"/>
      <c r="AI41" s="103" t="n"/>
      <c r="AJ41" s="103" t="n"/>
      <c r="AK41" s="103" t="n"/>
      <c r="AL41" s="103" t="n"/>
      <c r="AM41" s="103" t="n"/>
      <c r="AN41" s="103" t="n"/>
      <c r="AO41" s="103" t="n"/>
      <c r="AP41" s="103" t="n"/>
      <c r="AQ41" s="103" t="n"/>
      <c r="AR41" s="103" t="n"/>
      <c r="AS41" s="103" t="n"/>
      <c r="AT41" s="103" t="n"/>
      <c r="AU41" s="64" t="n"/>
      <c r="AV41" s="64" t="n"/>
      <c r="AW41" s="64" t="n"/>
      <c r="AX41" s="64" t="n"/>
      <c r="AY41" s="103" t="n"/>
    </row>
    <row r="42" ht="19.5" customHeight="1">
      <c r="A42" s="603" t="n"/>
      <c r="D42" s="64" t="n"/>
      <c r="E42" s="64" t="n"/>
      <c r="F42" s="64" t="n"/>
      <c r="G42" s="307" t="n"/>
      <c r="H42" s="308" t="n"/>
      <c r="I42" s="64" t="n"/>
      <c r="J42" s="64" t="n"/>
      <c r="K42" s="64" t="n"/>
      <c r="L42" s="64" t="n"/>
      <c r="M42" s="64" t="n"/>
      <c r="N42" s="103" t="n"/>
      <c r="O42" s="103" t="n"/>
      <c r="P42" s="103" t="n"/>
      <c r="Q42" s="103" t="n"/>
      <c r="R42" s="103" t="n"/>
      <c r="S42" s="103" t="n"/>
      <c r="T42" s="103" t="n"/>
      <c r="U42" s="103" t="n"/>
      <c r="V42" s="103" t="n"/>
      <c r="W42" s="103" t="n"/>
      <c r="X42" s="103" t="n"/>
      <c r="Y42" s="103" t="n"/>
      <c r="Z42" s="103" t="n"/>
      <c r="AA42" s="103" t="n"/>
      <c r="AB42" s="103" t="n"/>
      <c r="AC42" s="103" t="n"/>
      <c r="AD42" s="103" t="n"/>
      <c r="AE42" s="103" t="n"/>
      <c r="AF42" s="103" t="n"/>
      <c r="AG42" s="103" t="n"/>
      <c r="AH42" s="103" t="n"/>
      <c r="AI42" s="103" t="n"/>
      <c r="AJ42" s="103" t="n"/>
      <c r="AK42" s="103" t="n"/>
      <c r="AL42" s="103" t="n"/>
      <c r="AM42" s="103" t="n"/>
      <c r="AN42" s="103" t="n"/>
      <c r="AO42" s="103" t="n"/>
      <c r="AP42" s="103" t="n"/>
      <c r="AQ42" s="103" t="n"/>
      <c r="AR42" s="103" t="n"/>
      <c r="AS42" s="103" t="n"/>
      <c r="AT42" s="103" t="n"/>
      <c r="AU42" s="64" t="n"/>
      <c r="AV42" s="64" t="n"/>
      <c r="AW42" s="64" t="n"/>
      <c r="AX42" s="64" t="n"/>
      <c r="AY42" s="103" t="n"/>
    </row>
    <row r="43" ht="19.5" customHeight="1">
      <c r="A43" s="64" t="n"/>
      <c r="B43" s="136" t="n"/>
      <c r="C43" s="64" t="n"/>
      <c r="D43" s="64" t="n"/>
      <c r="E43" s="64" t="n"/>
      <c r="F43" s="64" t="n"/>
      <c r="G43" s="307" t="n"/>
      <c r="H43" s="308" t="n"/>
      <c r="I43" s="64" t="n"/>
      <c r="J43" s="64" t="n"/>
      <c r="K43" s="64" t="n"/>
      <c r="L43" s="64" t="n"/>
      <c r="M43" s="64" t="n"/>
      <c r="N43" s="103" t="n"/>
      <c r="O43" s="103" t="n"/>
      <c r="P43" s="103" t="n"/>
      <c r="Q43" s="103" t="n"/>
      <c r="R43" s="103" t="n"/>
      <c r="S43" s="103" t="n"/>
      <c r="T43" s="103" t="n"/>
      <c r="U43" s="103" t="n"/>
      <c r="V43" s="103" t="n"/>
      <c r="W43" s="103" t="n"/>
      <c r="X43" s="103" t="n"/>
      <c r="Y43" s="103" t="n"/>
      <c r="Z43" s="103" t="n"/>
      <c r="AA43" s="103" t="n"/>
      <c r="AB43" s="103" t="n"/>
      <c r="AC43" s="103" t="n"/>
      <c r="AD43" s="103" t="n"/>
      <c r="AE43" s="103" t="n"/>
      <c r="AF43" s="103" t="n"/>
      <c r="AG43" s="103" t="n"/>
      <c r="AH43" s="103" t="n"/>
      <c r="AI43" s="103" t="n"/>
      <c r="AJ43" s="103" t="n"/>
      <c r="AK43" s="103" t="n"/>
      <c r="AL43" s="103" t="n"/>
      <c r="AM43" s="103" t="n"/>
      <c r="AN43" s="103" t="n"/>
      <c r="AO43" s="103" t="n"/>
      <c r="AP43" s="103" t="n"/>
      <c r="AQ43" s="103" t="n"/>
      <c r="AR43" s="103" t="n"/>
      <c r="AS43" s="103" t="n"/>
      <c r="AT43" s="103" t="n"/>
      <c r="AU43" s="64" t="n"/>
      <c r="AV43" s="64" t="n"/>
      <c r="AW43" s="64" t="n"/>
      <c r="AX43" s="64" t="n"/>
      <c r="AY43" s="103" t="n"/>
    </row>
    <row r="44" ht="19.5" customHeight="1">
      <c r="A44" s="64" t="n"/>
      <c r="B44" s="136" t="n"/>
      <c r="C44" s="64" t="n"/>
      <c r="D44" s="64" t="n"/>
      <c r="E44" s="64" t="n"/>
      <c r="F44" s="64" t="n"/>
      <c r="G44" s="307" t="n"/>
      <c r="H44" s="308" t="n"/>
      <c r="I44" s="64" t="n"/>
      <c r="J44" s="64" t="n"/>
      <c r="K44" s="64" t="n"/>
      <c r="L44" s="64" t="n"/>
      <c r="M44" s="64" t="n"/>
      <c r="N44" s="103" t="n"/>
      <c r="O44" s="103" t="n"/>
      <c r="P44" s="103" t="n"/>
      <c r="Q44" s="103" t="n"/>
      <c r="R44" s="103" t="n"/>
      <c r="S44" s="103" t="n"/>
      <c r="T44" s="103" t="n"/>
      <c r="U44" s="103" t="n"/>
      <c r="V44" s="103" t="n"/>
      <c r="W44" s="103" t="n"/>
      <c r="X44" s="103" t="n"/>
      <c r="Y44" s="103" t="n"/>
      <c r="Z44" s="103" t="n"/>
      <c r="AA44" s="103" t="n"/>
      <c r="AB44" s="103" t="n"/>
      <c r="AC44" s="103" t="n"/>
      <c r="AD44" s="103" t="n"/>
      <c r="AE44" s="103" t="n"/>
      <c r="AF44" s="103" t="n"/>
      <c r="AG44" s="103" t="n"/>
      <c r="AH44" s="103" t="n"/>
      <c r="AI44" s="103" t="n"/>
      <c r="AJ44" s="103" t="n"/>
      <c r="AK44" s="103" t="n"/>
      <c r="AL44" s="103" t="n"/>
      <c r="AM44" s="103" t="n"/>
      <c r="AN44" s="103" t="n"/>
      <c r="AO44" s="103" t="n"/>
      <c r="AP44" s="103" t="n"/>
      <c r="AQ44" s="103" t="n"/>
      <c r="AR44" s="103" t="n"/>
      <c r="AS44" s="103" t="n"/>
      <c r="AT44" s="103" t="n"/>
      <c r="AU44" s="64" t="n"/>
      <c r="AV44" s="64" t="n"/>
      <c r="AW44" s="64" t="n"/>
      <c r="AX44" s="64" t="n"/>
      <c r="AY44" s="103" t="n"/>
    </row>
    <row r="45" ht="19.5" customHeight="1">
      <c r="A45" s="64" t="n"/>
      <c r="B45" s="136" t="n"/>
      <c r="C45" s="64" t="n"/>
      <c r="D45" s="64" t="n"/>
      <c r="E45" s="64" t="n"/>
      <c r="F45" s="64" t="n"/>
      <c r="G45" s="307" t="n"/>
      <c r="H45" s="308" t="n"/>
      <c r="I45" s="64" t="n"/>
      <c r="J45" s="64" t="n"/>
      <c r="K45" s="64" t="n"/>
      <c r="L45" s="64" t="n"/>
      <c r="M45" s="64" t="n"/>
      <c r="N45" s="103" t="n"/>
      <c r="O45" s="103" t="n"/>
      <c r="P45" s="103" t="n"/>
      <c r="Q45" s="103" t="n"/>
      <c r="R45" s="103" t="n"/>
      <c r="S45" s="103" t="n"/>
      <c r="T45" s="103" t="n"/>
      <c r="U45" s="103" t="n"/>
      <c r="V45" s="103" t="n"/>
      <c r="W45" s="103" t="n"/>
      <c r="X45" s="103" t="n"/>
      <c r="Y45" s="103" t="n"/>
      <c r="Z45" s="103" t="n"/>
      <c r="AA45" s="103" t="n"/>
      <c r="AB45" s="103" t="n"/>
      <c r="AC45" s="103" t="n"/>
      <c r="AD45" s="103" t="n"/>
      <c r="AE45" s="103" t="n"/>
      <c r="AF45" s="103" t="n"/>
      <c r="AG45" s="103" t="n"/>
      <c r="AH45" s="103" t="n"/>
      <c r="AI45" s="103" t="n"/>
      <c r="AJ45" s="103" t="n"/>
      <c r="AK45" s="103" t="n"/>
      <c r="AL45" s="103" t="n"/>
      <c r="AM45" s="103" t="n"/>
      <c r="AN45" s="103" t="n"/>
      <c r="AO45" s="103" t="n"/>
      <c r="AP45" s="103" t="n"/>
      <c r="AQ45" s="103" t="n"/>
      <c r="AR45" s="103" t="n"/>
      <c r="AS45" s="103" t="n"/>
      <c r="AT45" s="103" t="n"/>
      <c r="AU45" s="64" t="n"/>
      <c r="AV45" s="64" t="n"/>
      <c r="AW45" s="64" t="n"/>
      <c r="AX45" s="64" t="n"/>
      <c r="AY45" s="103" t="n"/>
    </row>
    <row r="46" ht="19.5" customHeight="1">
      <c r="A46" s="64" t="n"/>
      <c r="B46" s="136" t="n"/>
      <c r="C46" s="64" t="n"/>
      <c r="D46" s="64" t="n"/>
      <c r="E46" s="64" t="n"/>
      <c r="F46" s="64" t="n"/>
      <c r="G46" s="307" t="n"/>
      <c r="H46" s="308" t="n"/>
      <c r="I46" s="64" t="n"/>
      <c r="J46" s="64" t="n"/>
      <c r="K46" s="64" t="n"/>
      <c r="L46" s="64" t="n"/>
      <c r="M46" s="64" t="n"/>
      <c r="N46" s="103" t="n"/>
      <c r="O46" s="103" t="n"/>
      <c r="P46" s="103" t="n"/>
      <c r="Q46" s="103" t="n"/>
      <c r="R46" s="103" t="n"/>
      <c r="S46" s="103" t="n"/>
      <c r="T46" s="103" t="n"/>
      <c r="U46" s="103" t="n"/>
      <c r="V46" s="103" t="n"/>
      <c r="W46" s="103" t="n"/>
      <c r="X46" s="103" t="n"/>
      <c r="Y46" s="103" t="n"/>
      <c r="Z46" s="103" t="n"/>
      <c r="AA46" s="103" t="n"/>
      <c r="AB46" s="103" t="n"/>
      <c r="AC46" s="103" t="n"/>
      <c r="AD46" s="103" t="n"/>
      <c r="AE46" s="103" t="n"/>
      <c r="AF46" s="103" t="n"/>
      <c r="AG46" s="103" t="n"/>
      <c r="AH46" s="103" t="n"/>
      <c r="AI46" s="103" t="n"/>
      <c r="AJ46" s="103" t="n"/>
      <c r="AK46" s="103" t="n"/>
      <c r="AL46" s="103" t="n"/>
      <c r="AM46" s="103" t="n"/>
      <c r="AN46" s="103" t="n"/>
      <c r="AO46" s="103" t="n"/>
      <c r="AP46" s="103" t="n"/>
      <c r="AQ46" s="103" t="n"/>
      <c r="AR46" s="103" t="n"/>
      <c r="AS46" s="103" t="n"/>
      <c r="AT46" s="103" t="n"/>
      <c r="AU46" s="64" t="n"/>
      <c r="AV46" s="64" t="n"/>
      <c r="AW46" s="64" t="n"/>
      <c r="AX46" s="64" t="n"/>
      <c r="AY46" s="103" t="n"/>
    </row>
    <row r="47" ht="19.5" customHeight="1">
      <c r="A47" s="64" t="n"/>
      <c r="B47" s="136" t="n"/>
      <c r="C47" s="64" t="n"/>
      <c r="D47" s="64" t="n"/>
      <c r="E47" s="64" t="n"/>
      <c r="F47" s="64" t="n"/>
      <c r="G47" s="307" t="n"/>
      <c r="H47" s="308" t="n"/>
      <c r="I47" s="64" t="n"/>
      <c r="J47" s="64" t="n"/>
      <c r="K47" s="64" t="n"/>
      <c r="L47" s="64" t="n"/>
      <c r="M47" s="64" t="n"/>
      <c r="N47" s="103" t="n"/>
      <c r="O47" s="103" t="n"/>
      <c r="P47" s="103" t="n"/>
      <c r="Q47" s="103" t="n"/>
      <c r="R47" s="103" t="n"/>
      <c r="S47" s="103" t="n"/>
      <c r="T47" s="103" t="n"/>
      <c r="U47" s="103" t="n"/>
      <c r="V47" s="103" t="n"/>
      <c r="W47" s="103" t="n"/>
      <c r="X47" s="103" t="n"/>
      <c r="Y47" s="103" t="n"/>
      <c r="Z47" s="103" t="n"/>
      <c r="AA47" s="103" t="n"/>
      <c r="AB47" s="103" t="n"/>
      <c r="AC47" s="103" t="n"/>
      <c r="AD47" s="103" t="n"/>
      <c r="AE47" s="103" t="n"/>
      <c r="AF47" s="103" t="n"/>
      <c r="AG47" s="103" t="n"/>
      <c r="AH47" s="103" t="n"/>
      <c r="AI47" s="103" t="n"/>
      <c r="AJ47" s="103" t="n"/>
      <c r="AK47" s="103" t="n"/>
      <c r="AL47" s="103" t="n"/>
      <c r="AM47" s="103" t="n"/>
      <c r="AN47" s="103" t="n"/>
      <c r="AO47" s="103" t="n"/>
      <c r="AP47" s="103" t="n"/>
      <c r="AQ47" s="103" t="n"/>
      <c r="AR47" s="103" t="n"/>
      <c r="AS47" s="103" t="n"/>
      <c r="AT47" s="103" t="n"/>
      <c r="AU47" s="64" t="n"/>
      <c r="AV47" s="64" t="n"/>
      <c r="AW47" s="64" t="n"/>
      <c r="AX47" s="64" t="n"/>
      <c r="AY47" s="103" t="n"/>
    </row>
    <row r="48" ht="19.5" customHeight="1">
      <c r="A48" s="64" t="n"/>
      <c r="B48" s="136" t="n"/>
      <c r="C48" s="64" t="n"/>
      <c r="D48" s="64" t="n"/>
      <c r="E48" s="64" t="n"/>
      <c r="F48" s="64" t="n"/>
      <c r="G48" s="307" t="n"/>
      <c r="H48" s="308" t="n"/>
      <c r="I48" s="64" t="n"/>
      <c r="J48" s="64" t="n"/>
      <c r="K48" s="64" t="n"/>
      <c r="L48" s="64" t="n"/>
      <c r="M48" s="64" t="n"/>
      <c r="N48" s="103" t="n"/>
      <c r="O48" s="103" t="n"/>
      <c r="P48" s="103" t="n"/>
      <c r="Q48" s="103" t="n"/>
      <c r="R48" s="103" t="n"/>
      <c r="S48" s="103" t="n"/>
      <c r="T48" s="103" t="n"/>
      <c r="U48" s="103" t="n"/>
      <c r="V48" s="103" t="n"/>
      <c r="W48" s="103" t="n"/>
      <c r="X48" s="103" t="n"/>
      <c r="Y48" s="103" t="n"/>
      <c r="Z48" s="103" t="n"/>
      <c r="AA48" s="103" t="n"/>
      <c r="AB48" s="103" t="n"/>
      <c r="AC48" s="103" t="n"/>
      <c r="AD48" s="103" t="n"/>
      <c r="AE48" s="103" t="n"/>
      <c r="AF48" s="103" t="n"/>
      <c r="AG48" s="103" t="n"/>
      <c r="AH48" s="103" t="n"/>
      <c r="AI48" s="103" t="n"/>
      <c r="AJ48" s="103" t="n"/>
      <c r="AK48" s="103" t="n"/>
      <c r="AL48" s="103" t="n"/>
      <c r="AM48" s="103" t="n"/>
      <c r="AN48" s="103" t="n"/>
      <c r="AO48" s="103" t="n"/>
      <c r="AP48" s="103" t="n"/>
      <c r="AQ48" s="103" t="n"/>
      <c r="AR48" s="103" t="n"/>
      <c r="AS48" s="103" t="n"/>
      <c r="AT48" s="103" t="n"/>
      <c r="AU48" s="64" t="n"/>
      <c r="AV48" s="64" t="n"/>
      <c r="AW48" s="64" t="n"/>
      <c r="AX48" s="64" t="n"/>
      <c r="AY48" s="103" t="n"/>
    </row>
    <row r="49" ht="19.5" customHeight="1">
      <c r="A49" s="64" t="n"/>
      <c r="B49" s="136" t="n"/>
      <c r="C49" s="64" t="n"/>
      <c r="D49" s="64" t="n"/>
      <c r="E49" s="64" t="n"/>
      <c r="F49" s="64" t="n"/>
      <c r="G49" s="307" t="n"/>
      <c r="H49" s="308" t="n"/>
      <c r="I49" s="64" t="n"/>
      <c r="J49" s="64" t="n"/>
      <c r="K49" s="64" t="n"/>
      <c r="L49" s="64" t="n"/>
      <c r="M49" s="64" t="n"/>
      <c r="N49" s="103" t="n"/>
      <c r="O49" s="103" t="n"/>
      <c r="P49" s="103" t="n"/>
      <c r="Q49" s="103" t="n"/>
      <c r="R49" s="103" t="n"/>
      <c r="S49" s="103" t="n"/>
      <c r="T49" s="103" t="n"/>
      <c r="U49" s="103" t="n"/>
      <c r="V49" s="103" t="n"/>
      <c r="W49" s="103" t="n"/>
      <c r="X49" s="103" t="n"/>
      <c r="Y49" s="103" t="n"/>
      <c r="Z49" s="103" t="n"/>
      <c r="AA49" s="103" t="n"/>
      <c r="AB49" s="103" t="n"/>
      <c r="AC49" s="103" t="n"/>
      <c r="AD49" s="103" t="n"/>
      <c r="AE49" s="103" t="n"/>
      <c r="AF49" s="103" t="n"/>
      <c r="AG49" s="103" t="n"/>
      <c r="AH49" s="103" t="n"/>
      <c r="AI49" s="103" t="n"/>
      <c r="AJ49" s="103" t="n"/>
      <c r="AK49" s="103" t="n"/>
      <c r="AL49" s="103" t="n"/>
      <c r="AM49" s="103" t="n"/>
      <c r="AN49" s="103" t="n"/>
      <c r="AO49" s="103" t="n"/>
      <c r="AP49" s="103" t="n"/>
      <c r="AQ49" s="103" t="n"/>
      <c r="AR49" s="103" t="n"/>
      <c r="AS49" s="103" t="n"/>
      <c r="AT49" s="103" t="n"/>
      <c r="AU49" s="64" t="n"/>
      <c r="AV49" s="64" t="n"/>
      <c r="AW49" s="64" t="n"/>
      <c r="AX49" s="64" t="n"/>
      <c r="AY49" s="103" t="n"/>
    </row>
    <row r="50" ht="19.5" customHeight="1">
      <c r="A50" s="64" t="n"/>
      <c r="B50" s="136" t="n"/>
      <c r="C50" s="64" t="n"/>
      <c r="D50" s="64" t="n"/>
      <c r="E50" s="64" t="n"/>
      <c r="F50" s="64" t="n"/>
      <c r="G50" s="307" t="n"/>
      <c r="H50" s="308" t="n"/>
      <c r="I50" s="64" t="n"/>
      <c r="J50" s="64" t="n"/>
      <c r="K50" s="64" t="n"/>
      <c r="L50" s="64" t="n"/>
      <c r="M50" s="64" t="n"/>
      <c r="N50" s="103" t="n"/>
      <c r="O50" s="103" t="n"/>
      <c r="P50" s="103" t="n"/>
      <c r="Q50" s="103" t="n"/>
      <c r="R50" s="103" t="n"/>
      <c r="S50" s="103" t="n"/>
      <c r="T50" s="103" t="n"/>
      <c r="U50" s="103" t="n"/>
      <c r="V50" s="103" t="n"/>
      <c r="W50" s="103" t="n"/>
      <c r="X50" s="103" t="n"/>
      <c r="Y50" s="103" t="n"/>
      <c r="Z50" s="103" t="n"/>
      <c r="AA50" s="103" t="n"/>
      <c r="AB50" s="103" t="n"/>
      <c r="AC50" s="103" t="n"/>
      <c r="AD50" s="103" t="n"/>
      <c r="AE50" s="103" t="n"/>
      <c r="AF50" s="103" t="n"/>
      <c r="AG50" s="103" t="n"/>
      <c r="AH50" s="103" t="n"/>
      <c r="AI50" s="103" t="n"/>
      <c r="AJ50" s="103" t="n"/>
      <c r="AK50" s="103" t="n"/>
      <c r="AL50" s="103" t="n"/>
      <c r="AM50" s="103" t="n"/>
      <c r="AN50" s="103" t="n"/>
      <c r="AO50" s="103" t="n"/>
      <c r="AP50" s="103" t="n"/>
      <c r="AQ50" s="103" t="n"/>
      <c r="AR50" s="103" t="n"/>
      <c r="AS50" s="103" t="n"/>
      <c r="AT50" s="103" t="n"/>
      <c r="AU50" s="64" t="n"/>
      <c r="AV50" s="64" t="n"/>
      <c r="AW50" s="64" t="n"/>
      <c r="AX50" s="64" t="n"/>
      <c r="AY50" s="103" t="n"/>
    </row>
    <row r="51" ht="19.5" customHeight="1">
      <c r="A51" s="64" t="n"/>
      <c r="B51" s="136" t="n"/>
      <c r="C51" s="64" t="n"/>
      <c r="D51" s="64" t="n"/>
      <c r="E51" s="64" t="n"/>
      <c r="F51" s="64" t="n"/>
      <c r="G51" s="307" t="n"/>
      <c r="H51" s="308" t="n"/>
      <c r="I51" s="64" t="n"/>
      <c r="J51" s="64" t="n"/>
      <c r="K51" s="64" t="n"/>
      <c r="L51" s="64" t="n"/>
      <c r="M51" s="64" t="n"/>
      <c r="N51" s="103" t="n"/>
      <c r="O51" s="103" t="n"/>
      <c r="P51" s="103" t="n"/>
      <c r="Q51" s="103" t="n"/>
      <c r="R51" s="103" t="n"/>
      <c r="S51" s="103" t="n"/>
      <c r="T51" s="103" t="n"/>
      <c r="U51" s="103" t="n"/>
      <c r="V51" s="103" t="n"/>
      <c r="W51" s="103" t="n"/>
      <c r="X51" s="103" t="n"/>
      <c r="Y51" s="103" t="n"/>
      <c r="Z51" s="103" t="n"/>
      <c r="AA51" s="103" t="n"/>
      <c r="AB51" s="103" t="n"/>
      <c r="AC51" s="103" t="n"/>
      <c r="AD51" s="103" t="n"/>
      <c r="AE51" s="103" t="n"/>
      <c r="AF51" s="103" t="n"/>
      <c r="AG51" s="103" t="n"/>
      <c r="AH51" s="103" t="n"/>
      <c r="AI51" s="103" t="n"/>
      <c r="AJ51" s="103" t="n"/>
      <c r="AK51" s="103" t="n"/>
      <c r="AL51" s="103" t="n"/>
      <c r="AM51" s="103" t="n"/>
      <c r="AN51" s="103" t="n"/>
      <c r="AO51" s="103" t="n"/>
      <c r="AP51" s="103" t="n"/>
      <c r="AQ51" s="103" t="n"/>
      <c r="AR51" s="103" t="n"/>
      <c r="AS51" s="103" t="n"/>
      <c r="AT51" s="103" t="n"/>
      <c r="AU51" s="64" t="n"/>
      <c r="AV51" s="64" t="n"/>
      <c r="AW51" s="64" t="n"/>
      <c r="AX51" s="64" t="n"/>
      <c r="AY51" s="103" t="n"/>
    </row>
    <row r="52" ht="19.5" customHeight="1">
      <c r="A52" s="64" t="n"/>
      <c r="B52" s="136" t="n"/>
      <c r="C52" s="64" t="n"/>
      <c r="D52" s="64" t="n"/>
      <c r="E52" s="64" t="n"/>
      <c r="F52" s="64" t="n"/>
      <c r="G52" s="307" t="n"/>
      <c r="H52" s="308" t="n"/>
      <c r="I52" s="64" t="n"/>
      <c r="J52" s="64" t="n"/>
      <c r="K52" s="64" t="n"/>
      <c r="L52" s="64" t="n"/>
      <c r="M52" s="64" t="n"/>
      <c r="N52" s="103" t="n"/>
      <c r="O52" s="103" t="n"/>
      <c r="P52" s="103" t="n"/>
      <c r="Q52" s="103" t="n"/>
      <c r="R52" s="103" t="n"/>
      <c r="S52" s="103" t="n"/>
      <c r="T52" s="103" t="n"/>
      <c r="U52" s="103" t="n"/>
      <c r="V52" s="103" t="n"/>
      <c r="W52" s="103" t="n"/>
      <c r="X52" s="103" t="n"/>
      <c r="Y52" s="103" t="n"/>
      <c r="Z52" s="103" t="n"/>
      <c r="AA52" s="103" t="n"/>
      <c r="AB52" s="103" t="n"/>
      <c r="AC52" s="103" t="n"/>
      <c r="AD52" s="103" t="n"/>
      <c r="AE52" s="103" t="n"/>
      <c r="AF52" s="103" t="n"/>
      <c r="AG52" s="103" t="n"/>
      <c r="AH52" s="103" t="n"/>
      <c r="AI52" s="103" t="n"/>
      <c r="AJ52" s="103" t="n"/>
      <c r="AK52" s="103" t="n"/>
      <c r="AL52" s="103" t="n"/>
      <c r="AM52" s="103" t="n"/>
      <c r="AN52" s="103" t="n"/>
      <c r="AO52" s="103" t="n"/>
      <c r="AP52" s="103" t="n"/>
      <c r="AQ52" s="103" t="n"/>
      <c r="AR52" s="103" t="n"/>
      <c r="AS52" s="103" t="n"/>
      <c r="AT52" s="103" t="n"/>
      <c r="AU52" s="64" t="n"/>
      <c r="AV52" s="64" t="n"/>
      <c r="AW52" s="64" t="n"/>
      <c r="AX52" s="64" t="n"/>
      <c r="AY52" s="103" t="n"/>
    </row>
    <row r="53" ht="19.5" customHeight="1">
      <c r="A53" s="64" t="n"/>
      <c r="B53" s="136" t="n"/>
      <c r="C53" s="64" t="n"/>
      <c r="D53" s="64" t="n"/>
      <c r="E53" s="64" t="n"/>
      <c r="F53" s="64" t="n"/>
      <c r="G53" s="307" t="n"/>
      <c r="H53" s="308" t="n"/>
      <c r="I53" s="64" t="n"/>
      <c r="J53" s="64" t="n"/>
      <c r="K53" s="64" t="n"/>
      <c r="L53" s="64" t="n"/>
      <c r="M53" s="64" t="n"/>
      <c r="N53" s="103" t="n"/>
      <c r="O53" s="103" t="n"/>
      <c r="P53" s="103" t="n"/>
      <c r="Q53" s="103" t="n"/>
      <c r="R53" s="103" t="n"/>
      <c r="S53" s="103" t="n"/>
      <c r="T53" s="103" t="n"/>
      <c r="U53" s="103" t="n"/>
      <c r="V53" s="103" t="n"/>
      <c r="W53" s="103" t="n"/>
      <c r="X53" s="103" t="n"/>
      <c r="Y53" s="103" t="n"/>
      <c r="Z53" s="103" t="n"/>
      <c r="AA53" s="103" t="n"/>
      <c r="AB53" s="103" t="n"/>
      <c r="AC53" s="103" t="n"/>
      <c r="AD53" s="103" t="n"/>
      <c r="AE53" s="103" t="n"/>
      <c r="AF53" s="103" t="n"/>
      <c r="AG53" s="103" t="n"/>
      <c r="AH53" s="103" t="n"/>
      <c r="AI53" s="103" t="n"/>
      <c r="AJ53" s="103" t="n"/>
      <c r="AK53" s="103" t="n"/>
      <c r="AL53" s="103" t="n"/>
      <c r="AM53" s="103" t="n"/>
      <c r="AN53" s="103" t="n"/>
      <c r="AO53" s="103" t="n"/>
      <c r="AP53" s="103" t="n"/>
      <c r="AQ53" s="103" t="n"/>
      <c r="AR53" s="103" t="n"/>
      <c r="AS53" s="103" t="n"/>
      <c r="AT53" s="103" t="n"/>
      <c r="AU53" s="64" t="n"/>
      <c r="AV53" s="64" t="n"/>
      <c r="AW53" s="64" t="n"/>
      <c r="AX53" s="64" t="n"/>
      <c r="AY53" s="103" t="n"/>
    </row>
    <row r="54" ht="19.5" customHeight="1">
      <c r="A54" s="64" t="n"/>
      <c r="B54" s="136" t="n"/>
      <c r="C54" s="64" t="n"/>
      <c r="D54" s="64" t="n"/>
      <c r="E54" s="64" t="n"/>
      <c r="F54" s="64" t="n"/>
      <c r="G54" s="307" t="n"/>
      <c r="H54" s="308" t="n"/>
      <c r="I54" s="64" t="n"/>
      <c r="J54" s="64" t="n"/>
      <c r="K54" s="64" t="n"/>
      <c r="L54" s="64" t="n"/>
      <c r="M54" s="64" t="n"/>
      <c r="N54" s="103" t="n"/>
      <c r="O54" s="103" t="n"/>
      <c r="P54" s="103" t="n"/>
      <c r="Q54" s="103" t="n"/>
      <c r="R54" s="103" t="n"/>
      <c r="S54" s="103" t="n"/>
      <c r="T54" s="103" t="n"/>
      <c r="U54" s="103" t="n"/>
      <c r="V54" s="103" t="n"/>
      <c r="W54" s="103" t="n"/>
      <c r="X54" s="103" t="n"/>
      <c r="Y54" s="103" t="n"/>
      <c r="Z54" s="103" t="n"/>
      <c r="AA54" s="103" t="n"/>
      <c r="AB54" s="103" t="n"/>
      <c r="AC54" s="103" t="n"/>
      <c r="AD54" s="103" t="n"/>
      <c r="AE54" s="103" t="n"/>
      <c r="AF54" s="103" t="n"/>
      <c r="AG54" s="103" t="n"/>
      <c r="AH54" s="103" t="n"/>
      <c r="AI54" s="103" t="n"/>
      <c r="AJ54" s="103" t="n"/>
      <c r="AK54" s="103" t="n"/>
      <c r="AL54" s="103" t="n"/>
      <c r="AM54" s="103" t="n"/>
      <c r="AN54" s="103" t="n"/>
      <c r="AO54" s="103" t="n"/>
      <c r="AP54" s="103" t="n"/>
      <c r="AQ54" s="103" t="n"/>
      <c r="AR54" s="103" t="n"/>
      <c r="AS54" s="103" t="n"/>
      <c r="AT54" s="103" t="n"/>
      <c r="AU54" s="64" t="n"/>
      <c r="AV54" s="64" t="n"/>
      <c r="AW54" s="64" t="n"/>
      <c r="AX54" s="64" t="n"/>
      <c r="AY54" s="103" t="n"/>
    </row>
    <row r="55" ht="19.5" customHeight="1">
      <c r="A55" s="64" t="n"/>
      <c r="B55" s="136" t="n"/>
      <c r="C55" s="64" t="n"/>
      <c r="D55" s="64" t="n"/>
      <c r="E55" s="64" t="n"/>
      <c r="F55" s="64" t="n"/>
      <c r="G55" s="307" t="n"/>
      <c r="H55" s="308" t="n"/>
      <c r="I55" s="64" t="n"/>
      <c r="J55" s="64" t="n"/>
      <c r="K55" s="64" t="n"/>
      <c r="L55" s="64" t="n"/>
      <c r="M55" s="64" t="n"/>
      <c r="N55" s="103" t="n"/>
      <c r="O55" s="103" t="n"/>
      <c r="P55" s="103" t="n"/>
      <c r="Q55" s="103" t="n"/>
      <c r="R55" s="103" t="n"/>
      <c r="S55" s="103" t="n"/>
      <c r="T55" s="103" t="n"/>
      <c r="U55" s="103" t="n"/>
      <c r="V55" s="103" t="n"/>
      <c r="W55" s="103" t="n"/>
      <c r="X55" s="103" t="n"/>
      <c r="Y55" s="103" t="n"/>
      <c r="Z55" s="103" t="n"/>
      <c r="AA55" s="103" t="n"/>
      <c r="AB55" s="103" t="n"/>
      <c r="AC55" s="103" t="n"/>
      <c r="AD55" s="103" t="n"/>
      <c r="AE55" s="103" t="n"/>
      <c r="AF55" s="103" t="n"/>
      <c r="AG55" s="103" t="n"/>
      <c r="AH55" s="103" t="n"/>
      <c r="AI55" s="103" t="n"/>
      <c r="AJ55" s="103" t="n"/>
      <c r="AK55" s="103" t="n"/>
      <c r="AL55" s="103" t="n"/>
      <c r="AM55" s="103" t="n"/>
      <c r="AN55" s="103" t="n"/>
      <c r="AO55" s="103" t="n"/>
      <c r="AP55" s="103" t="n"/>
      <c r="AQ55" s="103" t="n"/>
      <c r="AR55" s="103" t="n"/>
      <c r="AS55" s="103" t="n"/>
      <c r="AT55" s="103" t="n"/>
      <c r="AU55" s="64" t="n"/>
      <c r="AV55" s="64" t="n"/>
      <c r="AW55" s="64" t="n"/>
      <c r="AX55" s="64" t="n"/>
      <c r="AY55" s="103" t="n"/>
    </row>
    <row r="56" ht="19.5" customHeight="1">
      <c r="A56" s="64" t="n"/>
      <c r="B56" s="136" t="n"/>
      <c r="C56" s="64" t="n"/>
      <c r="D56" s="64" t="n"/>
      <c r="E56" s="64" t="n"/>
      <c r="F56" s="64" t="n"/>
      <c r="G56" s="307" t="n"/>
      <c r="H56" s="308" t="n"/>
      <c r="I56" s="64" t="n"/>
      <c r="J56" s="64" t="n"/>
      <c r="K56" s="64" t="n"/>
      <c r="L56" s="64" t="n"/>
      <c r="M56" s="64" t="n"/>
      <c r="N56" s="103" t="n"/>
      <c r="O56" s="103" t="n"/>
      <c r="P56" s="103" t="n"/>
      <c r="Q56" s="103" t="n"/>
      <c r="R56" s="103" t="n"/>
      <c r="S56" s="103" t="n"/>
      <c r="T56" s="103" t="n"/>
      <c r="U56" s="103" t="n"/>
      <c r="V56" s="103" t="n"/>
      <c r="W56" s="103" t="n"/>
      <c r="X56" s="103" t="n"/>
      <c r="Y56" s="103" t="n"/>
      <c r="Z56" s="103" t="n"/>
      <c r="AA56" s="103" t="n"/>
      <c r="AB56" s="103" t="n"/>
      <c r="AC56" s="103" t="n"/>
      <c r="AD56" s="103" t="n"/>
      <c r="AE56" s="103" t="n"/>
      <c r="AF56" s="103" t="n"/>
      <c r="AG56" s="103" t="n"/>
      <c r="AH56" s="103" t="n"/>
      <c r="AI56" s="103" t="n"/>
      <c r="AJ56" s="103" t="n"/>
      <c r="AK56" s="103" t="n"/>
      <c r="AL56" s="103" t="n"/>
      <c r="AM56" s="103" t="n"/>
      <c r="AN56" s="103" t="n"/>
      <c r="AO56" s="103" t="n"/>
      <c r="AP56" s="103" t="n"/>
      <c r="AQ56" s="103" t="n"/>
      <c r="AR56" s="103" t="n"/>
      <c r="AS56" s="103" t="n"/>
      <c r="AT56" s="103" t="n"/>
      <c r="AU56" s="64" t="n"/>
      <c r="AV56" s="64" t="n"/>
      <c r="AW56" s="64" t="n"/>
      <c r="AX56" s="64" t="n"/>
      <c r="AY56" s="103" t="n"/>
    </row>
    <row r="57" ht="19.5" customHeight="1">
      <c r="A57" s="64" t="n"/>
      <c r="B57" s="136" t="n"/>
      <c r="C57" s="64" t="n"/>
      <c r="D57" s="64" t="n"/>
      <c r="E57" s="64" t="n"/>
      <c r="F57" s="64" t="n"/>
      <c r="G57" s="307" t="n"/>
      <c r="H57" s="308" t="n"/>
      <c r="I57" s="64" t="n"/>
      <c r="J57" s="64" t="n"/>
      <c r="K57" s="64" t="n"/>
      <c r="L57" s="64" t="n"/>
      <c r="M57" s="64" t="n"/>
      <c r="N57" s="103" t="n"/>
      <c r="O57" s="103" t="n"/>
      <c r="P57" s="103" t="n"/>
      <c r="Q57" s="103" t="n"/>
      <c r="R57" s="103" t="n"/>
      <c r="S57" s="103" t="n"/>
      <c r="T57" s="103" t="n"/>
      <c r="U57" s="103" t="n"/>
      <c r="V57" s="103" t="n"/>
      <c r="W57" s="103" t="n"/>
      <c r="X57" s="103" t="n"/>
      <c r="Y57" s="103" t="n"/>
      <c r="Z57" s="103" t="n"/>
      <c r="AA57" s="103" t="n"/>
      <c r="AB57" s="103" t="n"/>
      <c r="AC57" s="103" t="n"/>
      <c r="AD57" s="103" t="n"/>
      <c r="AE57" s="103" t="n"/>
      <c r="AF57" s="103" t="n"/>
      <c r="AG57" s="103" t="n"/>
      <c r="AH57" s="103" t="n"/>
      <c r="AI57" s="103" t="n"/>
      <c r="AJ57" s="103" t="n"/>
      <c r="AK57" s="103" t="n"/>
      <c r="AL57" s="103" t="n"/>
      <c r="AM57" s="103" t="n"/>
      <c r="AN57" s="103" t="n"/>
      <c r="AO57" s="103" t="n"/>
      <c r="AP57" s="103" t="n"/>
      <c r="AQ57" s="103" t="n"/>
      <c r="AR57" s="103" t="n"/>
      <c r="AS57" s="103" t="n"/>
      <c r="AT57" s="103" t="n"/>
      <c r="AU57" s="64" t="n"/>
      <c r="AV57" s="64" t="n"/>
      <c r="AW57" s="64" t="n"/>
      <c r="AX57" s="64" t="n"/>
      <c r="AY57" s="103" t="n"/>
    </row>
    <row r="58" ht="19.5" customHeight="1">
      <c r="A58" s="64" t="n"/>
      <c r="B58" s="136" t="n"/>
      <c r="C58" s="64" t="n"/>
      <c r="D58" s="64" t="n"/>
      <c r="E58" s="64" t="n"/>
      <c r="F58" s="64" t="n"/>
      <c r="G58" s="307" t="n"/>
      <c r="H58" s="308" t="n"/>
      <c r="I58" s="64" t="n"/>
      <c r="J58" s="64" t="n"/>
      <c r="K58" s="64" t="n"/>
      <c r="L58" s="64" t="n"/>
      <c r="M58" s="64" t="n"/>
      <c r="N58" s="103" t="n"/>
      <c r="O58" s="103" t="n"/>
      <c r="P58" s="103" t="n"/>
      <c r="Q58" s="103" t="n"/>
      <c r="R58" s="103" t="n"/>
      <c r="S58" s="103" t="n"/>
      <c r="T58" s="103" t="n"/>
      <c r="U58" s="103" t="n"/>
      <c r="V58" s="103" t="n"/>
      <c r="W58" s="103" t="n"/>
      <c r="X58" s="103" t="n"/>
      <c r="Y58" s="103" t="n"/>
      <c r="Z58" s="103" t="n"/>
      <c r="AA58" s="103" t="n"/>
      <c r="AB58" s="103" t="n"/>
      <c r="AC58" s="103" t="n"/>
      <c r="AD58" s="103" t="n"/>
      <c r="AE58" s="103" t="n"/>
      <c r="AF58" s="103" t="n"/>
      <c r="AG58" s="103" t="n"/>
      <c r="AH58" s="103" t="n"/>
      <c r="AI58" s="103" t="n"/>
      <c r="AJ58" s="103" t="n"/>
      <c r="AK58" s="103" t="n"/>
      <c r="AL58" s="103" t="n"/>
      <c r="AM58" s="103" t="n"/>
      <c r="AN58" s="103" t="n"/>
      <c r="AO58" s="103" t="n"/>
      <c r="AP58" s="103" t="n"/>
      <c r="AQ58" s="103" t="n"/>
      <c r="AR58" s="103" t="n"/>
      <c r="AS58" s="103" t="n"/>
      <c r="AT58" s="103" t="n"/>
      <c r="AU58" s="64" t="n"/>
      <c r="AV58" s="64" t="n"/>
      <c r="AW58" s="64" t="n"/>
      <c r="AX58" s="64" t="n"/>
      <c r="AY58" s="103" t="n"/>
    </row>
    <row r="59" ht="19.5" customHeight="1">
      <c r="A59" s="64" t="n"/>
      <c r="B59" s="136" t="n"/>
      <c r="C59" s="64" t="n"/>
      <c r="D59" s="64" t="n"/>
      <c r="E59" s="64" t="n"/>
      <c r="F59" s="64" t="n"/>
      <c r="G59" s="307" t="n"/>
      <c r="H59" s="308" t="n"/>
      <c r="I59" s="64" t="n"/>
      <c r="J59" s="64" t="n"/>
      <c r="K59" s="64" t="n"/>
      <c r="L59" s="64" t="n"/>
      <c r="M59" s="64" t="n"/>
      <c r="N59" s="103" t="n"/>
      <c r="O59" s="103" t="n"/>
      <c r="P59" s="103" t="n"/>
      <c r="Q59" s="103" t="n"/>
      <c r="R59" s="103" t="n"/>
      <c r="S59" s="103" t="n"/>
      <c r="T59" s="103" t="n"/>
      <c r="U59" s="103" t="n"/>
      <c r="V59" s="103" t="n"/>
      <c r="W59" s="103" t="n"/>
      <c r="X59" s="103" t="n"/>
      <c r="Y59" s="103" t="n"/>
      <c r="Z59" s="103" t="n"/>
      <c r="AA59" s="103" t="n"/>
      <c r="AB59" s="103" t="n"/>
      <c r="AC59" s="103" t="n"/>
      <c r="AD59" s="103" t="n"/>
      <c r="AE59" s="103" t="n"/>
      <c r="AF59" s="103" t="n"/>
      <c r="AG59" s="103" t="n"/>
      <c r="AH59" s="103" t="n"/>
      <c r="AI59" s="103" t="n"/>
      <c r="AJ59" s="103" t="n"/>
      <c r="AK59" s="103" t="n"/>
      <c r="AL59" s="103" t="n"/>
      <c r="AM59" s="103" t="n"/>
      <c r="AN59" s="103" t="n"/>
      <c r="AO59" s="103" t="n"/>
      <c r="AP59" s="103" t="n"/>
      <c r="AQ59" s="103" t="n"/>
      <c r="AR59" s="103" t="n"/>
      <c r="AS59" s="103" t="n"/>
      <c r="AT59" s="103" t="n"/>
      <c r="AU59" s="64" t="n"/>
      <c r="AV59" s="64" t="n"/>
      <c r="AW59" s="64" t="n"/>
      <c r="AX59" s="64" t="n"/>
      <c r="AY59" s="103" t="n"/>
    </row>
    <row r="60" ht="19.5" customHeight="1">
      <c r="A60" s="64" t="n"/>
      <c r="B60" s="136" t="n"/>
      <c r="C60" s="64" t="n"/>
      <c r="D60" s="64" t="n"/>
      <c r="E60" s="64" t="n"/>
      <c r="F60" s="64" t="n"/>
      <c r="G60" s="307" t="n"/>
      <c r="H60" s="308" t="n"/>
      <c r="I60" s="64" t="n"/>
      <c r="J60" s="64" t="n"/>
      <c r="K60" s="64" t="n"/>
      <c r="L60" s="64" t="n"/>
      <c r="M60" s="64" t="n"/>
      <c r="N60" s="103" t="n"/>
      <c r="O60" s="103" t="n"/>
      <c r="P60" s="103" t="n"/>
      <c r="Q60" s="103" t="n"/>
      <c r="R60" s="103" t="n"/>
      <c r="S60" s="103" t="n"/>
      <c r="T60" s="103" t="n"/>
      <c r="U60" s="103" t="n"/>
      <c r="V60" s="103" t="n"/>
      <c r="W60" s="103" t="n"/>
      <c r="X60" s="103" t="n"/>
      <c r="Y60" s="103" t="n"/>
      <c r="Z60" s="103" t="n"/>
      <c r="AA60" s="103" t="n"/>
      <c r="AB60" s="103" t="n"/>
      <c r="AC60" s="103" t="n"/>
      <c r="AD60" s="103" t="n"/>
      <c r="AE60" s="103" t="n"/>
      <c r="AF60" s="103" t="n"/>
      <c r="AG60" s="103" t="n"/>
      <c r="AH60" s="103" t="n"/>
      <c r="AI60" s="103" t="n"/>
      <c r="AJ60" s="103" t="n"/>
      <c r="AK60" s="103" t="n"/>
      <c r="AL60" s="103" t="n"/>
      <c r="AM60" s="103" t="n"/>
      <c r="AN60" s="103" t="n"/>
      <c r="AO60" s="103" t="n"/>
      <c r="AP60" s="103" t="n"/>
      <c r="AQ60" s="103" t="n"/>
      <c r="AR60" s="103" t="n"/>
      <c r="AS60" s="103" t="n"/>
      <c r="AT60" s="103" t="n"/>
      <c r="AU60" s="64" t="n"/>
      <c r="AV60" s="64" t="n"/>
      <c r="AW60" s="64" t="n"/>
      <c r="AX60" s="64" t="n"/>
      <c r="AY60" s="103" t="n"/>
    </row>
    <row r="61" ht="19.5" customHeight="1">
      <c r="A61" s="64" t="n"/>
      <c r="B61" s="136" t="n"/>
      <c r="C61" s="64" t="n"/>
      <c r="D61" s="64" t="n"/>
      <c r="E61" s="64" t="n"/>
      <c r="F61" s="64" t="n"/>
      <c r="G61" s="307" t="n"/>
      <c r="H61" s="308" t="n"/>
      <c r="I61" s="64" t="n"/>
      <c r="J61" s="64" t="n"/>
      <c r="K61" s="64" t="n"/>
      <c r="L61" s="64" t="n"/>
      <c r="M61" s="64" t="n"/>
      <c r="N61" s="103" t="n"/>
      <c r="O61" s="103" t="n"/>
      <c r="P61" s="103" t="n"/>
      <c r="Q61" s="103" t="n"/>
      <c r="R61" s="103" t="n"/>
      <c r="S61" s="103" t="n"/>
      <c r="T61" s="103" t="n"/>
      <c r="U61" s="103" t="n"/>
      <c r="V61" s="103" t="n"/>
      <c r="W61" s="103" t="n"/>
      <c r="X61" s="103" t="n"/>
      <c r="Y61" s="103" t="n"/>
      <c r="Z61" s="103" t="n"/>
      <c r="AA61" s="103" t="n"/>
      <c r="AB61" s="103" t="n"/>
      <c r="AC61" s="103" t="n"/>
      <c r="AD61" s="103" t="n"/>
      <c r="AE61" s="103" t="n"/>
      <c r="AF61" s="103" t="n"/>
      <c r="AG61" s="103" t="n"/>
      <c r="AH61" s="103" t="n"/>
      <c r="AI61" s="103" t="n"/>
      <c r="AJ61" s="103" t="n"/>
      <c r="AK61" s="103" t="n"/>
      <c r="AL61" s="103" t="n"/>
      <c r="AM61" s="103" t="n"/>
      <c r="AN61" s="103" t="n"/>
      <c r="AO61" s="103" t="n"/>
      <c r="AP61" s="103" t="n"/>
      <c r="AQ61" s="103" t="n"/>
      <c r="AR61" s="103" t="n"/>
      <c r="AS61" s="103" t="n"/>
      <c r="AT61" s="103" t="n"/>
      <c r="AU61" s="64" t="n"/>
      <c r="AV61" s="64" t="n"/>
      <c r="AW61" s="64" t="n"/>
      <c r="AX61" s="64" t="n"/>
      <c r="AY61" s="103" t="n"/>
    </row>
    <row r="62" ht="19.5" customHeight="1">
      <c r="A62" s="64" t="n"/>
      <c r="B62" s="136" t="n"/>
      <c r="C62" s="64" t="n"/>
      <c r="D62" s="64" t="n"/>
      <c r="E62" s="64" t="n"/>
      <c r="F62" s="64" t="n"/>
      <c r="G62" s="307" t="n"/>
      <c r="H62" s="308" t="n"/>
      <c r="I62" s="64" t="n"/>
      <c r="J62" s="64" t="n"/>
      <c r="K62" s="64" t="n"/>
      <c r="L62" s="64" t="n"/>
      <c r="M62" s="64" t="n"/>
      <c r="N62" s="103" t="n"/>
      <c r="O62" s="103" t="n"/>
      <c r="P62" s="103" t="n"/>
      <c r="Q62" s="103" t="n"/>
      <c r="R62" s="103" t="n"/>
      <c r="S62" s="103" t="n"/>
      <c r="T62" s="103" t="n"/>
      <c r="U62" s="103" t="n"/>
      <c r="V62" s="103" t="n"/>
      <c r="W62" s="103" t="n"/>
      <c r="X62" s="103" t="n"/>
      <c r="Y62" s="103" t="n"/>
      <c r="Z62" s="103" t="n"/>
      <c r="AA62" s="103" t="n"/>
      <c r="AB62" s="103" t="n"/>
      <c r="AC62" s="103" t="n"/>
      <c r="AD62" s="103" t="n"/>
      <c r="AE62" s="103" t="n"/>
      <c r="AF62" s="103" t="n"/>
      <c r="AG62" s="103" t="n"/>
      <c r="AH62" s="103" t="n"/>
      <c r="AI62" s="103" t="n"/>
      <c r="AJ62" s="103" t="n"/>
      <c r="AK62" s="103" t="n"/>
      <c r="AL62" s="103" t="n"/>
      <c r="AM62" s="103" t="n"/>
      <c r="AN62" s="103" t="n"/>
      <c r="AO62" s="103" t="n"/>
      <c r="AP62" s="103" t="n"/>
      <c r="AQ62" s="103" t="n"/>
      <c r="AR62" s="103" t="n"/>
      <c r="AS62" s="103" t="n"/>
      <c r="AT62" s="103" t="n"/>
      <c r="AU62" s="64" t="n"/>
      <c r="AV62" s="64" t="n"/>
      <c r="AW62" s="64" t="n"/>
      <c r="AX62" s="64" t="n"/>
      <c r="AY62" s="103" t="n"/>
    </row>
    <row r="63" ht="19.5" customHeight="1">
      <c r="A63" s="64" t="n"/>
      <c r="B63" s="136" t="n"/>
      <c r="C63" s="64" t="n"/>
      <c r="D63" s="64" t="n"/>
      <c r="E63" s="64" t="n"/>
      <c r="F63" s="64" t="n"/>
      <c r="G63" s="307" t="n"/>
      <c r="H63" s="308" t="n"/>
      <c r="I63" s="64" t="n"/>
      <c r="J63" s="64" t="n"/>
      <c r="K63" s="64" t="n"/>
      <c r="L63" s="64" t="n"/>
      <c r="M63" s="64" t="n"/>
      <c r="N63" s="103" t="n"/>
      <c r="O63" s="103" t="n"/>
      <c r="P63" s="103" t="n"/>
      <c r="Q63" s="103" t="n"/>
      <c r="R63" s="103" t="n"/>
      <c r="S63" s="103" t="n"/>
      <c r="T63" s="103" t="n"/>
      <c r="U63" s="103" t="n"/>
      <c r="V63" s="103" t="n"/>
      <c r="W63" s="103" t="n"/>
      <c r="X63" s="103" t="n"/>
      <c r="Y63" s="103" t="n"/>
      <c r="Z63" s="103" t="n"/>
      <c r="AA63" s="103" t="n"/>
      <c r="AB63" s="103" t="n"/>
      <c r="AC63" s="103" t="n"/>
      <c r="AD63" s="103" t="n"/>
      <c r="AE63" s="103" t="n"/>
      <c r="AF63" s="103" t="n"/>
      <c r="AG63" s="103" t="n"/>
      <c r="AH63" s="103" t="n"/>
      <c r="AI63" s="103" t="n"/>
      <c r="AJ63" s="103" t="n"/>
      <c r="AK63" s="103" t="n"/>
      <c r="AL63" s="103" t="n"/>
      <c r="AM63" s="103" t="n"/>
      <c r="AN63" s="103" t="n"/>
      <c r="AO63" s="103" t="n"/>
      <c r="AP63" s="103" t="n"/>
      <c r="AQ63" s="103" t="n"/>
      <c r="AR63" s="103" t="n"/>
      <c r="AS63" s="103" t="n"/>
      <c r="AT63" s="103" t="n"/>
      <c r="AU63" s="64" t="n"/>
      <c r="AV63" s="64" t="n"/>
      <c r="AW63" s="64" t="n"/>
      <c r="AX63" s="64" t="n"/>
      <c r="AY63" s="103" t="n"/>
    </row>
    <row r="64" ht="19.5" customHeight="1">
      <c r="A64" s="64" t="n"/>
      <c r="B64" s="136" t="n"/>
      <c r="C64" s="64" t="n"/>
      <c r="D64" s="64" t="n"/>
      <c r="E64" s="64" t="n"/>
      <c r="F64" s="64" t="n"/>
      <c r="G64" s="307" t="n"/>
      <c r="H64" s="308" t="n"/>
      <c r="I64" s="64" t="n"/>
      <c r="J64" s="64" t="n"/>
      <c r="K64" s="64" t="n"/>
      <c r="L64" s="64" t="n"/>
      <c r="M64" s="64" t="n"/>
      <c r="N64" s="103" t="n"/>
      <c r="O64" s="103" t="n"/>
      <c r="P64" s="103" t="n"/>
      <c r="Q64" s="103" t="n"/>
      <c r="R64" s="103" t="n"/>
      <c r="S64" s="103" t="n"/>
      <c r="T64" s="103" t="n"/>
      <c r="U64" s="103" t="n"/>
      <c r="V64" s="103" t="n"/>
      <c r="W64" s="103" t="n"/>
      <c r="X64" s="103" t="n"/>
      <c r="Y64" s="103" t="n"/>
      <c r="Z64" s="103" t="n"/>
      <c r="AA64" s="103" t="n"/>
      <c r="AB64" s="103" t="n"/>
      <c r="AC64" s="103" t="n"/>
      <c r="AD64" s="103" t="n"/>
      <c r="AE64" s="103" t="n"/>
      <c r="AF64" s="103" t="n"/>
      <c r="AG64" s="103" t="n"/>
      <c r="AH64" s="103" t="n"/>
      <c r="AI64" s="103" t="n"/>
      <c r="AJ64" s="103" t="n"/>
      <c r="AK64" s="103" t="n"/>
      <c r="AL64" s="103" t="n"/>
      <c r="AM64" s="103" t="n"/>
      <c r="AN64" s="103" t="n"/>
      <c r="AO64" s="103" t="n"/>
      <c r="AP64" s="103" t="n"/>
      <c r="AQ64" s="103" t="n"/>
      <c r="AR64" s="103" t="n"/>
      <c r="AS64" s="103" t="n"/>
      <c r="AT64" s="103" t="n"/>
      <c r="AU64" s="64" t="n"/>
      <c r="AV64" s="64" t="n"/>
      <c r="AW64" s="64" t="n"/>
      <c r="AX64" s="64" t="n"/>
      <c r="AY64" s="103" t="n"/>
    </row>
    <row r="65" ht="19.5" customHeight="1">
      <c r="A65" s="64" t="n"/>
      <c r="B65" s="136" t="n"/>
      <c r="C65" s="64" t="n"/>
      <c r="D65" s="64" t="n"/>
      <c r="E65" s="64" t="n"/>
      <c r="F65" s="64" t="n"/>
      <c r="G65" s="307" t="n"/>
      <c r="H65" s="308" t="n"/>
      <c r="I65" s="64" t="n"/>
      <c r="J65" s="64" t="n"/>
      <c r="K65" s="64" t="n"/>
      <c r="L65" s="64" t="n"/>
      <c r="M65" s="64" t="n"/>
      <c r="N65" s="103" t="n"/>
      <c r="O65" s="103" t="n"/>
      <c r="P65" s="103" t="n"/>
      <c r="Q65" s="103" t="n"/>
      <c r="R65" s="103" t="n"/>
      <c r="S65" s="103" t="n"/>
      <c r="T65" s="103" t="n"/>
      <c r="U65" s="103" t="n"/>
      <c r="V65" s="103" t="n"/>
      <c r="W65" s="103" t="n"/>
      <c r="X65" s="103" t="n"/>
      <c r="Y65" s="103" t="n"/>
      <c r="Z65" s="103" t="n"/>
      <c r="AA65" s="103" t="n"/>
      <c r="AB65" s="103" t="n"/>
      <c r="AC65" s="103" t="n"/>
      <c r="AD65" s="103" t="n"/>
      <c r="AE65" s="103" t="n"/>
      <c r="AF65" s="103" t="n"/>
      <c r="AG65" s="103" t="n"/>
      <c r="AH65" s="103" t="n"/>
      <c r="AI65" s="103" t="n"/>
      <c r="AJ65" s="103" t="n"/>
      <c r="AK65" s="103" t="n"/>
      <c r="AL65" s="103" t="n"/>
      <c r="AM65" s="103" t="n"/>
      <c r="AN65" s="103" t="n"/>
      <c r="AO65" s="103" t="n"/>
      <c r="AP65" s="103" t="n"/>
      <c r="AQ65" s="103" t="n"/>
      <c r="AR65" s="103" t="n"/>
      <c r="AS65" s="103" t="n"/>
      <c r="AT65" s="103" t="n"/>
      <c r="AU65" s="64" t="n"/>
      <c r="AV65" s="64" t="n"/>
      <c r="AW65" s="64" t="n"/>
      <c r="AX65" s="64" t="n"/>
      <c r="AY65" s="103" t="n"/>
    </row>
    <row r="66" ht="19.5" customHeight="1">
      <c r="A66" s="64" t="n"/>
      <c r="B66" s="136" t="n"/>
      <c r="C66" s="64" t="n"/>
      <c r="D66" s="64" t="n"/>
      <c r="E66" s="64" t="n"/>
      <c r="F66" s="64" t="n"/>
      <c r="G66" s="307" t="n"/>
      <c r="H66" s="308" t="n"/>
      <c r="I66" s="64" t="n"/>
      <c r="J66" s="64" t="n"/>
      <c r="K66" s="64" t="n"/>
      <c r="L66" s="64" t="n"/>
      <c r="M66" s="64" t="n"/>
      <c r="N66" s="103" t="n"/>
      <c r="O66" s="103" t="n"/>
      <c r="P66" s="103" t="n"/>
      <c r="Q66" s="103" t="n"/>
      <c r="R66" s="103" t="n"/>
      <c r="S66" s="103" t="n"/>
      <c r="T66" s="103" t="n"/>
      <c r="U66" s="103" t="n"/>
      <c r="V66" s="103" t="n"/>
      <c r="W66" s="103" t="n"/>
      <c r="X66" s="103" t="n"/>
      <c r="Y66" s="103" t="n"/>
      <c r="Z66" s="103" t="n"/>
      <c r="AA66" s="103" t="n"/>
      <c r="AB66" s="103" t="n"/>
      <c r="AC66" s="103" t="n"/>
      <c r="AD66" s="103" t="n"/>
      <c r="AE66" s="103" t="n"/>
      <c r="AF66" s="103" t="n"/>
      <c r="AG66" s="103" t="n"/>
      <c r="AH66" s="103" t="n"/>
      <c r="AI66" s="103" t="n"/>
      <c r="AJ66" s="103" t="n"/>
      <c r="AK66" s="103" t="n"/>
      <c r="AL66" s="103" t="n"/>
      <c r="AM66" s="103" t="n"/>
      <c r="AN66" s="103" t="n"/>
      <c r="AO66" s="103" t="n"/>
      <c r="AP66" s="103" t="n"/>
      <c r="AQ66" s="103" t="n"/>
      <c r="AR66" s="103" t="n"/>
      <c r="AS66" s="103" t="n"/>
      <c r="AT66" s="103" t="n"/>
      <c r="AU66" s="64" t="n"/>
      <c r="AV66" s="64" t="n"/>
      <c r="AW66" s="64" t="n"/>
      <c r="AX66" s="64" t="n"/>
      <c r="AY66" s="103" t="n"/>
    </row>
    <row r="67" ht="19.5" customHeight="1">
      <c r="A67" s="64" t="n"/>
      <c r="B67" s="136" t="n"/>
      <c r="C67" s="64" t="n"/>
      <c r="D67" s="64" t="n"/>
      <c r="E67" s="64" t="n"/>
      <c r="F67" s="64" t="n"/>
      <c r="G67" s="307" t="n"/>
      <c r="H67" s="308" t="n"/>
      <c r="I67" s="64" t="n"/>
      <c r="J67" s="64" t="n"/>
      <c r="K67" s="64" t="n"/>
      <c r="L67" s="64" t="n"/>
      <c r="M67" s="64" t="n"/>
      <c r="N67" s="103" t="n"/>
      <c r="O67" s="103" t="n"/>
      <c r="P67" s="103" t="n"/>
      <c r="Q67" s="103" t="n"/>
      <c r="R67" s="103" t="n"/>
      <c r="S67" s="103" t="n"/>
      <c r="T67" s="103" t="n"/>
      <c r="U67" s="103" t="n"/>
      <c r="V67" s="103" t="n"/>
      <c r="W67" s="103" t="n"/>
      <c r="X67" s="103" t="n"/>
      <c r="Y67" s="103" t="n"/>
      <c r="Z67" s="103" t="n"/>
      <c r="AA67" s="103" t="n"/>
      <c r="AB67" s="103" t="n"/>
      <c r="AC67" s="103" t="n"/>
      <c r="AD67" s="103" t="n"/>
      <c r="AE67" s="103" t="n"/>
      <c r="AF67" s="103" t="n"/>
      <c r="AG67" s="103" t="n"/>
      <c r="AH67" s="103" t="n"/>
      <c r="AI67" s="103" t="n"/>
      <c r="AJ67" s="103" t="n"/>
      <c r="AK67" s="103" t="n"/>
      <c r="AL67" s="103" t="n"/>
      <c r="AM67" s="103" t="n"/>
      <c r="AN67" s="103" t="n"/>
      <c r="AO67" s="103" t="n"/>
      <c r="AP67" s="103" t="n"/>
      <c r="AQ67" s="103" t="n"/>
      <c r="AR67" s="103" t="n"/>
      <c r="AS67" s="103" t="n"/>
      <c r="AT67" s="103" t="n"/>
      <c r="AU67" s="64" t="n"/>
      <c r="AV67" s="64" t="n"/>
      <c r="AW67" s="64" t="n"/>
      <c r="AX67" s="64" t="n"/>
      <c r="AY67" s="103" t="n"/>
    </row>
    <row r="68" ht="19.5" customHeight="1">
      <c r="A68" s="64" t="n"/>
      <c r="B68" s="136" t="n"/>
      <c r="C68" s="64" t="n"/>
      <c r="D68" s="64" t="n"/>
      <c r="E68" s="64" t="n"/>
      <c r="F68" s="64" t="n"/>
      <c r="G68" s="307" t="n"/>
      <c r="H68" s="308" t="n"/>
      <c r="I68" s="64" t="n"/>
      <c r="J68" s="64" t="n"/>
      <c r="K68" s="64" t="n"/>
      <c r="L68" s="64" t="n"/>
      <c r="M68" s="64" t="n"/>
      <c r="N68" s="103" t="n"/>
      <c r="O68" s="103" t="n"/>
      <c r="P68" s="103" t="n"/>
      <c r="Q68" s="103" t="n"/>
      <c r="R68" s="103" t="n"/>
      <c r="S68" s="103" t="n"/>
      <c r="T68" s="103" t="n"/>
      <c r="U68" s="103" t="n"/>
      <c r="V68" s="103" t="n"/>
      <c r="W68" s="103" t="n"/>
      <c r="X68" s="103" t="n"/>
      <c r="Y68" s="103" t="n"/>
      <c r="Z68" s="103" t="n"/>
      <c r="AA68" s="103" t="n"/>
      <c r="AB68" s="103" t="n"/>
      <c r="AC68" s="103" t="n"/>
      <c r="AD68" s="103" t="n"/>
      <c r="AE68" s="103" t="n"/>
      <c r="AF68" s="103" t="n"/>
      <c r="AG68" s="103" t="n"/>
      <c r="AH68" s="103" t="n"/>
      <c r="AI68" s="103" t="n"/>
      <c r="AJ68" s="103" t="n"/>
      <c r="AK68" s="103" t="n"/>
      <c r="AL68" s="103" t="n"/>
      <c r="AM68" s="103" t="n"/>
      <c r="AN68" s="103" t="n"/>
      <c r="AO68" s="103" t="n"/>
      <c r="AP68" s="103" t="n"/>
      <c r="AQ68" s="103" t="n"/>
      <c r="AR68" s="103" t="n"/>
      <c r="AS68" s="103" t="n"/>
      <c r="AT68" s="103" t="n"/>
      <c r="AU68" s="64" t="n"/>
      <c r="AV68" s="64" t="n"/>
      <c r="AW68" s="64" t="n"/>
      <c r="AX68" s="64" t="n"/>
      <c r="AY68" s="103" t="n"/>
    </row>
    <row r="69" ht="19.5" customHeight="1">
      <c r="A69" s="64" t="n"/>
      <c r="B69" s="136" t="n"/>
      <c r="C69" s="64" t="n"/>
      <c r="D69" s="64" t="n"/>
      <c r="E69" s="64" t="n"/>
      <c r="F69" s="64" t="n"/>
      <c r="G69" s="307" t="n"/>
      <c r="H69" s="308" t="n"/>
      <c r="I69" s="64" t="n"/>
      <c r="J69" s="64" t="n"/>
      <c r="K69" s="64" t="n"/>
      <c r="L69" s="64" t="n"/>
      <c r="M69" s="64" t="n"/>
      <c r="N69" s="103" t="n"/>
      <c r="O69" s="103" t="n"/>
      <c r="P69" s="103" t="n"/>
      <c r="Q69" s="103" t="n"/>
      <c r="R69" s="103" t="n"/>
      <c r="S69" s="103" t="n"/>
      <c r="T69" s="103" t="n"/>
      <c r="U69" s="103" t="n"/>
      <c r="V69" s="103" t="n"/>
      <c r="W69" s="103" t="n"/>
      <c r="X69" s="103" t="n"/>
      <c r="Y69" s="103" t="n"/>
      <c r="Z69" s="103" t="n"/>
      <c r="AA69" s="103" t="n"/>
      <c r="AB69" s="103" t="n"/>
      <c r="AC69" s="103" t="n"/>
      <c r="AD69" s="103" t="n"/>
      <c r="AE69" s="103" t="n"/>
      <c r="AF69" s="103" t="n"/>
      <c r="AG69" s="103" t="n"/>
      <c r="AH69" s="103" t="n"/>
      <c r="AI69" s="103" t="n"/>
      <c r="AJ69" s="103" t="n"/>
      <c r="AK69" s="103" t="n"/>
      <c r="AL69" s="103" t="n"/>
      <c r="AM69" s="103" t="n"/>
      <c r="AN69" s="103" t="n"/>
      <c r="AO69" s="103" t="n"/>
      <c r="AP69" s="103" t="n"/>
      <c r="AQ69" s="103" t="n"/>
      <c r="AR69" s="103" t="n"/>
      <c r="AS69" s="103" t="n"/>
      <c r="AT69" s="103" t="n"/>
      <c r="AU69" s="64" t="n"/>
      <c r="AV69" s="64" t="n"/>
      <c r="AW69" s="64" t="n"/>
      <c r="AX69" s="64" t="n"/>
      <c r="AY69" s="103" t="n"/>
    </row>
    <row r="70" ht="19.5" customHeight="1">
      <c r="A70" s="64" t="n"/>
      <c r="B70" s="136" t="n"/>
      <c r="C70" s="64" t="n"/>
      <c r="D70" s="64" t="n"/>
      <c r="E70" s="64" t="n"/>
      <c r="F70" s="64" t="n"/>
      <c r="G70" s="307" t="n"/>
      <c r="H70" s="308" t="n"/>
      <c r="I70" s="64" t="n"/>
      <c r="J70" s="64" t="n"/>
      <c r="K70" s="64" t="n"/>
      <c r="L70" s="64" t="n"/>
      <c r="M70" s="64" t="n"/>
      <c r="N70" s="103" t="n"/>
      <c r="O70" s="103" t="n"/>
      <c r="P70" s="103" t="n"/>
      <c r="Q70" s="103" t="n"/>
      <c r="R70" s="103" t="n"/>
      <c r="S70" s="103" t="n"/>
      <c r="T70" s="103" t="n"/>
      <c r="U70" s="103" t="n"/>
      <c r="V70" s="103" t="n"/>
      <c r="W70" s="103" t="n"/>
      <c r="X70" s="103" t="n"/>
      <c r="Y70" s="103" t="n"/>
      <c r="Z70" s="103" t="n"/>
      <c r="AA70" s="103" t="n"/>
      <c r="AB70" s="103" t="n"/>
      <c r="AC70" s="103" t="n"/>
      <c r="AD70" s="103" t="n"/>
      <c r="AE70" s="103" t="n"/>
      <c r="AF70" s="103" t="n"/>
      <c r="AG70" s="103" t="n"/>
      <c r="AH70" s="103" t="n"/>
      <c r="AI70" s="103" t="n"/>
      <c r="AJ70" s="103" t="n"/>
      <c r="AK70" s="103" t="n"/>
      <c r="AL70" s="103" t="n"/>
      <c r="AM70" s="103" t="n"/>
      <c r="AN70" s="103" t="n"/>
      <c r="AO70" s="103" t="n"/>
      <c r="AP70" s="103" t="n"/>
      <c r="AQ70" s="103" t="n"/>
      <c r="AR70" s="103" t="n"/>
      <c r="AS70" s="103" t="n"/>
      <c r="AT70" s="103" t="n"/>
      <c r="AU70" s="64" t="n"/>
      <c r="AV70" s="64" t="n"/>
      <c r="AW70" s="64" t="n"/>
      <c r="AX70" s="64" t="n"/>
      <c r="AY70" s="103" t="n"/>
    </row>
    <row r="71" ht="19.5" customHeight="1">
      <c r="A71" s="64" t="n"/>
      <c r="B71" s="136" t="n"/>
      <c r="C71" s="64" t="n"/>
      <c r="D71" s="64" t="n"/>
      <c r="E71" s="64" t="n"/>
      <c r="F71" s="64" t="n"/>
      <c r="G71" s="307" t="n"/>
      <c r="H71" s="308" t="n"/>
      <c r="I71" s="64" t="n"/>
      <c r="J71" s="64" t="n"/>
      <c r="K71" s="64" t="n"/>
      <c r="L71" s="64" t="n"/>
      <c r="M71" s="64" t="n"/>
      <c r="N71" s="103" t="n"/>
      <c r="O71" s="103" t="n"/>
      <c r="P71" s="103" t="n"/>
      <c r="Q71" s="103" t="n"/>
      <c r="R71" s="103" t="n"/>
      <c r="S71" s="103" t="n"/>
      <c r="T71" s="103" t="n"/>
      <c r="U71" s="103" t="n"/>
      <c r="V71" s="103" t="n"/>
      <c r="W71" s="103" t="n"/>
      <c r="X71" s="103" t="n"/>
      <c r="Y71" s="103" t="n"/>
      <c r="Z71" s="103" t="n"/>
      <c r="AA71" s="103" t="n"/>
      <c r="AB71" s="103" t="n"/>
      <c r="AC71" s="103" t="n"/>
      <c r="AD71" s="103" t="n"/>
      <c r="AE71" s="103" t="n"/>
      <c r="AF71" s="103" t="n"/>
      <c r="AG71" s="103" t="n"/>
      <c r="AH71" s="103" t="n"/>
      <c r="AI71" s="103" t="n"/>
      <c r="AJ71" s="103" t="n"/>
      <c r="AK71" s="103" t="n"/>
      <c r="AL71" s="103" t="n"/>
      <c r="AM71" s="103" t="n"/>
      <c r="AN71" s="103" t="n"/>
      <c r="AO71" s="103" t="n"/>
      <c r="AP71" s="103" t="n"/>
      <c r="AQ71" s="103" t="n"/>
      <c r="AR71" s="103" t="n"/>
      <c r="AS71" s="103" t="n"/>
      <c r="AT71" s="103" t="n"/>
      <c r="AU71" s="64" t="n"/>
      <c r="AV71" s="64" t="n"/>
      <c r="AW71" s="64" t="n"/>
      <c r="AX71" s="64" t="n"/>
      <c r="AY71" s="103" t="n"/>
    </row>
    <row r="72" ht="19.5" customHeight="1">
      <c r="A72" s="64" t="n"/>
      <c r="B72" s="136" t="n"/>
      <c r="C72" s="64" t="n"/>
      <c r="D72" s="64" t="n"/>
      <c r="E72" s="64" t="n"/>
      <c r="F72" s="64" t="n"/>
      <c r="G72" s="307" t="n"/>
      <c r="H72" s="308" t="n"/>
      <c r="I72" s="64" t="n"/>
      <c r="J72" s="64" t="n"/>
      <c r="K72" s="64" t="n"/>
      <c r="L72" s="64" t="n"/>
      <c r="M72" s="64" t="n"/>
      <c r="N72" s="103" t="n"/>
      <c r="O72" s="103" t="n"/>
      <c r="P72" s="103" t="n"/>
      <c r="Q72" s="103" t="n"/>
      <c r="R72" s="103" t="n"/>
      <c r="S72" s="103" t="n"/>
      <c r="T72" s="103" t="n"/>
      <c r="U72" s="103" t="n"/>
      <c r="V72" s="103" t="n"/>
      <c r="W72" s="103" t="n"/>
      <c r="X72" s="103" t="n"/>
      <c r="Y72" s="103" t="n"/>
      <c r="Z72" s="103" t="n"/>
      <c r="AA72" s="103" t="n"/>
      <c r="AB72" s="103" t="n"/>
      <c r="AC72" s="103" t="n"/>
      <c r="AD72" s="103" t="n"/>
      <c r="AE72" s="103" t="n"/>
      <c r="AF72" s="103" t="n"/>
      <c r="AG72" s="103" t="n"/>
      <c r="AH72" s="103" t="n"/>
      <c r="AI72" s="103" t="n"/>
      <c r="AJ72" s="103" t="n"/>
      <c r="AK72" s="103" t="n"/>
      <c r="AL72" s="103" t="n"/>
      <c r="AM72" s="103" t="n"/>
      <c r="AN72" s="103" t="n"/>
      <c r="AO72" s="103" t="n"/>
      <c r="AP72" s="103" t="n"/>
      <c r="AQ72" s="103" t="n"/>
      <c r="AR72" s="103" t="n"/>
      <c r="AS72" s="103" t="n"/>
      <c r="AT72" s="103" t="n"/>
      <c r="AU72" s="64" t="n"/>
      <c r="AV72" s="64" t="n"/>
      <c r="AW72" s="64" t="n"/>
      <c r="AX72" s="64" t="n"/>
      <c r="AY72" s="103" t="n"/>
    </row>
  </sheetData>
  <mergeCells count="62">
    <mergeCell ref="I30:J30"/>
    <mergeCell ref="A41:C41"/>
    <mergeCell ref="A14:J14"/>
    <mergeCell ref="A8:J8"/>
    <mergeCell ref="F29:G29"/>
    <mergeCell ref="B23:D23"/>
    <mergeCell ref="B30:E30"/>
    <mergeCell ref="E23:F23"/>
    <mergeCell ref="A4:J4"/>
    <mergeCell ref="I27:J27"/>
    <mergeCell ref="A10:J10"/>
    <mergeCell ref="E39:F39"/>
    <mergeCell ref="I26:J26"/>
    <mergeCell ref="C18:D18"/>
    <mergeCell ref="A13:J13"/>
    <mergeCell ref="C20:D20"/>
    <mergeCell ref="A42:C42"/>
    <mergeCell ref="E20:F20"/>
    <mergeCell ref="F30:G30"/>
    <mergeCell ref="C27:E27"/>
    <mergeCell ref="A9:J9"/>
    <mergeCell ref="I25:J25"/>
    <mergeCell ref="E19:F19"/>
    <mergeCell ref="C22:D22"/>
    <mergeCell ref="I22:J22"/>
    <mergeCell ref="I28:J28"/>
    <mergeCell ref="F26:G26"/>
    <mergeCell ref="E40:F40"/>
    <mergeCell ref="I18:J18"/>
    <mergeCell ref="A11:J11"/>
    <mergeCell ref="I21:J21"/>
    <mergeCell ref="A1:J1"/>
    <mergeCell ref="B38:C38"/>
    <mergeCell ref="C28:E28"/>
    <mergeCell ref="C21:D21"/>
    <mergeCell ref="A6:J6"/>
    <mergeCell ref="A40:C40"/>
    <mergeCell ref="A7:J7"/>
    <mergeCell ref="I23:J23"/>
    <mergeCell ref="F28:G28"/>
    <mergeCell ref="A39:C39"/>
    <mergeCell ref="F27:G27"/>
    <mergeCell ref="I17:J17"/>
    <mergeCell ref="H38:J38"/>
    <mergeCell ref="I29:J29"/>
    <mergeCell ref="I20:J20"/>
    <mergeCell ref="E21:F21"/>
    <mergeCell ref="L6:M6"/>
    <mergeCell ref="E18:F18"/>
    <mergeCell ref="H41:J41"/>
    <mergeCell ref="E41:F41"/>
    <mergeCell ref="A2:J2"/>
    <mergeCell ref="A3:J3"/>
    <mergeCell ref="C19:D19"/>
    <mergeCell ref="I19:J19"/>
    <mergeCell ref="A12:J12"/>
    <mergeCell ref="C26:E26"/>
    <mergeCell ref="E22:F22"/>
    <mergeCell ref="H40:J40"/>
    <mergeCell ref="C29:E29"/>
    <mergeCell ref="H39:J39"/>
    <mergeCell ref="E38:G38"/>
  </mergeCells>
  <pageMargins left="0.7" right="0.7" top="0.75" bottom="0.75" header="0.3" footer="0.3"/>
</worksheet>
</file>

<file path=xl/worksheets/sheet25.xml><?xml version="1.0" encoding="utf-8"?>
<worksheet xmlns="http://schemas.openxmlformats.org/spreadsheetml/2006/main">
  <sheetPr>
    <outlinePr summaryBelow="0"/>
    <pageSetUpPr/>
  </sheetPr>
  <dimension ref="A1:BH33"/>
  <sheetViews>
    <sheetView workbookViewId="0">
      <selection activeCell="A1" sqref="A1"/>
    </sheetView>
  </sheetViews>
  <sheetFormatPr baseColWidth="8" defaultRowHeight="15"/>
  <cols>
    <col width="3.719285714285714" bestFit="1" customWidth="1" style="63" min="1" max="1"/>
    <col width="4.433571428571429" bestFit="1" customWidth="1" style="218" min="2" max="2"/>
    <col width="2.290714285714285" bestFit="1" customWidth="1" style="64" min="3" max="3"/>
    <col width="2.290714285714285" bestFit="1" customWidth="1" style="64" min="4" max="4"/>
    <col width="2.290714285714285" bestFit="1" customWidth="1" style="64" min="5" max="5"/>
    <col width="2.290714285714285" bestFit="1" customWidth="1" style="64" min="6" max="6"/>
    <col width="2.290714285714285" bestFit="1" customWidth="1" style="64" min="7" max="7"/>
    <col width="2.290714285714285" bestFit="1" customWidth="1" style="64" min="8" max="8"/>
    <col width="1.290714285714286" bestFit="1" customWidth="1" style="64" min="9" max="9"/>
    <col width="2.719285714285714" bestFit="1" customWidth="1" style="64" min="10" max="10"/>
    <col width="2.719285714285714" bestFit="1" customWidth="1" style="64" min="11" max="11"/>
    <col width="2.290714285714285" bestFit="1" customWidth="1" style="64" min="12" max="12"/>
    <col width="2.290714285714285" bestFit="1" customWidth="1" style="64" min="13" max="13"/>
    <col width="2.290714285714285" bestFit="1" customWidth="1" style="64" min="14" max="14"/>
    <col width="2.290714285714285" bestFit="1" customWidth="1" style="64" min="15" max="15"/>
    <col width="2.290714285714285" bestFit="1" customWidth="1" style="64" min="16" max="16"/>
    <col width="2.290714285714285" bestFit="1" customWidth="1" style="64" min="17" max="17"/>
    <col width="2.290714285714285" bestFit="1" customWidth="1" style="64" min="18" max="18"/>
    <col width="2.290714285714285" bestFit="1" customWidth="1" style="64" min="19" max="19"/>
    <col width="1.719285714285714" bestFit="1" customWidth="1" style="64" min="20" max="20"/>
    <col width="1.719285714285714" bestFit="1" customWidth="1" style="64" min="21" max="21"/>
    <col width="1.719285714285714" bestFit="1" customWidth="1" style="64" min="22" max="22"/>
    <col width="1.719285714285714" bestFit="1" customWidth="1" style="64" min="23" max="23"/>
    <col width="1.719285714285714" bestFit="1" customWidth="1" style="64" min="24" max="24"/>
    <col width="1.147857142857143" bestFit="1" customWidth="1" style="64" min="25" max="25"/>
    <col width="1.719285714285714" bestFit="1" customWidth="1" style="64" min="26" max="26"/>
    <col width="1.719285714285714" bestFit="1" customWidth="1" style="64" min="27" max="27"/>
    <col width="2.290714285714285" bestFit="1" customWidth="1" style="64" min="28" max="28"/>
    <col width="2.290714285714285" bestFit="1" customWidth="1" style="64" min="29" max="29"/>
    <col width="1.862142857142857" bestFit="1" customWidth="1" style="64" min="30" max="30"/>
    <col width="2.862142857142857" bestFit="1" customWidth="1" style="64" min="31" max="31"/>
    <col width="2.862142857142857" bestFit="1" customWidth="1" style="64" min="32" max="32"/>
    <col width="2.862142857142857" bestFit="1" customWidth="1" style="64" min="33" max="33"/>
    <col width="2.290714285714285" bestFit="1" customWidth="1" style="64" min="34" max="34"/>
    <col width="2.290714285714285" bestFit="1" customWidth="1" style="64" min="35" max="35"/>
    <col width="2.290714285714285" bestFit="1" customWidth="1" style="64" min="36" max="36"/>
    <col width="2.290714285714285" bestFit="1" customWidth="1" style="64" min="37" max="37"/>
    <col width="2.290714285714285" bestFit="1" customWidth="1" style="64" min="38" max="38"/>
    <col width="2.290714285714285" bestFit="1" customWidth="1" style="64" min="39" max="39"/>
    <col width="2.290714285714285" bestFit="1" customWidth="1" style="64" min="40" max="40"/>
    <col width="2.290714285714285" bestFit="1" customWidth="1" style="64" min="41" max="41"/>
    <col width="3.147857142857143" bestFit="1" customWidth="1" style="64" min="42" max="42"/>
    <col width="2.290714285714285" bestFit="1" customWidth="1" style="64" min="43" max="43"/>
    <col width="2.147857142857143" bestFit="1" customWidth="1" style="64" min="44" max="44"/>
    <col width="1.719285714285714" bestFit="1" customWidth="1" style="64" min="45" max="45"/>
    <col width="3.147857142857143" bestFit="1" customWidth="1" style="64" min="46" max="46"/>
    <col width="13.57642857142857" bestFit="1" customWidth="1" style="64" min="47" max="47"/>
    <col width="12.86214285714286" bestFit="1" customWidth="1" style="64" min="48" max="48"/>
    <col width="11.71928571428571" bestFit="1" customWidth="1" style="136" min="49" max="49"/>
    <col width="11.71928571428571" bestFit="1" customWidth="1" style="64" min="50" max="50"/>
    <col width="13.57642857142857" bestFit="1" customWidth="1" style="225" min="51" max="51"/>
    <col width="13.57642857142857" bestFit="1" customWidth="1" style="225" min="52" max="52"/>
    <col width="13.14785714285714" bestFit="1" customWidth="1" style="136" min="53" max="53"/>
    <col width="13.57642857142857" bestFit="1" customWidth="1" style="103" min="54" max="54"/>
    <col width="13.57642857142857" bestFit="1" customWidth="1" style="103" min="55" max="55"/>
    <col width="13.57642857142857" bestFit="1" customWidth="1" style="64" min="56" max="56"/>
    <col width="13.57642857142857" bestFit="1" customWidth="1" style="64" min="57" max="57"/>
    <col width="13.57642857142857" bestFit="1" customWidth="1" style="64" min="58" max="58"/>
    <col width="13.57642857142857" bestFit="1" customWidth="1" style="64" min="59" max="59"/>
    <col width="13.57642857142857" bestFit="1" customWidth="1" style="64" min="60" max="60"/>
  </cols>
  <sheetData>
    <row r="1" ht="9.75" customFormat="1" customHeight="1" s="18">
      <c r="A1" s="173" t="n"/>
      <c r="AU1" s="103" t="n"/>
      <c r="AV1" s="103" t="n"/>
      <c r="AW1" s="225" t="n"/>
      <c r="AX1" s="103" t="n"/>
      <c r="AY1" s="189" t="n"/>
      <c r="AZ1" s="225" t="n"/>
      <c r="BA1" s="225" t="n"/>
      <c r="BB1" s="103" t="n"/>
      <c r="BC1" s="103" t="n"/>
      <c r="BD1" s="103" t="n"/>
      <c r="BE1" s="103" t="n"/>
      <c r="BF1" s="103" t="n"/>
      <c r="BG1" s="103" t="n"/>
      <c r="BH1" s="103" t="n"/>
    </row>
    <row r="2" ht="13.5" customFormat="1" customHeight="1" s="18">
      <c r="A2" s="74" t="n"/>
      <c r="AU2" s="103" t="n"/>
      <c r="AV2" s="103" t="n"/>
      <c r="AW2" s="225" t="n"/>
      <c r="AX2" s="103" t="n"/>
      <c r="AY2" s="190" t="n"/>
      <c r="AZ2" s="225" t="n"/>
      <c r="BA2" s="225" t="n"/>
      <c r="BB2" s="103" t="n"/>
      <c r="BC2" s="103" t="n"/>
      <c r="BD2" s="103" t="n"/>
      <c r="BE2" s="103" t="n"/>
      <c r="BF2" s="103" t="n"/>
      <c r="BG2" s="103" t="n"/>
      <c r="BH2" s="103" t="n"/>
    </row>
    <row r="3" ht="6.75" customHeight="1">
      <c r="A3" s="600" t="n"/>
      <c r="AF3" s="64" t="n"/>
      <c r="AG3" s="76" t="n"/>
      <c r="AH3" s="76" t="n"/>
      <c r="AI3" s="64" t="n"/>
      <c r="AJ3" s="64" t="n"/>
      <c r="AK3" s="64" t="n"/>
      <c r="AL3" s="76" t="n"/>
      <c r="AO3" s="77" t="n"/>
      <c r="AT3" s="78" t="n"/>
      <c r="AU3" s="64" t="n"/>
      <c r="AV3" s="64" t="n"/>
      <c r="AW3" s="136" t="n"/>
      <c r="AX3" s="64" t="n"/>
      <c r="AY3" s="225" t="n"/>
      <c r="AZ3" s="225" t="n"/>
      <c r="BA3" s="136" t="n"/>
      <c r="BB3" s="103" t="n"/>
      <c r="BC3" s="103" t="n"/>
      <c r="BD3" s="64" t="n"/>
      <c r="BE3" s="64" t="n"/>
      <c r="BF3" s="64" t="n"/>
      <c r="BG3" s="64" t="n"/>
      <c r="BH3" s="64" t="n"/>
    </row>
    <row r="4" ht="18.75" customHeight="1">
      <c r="A4" s="191">
        <f>'Data Input'!D8</f>
        <v/>
      </c>
      <c r="AU4" s="64" t="n"/>
      <c r="AV4" s="64" t="n"/>
      <c r="AW4" s="136" t="n"/>
      <c r="AX4" s="64" t="n"/>
      <c r="AY4" s="225" t="n"/>
      <c r="AZ4" s="225" t="n"/>
      <c r="BA4" s="136" t="n"/>
      <c r="BB4" s="103" t="n"/>
      <c r="BC4" s="103" t="n"/>
      <c r="BD4" s="64" t="n"/>
      <c r="BE4" s="64" t="n"/>
      <c r="BF4" s="64" t="n"/>
      <c r="BG4" s="64" t="n"/>
      <c r="BH4" s="64" t="n"/>
    </row>
    <row r="5" ht="23.25" customHeight="1">
      <c r="A5" s="193">
        <f>"‡cÖvcvBUit "&amp;'Data Input'!D12</f>
        <v/>
      </c>
      <c r="AU5" s="64" t="n"/>
      <c r="AV5" s="64" t="n"/>
      <c r="AW5" s="136" t="n"/>
      <c r="AX5" s="64" t="n"/>
      <c r="AY5" s="225" t="n"/>
      <c r="AZ5" s="225" t="n"/>
      <c r="BA5" s="136" t="n"/>
      <c r="BB5" s="103" t="n"/>
      <c r="BC5" s="103" t="n"/>
      <c r="BD5" s="64" t="n"/>
      <c r="BE5" s="64" t="n"/>
      <c r="BF5" s="64" t="n"/>
      <c r="BG5" s="64" t="n"/>
      <c r="BH5" s="64" t="n"/>
    </row>
    <row r="6" ht="23.25" customHeight="1">
      <c r="A6" s="193">
        <f>'Data Input'!B13&amp;'Data Input'!C13&amp;" "&amp;'Data Input'!D13</f>
        <v/>
      </c>
      <c r="AU6" s="64" t="n"/>
      <c r="AV6" s="64" t="n"/>
      <c r="AW6" s="136" t="n"/>
      <c r="AX6" s="64" t="n"/>
      <c r="AY6" s="225" t="n"/>
      <c r="AZ6" s="225" t="n"/>
      <c r="BA6" s="136" t="n"/>
      <c r="BB6" s="103" t="n"/>
      <c r="BC6" s="103" t="n"/>
      <c r="BD6" s="64" t="n"/>
      <c r="BE6" s="64" t="n"/>
      <c r="BF6" s="64" t="n"/>
      <c r="BG6" s="64" t="n"/>
      <c r="BH6" s="64" t="n"/>
    </row>
    <row r="7" ht="15.75" customHeight="1">
      <c r="A7" s="195">
        <f>'Data Input'!D9</f>
        <v/>
      </c>
      <c r="AU7" s="64" t="n"/>
      <c r="AV7" s="64" t="n"/>
      <c r="AW7" s="136" t="n"/>
      <c r="AX7" s="64" t="n"/>
      <c r="AY7" s="225" t="n"/>
      <c r="AZ7" s="225" t="n"/>
      <c r="BA7" s="136" t="n"/>
      <c r="BB7" s="103" t="n"/>
      <c r="BC7" s="103" t="n"/>
      <c r="BD7" s="64" t="n"/>
      <c r="BE7" s="64" t="n"/>
      <c r="BF7" s="64" t="n"/>
      <c r="BG7" s="64" t="n"/>
      <c r="BH7" s="64" t="n"/>
    </row>
    <row r="8" ht="7.5" customHeight="1">
      <c r="A8" s="195" t="n"/>
      <c r="AU8" s="64" t="n"/>
      <c r="AV8" s="64" t="n"/>
      <c r="AW8" s="136" t="n"/>
      <c r="AX8" s="64" t="n"/>
      <c r="AY8" s="225" t="n"/>
      <c r="AZ8" s="225" t="n"/>
      <c r="BA8" s="136" t="n"/>
      <c r="BB8" s="103" t="n"/>
      <c r="BC8" s="103" t="n"/>
      <c r="BD8" s="64" t="n"/>
      <c r="BE8" s="64" t="n"/>
      <c r="BF8" s="64" t="n"/>
      <c r="BG8" s="64" t="n"/>
      <c r="BH8" s="64" t="n"/>
    </row>
    <row r="9" ht="23.25" customHeight="1">
      <c r="A9" s="193">
        <f>"‡gvevBj bst +88 "&amp;'Data Input'!D16</f>
        <v/>
      </c>
      <c r="AU9" s="64" t="n"/>
      <c r="AV9" s="64" t="n"/>
      <c r="AW9" s="136" t="n"/>
      <c r="AX9" s="64" t="n"/>
      <c r="AY9" s="225" t="n"/>
      <c r="AZ9" s="225" t="n"/>
      <c r="BA9" s="136" t="n"/>
      <c r="BB9" s="103" t="n"/>
      <c r="BC9" s="103" t="n"/>
      <c r="BD9" s="64" t="n"/>
      <c r="BE9" s="64" t="n"/>
      <c r="BF9" s="64" t="n"/>
      <c r="BG9" s="64" t="n"/>
      <c r="BH9" s="64" t="n"/>
    </row>
    <row r="10" ht="9" customHeight="1">
      <c r="A10" s="600" t="n"/>
      <c r="AU10" s="64" t="n"/>
      <c r="AV10" s="64" t="n"/>
      <c r="AW10" s="136" t="n"/>
      <c r="AX10" s="64" t="n"/>
      <c r="AY10" s="225" t="n"/>
      <c r="AZ10" s="225" t="n"/>
      <c r="BA10" s="136" t="n"/>
      <c r="BB10" s="103" t="n"/>
      <c r="BC10" s="103" t="n"/>
      <c r="BD10" s="64" t="n"/>
      <c r="BE10" s="64" t="n"/>
      <c r="BF10" s="64" t="n"/>
      <c r="BG10" s="64" t="n"/>
      <c r="BH10" s="64" t="n"/>
    </row>
    <row r="11" ht="41.25" customHeight="1">
      <c r="A11" s="196" t="inlineStr">
        <is>
          <t>wewb‡qvM Drm †NvlYvcÎ</t>
        </is>
      </c>
      <c r="AU11" s="64" t="n"/>
      <c r="AV11" s="64" t="n"/>
      <c r="AW11" s="136" t="n"/>
      <c r="AX11" s="64" t="n"/>
      <c r="AY11" s="225" t="n"/>
      <c r="AZ11" s="225" t="n"/>
      <c r="BA11" s="136" t="n"/>
      <c r="BB11" s="103" t="n"/>
      <c r="BC11" s="103" t="n"/>
      <c r="BD11" s="64" t="n"/>
      <c r="BE11" s="64" t="n"/>
      <c r="BF11" s="64" t="n"/>
      <c r="BG11" s="64" t="n"/>
      <c r="BH11" s="64" t="n"/>
    </row>
    <row r="12" ht="16.5" customHeight="1">
      <c r="A12" s="600" t="n"/>
      <c r="B12" s="600" t="n"/>
      <c r="C12" s="600" t="n"/>
      <c r="D12" s="600" t="n"/>
      <c r="E12" s="600" t="n"/>
      <c r="F12" s="600" t="n"/>
      <c r="G12" s="600" t="n"/>
      <c r="H12" s="600" t="n"/>
      <c r="I12" s="600" t="n"/>
      <c r="J12" s="600" t="n"/>
      <c r="K12" s="600" t="n"/>
      <c r="L12" s="600" t="n"/>
      <c r="M12" s="600" t="n"/>
      <c r="N12" s="600" t="n"/>
      <c r="O12" s="600" t="inlineStr">
        <is>
          <t xml:space="preserve">                                                   </t>
        </is>
      </c>
      <c r="P12" s="600" t="n"/>
      <c r="Q12" s="600" t="n"/>
      <c r="R12" s="600" t="n"/>
      <c r="S12" s="600" t="n"/>
      <c r="T12" s="600" t="n"/>
      <c r="U12" s="600" t="n"/>
      <c r="V12" s="600" t="n"/>
      <c r="W12" s="600" t="n"/>
      <c r="X12" s="600" t="n"/>
      <c r="Y12" s="600" t="n"/>
      <c r="Z12" s="600" t="n"/>
      <c r="AA12" s="600" t="n"/>
      <c r="AB12" s="600" t="n"/>
      <c r="AC12" s="600" t="n"/>
      <c r="AD12" s="600" t="n"/>
      <c r="AE12" s="600" t="n"/>
      <c r="AF12" s="64" t="n"/>
      <c r="AG12" s="76" t="n"/>
      <c r="AH12" s="76" t="n"/>
      <c r="AI12" s="64" t="n"/>
      <c r="AJ12" s="64" t="n"/>
      <c r="AK12" s="64" t="n"/>
      <c r="AL12" s="76" t="n"/>
      <c r="AM12" s="76" t="n"/>
      <c r="AN12" s="76" t="n"/>
      <c r="AO12" s="77" t="n"/>
      <c r="AP12" s="77" t="n"/>
      <c r="AQ12" s="77" t="n"/>
      <c r="AR12" s="77" t="n"/>
      <c r="AS12" s="77" t="n"/>
      <c r="AT12" s="78" t="n"/>
      <c r="AU12" s="64" t="n"/>
      <c r="AV12" s="64" t="n"/>
      <c r="AW12" s="136" t="n"/>
      <c r="AX12" s="64" t="n"/>
      <c r="AY12" s="225" t="n"/>
      <c r="AZ12" s="225" t="n"/>
      <c r="BA12" s="136" t="n"/>
      <c r="BB12" s="103" t="n"/>
      <c r="BC12" s="103" t="n"/>
      <c r="BD12" s="64" t="n"/>
      <c r="BE12" s="64" t="n"/>
      <c r="BF12" s="64" t="n"/>
      <c r="BG12" s="64" t="n"/>
      <c r="BH12" s="64" t="n"/>
    </row>
    <row r="13" ht="192.75" customHeight="1">
      <c r="A13" s="197">
        <f>" Avwg/Avgiv "&amp;'Data Input'!D5&amp;",  Ò"&amp;'Data Input'!D8&amp;"Ó bvgxq  FY  †Km Gi Av‡e`b`bKvix "&amp;'Data Input'!D12&amp;", wcZvi bvgt "&amp;'Data Input'!D13&amp;", gvZvi bvgt "&amp;'Data Input'!D14&amp;", wVKvbvt "&amp;+'Data Input'!D17&amp;", Dc‡Rjvt "&amp;'Data Input'!D22&amp;", ‡Rjvt "&amp;'Data Input'!D23&amp;"| Avwg/Avgiv evsjv‡`k K…wl e¨vsK, "&amp;'Data Input'!D2&amp;", "&amp;'Data Input'!D2&amp;" n‡Z "&amp;'Data Input'!D10&amp;" cwiPvjbvi Rb¨ "&amp;'Data Input'!D11&amp;"/- ("&amp;ConvertCurrencyToBangla('Data Input'!D11)&amp;" )"&amp;" gvÎ PjwZ g~jab F‡Yi Av‡e`b K‡iwQ|"&amp;" eZ©gv‡b e¨emv cÖwZôvb m¤úmvi‡Yi D‡Ï‡k¨ "&amp;'Data Input'!D10&amp;" cwiPvjbvi Rb¨ cwiPvjb e¨q wnmv‡e "&amp;'Data Input'!D11+'Data Input'!G16&amp;" ( "&amp;ConvertCurrencyToBangla('Data Input'!D11+'Data Input'!G16) &amp;") gvÎ cÖ‡qvRb|"&amp;" hvi g‡a¨ "&amp;'Data Input'!G16&amp;" UvKv ( "&amp;ConvertCurrencyToBangla('Data Input'!G16)&amp;" ) gvÎ Avgvi/Avgv‡`i c‡ÿ wewb‡qvM Kiv  m¤¢e| D³ wewb‡qv‡Mi Drm wb¤œiƒct"</f>
        <v/>
      </c>
      <c r="AU13" s="64" t="n"/>
      <c r="AV13" s="76" t="n"/>
      <c r="AW13" s="198" t="n"/>
      <c r="AX13" s="76" t="n"/>
      <c r="AY13" s="198" t="n"/>
      <c r="AZ13" s="198" t="n"/>
      <c r="BA13" s="198" t="n"/>
      <c r="BB13" s="76" t="n"/>
      <c r="BC13" s="76" t="n"/>
      <c r="BD13" s="64" t="n"/>
      <c r="BE13" s="64" t="n"/>
      <c r="BF13" s="64" t="n"/>
      <c r="BG13" s="64" t="n"/>
      <c r="BH13" s="64" t="n"/>
    </row>
    <row r="14" ht="60" customHeight="1">
      <c r="A14" s="63" t="n"/>
      <c r="B14" s="199">
        <f>"1) cÖwZôv‡bi MZ eQ‡ii "&amp;'Data Input'!D10&amp;" cwiPvjb e¨q cÖwZ P‡µ "&amp;(#REF!)&amp;" ( "&amp;ConvertCurrencyToBangla((#REF!))&amp;" ) UvKv gvÎ Gi "&amp;AW14*100&amp;"% A_©vr "&amp;((#REF!*AW14)&amp;" UvKv ( "&amp;ConvertCurrencyToBangla((#REF!*AW14))&amp;" ) gvÎ|")</f>
        <v/>
      </c>
      <c r="AU14" s="64" t="n"/>
      <c r="AV14" s="200" t="inlineStr">
        <is>
          <t>cwiPvjb e¨q %</t>
        </is>
      </c>
      <c r="AW14" s="201" t="n">
        <v>0.3</v>
      </c>
      <c r="AX14" s="202" t="n"/>
      <c r="AY14" s="203" t="n"/>
      <c r="AZ14" s="205">
        <f>(#REF!*AW14)</f>
        <v/>
      </c>
      <c r="BA14" s="2756" t="n"/>
      <c r="BB14" s="76" t="n"/>
      <c r="BC14" s="76" t="n"/>
      <c r="BD14" s="64" t="n"/>
      <c r="BE14" s="64" t="n"/>
      <c r="BF14" s="64" t="n"/>
      <c r="BG14" s="64" t="n"/>
      <c r="BH14" s="64" t="n"/>
    </row>
    <row r="15" ht="44.25" customHeight="1">
      <c r="A15" s="63" t="n"/>
      <c r="B15" s="206">
        <f>"2)   MZ eQ‡i cÖwZôv‡b "&amp;'Data Input'!D10&amp;" cwiPvjbv Kivi ci eQ‡ii jf¨vs†ki "&amp;TEXT((+'Data Input'!D11+'Data Input'!G16)*AW15,0)&amp;" UvKv ( "&amp;ConvertCurrencyToBangla(TEXT((+'Data Input'!D11+'Data Input'!G16)*AW15,0))&amp;" ) gvÎ|"</f>
        <v/>
      </c>
      <c r="AU15" s="64" t="n"/>
      <c r="AV15" s="200" t="inlineStr">
        <is>
          <t>jvf</t>
        </is>
      </c>
      <c r="AW15" s="201" t="n">
        <v>0.12</v>
      </c>
      <c r="AX15" s="202" t="n"/>
      <c r="AY15" s="203" t="n"/>
      <c r="AZ15" s="2757">
        <f>TEXT((+'Data Input'!D11+'Data Input'!G16)*AW15,0)</f>
        <v/>
      </c>
      <c r="BA15" s="2756" t="n"/>
      <c r="BB15" s="76" t="n"/>
      <c r="BC15" s="76" t="n"/>
      <c r="BD15" s="64" t="n"/>
      <c r="BE15" s="64" t="n"/>
      <c r="BF15" s="64" t="n"/>
      <c r="BG15" s="64" t="n"/>
      <c r="BH15" s="64" t="n"/>
    </row>
    <row r="16" ht="18" customHeight="1">
      <c r="A16" s="63" t="n"/>
      <c r="B16" s="2583">
        <f>"3)   K…wl Rwg‡Z Drcbœ "&amp;AW16&amp;" "&amp;AX16&amp;" "&amp;AV16&amp;", cÖwZ "&amp;AX16&amp;" "&amp;AY16&amp;" UvKv `‡i "&amp;AW16*AY16&amp;" UvKv ( "&amp;ConvertCurrencyToBangla(AW16*AY16)&amp;" ) Ges "&amp;AY17&amp;" UvKv `‡i "&amp;AW17&amp;" "&amp;AX17&amp;" "&amp;AV17&amp;" weµq eve` cÖvß "&amp;AW17*AY17&amp;" ("&amp;ConvertCurrencyToBangla(AW17*AY17)&amp;" ), me©†gvU "&amp;AW16*AY16+AW17*AY17&amp;" UvKv  ( "&amp;ConvertCurrencyToBangla(AW16*AY16+AW17*AY17)&amp;" ) gvÎ Avq nq|"</f>
        <v/>
      </c>
      <c r="AU16" s="64" t="n"/>
      <c r="AV16" s="209" t="inlineStr">
        <is>
          <t>avb</t>
        </is>
      </c>
      <c r="AW16" s="210" t="n">
        <v>120</v>
      </c>
      <c r="AX16" s="211" t="inlineStr">
        <is>
          <t>gY</t>
        </is>
      </c>
      <c r="AY16" s="210" t="n">
        <v>1400</v>
      </c>
      <c r="AZ16" s="46">
        <f>+AW16*AY16</f>
        <v/>
      </c>
      <c r="BA16" s="2758">
        <f>SUM(AZ16:AZ19)</f>
        <v/>
      </c>
      <c r="BB16" s="76" t="n"/>
      <c r="BC16" s="76" t="n"/>
      <c r="BD16" s="64" t="n"/>
      <c r="BE16" s="64" t="n"/>
      <c r="BF16" s="64" t="n"/>
      <c r="BG16" s="64" t="n"/>
      <c r="BH16" s="64" t="n"/>
    </row>
    <row r="17" ht="18" customHeight="1">
      <c r="A17" s="63" t="n"/>
      <c r="AU17" s="64" t="n"/>
      <c r="AV17" s="213" t="inlineStr">
        <is>
          <t>cvU</t>
        </is>
      </c>
      <c r="AW17" s="214" t="n">
        <v>100</v>
      </c>
      <c r="AX17" s="215" t="inlineStr">
        <is>
          <t>gY</t>
        </is>
      </c>
      <c r="AY17" s="214" t="n">
        <v>3000</v>
      </c>
      <c r="AZ17" s="216">
        <f>+AW17*AY17</f>
        <v/>
      </c>
      <c r="BA17" s="2744" t="n"/>
      <c r="BB17" s="76" t="n"/>
      <c r="BC17" s="76" t="n"/>
      <c r="BD17" s="64" t="n"/>
      <c r="BE17" s="64" t="n"/>
      <c r="BF17" s="64" t="n"/>
      <c r="BG17" s="64" t="n"/>
      <c r="BH17" s="64" t="n"/>
    </row>
    <row r="18" ht="18" customFormat="1" customHeight="1" s="18">
      <c r="A18" s="375" t="n"/>
      <c r="AU18" s="103" t="n"/>
      <c r="AV18" s="76" t="n"/>
      <c r="AW18" s="198" t="n"/>
      <c r="AX18" s="76" t="n"/>
      <c r="AY18" s="198" t="n"/>
      <c r="AZ18" s="198" t="n"/>
      <c r="BA18" s="198">
        <f>+AZ14+AZ15+BA16</f>
        <v/>
      </c>
      <c r="BB18" s="76" t="n"/>
      <c r="BC18" s="76" t="n"/>
      <c r="BD18" s="103" t="n"/>
      <c r="BE18" s="103" t="n"/>
      <c r="BF18" s="103" t="n"/>
      <c r="BG18" s="103" t="n"/>
      <c r="BH18" s="103" t="n"/>
    </row>
    <row r="19" ht="3.75" customHeight="1">
      <c r="A19" s="63" t="n"/>
      <c r="AU19" s="64" t="n"/>
      <c r="AV19" s="64" t="n"/>
      <c r="AW19" s="136" t="n"/>
      <c r="AX19" s="64" t="n"/>
      <c r="AY19" s="225" t="n"/>
      <c r="AZ19" s="225" t="n"/>
      <c r="BA19" s="111">
        <f>SUM(BA14:BA18)</f>
        <v/>
      </c>
      <c r="BB19" s="103" t="n"/>
      <c r="BC19" s="103" t="n"/>
      <c r="BD19" s="64" t="n"/>
      <c r="BE19" s="64" t="n"/>
      <c r="BF19" s="64" t="n"/>
      <c r="BG19" s="64" t="n"/>
      <c r="BH19" s="64" t="n"/>
    </row>
    <row r="20" ht="68.25" customFormat="1" customHeight="1" s="18">
      <c r="A20" s="199">
        <f>"Dc‡iv³ (1+2+3) n‡Z cÖvß "&amp;BA18&amp;" UvKv ( "&amp;ConvertCurrencyToBangla(BA18)&amp;" ) gvÎ Gi g‡a¨ "&amp;'Data Input'!G16&amp;"  UvKv ( "&amp;ConvertCurrencyToBangla('Data Input'!G16)&amp;" ) gvÎ hv PjwZ eQ‡i "&amp;'Data Input'!D10&amp;" cwiPvjbvi Rb¨ cÖwZôv‡bi m¤úªmvi‡Yi D‡Ï‡k¨ Avwg wewb‡qvM K‡iwQ| "</f>
        <v/>
      </c>
      <c r="AU20" s="103" t="n"/>
      <c r="AV20" s="103" t="n"/>
      <c r="AW20" s="225" t="n"/>
      <c r="AX20" s="103" t="n"/>
      <c r="AY20" s="225" t="n"/>
      <c r="AZ20" s="225" t="n"/>
      <c r="BA20" s="198" t="n"/>
      <c r="BB20" s="103" t="n"/>
      <c r="BC20" s="103" t="n"/>
      <c r="BD20" s="103" t="n"/>
      <c r="BE20" s="103" t="n"/>
      <c r="BF20" s="103" t="n"/>
      <c r="BG20" s="103" t="n"/>
      <c r="BH20" s="103" t="n"/>
    </row>
    <row r="21" ht="48" customHeight="1">
      <c r="A21" s="63" t="n"/>
      <c r="B21" s="218" t="n"/>
      <c r="C21" s="64" t="n"/>
      <c r="D21" s="64" t="n"/>
      <c r="E21" s="64" t="n"/>
      <c r="F21" s="64" t="n"/>
      <c r="G21" s="64" t="n"/>
      <c r="H21" s="64" t="n"/>
      <c r="I21" s="64" t="n"/>
      <c r="J21" s="64" t="n"/>
      <c r="K21" s="64" t="n"/>
      <c r="L21" s="64" t="n"/>
      <c r="M21" s="64" t="n"/>
      <c r="N21" s="64" t="n"/>
      <c r="O21" s="64" t="n"/>
      <c r="P21" s="600" t="n"/>
      <c r="Q21" s="600" t="n"/>
      <c r="R21" s="600" t="n"/>
      <c r="S21" s="600" t="n"/>
      <c r="T21" s="600" t="n"/>
      <c r="U21" s="600" t="n"/>
      <c r="V21" s="600" t="n"/>
      <c r="W21" s="600" t="n"/>
      <c r="X21" s="600" t="n"/>
      <c r="Y21" s="600" t="n"/>
      <c r="Z21" s="600" t="n"/>
      <c r="AA21" s="600" t="n"/>
      <c r="AB21" s="600" t="n"/>
      <c r="AC21" s="600" t="n"/>
      <c r="AD21" s="600" t="n"/>
      <c r="AE21" s="600" t="n"/>
      <c r="AF21" s="600" t="n"/>
      <c r="AU21" s="64" t="n"/>
      <c r="AV21" s="64" t="n"/>
      <c r="AW21" s="136" t="n"/>
      <c r="AX21" s="64" t="n"/>
      <c r="AY21" s="225" t="n"/>
      <c r="AZ21" s="225" t="n"/>
      <c r="BA21" s="136" t="n"/>
      <c r="BB21" s="103" t="n"/>
      <c r="BC21" s="103" t="n"/>
      <c r="BD21" s="64" t="n"/>
      <c r="BE21" s="64" t="n"/>
      <c r="BF21" s="64" t="n"/>
      <c r="BG21" s="64" t="n"/>
      <c r="BH21" s="64" t="n"/>
    </row>
    <row r="22" ht="18.75" customHeight="1">
      <c r="A22" s="63" t="n"/>
      <c r="B22" s="218" t="n"/>
      <c r="C22" s="64" t="n"/>
      <c r="D22" s="64" t="n"/>
      <c r="E22" s="64" t="n"/>
      <c r="F22" s="64" t="n"/>
      <c r="G22" s="64" t="n"/>
      <c r="H22" s="64" t="n"/>
      <c r="I22" s="64" t="n"/>
      <c r="J22" s="64" t="n"/>
      <c r="K22" s="64" t="n"/>
      <c r="L22" s="64" t="n"/>
      <c r="M22" s="64" t="n"/>
      <c r="N22" s="64" t="n"/>
      <c r="O22" s="64" t="n"/>
      <c r="P22" s="219" t="inlineStr">
        <is>
          <t>¯^Z¡vwaKvix</t>
        </is>
      </c>
      <c r="AI22" s="1964" t="n"/>
      <c r="AJ22" s="1964" t="n"/>
      <c r="AK22" s="1964" t="n"/>
      <c r="AL22" s="1964" t="n"/>
      <c r="AM22" s="1964" t="n"/>
      <c r="AN22" s="1964" t="n"/>
      <c r="AO22" s="1964" t="n"/>
      <c r="AP22" s="1964" t="n"/>
      <c r="AQ22" s="1964" t="n"/>
      <c r="AR22" s="1964" t="n"/>
      <c r="AS22" s="1964" t="n"/>
      <c r="AT22" s="1964" t="n"/>
      <c r="AU22" s="64" t="n"/>
      <c r="AV22" s="64" t="n"/>
      <c r="AW22" s="136" t="n"/>
      <c r="AX22" s="64" t="n"/>
      <c r="AY22" s="225" t="n"/>
      <c r="AZ22" s="225" t="n"/>
      <c r="BA22" s="136" t="n"/>
      <c r="BB22" s="103" t="n"/>
      <c r="BC22" s="103" t="n"/>
      <c r="BD22" s="64" t="n"/>
      <c r="BE22" s="64" t="n"/>
      <c r="BF22" s="64" t="n"/>
      <c r="BG22" s="64" t="n"/>
      <c r="BH22" s="64" t="n"/>
    </row>
    <row r="23" ht="18.75" customHeight="1">
      <c r="A23" s="63" t="n"/>
      <c r="B23" s="218" t="n"/>
      <c r="C23" s="64" t="n"/>
      <c r="D23" s="64" t="n"/>
      <c r="E23" s="64" t="n"/>
      <c r="F23" s="64" t="n"/>
      <c r="G23" s="64" t="n"/>
      <c r="H23" s="64" t="n"/>
      <c r="I23" s="64" t="n"/>
      <c r="J23" s="64" t="n"/>
      <c r="K23" s="64" t="n"/>
      <c r="L23" s="64" t="n"/>
      <c r="M23" s="64" t="n"/>
      <c r="N23" s="64" t="n"/>
      <c r="O23" s="64" t="n"/>
      <c r="P23" s="219">
        <f>+'Data Input'!D8</f>
        <v/>
      </c>
      <c r="AI23" s="1964" t="n"/>
      <c r="AJ23" s="1964" t="n"/>
      <c r="AK23" s="1964" t="n"/>
      <c r="AL23" s="1964" t="n"/>
      <c r="AM23" s="1964" t="n"/>
      <c r="AN23" s="1964" t="n"/>
      <c r="AO23" s="1964" t="n"/>
      <c r="AP23" s="1964" t="n"/>
      <c r="AQ23" s="1964" t="n"/>
      <c r="AR23" s="1964" t="n"/>
      <c r="AS23" s="1964" t="n"/>
      <c r="AT23" s="1964" t="n"/>
      <c r="AU23" s="64" t="n"/>
      <c r="AV23" s="64" t="n"/>
      <c r="AW23" s="136" t="n"/>
      <c r="AX23" s="64" t="n"/>
      <c r="AY23" s="225" t="n"/>
      <c r="AZ23" s="225" t="n"/>
      <c r="BA23" s="136" t="n"/>
      <c r="BB23" s="103" t="n"/>
      <c r="BC23" s="103" t="n"/>
      <c r="BD23" s="64" t="n"/>
      <c r="BE23" s="64" t="n"/>
      <c r="BF23" s="64" t="n"/>
      <c r="BG23" s="64" t="n"/>
      <c r="BH23" s="64" t="n"/>
    </row>
    <row r="24" ht="18.75" customFormat="1" customHeight="1" s="18">
      <c r="A24" s="375" t="n"/>
      <c r="B24" s="220" t="n"/>
      <c r="C24" s="103" t="n"/>
      <c r="D24" s="103" t="n"/>
      <c r="E24" s="103" t="n"/>
      <c r="F24" s="103" t="n"/>
      <c r="G24" s="103" t="n"/>
      <c r="H24" s="103" t="n"/>
      <c r="I24" s="103" t="n"/>
      <c r="J24" s="103" t="n"/>
      <c r="K24" s="103" t="n"/>
      <c r="L24" s="103" t="n"/>
      <c r="M24" s="103" t="n"/>
      <c r="N24" s="103" t="n"/>
      <c r="O24" s="103" t="n"/>
      <c r="P24" s="222">
        <f>+'Data Input'!D12</f>
        <v/>
      </c>
      <c r="AI24" s="199" t="n"/>
      <c r="AJ24" s="199" t="n"/>
      <c r="AK24" s="199" t="n"/>
      <c r="AL24" s="199" t="n"/>
      <c r="AM24" s="199" t="n"/>
      <c r="AN24" s="199" t="n"/>
      <c r="AO24" s="199" t="n"/>
      <c r="AP24" s="199" t="n"/>
      <c r="AQ24" s="199" t="n"/>
      <c r="AR24" s="199" t="n"/>
      <c r="AS24" s="199" t="n"/>
      <c r="AT24" s="199" t="n"/>
      <c r="AU24" s="103" t="n"/>
      <c r="AV24" s="103" t="n"/>
      <c r="AW24" s="225" t="n"/>
      <c r="AX24" s="103" t="n"/>
      <c r="AY24" s="225" t="n"/>
      <c r="AZ24" s="225" t="n"/>
      <c r="BA24" s="225" t="n"/>
      <c r="BB24" s="103" t="n"/>
      <c r="BC24" s="103" t="n"/>
      <c r="BD24" s="103" t="n"/>
      <c r="BE24" s="103" t="n"/>
      <c r="BF24" s="103" t="n"/>
      <c r="BG24" s="103" t="n"/>
      <c r="BH24" s="103" t="n"/>
    </row>
    <row r="25" ht="18" customFormat="1" customHeight="1" s="18">
      <c r="A25" s="375" t="n"/>
      <c r="B25" s="220" t="n"/>
      <c r="C25" s="103" t="n"/>
      <c r="D25" s="103" t="n"/>
      <c r="E25" s="103" t="n"/>
      <c r="F25" s="103" t="n"/>
      <c r="G25" s="103" t="n"/>
      <c r="H25" s="103" t="n"/>
      <c r="I25" s="103" t="n"/>
      <c r="J25" s="103" t="n"/>
      <c r="K25" s="103" t="n"/>
      <c r="L25" s="103" t="n"/>
      <c r="M25" s="103" t="n"/>
      <c r="N25" s="103" t="n"/>
      <c r="O25" s="103" t="n"/>
      <c r="P25" s="222" t="n"/>
      <c r="AI25" s="199" t="n"/>
      <c r="AJ25" s="199" t="n"/>
      <c r="AK25" s="199" t="n"/>
      <c r="AL25" s="199" t="n"/>
      <c r="AM25" s="199" t="n"/>
      <c r="AN25" s="199" t="n"/>
      <c r="AO25" s="199" t="n"/>
      <c r="AP25" s="199" t="n"/>
      <c r="AQ25" s="199" t="n"/>
      <c r="AR25" s="199" t="n"/>
      <c r="AS25" s="199" t="n"/>
      <c r="AT25" s="199" t="n"/>
      <c r="AU25" s="103" t="n"/>
      <c r="AV25" s="103" t="n"/>
      <c r="AW25" s="225" t="n"/>
      <c r="AX25" s="103" t="n"/>
      <c r="AY25" s="225" t="n"/>
      <c r="AZ25" s="225" t="n"/>
      <c r="BA25" s="225" t="n"/>
      <c r="BB25" s="103" t="n"/>
      <c r="BC25" s="103" t="n"/>
      <c r="BD25" s="103" t="n"/>
      <c r="BE25" s="103" t="n"/>
      <c r="BF25" s="103" t="n"/>
      <c r="BG25" s="103" t="n"/>
      <c r="BH25" s="103" t="n"/>
    </row>
    <row r="26" ht="42.75" customHeight="1">
      <c r="A26" s="63" t="n"/>
      <c r="B26" s="218" t="n"/>
      <c r="C26" s="64" t="n"/>
      <c r="D26" s="64" t="n"/>
      <c r="E26" s="64" t="n"/>
      <c r="F26" s="64" t="n"/>
      <c r="G26" s="64" t="n"/>
      <c r="H26" s="64" t="n"/>
      <c r="I26" s="64" t="n"/>
      <c r="J26" s="64" t="n"/>
      <c r="K26" s="64" t="n"/>
      <c r="L26" s="64" t="n"/>
      <c r="M26" s="64" t="n"/>
      <c r="N26" s="64" t="n"/>
      <c r="O26" s="64" t="n"/>
      <c r="P26" s="64" t="n"/>
      <c r="Q26" s="64" t="n"/>
      <c r="R26" s="64" t="n"/>
      <c r="S26" s="64" t="n"/>
      <c r="T26" s="64" t="n"/>
      <c r="U26" s="64" t="n"/>
      <c r="V26" s="64" t="n"/>
      <c r="W26" s="600" t="n"/>
      <c r="X26" s="600" t="n"/>
      <c r="Y26" s="600" t="n"/>
      <c r="Z26" s="600" t="n"/>
      <c r="AA26" s="62" t="n"/>
      <c r="AB26" s="62" t="n"/>
      <c r="AC26" s="62" t="n"/>
      <c r="AD26" s="62" t="n"/>
      <c r="AE26" s="62" t="n"/>
      <c r="AF26" s="62" t="n"/>
      <c r="AG26" s="62" t="n"/>
      <c r="AH26" s="62" t="n"/>
      <c r="AI26" s="62" t="n"/>
      <c r="AJ26" s="62" t="n"/>
      <c r="AK26" s="62" t="n"/>
      <c r="AL26" s="62" t="n"/>
      <c r="AM26" s="62" t="n"/>
      <c r="AN26" s="62" t="n"/>
      <c r="AO26" s="62" t="n"/>
      <c r="AP26" s="62" t="n"/>
      <c r="AQ26" s="62" t="n"/>
      <c r="AR26" s="62" t="n"/>
      <c r="AS26" s="62" t="n"/>
      <c r="AT26" s="62" t="n"/>
      <c r="AU26" s="64" t="n"/>
      <c r="AV26" s="64" t="n"/>
      <c r="AW26" s="136" t="n"/>
      <c r="AX26" s="64" t="n"/>
      <c r="AY26" s="225" t="n"/>
      <c r="AZ26" s="225" t="n"/>
      <c r="BA26" s="136" t="n"/>
      <c r="BB26" s="103" t="n"/>
      <c r="BC26" s="103" t="n"/>
      <c r="BD26" s="64" t="n"/>
      <c r="BE26" s="64" t="n"/>
      <c r="BF26" s="64" t="n"/>
      <c r="BG26" s="64" t="n"/>
      <c r="BH26" s="64" t="n"/>
    </row>
    <row r="27" ht="16.5" customHeight="1">
      <c r="A27" s="63" t="n"/>
      <c r="B27" s="223" t="inlineStr">
        <is>
          <t>Kg©KZ©v</t>
        </is>
      </c>
      <c r="C27" s="2624" t="n"/>
      <c r="D27" s="2624" t="n"/>
      <c r="E27" s="2624" t="n"/>
      <c r="F27" s="2624" t="n"/>
      <c r="G27" s="2624" t="n"/>
      <c r="H27" s="2624" t="n"/>
      <c r="I27" s="2624" t="n"/>
      <c r="J27" s="2624" t="n"/>
      <c r="K27" s="2624" t="n"/>
      <c r="L27" s="2624" t="n"/>
      <c r="M27" s="1964" t="n"/>
      <c r="N27" s="1964" t="n"/>
      <c r="O27" s="1964" t="n"/>
      <c r="P27" s="1964" t="n"/>
      <c r="Q27" s="64" t="n"/>
      <c r="R27" s="1964" t="n"/>
      <c r="S27" s="1964" t="n"/>
      <c r="T27" s="1964" t="n"/>
      <c r="U27" s="1964" t="n"/>
      <c r="V27" s="1964" t="n"/>
      <c r="W27" s="1964" t="n"/>
      <c r="X27" s="1964" t="n"/>
      <c r="Y27" s="1964" t="n"/>
      <c r="Z27" s="1964" t="n"/>
      <c r="AA27" s="1964" t="n"/>
      <c r="AB27" s="1964" t="n"/>
      <c r="AC27" s="1964" t="n"/>
      <c r="AD27" s="64" t="n"/>
      <c r="AE27" s="64" t="n"/>
      <c r="AF27" s="64" t="n"/>
      <c r="AG27" s="64" t="n"/>
      <c r="AH27" s="64" t="n"/>
      <c r="AI27" s="64" t="n"/>
      <c r="AJ27" s="64" t="n"/>
      <c r="AK27" s="223" t="inlineStr">
        <is>
          <t>e¨e¯’vcK</t>
        </is>
      </c>
      <c r="AL27" s="2624" t="n"/>
      <c r="AM27" s="2624" t="n"/>
      <c r="AN27" s="2624" t="n"/>
      <c r="AO27" s="2624" t="n"/>
      <c r="AP27" s="2624" t="n"/>
      <c r="AQ27" s="2624" t="n"/>
      <c r="AR27" s="2624" t="n"/>
      <c r="AS27" s="2624" t="n"/>
      <c r="AT27" s="93" t="n"/>
      <c r="AU27" s="64" t="n"/>
      <c r="AV27" s="64" t="n"/>
      <c r="AW27" s="136" t="n"/>
      <c r="AX27" s="64" t="n"/>
      <c r="AY27" s="225" t="n"/>
      <c r="AZ27" s="225" t="n"/>
      <c r="BA27" s="136" t="n"/>
      <c r="BB27" s="103" t="n"/>
      <c r="BC27" s="103" t="n"/>
      <c r="BD27" s="64" t="n"/>
      <c r="BE27" s="64" t="n"/>
      <c r="BF27" s="64" t="n"/>
      <c r="BG27" s="64" t="n"/>
      <c r="BH27" s="64" t="n"/>
    </row>
    <row r="28" ht="18.75" customHeight="1">
      <c r="A28" s="63" t="n"/>
      <c r="B28" s="219" t="inlineStr">
        <is>
          <t>evsjv‡`k K…wl e¨vsK</t>
        </is>
      </c>
      <c r="M28" s="1964" t="n"/>
      <c r="N28" s="1964" t="n"/>
      <c r="O28" s="64" t="n"/>
      <c r="P28" s="1964" t="n"/>
      <c r="Q28" s="1964" t="n"/>
      <c r="R28" s="1964" t="n"/>
      <c r="S28" s="1964" t="n"/>
      <c r="T28" s="1964" t="n"/>
      <c r="U28" s="1964" t="n"/>
      <c r="V28" s="1964" t="n"/>
      <c r="W28" s="1964" t="n"/>
      <c r="X28" s="1964" t="n"/>
      <c r="Y28" s="1964" t="n"/>
      <c r="Z28" s="1964" t="n"/>
      <c r="AA28" s="1964" t="n"/>
      <c r="AB28" s="1964" t="n"/>
      <c r="AC28" s="1964" t="n"/>
      <c r="AD28" s="1964" t="n"/>
      <c r="AE28" s="64" t="n"/>
      <c r="AF28" s="64" t="n"/>
      <c r="AG28" s="64" t="n"/>
      <c r="AH28" s="64" t="n"/>
      <c r="AI28" s="64" t="n"/>
      <c r="AJ28" s="64" t="n"/>
      <c r="AK28" s="219" t="inlineStr">
        <is>
          <t>evsjv‡`k K…wl e¨vsK</t>
        </is>
      </c>
      <c r="AT28" s="93" t="n"/>
      <c r="AU28" s="64" t="n"/>
      <c r="AV28" s="64" t="n"/>
      <c r="AW28" s="136" t="n"/>
      <c r="AX28" s="222" t="n"/>
      <c r="AY28" s="224" t="n"/>
      <c r="AZ28" s="224" t="n"/>
      <c r="BA28" s="224" t="n"/>
      <c r="BB28" s="222" t="n"/>
      <c r="BC28" s="103" t="n"/>
      <c r="BD28" s="64" t="n"/>
      <c r="BE28" s="64" t="n"/>
      <c r="BF28" s="64" t="n"/>
      <c r="BG28" s="64" t="n"/>
      <c r="BH28" s="64" t="n"/>
    </row>
    <row r="29" ht="17.25" customHeight="1">
      <c r="A29" s="63" t="n"/>
      <c r="B29" s="219">
        <f>+'Data Input'!D2</f>
        <v/>
      </c>
      <c r="M29" s="1964" t="n"/>
      <c r="N29" s="96" t="n"/>
      <c r="O29" s="64" t="n"/>
      <c r="P29" s="1964" t="n"/>
      <c r="Q29" s="1964" t="n"/>
      <c r="R29" s="1964" t="n"/>
      <c r="S29" s="1964" t="n"/>
      <c r="T29" s="1964" t="n"/>
      <c r="U29" s="1964" t="n"/>
      <c r="V29" s="1964" t="n"/>
      <c r="W29" s="1964" t="n"/>
      <c r="X29" s="1964" t="n"/>
      <c r="Y29" s="1964" t="n"/>
      <c r="Z29" s="1964" t="n"/>
      <c r="AA29" s="1964" t="n"/>
      <c r="AB29" s="1964" t="n"/>
      <c r="AC29" s="1964" t="n"/>
      <c r="AD29" s="1964" t="n"/>
      <c r="AE29" s="219" t="n"/>
      <c r="AF29" s="219" t="n"/>
      <c r="AG29" s="219" t="n"/>
      <c r="AH29" s="64" t="n"/>
      <c r="AI29" s="219">
        <f>+'Data Input'!D2</f>
        <v/>
      </c>
      <c r="AU29" s="64" t="n"/>
      <c r="AV29" s="64" t="n"/>
      <c r="AW29" s="136" t="n"/>
      <c r="AX29" s="222" t="n"/>
      <c r="AY29" s="224" t="n"/>
      <c r="AZ29" s="224" t="n"/>
      <c r="BA29" s="224" t="n"/>
      <c r="BB29" s="222" t="n"/>
      <c r="BC29" s="103" t="n"/>
      <c r="BD29" s="64" t="n"/>
      <c r="BE29" s="64" t="n"/>
      <c r="BF29" s="64" t="n"/>
      <c r="BG29" s="64" t="n"/>
      <c r="BH29" s="64" t="n"/>
    </row>
    <row r="30" ht="22.5" customFormat="1" customHeight="1" s="18">
      <c r="A30" s="375" t="n"/>
      <c r="B30" s="220" t="n"/>
      <c r="C30" s="103" t="n"/>
      <c r="D30" s="103" t="n"/>
      <c r="E30" s="103" t="n"/>
      <c r="F30" s="103" t="n"/>
      <c r="G30" s="103" t="n"/>
      <c r="H30" s="103" t="n"/>
      <c r="I30" s="103" t="n"/>
      <c r="J30" s="103" t="n"/>
      <c r="K30" s="103" t="n"/>
      <c r="L30" s="103" t="n"/>
      <c r="M30" s="103" t="n"/>
      <c r="N30" s="103" t="n"/>
      <c r="O30" s="103" t="n"/>
      <c r="P30" s="103" t="n"/>
      <c r="Q30" s="103" t="n"/>
      <c r="R30" s="103" t="n"/>
      <c r="S30" s="103" t="n"/>
      <c r="T30" s="103" t="n"/>
      <c r="U30" s="103" t="n"/>
      <c r="V30" s="103" t="n"/>
      <c r="W30" s="103" t="n"/>
      <c r="X30" s="103" t="n"/>
      <c r="Y30" s="103" t="n"/>
      <c r="Z30" s="103" t="n"/>
      <c r="AA30" s="83" t="n"/>
      <c r="AB30" s="83" t="n"/>
      <c r="AC30" s="83" t="n"/>
      <c r="AD30" s="83" t="n"/>
      <c r="AE30" s="83" t="n"/>
      <c r="AF30" s="83" t="n"/>
      <c r="AG30" s="83" t="n"/>
      <c r="AH30" s="83" t="n"/>
      <c r="AI30" s="83" t="n"/>
      <c r="AJ30" s="83" t="n"/>
      <c r="AK30" s="83" t="n"/>
      <c r="AL30" s="83" t="n"/>
      <c r="AM30" s="83" t="n"/>
      <c r="AN30" s="83" t="n"/>
      <c r="AO30" s="83" t="n"/>
      <c r="AP30" s="83" t="n"/>
      <c r="AQ30" s="83" t="n"/>
      <c r="AR30" s="103" t="n"/>
      <c r="AS30" s="103" t="n"/>
      <c r="AT30" s="103" t="n"/>
      <c r="AU30" s="103" t="n"/>
      <c r="AV30" s="103" t="n"/>
      <c r="AW30" s="225" t="n"/>
      <c r="AX30" s="103" t="n"/>
      <c r="AY30" s="225" t="n"/>
      <c r="AZ30" s="225" t="n"/>
      <c r="BA30" s="225" t="n"/>
      <c r="BB30" s="103" t="n"/>
      <c r="BC30" s="103" t="n"/>
      <c r="BD30" s="103" t="n"/>
      <c r="BE30" s="103" t="n"/>
      <c r="BF30" s="103" t="n"/>
      <c r="BG30" s="103" t="n"/>
      <c r="BH30" s="103" t="n"/>
    </row>
    <row r="31" ht="22.5" customHeight="1">
      <c r="A31" s="600" t="n"/>
      <c r="B31" s="186" t="n"/>
      <c r="C31" s="64" t="n"/>
      <c r="D31" s="64" t="n"/>
      <c r="E31" s="64" t="n"/>
      <c r="F31" s="64" t="n"/>
      <c r="G31" s="64" t="n"/>
      <c r="H31" s="64" t="n"/>
      <c r="I31" s="64" t="n"/>
      <c r="J31" s="64" t="n"/>
      <c r="K31" s="64" t="n"/>
      <c r="L31" s="64" t="n"/>
      <c r="M31" s="64" t="n"/>
      <c r="N31" s="64" t="n"/>
      <c r="O31" s="64" t="n"/>
      <c r="P31" s="64" t="n"/>
      <c r="Q31" s="64" t="n"/>
      <c r="R31" s="64" t="n"/>
      <c r="S31" s="64" t="n"/>
      <c r="T31" s="64" t="n"/>
      <c r="U31" s="64" t="n"/>
      <c r="V31" s="64" t="n"/>
      <c r="W31" s="64" t="n"/>
      <c r="X31" s="64" t="n"/>
      <c r="Y31" s="64" t="n"/>
      <c r="Z31" s="64" t="n"/>
      <c r="AA31" s="64" t="n"/>
      <c r="AB31" s="64" t="n"/>
      <c r="AC31" s="64" t="n"/>
      <c r="AD31" s="64" t="n"/>
      <c r="AE31" s="64" t="n"/>
      <c r="AF31" s="64" t="n"/>
      <c r="AG31" s="64" t="n"/>
      <c r="AH31" s="64" t="n"/>
      <c r="AI31" s="64" t="n"/>
      <c r="AJ31" s="64" t="n"/>
      <c r="AK31" s="64" t="n"/>
      <c r="AL31" s="64" t="n"/>
      <c r="AM31" s="64" t="n"/>
      <c r="AN31" s="64" t="n"/>
      <c r="AO31" s="64" t="n"/>
      <c r="AP31" s="64" t="n"/>
      <c r="AQ31" s="64" t="n"/>
      <c r="AR31" s="64" t="n"/>
      <c r="AS31" s="64" t="n"/>
      <c r="AT31" s="64" t="n"/>
      <c r="AU31" s="64" t="n"/>
      <c r="AV31" s="64" t="n"/>
      <c r="AW31" s="136" t="n"/>
      <c r="AX31" s="64" t="n"/>
      <c r="AY31" s="225" t="n"/>
      <c r="AZ31" s="225" t="n"/>
      <c r="BA31" s="136" t="n"/>
      <c r="BB31" s="103" t="n"/>
      <c r="BC31" s="103" t="n"/>
      <c r="BD31" s="64" t="n"/>
      <c r="BE31" s="64" t="n"/>
      <c r="BF31" s="64" t="n"/>
      <c r="BG31" s="64" t="n"/>
      <c r="BH31" s="64" t="n"/>
    </row>
    <row r="32" ht="22.5" customHeight="1">
      <c r="A32" s="600" t="n"/>
      <c r="B32" s="186" t="n"/>
      <c r="C32" s="64" t="n"/>
      <c r="D32" s="64" t="n"/>
      <c r="E32" s="64" t="n"/>
      <c r="F32" s="64" t="n"/>
      <c r="G32" s="64" t="n"/>
      <c r="H32" s="64" t="n"/>
      <c r="I32" s="64" t="n"/>
      <c r="J32" s="64" t="n"/>
      <c r="K32" s="64" t="n"/>
      <c r="L32" s="64" t="n"/>
      <c r="M32" s="64" t="n"/>
      <c r="N32" s="64" t="n"/>
      <c r="O32" s="64" t="n"/>
      <c r="P32" s="64" t="n"/>
      <c r="Q32" s="64" t="n"/>
      <c r="R32" s="64" t="n"/>
      <c r="S32" s="64" t="n"/>
      <c r="T32" s="64" t="n"/>
      <c r="U32" s="64" t="n"/>
      <c r="V32" s="64" t="n"/>
      <c r="W32" s="64" t="n"/>
      <c r="X32" s="64" t="n"/>
      <c r="Y32" s="64" t="n"/>
      <c r="Z32" s="64" t="n"/>
      <c r="AA32" s="64" t="n"/>
      <c r="AB32" s="64" t="n"/>
      <c r="AC32" s="64" t="n"/>
      <c r="AD32" s="64" t="n"/>
      <c r="AE32" s="64" t="n"/>
      <c r="AF32" s="64" t="n"/>
      <c r="AG32" s="64" t="n"/>
      <c r="AH32" s="64" t="n"/>
      <c r="AI32" s="64" t="n"/>
      <c r="AJ32" s="64" t="n"/>
      <c r="AK32" s="64" t="n"/>
      <c r="AL32" s="64" t="n"/>
      <c r="AM32" s="64" t="n"/>
      <c r="AN32" s="64" t="n"/>
      <c r="AO32" s="64" t="n"/>
      <c r="AP32" s="64" t="n"/>
      <c r="AQ32" s="64" t="n"/>
      <c r="AR32" s="64" t="n"/>
      <c r="AS32" s="64" t="n"/>
      <c r="AT32" s="64" t="n"/>
      <c r="AU32" s="64" t="n"/>
      <c r="AV32" s="64" t="n"/>
      <c r="AW32" s="136" t="n"/>
      <c r="AX32" s="64" t="n"/>
      <c r="AY32" s="225" t="n"/>
      <c r="AZ32" s="225" t="n"/>
      <c r="BA32" s="136" t="n"/>
      <c r="BB32" s="103" t="n"/>
      <c r="BC32" s="103" t="n"/>
      <c r="BD32" s="64" t="n"/>
      <c r="BE32" s="64" t="n"/>
      <c r="BF32" s="64" t="n"/>
      <c r="BG32" s="64" t="n"/>
      <c r="BH32" s="64" t="n"/>
    </row>
    <row r="33" ht="22.5" customHeight="1">
      <c r="A33" s="600" t="n"/>
      <c r="B33" s="186" t="n"/>
      <c r="C33" s="64" t="n"/>
      <c r="D33" s="64" t="n"/>
      <c r="E33" s="64" t="n"/>
      <c r="F33" s="64" t="n"/>
      <c r="G33" s="64" t="n"/>
      <c r="H33" s="64" t="n"/>
      <c r="I33" s="64" t="n"/>
      <c r="J33" s="64" t="n"/>
      <c r="K33" s="64" t="n"/>
      <c r="L33" s="64" t="n"/>
      <c r="M33" s="64" t="n"/>
      <c r="N33" s="64" t="n"/>
      <c r="O33" s="64" t="n"/>
      <c r="P33" s="64" t="n"/>
      <c r="Q33" s="64" t="n"/>
      <c r="R33" s="64" t="n"/>
      <c r="S33" s="64" t="n"/>
      <c r="T33" s="64" t="n"/>
      <c r="U33" s="64" t="n"/>
      <c r="V33" s="64" t="n"/>
      <c r="W33" s="64" t="n"/>
      <c r="X33" s="64" t="n"/>
      <c r="Y33" s="64" t="n"/>
      <c r="Z33" s="64" t="n"/>
      <c r="AA33" s="64" t="n"/>
      <c r="AB33" s="64" t="n"/>
      <c r="AC33" s="64" t="n"/>
      <c r="AD33" s="64" t="n"/>
      <c r="AE33" s="64" t="n"/>
      <c r="AF33" s="64" t="n"/>
      <c r="AG33" s="64" t="n"/>
      <c r="AH33" s="64" t="n"/>
      <c r="AI33" s="64" t="n"/>
      <c r="AJ33" s="64" t="n"/>
      <c r="AK33" s="64" t="n"/>
      <c r="AL33" s="64" t="n"/>
      <c r="AM33" s="64" t="n"/>
      <c r="AN33" s="64" t="n"/>
      <c r="AO33" s="64" t="n"/>
      <c r="AP33" s="64" t="n"/>
      <c r="AQ33" s="64" t="n"/>
      <c r="AR33" s="64" t="n"/>
      <c r="AS33" s="64" t="n"/>
      <c r="AT33" s="64" t="n"/>
      <c r="AU33" s="64" t="n"/>
      <c r="AV33" s="64" t="n"/>
      <c r="AW33" s="136" t="n"/>
      <c r="AX33" s="64" t="n"/>
      <c r="AY33" s="225" t="n"/>
      <c r="AZ33" s="225" t="n"/>
      <c r="BA33" s="136" t="n"/>
      <c r="BB33" s="103" t="n"/>
      <c r="BC33" s="103" t="n"/>
      <c r="BD33" s="64" t="n"/>
      <c r="BE33" s="64" t="n"/>
      <c r="BF33" s="64" t="n"/>
      <c r="BG33" s="64" t="n"/>
      <c r="BH33" s="64" t="n"/>
    </row>
  </sheetData>
  <mergeCells count="32">
    <mergeCell ref="A2:AT2"/>
    <mergeCell ref="AZ15:BA15"/>
    <mergeCell ref="AL3:AN3"/>
    <mergeCell ref="B27:L27"/>
    <mergeCell ref="A5:AT5"/>
    <mergeCell ref="A8:AT8"/>
    <mergeCell ref="AO3:AS3"/>
    <mergeCell ref="A4:AT4"/>
    <mergeCell ref="B14:AT14"/>
    <mergeCell ref="AF21:AT21"/>
    <mergeCell ref="P24:AH24"/>
    <mergeCell ref="A20:AT20"/>
    <mergeCell ref="A10:AT10"/>
    <mergeCell ref="A13:AT13"/>
    <mergeCell ref="B16:AT19"/>
    <mergeCell ref="P25:AH25"/>
    <mergeCell ref="A9:AT9"/>
    <mergeCell ref="B29:L29"/>
    <mergeCell ref="P22:AH22"/>
    <mergeCell ref="AK27:AS27"/>
    <mergeCell ref="B28:L28"/>
    <mergeCell ref="A11:AT11"/>
    <mergeCell ref="B15:AT15"/>
    <mergeCell ref="BA16:BA17"/>
    <mergeCell ref="A1:AT1"/>
    <mergeCell ref="A6:AT6"/>
    <mergeCell ref="AI29:AT29"/>
    <mergeCell ref="A7:AT7"/>
    <mergeCell ref="AK28:AS28"/>
    <mergeCell ref="P23:AH23"/>
    <mergeCell ref="AZ14:BA14"/>
    <mergeCell ref="A3:AE3"/>
  </mergeCells>
  <pageMargins left="0.7" right="0.7" top="0.75" bottom="0.75" header="0.3" footer="0.3"/>
</worksheet>
</file>

<file path=xl/worksheets/sheet26.xml><?xml version="1.0" encoding="utf-8"?>
<worksheet xmlns="http://schemas.openxmlformats.org/spreadsheetml/2006/main">
  <sheetPr>
    <outlinePr summaryBelow="0"/>
    <pageSetUpPr/>
  </sheetPr>
  <dimension ref="A1:BH35"/>
  <sheetViews>
    <sheetView workbookViewId="0">
      <selection activeCell="A1" sqref="A1"/>
    </sheetView>
  </sheetViews>
  <sheetFormatPr baseColWidth="8" defaultRowHeight="15"/>
  <cols>
    <col width="3.719285714285714" bestFit="1" customWidth="1" style="63" min="1" max="1"/>
    <col width="4.433571428571429" bestFit="1" customWidth="1" style="218" min="2" max="2"/>
    <col width="2.290714285714285" bestFit="1" customWidth="1" style="64" min="3" max="3"/>
    <col width="2.290714285714285" bestFit="1" customWidth="1" style="64" min="4" max="4"/>
    <col width="2.290714285714285" bestFit="1" customWidth="1" style="64" min="5" max="5"/>
    <col width="2.290714285714285" bestFit="1" customWidth="1" style="64" min="6" max="6"/>
    <col width="2.290714285714285" bestFit="1" customWidth="1" style="64" min="7" max="7"/>
    <col width="2.290714285714285" bestFit="1" customWidth="1" style="64" min="8" max="8"/>
    <col width="1.290714285714286" bestFit="1" customWidth="1" style="64" min="9" max="9"/>
    <col width="2.719285714285714" bestFit="1" customWidth="1" style="64" min="10" max="10"/>
    <col width="2.719285714285714" bestFit="1" customWidth="1" style="64" min="11" max="11"/>
    <col width="2.290714285714285" bestFit="1" customWidth="1" style="64" min="12" max="12"/>
    <col width="2.290714285714285" bestFit="1" customWidth="1" style="64" min="13" max="13"/>
    <col width="2.290714285714285" bestFit="1" customWidth="1" style="64" min="14" max="14"/>
    <col width="2.290714285714285" bestFit="1" customWidth="1" style="64" min="15" max="15"/>
    <col width="2.290714285714285" bestFit="1" customWidth="1" style="64" min="16" max="16"/>
    <col width="2.290714285714285" bestFit="1" customWidth="1" style="64" min="17" max="17"/>
    <col width="2.290714285714285" bestFit="1" customWidth="1" style="64" min="18" max="18"/>
    <col width="2.290714285714285" bestFit="1" customWidth="1" style="64" min="19" max="19"/>
    <col width="1.719285714285714" bestFit="1" customWidth="1" style="64" min="20" max="20"/>
    <col width="1.719285714285714" bestFit="1" customWidth="1" style="64" min="21" max="21"/>
    <col width="1.719285714285714" bestFit="1" customWidth="1" style="64" min="22" max="22"/>
    <col width="1.719285714285714" bestFit="1" customWidth="1" style="64" min="23" max="23"/>
    <col width="1.719285714285714" bestFit="1" customWidth="1" style="64" min="24" max="24"/>
    <col width="1.147857142857143" bestFit="1" customWidth="1" style="64" min="25" max="25"/>
    <col width="1.719285714285714" bestFit="1" customWidth="1" style="64" min="26" max="26"/>
    <col width="1.719285714285714" bestFit="1" customWidth="1" style="64" min="27" max="27"/>
    <col width="2.290714285714285" bestFit="1" customWidth="1" style="64" min="28" max="28"/>
    <col width="2.290714285714285" bestFit="1" customWidth="1" style="64" min="29" max="29"/>
    <col width="1.862142857142857" bestFit="1" customWidth="1" style="64" min="30" max="30"/>
    <col width="2.862142857142857" bestFit="1" customWidth="1" style="64" min="31" max="31"/>
    <col width="2.862142857142857" bestFit="1" customWidth="1" style="64" min="32" max="32"/>
    <col width="2.862142857142857" bestFit="1" customWidth="1" style="64" min="33" max="33"/>
    <col width="2.290714285714285" bestFit="1" customWidth="1" style="64" min="34" max="34"/>
    <col width="2.290714285714285" bestFit="1" customWidth="1" style="64" min="35" max="35"/>
    <col width="2.290714285714285" bestFit="1" customWidth="1" style="64" min="36" max="36"/>
    <col width="2.290714285714285" bestFit="1" customWidth="1" style="64" min="37" max="37"/>
    <col width="2.290714285714285" bestFit="1" customWidth="1" style="64" min="38" max="38"/>
    <col width="2.290714285714285" bestFit="1" customWidth="1" style="64" min="39" max="39"/>
    <col width="2.290714285714285" bestFit="1" customWidth="1" style="64" min="40" max="40"/>
    <col width="2.290714285714285" bestFit="1" customWidth="1" style="64" min="41" max="41"/>
    <col width="3.147857142857143" bestFit="1" customWidth="1" style="64" min="42" max="42"/>
    <col width="2.290714285714285" bestFit="1" customWidth="1" style="64" min="43" max="43"/>
    <col width="2.147857142857143" bestFit="1" customWidth="1" style="64" min="44" max="44"/>
    <col width="1.719285714285714" bestFit="1" customWidth="1" style="64" min="45" max="45"/>
    <col width="3.147857142857143" bestFit="1" customWidth="1" style="64" min="46" max="46"/>
    <col width="13.57642857142857" bestFit="1" customWidth="1" style="64" min="47" max="47"/>
    <col width="11.43357142857143" bestFit="1" customWidth="1" style="64" min="48" max="48"/>
    <col width="11.71928571428571" bestFit="1" customWidth="1" style="64" min="49" max="49"/>
    <col width="13.57642857142857" bestFit="1" customWidth="1" style="64" min="50" max="50"/>
    <col width="13.57642857142857" bestFit="1" customWidth="1" style="64" min="51" max="51"/>
    <col width="13.57642857142857" bestFit="1" customWidth="1" style="64" min="52" max="52"/>
    <col width="13.57642857142857" bestFit="1" customWidth="1" style="64" min="53" max="53"/>
    <col width="13.57642857142857" bestFit="1" customWidth="1" style="64" min="54" max="54"/>
    <col width="13.57642857142857" bestFit="1" customWidth="1" style="64" min="55" max="55"/>
    <col width="13.57642857142857" bestFit="1" customWidth="1" style="64" min="56" max="56"/>
    <col width="13.57642857142857" bestFit="1" customWidth="1" style="64" min="57" max="57"/>
    <col width="13.57642857142857" bestFit="1" customWidth="1" style="64" min="58" max="58"/>
    <col width="13.57642857142857" bestFit="1" customWidth="1" style="64" min="59" max="59"/>
    <col width="13.57642857142857" bestFit="1" customWidth="1" style="64" min="60" max="60"/>
  </cols>
  <sheetData>
    <row r="1" ht="30.75" customFormat="1" customHeight="1" s="18">
      <c r="A1" s="419" t="inlineStr">
        <is>
          <t>evsjv‡`k K…wl e¨vsK</t>
        </is>
      </c>
      <c r="AU1" s="103" t="n"/>
      <c r="AV1" s="103" t="n"/>
      <c r="AW1" s="103" t="n"/>
      <c r="AX1" s="103" t="n"/>
      <c r="AY1" s="69" t="n"/>
      <c r="AZ1" s="103" t="n"/>
      <c r="BA1" s="103" t="n"/>
      <c r="BB1" s="103" t="n"/>
      <c r="BC1" s="103" t="n"/>
      <c r="BD1" s="103" t="n"/>
      <c r="BE1" s="103" t="n"/>
      <c r="BF1" s="103" t="n"/>
      <c r="BG1" s="103" t="n"/>
      <c r="BH1" s="103" t="n"/>
    </row>
    <row r="2" ht="19.5" customFormat="1" customHeight="1" s="18">
      <c r="A2" s="172">
        <f>+'Data Input'!D2</f>
        <v/>
      </c>
      <c r="AU2" s="103" t="n"/>
      <c r="AV2" s="103" t="n"/>
      <c r="AW2" s="103" t="n"/>
      <c r="AX2" s="103" t="n"/>
      <c r="AY2" s="71" t="n"/>
      <c r="AZ2" s="103" t="n"/>
      <c r="BA2" s="103" t="n"/>
      <c r="BB2" s="103" t="n"/>
      <c r="BC2" s="103" t="n"/>
      <c r="BD2" s="103" t="n"/>
      <c r="BE2" s="103" t="n"/>
      <c r="BF2" s="103" t="n"/>
      <c r="BG2" s="103" t="n"/>
      <c r="BH2" s="103" t="n"/>
    </row>
    <row r="3" ht="13.5" customFormat="1" customHeight="1" s="18">
      <c r="A3" s="173">
        <f>+'Data Input'!D3</f>
        <v/>
      </c>
      <c r="AU3" s="103" t="n"/>
      <c r="AV3" s="103" t="n"/>
      <c r="AW3" s="103" t="n"/>
      <c r="AX3" s="103" t="n"/>
      <c r="AY3" s="73" t="n"/>
      <c r="AZ3" s="103" t="n"/>
      <c r="BA3" s="103" t="n"/>
      <c r="BB3" s="103" t="n"/>
      <c r="BC3" s="103" t="n"/>
      <c r="BD3" s="103" t="n"/>
      <c r="BE3" s="103" t="n"/>
      <c r="BF3" s="103" t="n"/>
      <c r="BG3" s="103" t="n"/>
      <c r="BH3" s="103" t="n"/>
    </row>
    <row r="4" ht="13.5" customFormat="1" customHeight="1" s="18">
      <c r="A4" s="175">
        <f>+'Data Input'!D4</f>
        <v/>
      </c>
      <c r="B4" s="2613" t="n"/>
      <c r="C4" s="2613" t="n"/>
      <c r="D4" s="2613" t="n"/>
      <c r="E4" s="2613" t="n"/>
      <c r="F4" s="2613" t="n"/>
      <c r="G4" s="2613" t="n"/>
      <c r="H4" s="2613" t="n"/>
      <c r="I4" s="2613" t="n"/>
      <c r="J4" s="2613" t="n"/>
      <c r="K4" s="2613" t="n"/>
      <c r="L4" s="2613" t="n"/>
      <c r="M4" s="2613" t="n"/>
      <c r="N4" s="2613" t="n"/>
      <c r="O4" s="2613" t="n"/>
      <c r="P4" s="2613" t="n"/>
      <c r="Q4" s="2613" t="n"/>
      <c r="R4" s="2613" t="n"/>
      <c r="S4" s="2613" t="n"/>
      <c r="T4" s="2613" t="n"/>
      <c r="U4" s="2613" t="n"/>
      <c r="V4" s="2613" t="n"/>
      <c r="W4" s="2613" t="n"/>
      <c r="X4" s="2613" t="n"/>
      <c r="Y4" s="2613" t="n"/>
      <c r="Z4" s="2613" t="n"/>
      <c r="AA4" s="2613" t="n"/>
      <c r="AB4" s="2613" t="n"/>
      <c r="AC4" s="2613" t="n"/>
      <c r="AD4" s="2613" t="n"/>
      <c r="AE4" s="2613" t="n"/>
      <c r="AF4" s="2613" t="n"/>
      <c r="AG4" s="2613" t="n"/>
      <c r="AH4" s="2613" t="n"/>
      <c r="AI4" s="2613" t="n"/>
      <c r="AJ4" s="2613" t="n"/>
      <c r="AK4" s="2613" t="n"/>
      <c r="AL4" s="2613" t="n"/>
      <c r="AM4" s="2613" t="n"/>
      <c r="AN4" s="2613" t="n"/>
      <c r="AO4" s="2613" t="n"/>
      <c r="AP4" s="2613" t="n"/>
      <c r="AQ4" s="2613" t="n"/>
      <c r="AR4" s="2613" t="n"/>
      <c r="AS4" s="2613" t="n"/>
      <c r="AT4" s="2613" t="n"/>
      <c r="AU4" s="103" t="n"/>
      <c r="AV4" s="103" t="n"/>
      <c r="AW4" s="103" t="n"/>
      <c r="AX4" s="103" t="n"/>
      <c r="AY4" s="75" t="n"/>
      <c r="AZ4" s="103" t="n"/>
      <c r="BA4" s="103" t="n"/>
      <c r="BB4" s="103" t="n"/>
      <c r="BC4" s="103" t="n"/>
      <c r="BD4" s="103" t="n"/>
      <c r="BE4" s="103" t="n"/>
      <c r="BF4" s="103" t="n"/>
      <c r="BG4" s="103" t="n"/>
      <c r="BH4" s="103" t="n"/>
    </row>
    <row r="5" ht="16.5" customHeight="1">
      <c r="A5" s="176">
        <f>"   "&amp;'Data Input'!B5&amp;""&amp;'Data Input'!D5</f>
        <v/>
      </c>
      <c r="B5" s="2614" t="n"/>
      <c r="C5" s="2614" t="n"/>
      <c r="D5" s="2614" t="n"/>
      <c r="E5" s="2614" t="n"/>
      <c r="F5" s="2614" t="n"/>
      <c r="G5" s="2614" t="n"/>
      <c r="H5" s="2614" t="n"/>
      <c r="I5" s="2614" t="n"/>
      <c r="J5" s="2614" t="n"/>
      <c r="K5" s="2614" t="n"/>
      <c r="L5" s="2614" t="n"/>
      <c r="M5" s="2614" t="n"/>
      <c r="N5" s="2614" t="n"/>
      <c r="O5" s="2614" t="n"/>
      <c r="P5" s="2614" t="n"/>
      <c r="Q5" s="2614" t="n"/>
      <c r="R5" s="2614" t="n"/>
      <c r="S5" s="2614" t="n"/>
      <c r="T5" s="2614" t="n"/>
      <c r="U5" s="2614" t="n"/>
      <c r="V5" s="2614" t="n"/>
      <c r="W5" s="2614" t="n"/>
      <c r="X5" s="2614" t="n"/>
      <c r="Y5" s="2614" t="n"/>
      <c r="Z5" s="2614" t="n"/>
      <c r="AA5" s="2614" t="n"/>
      <c r="AB5" s="2614" t="n"/>
      <c r="AC5" s="2614" t="n"/>
      <c r="AD5" s="2614" t="n"/>
      <c r="AE5" s="2614" t="n"/>
      <c r="AF5" s="177" t="n"/>
      <c r="AG5" s="178" t="n"/>
      <c r="AH5" s="178" t="n"/>
      <c r="AI5" s="177" t="n"/>
      <c r="AJ5" s="177" t="n"/>
      <c r="AK5" s="177" t="n"/>
      <c r="AL5" s="178" t="n"/>
      <c r="AM5" s="2614" t="n"/>
      <c r="AN5" s="2614" t="n"/>
      <c r="AO5" s="179" t="n"/>
      <c r="AP5" s="2614" t="n"/>
      <c r="AQ5" s="2614" t="n"/>
      <c r="AR5" s="2614" t="n"/>
      <c r="AS5" s="2614" t="n"/>
      <c r="AT5" s="180" t="n"/>
      <c r="AU5" s="64" t="n"/>
      <c r="AV5" s="64" t="n"/>
      <c r="AW5" s="64" t="n"/>
      <c r="AX5" s="64" t="n"/>
      <c r="AY5" s="64" t="n"/>
      <c r="AZ5" s="64" t="n"/>
      <c r="BA5" s="64" t="n"/>
      <c r="BB5" s="64" t="n"/>
      <c r="BC5" s="64" t="n"/>
      <c r="BD5" s="64" t="n"/>
      <c r="BE5" s="64" t="n"/>
      <c r="BF5" s="64" t="n"/>
      <c r="BG5" s="64" t="n"/>
      <c r="BH5" s="64" t="n"/>
    </row>
    <row r="6" ht="9" customHeight="1">
      <c r="A6" s="600" t="n"/>
      <c r="B6" s="600" t="n"/>
      <c r="C6" s="600" t="n"/>
      <c r="D6" s="600" t="n"/>
      <c r="E6" s="600" t="n"/>
      <c r="F6" s="600" t="n"/>
      <c r="G6" s="600" t="n"/>
      <c r="H6" s="600" t="n"/>
      <c r="I6" s="600" t="n"/>
      <c r="J6" s="600" t="n"/>
      <c r="K6" s="600" t="n"/>
      <c r="L6" s="600" t="n"/>
      <c r="M6" s="600" t="n"/>
      <c r="N6" s="600" t="n"/>
      <c r="O6" s="600" t="n"/>
      <c r="P6" s="600" t="n"/>
      <c r="Q6" s="600" t="n"/>
      <c r="R6" s="600" t="n"/>
      <c r="S6" s="600" t="n"/>
      <c r="T6" s="600" t="n"/>
      <c r="U6" s="600" t="n"/>
      <c r="V6" s="600" t="n"/>
      <c r="W6" s="600" t="n"/>
      <c r="X6" s="600" t="n"/>
      <c r="Y6" s="600" t="n"/>
      <c r="Z6" s="600" t="n"/>
      <c r="AA6" s="600" t="n"/>
      <c r="AB6" s="600" t="n"/>
      <c r="AC6" s="600" t="n"/>
      <c r="AD6" s="600" t="n"/>
      <c r="AE6" s="600" t="n"/>
      <c r="AF6" s="64" t="n"/>
      <c r="AG6" s="76" t="n"/>
      <c r="AH6" s="76" t="n"/>
      <c r="AI6" s="64" t="n"/>
      <c r="AJ6" s="64" t="n"/>
      <c r="AK6" s="64" t="n"/>
      <c r="AL6" s="76" t="n"/>
      <c r="AM6" s="76" t="n"/>
      <c r="AN6" s="76" t="n"/>
      <c r="AO6" s="77" t="n"/>
      <c r="AP6" s="77" t="n"/>
      <c r="AQ6" s="77" t="n"/>
      <c r="AR6" s="77" t="n"/>
      <c r="AS6" s="77" t="n"/>
      <c r="AT6" s="78" t="n"/>
      <c r="AU6" s="64" t="n"/>
      <c r="AV6" s="64" t="n"/>
      <c r="AW6" s="64" t="n"/>
      <c r="AX6" s="64" t="n"/>
      <c r="AY6" s="64" t="n"/>
      <c r="AZ6" s="64" t="n"/>
      <c r="BA6" s="64" t="n"/>
      <c r="BB6" s="64" t="n"/>
      <c r="BC6" s="64" t="n"/>
      <c r="BD6" s="64" t="n"/>
      <c r="BE6" s="64" t="n"/>
      <c r="BF6" s="64" t="n"/>
      <c r="BG6" s="64" t="n"/>
      <c r="BH6" s="64" t="n"/>
    </row>
    <row r="7" ht="16.5" customHeight="1">
      <c r="A7" s="600" t="n"/>
      <c r="B7" s="600" t="n"/>
      <c r="C7" s="600" t="n"/>
      <c r="D7" s="600" t="n"/>
      <c r="E7" s="600" t="n"/>
      <c r="F7" s="600" t="n"/>
      <c r="G7" s="600" t="n"/>
      <c r="H7" s="600" t="n"/>
      <c r="I7" s="600" t="n"/>
      <c r="J7" s="600" t="n"/>
      <c r="K7" s="600" t="n"/>
      <c r="L7" s="600" t="n"/>
      <c r="M7" s="600" t="n"/>
      <c r="N7" s="600" t="n"/>
      <c r="O7" s="600" t="n"/>
      <c r="P7" s="600" t="n"/>
      <c r="Q7" s="600" t="n"/>
      <c r="R7" s="600" t="n"/>
      <c r="S7" s="600" t="n"/>
      <c r="T7" s="600" t="n"/>
      <c r="U7" s="600" t="n"/>
      <c r="V7" s="600" t="n"/>
      <c r="W7" s="600" t="n"/>
      <c r="X7" s="600" t="n"/>
      <c r="Y7" s="600" t="n"/>
      <c r="Z7" s="600" t="n"/>
      <c r="AA7" s="600" t="n"/>
      <c r="AB7" s="600" t="n"/>
      <c r="AC7" s="600" t="n"/>
      <c r="AD7" s="600" t="n"/>
      <c r="AE7" s="600" t="n"/>
      <c r="AF7" s="64" t="n"/>
      <c r="AG7" s="76" t="n"/>
      <c r="AH7" s="76" t="n"/>
      <c r="AI7" s="64" t="n"/>
      <c r="AJ7" s="64" t="n"/>
      <c r="AK7" s="64" t="n"/>
      <c r="AL7" s="76" t="n"/>
      <c r="AM7" s="76" t="n"/>
      <c r="AN7" s="76" t="n"/>
      <c r="AO7" s="77" t="n"/>
      <c r="AP7" s="77" t="n"/>
      <c r="AQ7" s="77" t="n"/>
      <c r="AR7" s="77" t="n"/>
      <c r="AS7" s="77" t="n"/>
      <c r="AT7" s="78" t="n"/>
      <c r="AU7" s="64" t="n"/>
      <c r="AV7" s="64" t="n"/>
      <c r="AW7" s="64" t="n"/>
      <c r="AX7" s="64" t="n"/>
      <c r="AY7" s="64" t="n"/>
      <c r="AZ7" s="64" t="n"/>
      <c r="BA7" s="64" t="n"/>
      <c r="BB7" s="64" t="n"/>
      <c r="BC7" s="64" t="n"/>
      <c r="BD7" s="64" t="n"/>
      <c r="BE7" s="64" t="n"/>
      <c r="BF7" s="64" t="n"/>
      <c r="BG7" s="64" t="n"/>
      <c r="BH7" s="64" t="n"/>
    </row>
    <row r="8" ht="16.5" customHeight="1">
      <c r="A8" s="600" t="n"/>
      <c r="B8" s="600" t="n"/>
      <c r="C8" s="600" t="n"/>
      <c r="D8" s="600" t="n"/>
      <c r="E8" s="600" t="n"/>
      <c r="F8" s="600" t="n"/>
      <c r="G8" s="600" t="n"/>
      <c r="H8" s="600" t="n"/>
      <c r="I8" s="600" t="n"/>
      <c r="J8" s="600" t="n"/>
      <c r="K8" s="600" t="n"/>
      <c r="L8" s="600" t="n"/>
      <c r="M8" s="600" t="n"/>
      <c r="N8" s="600" t="n"/>
      <c r="O8" s="600" t="n"/>
      <c r="P8" s="600" t="n"/>
      <c r="Q8" s="600" t="n"/>
      <c r="R8" s="600" t="n"/>
      <c r="S8" s="600" t="n"/>
      <c r="T8" s="600" t="n"/>
      <c r="U8" s="600" t="n"/>
      <c r="V8" s="600" t="n"/>
      <c r="W8" s="600" t="n"/>
      <c r="X8" s="600" t="n"/>
      <c r="Y8" s="600" t="n"/>
      <c r="Z8" s="600" t="n"/>
      <c r="AA8" s="600" t="n"/>
      <c r="AB8" s="600" t="n"/>
      <c r="AC8" s="600" t="n"/>
      <c r="AD8" s="600" t="n"/>
      <c r="AE8" s="600" t="n"/>
      <c r="AF8" s="64" t="n"/>
      <c r="AG8" s="76" t="n"/>
      <c r="AH8" s="76" t="n"/>
      <c r="AI8" s="64" t="n"/>
      <c r="AJ8" s="64" t="n"/>
      <c r="AK8" s="64" t="n"/>
      <c r="AL8" s="76" t="n"/>
      <c r="AM8" s="76" t="n"/>
      <c r="AN8" s="76" t="n"/>
      <c r="AO8" s="77" t="n"/>
      <c r="AP8" s="77" t="n"/>
      <c r="AQ8" s="77" t="n"/>
      <c r="AR8" s="77" t="n"/>
      <c r="AS8" s="77" t="n"/>
      <c r="AT8" s="78" t="n"/>
      <c r="AU8" s="64" t="n"/>
      <c r="AV8" s="64" t="n"/>
      <c r="AW8" s="64" t="n"/>
      <c r="AX8" s="64" t="n"/>
      <c r="AY8" s="64" t="n"/>
      <c r="AZ8" s="64" t="n"/>
      <c r="BA8" s="64" t="n"/>
      <c r="BB8" s="64" t="n"/>
      <c r="BC8" s="64" t="n"/>
      <c r="BD8" s="64" t="n"/>
      <c r="BE8" s="64" t="n"/>
      <c r="BF8" s="64" t="n"/>
      <c r="BG8" s="64" t="n"/>
      <c r="BH8" s="64" t="n"/>
    </row>
    <row r="9" ht="27.75" customHeight="1">
      <c r="A9" s="181" t="inlineStr">
        <is>
          <t>cÖZ¨qb cÎ</t>
        </is>
      </c>
      <c r="AU9" s="64" t="n"/>
      <c r="AV9" s="64" t="n"/>
      <c r="AW9" s="64" t="n"/>
      <c r="AX9" s="64" t="n"/>
      <c r="AY9" s="64" t="n"/>
      <c r="AZ9" s="64" t="n"/>
      <c r="BA9" s="64" t="n"/>
      <c r="BB9" s="64" t="n"/>
      <c r="BC9" s="64" t="n"/>
      <c r="BD9" s="64" t="n"/>
      <c r="BE9" s="64" t="n"/>
      <c r="BF9" s="64" t="n"/>
      <c r="BG9" s="64" t="n"/>
      <c r="BH9" s="64" t="n"/>
    </row>
    <row r="10" ht="16.5" customHeight="1">
      <c r="A10" s="600" t="n"/>
      <c r="B10" s="600" t="n"/>
      <c r="C10" s="600" t="n"/>
      <c r="D10" s="600" t="n"/>
      <c r="E10" s="600" t="n"/>
      <c r="F10" s="600" t="n"/>
      <c r="G10" s="600" t="n"/>
      <c r="H10" s="600" t="n"/>
      <c r="I10" s="600" t="n"/>
      <c r="J10" s="600" t="n"/>
      <c r="K10" s="600" t="n"/>
      <c r="L10" s="600" t="n"/>
      <c r="M10" s="600" t="n"/>
      <c r="N10" s="600" t="n"/>
      <c r="O10" s="600" t="inlineStr">
        <is>
          <t xml:space="preserve">                                                   </t>
        </is>
      </c>
      <c r="P10" s="600" t="n"/>
      <c r="Q10" s="600" t="n"/>
      <c r="R10" s="600" t="n"/>
      <c r="S10" s="600" t="n"/>
      <c r="T10" s="600" t="n"/>
      <c r="U10" s="600" t="n"/>
      <c r="V10" s="600" t="n"/>
      <c r="W10" s="600" t="n"/>
      <c r="X10" s="600" t="n"/>
      <c r="Y10" s="600" t="n"/>
      <c r="Z10" s="600" t="n"/>
      <c r="AA10" s="600" t="n"/>
      <c r="AB10" s="600" t="n"/>
      <c r="AC10" s="600" t="n"/>
      <c r="AD10" s="600" t="n"/>
      <c r="AE10" s="600" t="n"/>
      <c r="AF10" s="64" t="n"/>
      <c r="AG10" s="76" t="n"/>
      <c r="AH10" s="76" t="n"/>
      <c r="AI10" s="64" t="n"/>
      <c r="AJ10" s="64" t="n"/>
      <c r="AK10" s="64" t="n"/>
      <c r="AL10" s="76" t="n"/>
      <c r="AM10" s="76" t="n"/>
      <c r="AN10" s="76" t="n"/>
      <c r="AO10" s="77" t="n"/>
      <c r="AP10" s="77" t="n"/>
      <c r="AQ10" s="77" t="n"/>
      <c r="AR10" s="77" t="n"/>
      <c r="AS10" s="77" t="n"/>
      <c r="AT10" s="78" t="n"/>
      <c r="AU10" s="64" t="n"/>
      <c r="AV10" s="64" t="n"/>
      <c r="AW10" s="64" t="n"/>
      <c r="AX10" s="64" t="n"/>
      <c r="AY10" s="64" t="n"/>
      <c r="AZ10" s="64" t="n"/>
      <c r="BA10" s="64" t="n"/>
      <c r="BB10" s="64" t="n"/>
      <c r="BC10" s="64" t="n"/>
      <c r="BD10" s="64" t="n"/>
      <c r="BE10" s="64" t="n"/>
      <c r="BF10" s="64" t="n"/>
      <c r="BG10" s="64" t="n"/>
      <c r="BH10" s="64" t="n"/>
    </row>
    <row r="11" ht="16.5" customHeight="1">
      <c r="A11" s="600" t="n"/>
      <c r="B11" s="600" t="n"/>
      <c r="C11" s="600" t="n"/>
      <c r="D11" s="600" t="n"/>
      <c r="E11" s="600" t="n"/>
      <c r="F11" s="600" t="n"/>
      <c r="G11" s="600" t="n"/>
      <c r="H11" s="600" t="n"/>
      <c r="I11" s="600" t="n"/>
      <c r="J11" s="600" t="n"/>
      <c r="K11" s="600" t="n"/>
      <c r="L11" s="600" t="n"/>
      <c r="M11" s="600" t="n"/>
      <c r="N11" s="600" t="n"/>
      <c r="O11" s="600" t="n"/>
      <c r="P11" s="600" t="n"/>
      <c r="Q11" s="600" t="n"/>
      <c r="R11" s="600" t="n"/>
      <c r="S11" s="600" t="n"/>
      <c r="T11" s="600" t="n"/>
      <c r="U11" s="600" t="n"/>
      <c r="V11" s="600" t="n"/>
      <c r="W11" s="600" t="n"/>
      <c r="X11" s="600" t="n"/>
      <c r="Y11" s="600" t="n"/>
      <c r="Z11" s="600" t="n"/>
      <c r="AA11" s="600" t="n"/>
      <c r="AB11" s="600" t="n"/>
      <c r="AC11" s="600" t="n"/>
      <c r="AD11" s="600" t="n"/>
      <c r="AE11" s="600" t="n"/>
      <c r="AF11" s="64" t="n"/>
      <c r="AG11" s="76" t="n"/>
      <c r="AH11" s="76" t="n"/>
      <c r="AI11" s="64" t="n"/>
      <c r="AJ11" s="64" t="n"/>
      <c r="AK11" s="64" t="n"/>
      <c r="AL11" s="76" t="n"/>
      <c r="AM11" s="76" t="n"/>
      <c r="AN11" s="76" t="n"/>
      <c r="AO11" s="77" t="n"/>
      <c r="AP11" s="77" t="n"/>
      <c r="AQ11" s="77" t="n"/>
      <c r="AR11" s="77" t="n"/>
      <c r="AS11" s="77" t="n"/>
      <c r="AT11" s="78" t="n"/>
      <c r="AU11" s="64" t="n"/>
      <c r="AV11" s="64" t="n"/>
      <c r="AW11" s="64" t="n"/>
      <c r="AX11" s="64" t="n"/>
      <c r="AY11" s="64" t="n"/>
      <c r="AZ11" s="64" t="n"/>
      <c r="BA11" s="64" t="n"/>
      <c r="BB11" s="64" t="n"/>
      <c r="BC11" s="64" t="n"/>
      <c r="BD11" s="64" t="n"/>
      <c r="BE11" s="64" t="n"/>
      <c r="BF11" s="64" t="n"/>
      <c r="BG11" s="64" t="n"/>
      <c r="BH11" s="64" t="n"/>
    </row>
    <row r="12" ht="16.5" customHeight="1">
      <c r="A12" s="600" t="n"/>
      <c r="B12" s="600" t="n"/>
      <c r="C12" s="600" t="n"/>
      <c r="D12" s="600" t="n"/>
      <c r="E12" s="2583">
        <f>"GB g‡g© cÖZ¨qb Kiv hv‡”Q †h, "&amp;'Data Input'!D5&amp;",  Ò"&amp;'Data Input'!D8&amp;"Ó bvgxq  FY  †Km G `y`K Gi †Kvb ai‡Yi gvgjv  †gvKÏgv Ges Af¨šÍixY wbixÿv I evwYwR¨K wbixÿvq ‡Kvb AvcwË bvB|"</f>
        <v/>
      </c>
      <c r="AO12" s="77" t="n"/>
      <c r="AP12" s="77" t="n"/>
      <c r="AQ12" s="77" t="n"/>
      <c r="AR12" s="77" t="n"/>
      <c r="AS12" s="77" t="n"/>
      <c r="AT12" s="78" t="n"/>
      <c r="AU12" s="64" t="n"/>
      <c r="AV12" s="64" t="n"/>
      <c r="AW12" s="64" t="n"/>
      <c r="AX12" s="64" t="n"/>
      <c r="AY12" s="64" t="n"/>
      <c r="AZ12" s="64" t="n"/>
      <c r="BA12" s="64" t="n"/>
      <c r="BB12" s="64" t="n"/>
      <c r="BC12" s="64" t="n"/>
      <c r="BD12" s="64" t="n"/>
      <c r="BE12" s="64" t="n"/>
      <c r="BF12" s="64" t="n"/>
      <c r="BG12" s="64" t="n"/>
      <c r="BH12" s="64" t="n"/>
    </row>
    <row r="13" ht="16.5" customHeight="1">
      <c r="A13" s="600" t="n"/>
      <c r="B13" s="600" t="n"/>
      <c r="C13" s="600" t="n"/>
      <c r="D13" s="600" t="n"/>
      <c r="AO13" s="77" t="n"/>
      <c r="AP13" s="77" t="n"/>
      <c r="AQ13" s="77" t="n"/>
      <c r="AR13" s="77" t="n"/>
      <c r="AS13" s="77" t="n"/>
      <c r="AT13" s="78" t="n"/>
      <c r="AU13" s="64" t="n"/>
      <c r="AV13" s="64" t="n"/>
      <c r="AW13" s="64" t="n"/>
      <c r="AX13" s="64" t="n"/>
      <c r="AY13" s="64" t="n"/>
      <c r="AZ13" s="64" t="n"/>
      <c r="BA13" s="64" t="n"/>
      <c r="BB13" s="64" t="n"/>
      <c r="BC13" s="64" t="n"/>
      <c r="BD13" s="64" t="n"/>
      <c r="BE13" s="64" t="n"/>
      <c r="BF13" s="64" t="n"/>
      <c r="BG13" s="64" t="n"/>
      <c r="BH13" s="64" t="n"/>
    </row>
    <row r="14" ht="16.5" customFormat="1" customHeight="1" s="18">
      <c r="A14" s="375" t="n"/>
      <c r="B14" s="199" t="n"/>
      <c r="C14" s="199" t="n"/>
      <c r="D14" s="199" t="n"/>
      <c r="AO14" s="199" t="n"/>
      <c r="AP14" s="199" t="n"/>
      <c r="AQ14" s="199" t="n"/>
      <c r="AR14" s="199" t="n"/>
      <c r="AS14" s="199" t="n"/>
      <c r="AT14" s="199" t="n"/>
      <c r="AU14" s="103" t="n"/>
      <c r="AV14" s="103" t="n"/>
      <c r="AW14" s="103" t="n"/>
      <c r="AX14" s="103" t="n"/>
      <c r="AY14" s="103" t="n"/>
      <c r="AZ14" s="103" t="n"/>
      <c r="BA14" s="103" t="n"/>
      <c r="BB14" s="103" t="n"/>
      <c r="BC14" s="103" t="n"/>
      <c r="BD14" s="103" t="n"/>
      <c r="BE14" s="103" t="n"/>
      <c r="BF14" s="103" t="n"/>
      <c r="BG14" s="103" t="n"/>
      <c r="BH14" s="103" t="n"/>
    </row>
    <row r="15" ht="16.5" customFormat="1" customHeight="1" s="18">
      <c r="A15" s="199" t="n"/>
      <c r="B15" s="199" t="n"/>
      <c r="C15" s="199" t="n"/>
      <c r="D15" s="199" t="n"/>
      <c r="AO15" s="199" t="n"/>
      <c r="AP15" s="199" t="n"/>
      <c r="AQ15" s="199" t="n"/>
      <c r="AR15" s="199" t="n"/>
      <c r="AS15" s="199" t="n"/>
      <c r="AT15" s="199" t="n"/>
      <c r="AU15" s="103" t="n"/>
      <c r="AV15" s="103" t="n"/>
      <c r="AW15" s="103" t="n"/>
      <c r="AX15" s="103" t="n"/>
      <c r="AY15" s="103" t="n"/>
      <c r="AZ15" s="103" t="n"/>
      <c r="BA15" s="103" t="n"/>
      <c r="BB15" s="103" t="n"/>
      <c r="BC15" s="103" t="n"/>
      <c r="BD15" s="103" t="n"/>
      <c r="BE15" s="103" t="n"/>
      <c r="BF15" s="103" t="n"/>
      <c r="BG15" s="103" t="n"/>
      <c r="BH15" s="103" t="n"/>
    </row>
    <row r="16" ht="16.5" customFormat="1" customHeight="1" s="18">
      <c r="A16" s="199" t="n"/>
      <c r="B16" s="199" t="n"/>
      <c r="C16" s="199" t="n"/>
      <c r="D16" s="199" t="n"/>
      <c r="E16" s="199" t="n"/>
      <c r="F16" s="199" t="n"/>
      <c r="G16" s="199" t="n"/>
      <c r="H16" s="199" t="n"/>
      <c r="I16" s="199" t="n"/>
      <c r="J16" s="199" t="n"/>
      <c r="K16" s="199" t="n"/>
      <c r="L16" s="199" t="n"/>
      <c r="M16" s="199" t="n"/>
      <c r="N16" s="199" t="n"/>
      <c r="O16" s="199" t="n"/>
      <c r="P16" s="199" t="n"/>
      <c r="Q16" s="199" t="n"/>
      <c r="R16" s="199" t="n"/>
      <c r="S16" s="199" t="n"/>
      <c r="T16" s="199" t="n"/>
      <c r="U16" s="199" t="n"/>
      <c r="V16" s="199" t="n"/>
      <c r="W16" s="199" t="n"/>
      <c r="X16" s="199" t="n"/>
      <c r="Y16" s="199" t="n"/>
      <c r="Z16" s="199" t="n"/>
      <c r="AA16" s="199" t="n"/>
      <c r="AB16" s="199" t="n"/>
      <c r="AC16" s="199" t="n"/>
      <c r="AD16" s="199" t="n"/>
      <c r="AE16" s="199" t="n"/>
      <c r="AF16" s="199" t="n"/>
      <c r="AG16" s="199" t="n"/>
      <c r="AH16" s="199" t="n"/>
      <c r="AI16" s="199" t="n"/>
      <c r="AJ16" s="199" t="n"/>
      <c r="AK16" s="199" t="n"/>
      <c r="AL16" s="199" t="n"/>
      <c r="AM16" s="199" t="n"/>
      <c r="AN16" s="199" t="n"/>
      <c r="AO16" s="199" t="n"/>
      <c r="AP16" s="199" t="n"/>
      <c r="AQ16" s="199" t="n"/>
      <c r="AR16" s="199" t="n"/>
      <c r="AS16" s="199" t="n"/>
      <c r="AT16" s="199" t="n"/>
      <c r="AU16" s="103" t="n"/>
      <c r="AV16" s="103" t="n"/>
      <c r="AW16" s="103" t="n"/>
      <c r="AX16" s="103" t="n"/>
      <c r="AY16" s="103" t="n"/>
      <c r="AZ16" s="103" t="n"/>
      <c r="BA16" s="103" t="n"/>
      <c r="BB16" s="103" t="n"/>
      <c r="BC16" s="103" t="n"/>
      <c r="BD16" s="103" t="n"/>
      <c r="BE16" s="103" t="n"/>
      <c r="BF16" s="103" t="n"/>
      <c r="BG16" s="103" t="n"/>
      <c r="BH16" s="103" t="n"/>
    </row>
    <row r="17" ht="16.5" customHeight="1">
      <c r="A17" s="600" t="n"/>
      <c r="B17" s="600" t="n"/>
      <c r="C17" s="600" t="n"/>
      <c r="D17" s="600" t="n"/>
      <c r="E17" s="600" t="n"/>
      <c r="F17" s="600" t="n"/>
      <c r="G17" s="600" t="n"/>
      <c r="H17" s="600" t="n"/>
      <c r="I17" s="600" t="n"/>
      <c r="J17" s="600" t="n"/>
      <c r="K17" s="600" t="n"/>
      <c r="L17" s="600" t="n"/>
      <c r="M17" s="600" t="n"/>
      <c r="N17" s="600" t="n"/>
      <c r="O17" s="600" t="n"/>
      <c r="P17" s="600" t="n"/>
      <c r="Q17" s="600" t="n"/>
      <c r="R17" s="600" t="n"/>
      <c r="S17" s="600" t="n"/>
      <c r="T17" s="600" t="n"/>
      <c r="U17" s="600" t="n"/>
      <c r="V17" s="600" t="n"/>
      <c r="W17" s="600" t="n"/>
      <c r="X17" s="600" t="n"/>
      <c r="Y17" s="600" t="n"/>
      <c r="Z17" s="600" t="n"/>
      <c r="AA17" s="600" t="n"/>
      <c r="AB17" s="600" t="n"/>
      <c r="AC17" s="600" t="n"/>
      <c r="AD17" s="600" t="n"/>
      <c r="AE17" s="600" t="n"/>
      <c r="AF17" s="64" t="n"/>
      <c r="AG17" s="76" t="n"/>
      <c r="AH17" s="76" t="n"/>
      <c r="AI17" s="64" t="n"/>
      <c r="AJ17" s="64" t="n"/>
      <c r="AK17" s="64" t="n"/>
      <c r="AL17" s="76" t="n"/>
      <c r="AM17" s="76" t="n"/>
      <c r="AN17" s="76" t="n"/>
      <c r="AO17" s="77" t="n"/>
      <c r="AP17" s="77" t="n"/>
      <c r="AQ17" s="77" t="n"/>
      <c r="AR17" s="77" t="n"/>
      <c r="AS17" s="77" t="n"/>
      <c r="AT17" s="78" t="n"/>
      <c r="AU17" s="64" t="n"/>
      <c r="AV17" s="64" t="n"/>
      <c r="AW17" s="64" t="n"/>
      <c r="AX17" s="64" t="n"/>
      <c r="AY17" s="64" t="n"/>
      <c r="AZ17" s="64" t="n"/>
      <c r="BA17" s="64" t="n"/>
      <c r="BB17" s="64" t="n"/>
      <c r="BC17" s="64" t="n"/>
      <c r="BD17" s="64" t="n"/>
      <c r="BE17" s="64" t="n"/>
      <c r="BF17" s="64" t="n"/>
      <c r="BG17" s="64" t="n"/>
      <c r="BH17" s="64" t="n"/>
    </row>
    <row r="18" ht="16.5" customHeight="1">
      <c r="A18" s="600" t="n"/>
      <c r="B18" s="600" t="n"/>
      <c r="C18" s="600" t="n"/>
      <c r="D18" s="600" t="n"/>
      <c r="E18" s="600" t="n"/>
      <c r="F18" s="600" t="n"/>
      <c r="G18" s="600" t="n"/>
      <c r="H18" s="600" t="n"/>
      <c r="I18" s="600" t="n"/>
      <c r="J18" s="600" t="n"/>
      <c r="K18" s="600" t="n"/>
      <c r="L18" s="600" t="n"/>
      <c r="M18" s="600" t="n"/>
      <c r="N18" s="600" t="n"/>
      <c r="O18" s="600" t="n"/>
      <c r="P18" s="600" t="n"/>
      <c r="Q18" s="600" t="n"/>
      <c r="R18" s="600" t="n"/>
      <c r="S18" s="600" t="n"/>
      <c r="T18" s="600" t="n"/>
      <c r="U18" s="600" t="n"/>
      <c r="V18" s="600" t="n"/>
      <c r="W18" s="600" t="n"/>
      <c r="X18" s="600" t="n"/>
      <c r="Y18" s="600" t="n"/>
      <c r="Z18" s="600" t="n"/>
      <c r="AA18" s="600" t="n"/>
      <c r="AB18" s="600" t="n"/>
      <c r="AC18" s="600" t="n"/>
      <c r="AD18" s="600" t="n"/>
      <c r="AE18" s="600" t="n"/>
      <c r="AF18" s="64" t="n"/>
      <c r="AG18" s="76" t="n"/>
      <c r="AH18" s="76" t="n"/>
      <c r="AI18" s="64" t="n"/>
      <c r="AJ18" s="64" t="n"/>
      <c r="AK18" s="64" t="n"/>
      <c r="AL18" s="76" t="n"/>
      <c r="AM18" s="76" t="n"/>
      <c r="AN18" s="76" t="n"/>
      <c r="AO18" s="77" t="n"/>
      <c r="AP18" s="77" t="n"/>
      <c r="AQ18" s="77" t="n"/>
      <c r="AR18" s="77" t="n"/>
      <c r="AS18" s="77" t="n"/>
      <c r="AT18" s="78" t="n"/>
      <c r="AU18" s="64" t="n"/>
      <c r="AV18" s="64" t="n"/>
      <c r="AW18" s="64" t="n"/>
      <c r="AX18" s="64" t="n"/>
      <c r="AY18" s="64" t="n"/>
      <c r="AZ18" s="64" t="n"/>
      <c r="BA18" s="64" t="n"/>
      <c r="BB18" s="64" t="n"/>
      <c r="BC18" s="64" t="n"/>
      <c r="BD18" s="64" t="n"/>
      <c r="BE18" s="64" t="n"/>
      <c r="BF18" s="64" t="n"/>
      <c r="BG18" s="64" t="n"/>
      <c r="BH18" s="64" t="n"/>
    </row>
    <row r="19" ht="16.5" customHeight="1">
      <c r="A19" s="600" t="n"/>
      <c r="B19" s="600" t="n"/>
      <c r="C19" s="600" t="n"/>
      <c r="D19" s="600" t="n"/>
      <c r="E19" s="600" t="n"/>
      <c r="F19" s="600" t="n"/>
      <c r="G19" s="600" t="n"/>
      <c r="H19" s="600" t="n"/>
      <c r="I19" s="600" t="n"/>
      <c r="J19" s="600" t="n"/>
      <c r="K19" s="600" t="n"/>
      <c r="L19" s="600" t="n"/>
      <c r="M19" s="600" t="n"/>
      <c r="N19" s="600" t="n"/>
      <c r="O19" s="600" t="n"/>
      <c r="P19" s="600" t="n"/>
      <c r="Q19" s="600" t="n"/>
      <c r="R19" s="600" t="n"/>
      <c r="S19" s="600" t="n"/>
      <c r="T19" s="600" t="n"/>
      <c r="U19" s="600" t="n"/>
      <c r="V19" s="600" t="n"/>
      <c r="W19" s="600" t="n"/>
      <c r="X19" s="600" t="n"/>
      <c r="Y19" s="600" t="n"/>
      <c r="Z19" s="600" t="n"/>
      <c r="AA19" s="600" t="n"/>
      <c r="AB19" s="600" t="n"/>
      <c r="AC19" s="600" t="n"/>
      <c r="AD19" s="600" t="n"/>
      <c r="AE19" s="600" t="n"/>
      <c r="AF19" s="64" t="n"/>
      <c r="AG19" s="76" t="n"/>
      <c r="AH19" s="76" t="n"/>
      <c r="AI19" s="64" t="n"/>
      <c r="AJ19" s="64" t="n"/>
      <c r="AK19" s="64" t="n"/>
      <c r="AL19" s="76" t="n"/>
      <c r="AM19" s="76" t="n"/>
      <c r="AN19" s="76" t="n"/>
      <c r="AO19" s="77" t="n"/>
      <c r="AP19" s="77" t="n"/>
      <c r="AQ19" s="77" t="n"/>
      <c r="AR19" s="77" t="n"/>
      <c r="AS19" s="77" t="n"/>
      <c r="AT19" s="78" t="n"/>
      <c r="AU19" s="64" t="n"/>
      <c r="AV19" s="64" t="n"/>
      <c r="AW19" s="64" t="n"/>
      <c r="AX19" s="64" t="n"/>
      <c r="AY19" s="64" t="n"/>
      <c r="AZ19" s="64" t="n"/>
      <c r="BA19" s="64" t="n"/>
      <c r="BB19" s="64" t="n"/>
      <c r="BC19" s="64" t="n"/>
      <c r="BD19" s="64" t="n"/>
      <c r="BE19" s="64" t="n"/>
      <c r="BF19" s="64" t="n"/>
      <c r="BG19" s="64" t="n"/>
      <c r="BH19" s="64" t="n"/>
    </row>
    <row r="20" ht="16.5" customHeight="1">
      <c r="A20" s="600" t="n"/>
      <c r="B20" s="600" t="n"/>
      <c r="C20" s="600" t="n"/>
      <c r="D20" s="600" t="n"/>
      <c r="E20" s="600" t="n"/>
      <c r="F20" s="600" t="n"/>
      <c r="G20" s="600" t="n"/>
      <c r="H20" s="600" t="n"/>
      <c r="I20" s="600" t="n"/>
      <c r="J20" s="600" t="n"/>
      <c r="K20" s="600" t="n"/>
      <c r="L20" s="600" t="n"/>
      <c r="M20" s="600" t="n"/>
      <c r="N20" s="600" t="n"/>
      <c r="O20" s="600" t="n"/>
      <c r="P20" s="600" t="n"/>
      <c r="Q20" s="600" t="n"/>
      <c r="R20" s="600" t="n"/>
      <c r="S20" s="600" t="n"/>
      <c r="T20" s="600" t="n"/>
      <c r="U20" s="600" t="n"/>
      <c r="V20" s="600" t="n"/>
      <c r="W20" s="600" t="n"/>
      <c r="X20" s="600" t="n"/>
      <c r="Y20" s="600" t="n"/>
      <c r="Z20" s="600" t="n"/>
      <c r="AA20" s="600" t="n"/>
      <c r="AB20" s="600" t="n"/>
      <c r="AC20" s="600" t="n"/>
      <c r="AD20" s="600" t="n"/>
      <c r="AE20" s="600" t="n"/>
      <c r="AF20" s="64" t="n"/>
      <c r="AG20" s="76" t="n"/>
      <c r="AH20" s="76" t="n"/>
      <c r="AI20" s="64" t="n"/>
      <c r="AJ20" s="64" t="n"/>
      <c r="AK20" s="64" t="n"/>
      <c r="AL20" s="76" t="n"/>
      <c r="AM20" s="76" t="n"/>
      <c r="AN20" s="76" t="n"/>
      <c r="AO20" s="77" t="n"/>
      <c r="AP20" s="77" t="n"/>
      <c r="AQ20" s="77" t="n"/>
      <c r="AR20" s="77" t="n"/>
      <c r="AS20" s="77" t="n"/>
      <c r="AT20" s="78" t="n"/>
      <c r="AU20" s="64" t="n"/>
      <c r="AV20" s="64" t="n"/>
      <c r="AW20" s="64" t="n"/>
      <c r="AX20" s="64" t="n"/>
      <c r="AY20" s="64" t="n"/>
      <c r="AZ20" s="64" t="n"/>
      <c r="BA20" s="64" t="n"/>
      <c r="BB20" s="64" t="n"/>
      <c r="BC20" s="64" t="n"/>
      <c r="BD20" s="64" t="n"/>
      <c r="BE20" s="64" t="n"/>
      <c r="BF20" s="64" t="n"/>
      <c r="BG20" s="64" t="n"/>
      <c r="BH20" s="64" t="n"/>
    </row>
    <row r="21" ht="16.5" customHeight="1">
      <c r="A21" s="600" t="n"/>
      <c r="B21" s="600" t="n"/>
      <c r="C21" s="600" t="n"/>
      <c r="D21" s="600" t="n"/>
      <c r="E21" s="600" t="n"/>
      <c r="F21" s="600" t="n"/>
      <c r="G21" s="600" t="n"/>
      <c r="H21" s="600" t="n"/>
      <c r="I21" s="600" t="n"/>
      <c r="J21" s="600" t="n"/>
      <c r="K21" s="600" t="n"/>
      <c r="L21" s="600" t="n"/>
      <c r="M21" s="600" t="n"/>
      <c r="N21" s="600" t="n"/>
      <c r="O21" s="600" t="n"/>
      <c r="P21" s="600" t="n"/>
      <c r="Q21" s="600" t="n"/>
      <c r="R21" s="600" t="n"/>
      <c r="S21" s="600" t="n"/>
      <c r="T21" s="600" t="n"/>
      <c r="U21" s="600" t="n"/>
      <c r="V21" s="600" t="n"/>
      <c r="W21" s="600" t="n"/>
      <c r="X21" s="600" t="n"/>
      <c r="Y21" s="600" t="n"/>
      <c r="Z21" s="600" t="n"/>
      <c r="AA21" s="600" t="n"/>
      <c r="AB21" s="600" t="n"/>
      <c r="AC21" s="600" t="n"/>
      <c r="AD21" s="600" t="n"/>
      <c r="AE21" s="600" t="n"/>
      <c r="AF21" s="64" t="n"/>
      <c r="AG21" s="76" t="n"/>
      <c r="AH21" s="76" t="n"/>
      <c r="AI21" s="64" t="n"/>
      <c r="AJ21" s="64" t="n"/>
      <c r="AK21" s="64" t="n"/>
      <c r="AL21" s="76" t="n"/>
      <c r="AM21" s="76" t="n"/>
      <c r="AN21" s="76" t="n"/>
      <c r="AO21" s="77" t="n"/>
      <c r="AP21" s="77" t="n"/>
      <c r="AQ21" s="77" t="n"/>
      <c r="AR21" s="77" t="n"/>
      <c r="AS21" s="77" t="n"/>
      <c r="AT21" s="78" t="n"/>
      <c r="AU21" s="64" t="n"/>
      <c r="AV21" s="64" t="n"/>
      <c r="AW21" s="64" t="n"/>
      <c r="AX21" s="64" t="n"/>
      <c r="AY21" s="64" t="n"/>
      <c r="AZ21" s="64" t="n"/>
      <c r="BA21" s="64" t="n"/>
      <c r="BB21" s="64" t="n"/>
      <c r="BC21" s="64" t="n"/>
      <c r="BD21" s="64" t="n"/>
      <c r="BE21" s="64" t="n"/>
      <c r="BF21" s="64" t="n"/>
      <c r="BG21" s="64" t="n"/>
      <c r="BH21" s="64" t="n"/>
    </row>
    <row r="22" ht="16.5" customHeight="1">
      <c r="A22" s="62" t="n"/>
      <c r="B22" s="62" t="n"/>
      <c r="C22" s="62" t="n"/>
      <c r="D22" s="62" t="n"/>
      <c r="E22" s="62" t="n"/>
      <c r="F22" s="62" t="n"/>
      <c r="G22" s="62" t="n"/>
      <c r="H22" s="62" t="n"/>
      <c r="I22" s="62" t="n"/>
      <c r="J22" s="62" t="n"/>
      <c r="K22" s="62" t="n"/>
      <c r="L22" s="62" t="n"/>
      <c r="M22" s="62" t="n"/>
      <c r="N22" s="62" t="n"/>
      <c r="O22" s="62" t="n"/>
      <c r="P22" s="62" t="n"/>
      <c r="Q22" s="62" t="n"/>
      <c r="R22" s="62" t="n"/>
      <c r="S22" s="62" t="n"/>
      <c r="T22" s="62" t="n"/>
      <c r="U22" s="62" t="n"/>
      <c r="V22" s="62" t="n"/>
      <c r="W22" s="62" t="n"/>
      <c r="X22" s="62" t="n"/>
      <c r="Y22" s="62" t="n"/>
      <c r="Z22" s="62" t="n"/>
      <c r="AA22" s="62" t="n"/>
      <c r="AB22" s="62" t="n"/>
      <c r="AC22" s="62" t="n"/>
      <c r="AD22" s="62" t="n"/>
      <c r="AE22" s="184" t="inlineStr">
        <is>
          <t>Avcbvi wek¦¯Í,</t>
        </is>
      </c>
      <c r="AS22" s="90" t="n"/>
      <c r="AT22" s="91" t="n"/>
      <c r="AU22" s="64" t="n"/>
      <c r="AV22" s="64" t="n"/>
      <c r="AW22" s="64" t="n"/>
      <c r="AX22" s="64" t="n"/>
      <c r="AY22" s="64" t="n"/>
      <c r="AZ22" s="64" t="n"/>
      <c r="BA22" s="64" t="n"/>
      <c r="BB22" s="64" t="n"/>
      <c r="BC22" s="64" t="n"/>
      <c r="BD22" s="64" t="n"/>
      <c r="BE22" s="64" t="n"/>
      <c r="BF22" s="64" t="n"/>
      <c r="BG22" s="64" t="n"/>
      <c r="BH22" s="64" t="n"/>
    </row>
    <row r="23" ht="42" customHeight="1">
      <c r="A23" s="62" t="n"/>
      <c r="B23" s="62" t="n"/>
      <c r="C23" s="62" t="n"/>
      <c r="D23" s="62" t="n"/>
      <c r="E23" s="62" t="n"/>
      <c r="F23" s="62" t="n"/>
      <c r="G23" s="62" t="n"/>
      <c r="H23" s="62" t="n"/>
      <c r="I23" s="62" t="n"/>
      <c r="J23" s="62" t="n"/>
      <c r="K23" s="62" t="n"/>
      <c r="L23" s="62" t="n"/>
      <c r="M23" s="62" t="n"/>
      <c r="N23" s="62" t="n"/>
      <c r="O23" s="62" t="n"/>
      <c r="P23" s="62" t="n"/>
      <c r="Q23" s="62" t="n"/>
      <c r="R23" s="62" t="n"/>
      <c r="S23" s="62" t="n"/>
      <c r="T23" s="62" t="n"/>
      <c r="U23" s="62" t="n"/>
      <c r="V23" s="62" t="n"/>
      <c r="W23" s="62" t="n"/>
      <c r="X23" s="62" t="n"/>
      <c r="Y23" s="62" t="n"/>
      <c r="Z23" s="62" t="n"/>
      <c r="AA23" s="62" t="n"/>
      <c r="AB23" s="62" t="n"/>
      <c r="AC23" s="62" t="n"/>
      <c r="AD23" s="62" t="n"/>
      <c r="AE23" s="184" t="n"/>
      <c r="AS23" s="90" t="n"/>
      <c r="AT23" s="91" t="n"/>
      <c r="AU23" s="64" t="n"/>
      <c r="AV23" s="64" t="n"/>
      <c r="AW23" s="64" t="n"/>
      <c r="AX23" s="64" t="n"/>
      <c r="AY23" s="64" t="n"/>
      <c r="AZ23" s="64" t="n"/>
      <c r="BA23" s="64" t="n"/>
      <c r="BB23" s="64" t="n"/>
      <c r="BC23" s="64" t="n"/>
      <c r="BD23" s="64" t="n"/>
      <c r="BE23" s="64" t="n"/>
      <c r="BF23" s="64" t="n"/>
      <c r="BG23" s="64" t="n"/>
      <c r="BH23" s="64" t="n"/>
    </row>
    <row r="24" ht="17.25" customHeight="1">
      <c r="A24" s="63" t="n"/>
      <c r="B24" s="183" t="n"/>
      <c r="C24" s="83" t="n"/>
      <c r="D24" s="83" t="n"/>
      <c r="E24" s="83" t="n"/>
      <c r="F24" s="64" t="n"/>
      <c r="G24" s="64" t="n"/>
      <c r="H24" s="64" t="n"/>
      <c r="I24" s="64" t="n"/>
      <c r="J24" s="64" t="n"/>
      <c r="K24" s="64" t="n"/>
      <c r="L24" s="64" t="n"/>
      <c r="M24" s="64" t="n"/>
      <c r="N24" s="64" t="n"/>
      <c r="O24" s="64" t="n"/>
      <c r="P24" s="64" t="n"/>
      <c r="Q24" s="64" t="n"/>
      <c r="R24" s="64" t="n"/>
      <c r="S24" s="64" t="n"/>
      <c r="T24" s="64" t="n"/>
      <c r="U24" s="64" t="n"/>
      <c r="V24" s="64" t="n"/>
      <c r="W24" s="64" t="n"/>
      <c r="X24" s="64" t="n"/>
      <c r="Y24" s="64" t="n"/>
      <c r="Z24" s="64" t="n"/>
      <c r="AA24" s="64" t="n"/>
      <c r="AB24" s="64" t="n"/>
      <c r="AC24" s="64" t="n"/>
      <c r="AD24" s="64" t="n"/>
      <c r="AE24" s="184" t="inlineStr">
        <is>
          <t>e¨e¯’vcK</t>
        </is>
      </c>
      <c r="AS24" s="64" t="n"/>
      <c r="AT24" s="64" t="n"/>
      <c r="AU24" s="64" t="n"/>
      <c r="AV24" s="64" t="n"/>
      <c r="AW24" s="130" t="n"/>
      <c r="AX24" s="130" t="n"/>
      <c r="AY24" s="130" t="n"/>
      <c r="AZ24" s="130" t="n"/>
      <c r="BA24" s="130" t="n"/>
      <c r="BB24" s="130" t="n"/>
      <c r="BC24" s="130" t="n"/>
      <c r="BD24" s="130" t="n"/>
      <c r="BE24" s="130" t="n"/>
      <c r="BF24" s="130" t="n"/>
      <c r="BG24" s="130" t="n"/>
      <c r="BH24" s="130" t="n"/>
    </row>
    <row r="25" ht="17.25" customHeight="1">
      <c r="A25" s="63" t="n"/>
      <c r="B25" s="183" t="n"/>
      <c r="C25" s="64" t="n"/>
      <c r="D25" s="64" t="n"/>
      <c r="E25" s="64" t="n"/>
      <c r="F25" s="130" t="n"/>
      <c r="G25" s="130" t="n"/>
      <c r="H25" s="130" t="n"/>
      <c r="I25" s="130" t="n"/>
      <c r="J25" s="130" t="n"/>
      <c r="K25" s="130" t="n"/>
      <c r="L25" s="130" t="n"/>
      <c r="M25" s="130" t="n"/>
      <c r="N25" s="64" t="n"/>
      <c r="O25" s="64" t="n"/>
      <c r="P25" s="64" t="n"/>
      <c r="Q25" s="64" t="n"/>
      <c r="R25" s="64" t="n"/>
      <c r="S25" s="64" t="n"/>
      <c r="T25" s="64" t="n"/>
      <c r="U25" s="64" t="n"/>
      <c r="V25" s="64" t="n"/>
      <c r="W25" s="64" t="n"/>
      <c r="X25" s="64" t="n"/>
      <c r="Y25" s="64" t="n"/>
      <c r="Z25" s="64" t="n"/>
      <c r="AA25" s="64" t="n"/>
      <c r="AB25" s="64" t="n"/>
      <c r="AC25" s="64" t="n"/>
      <c r="AD25" s="64" t="n"/>
      <c r="AE25" s="184" t="inlineStr">
        <is>
          <t>evsjv‡`k K…wl e¨vsK,</t>
        </is>
      </c>
      <c r="AS25" s="64" t="n"/>
      <c r="AT25" s="64" t="n"/>
      <c r="AU25" s="64" t="n"/>
      <c r="AV25" s="64" t="n"/>
      <c r="AW25" s="130" t="n"/>
      <c r="AX25" s="130" t="n"/>
      <c r="AY25" s="130" t="n"/>
      <c r="AZ25" s="130" t="n"/>
      <c r="BA25" s="130" t="n"/>
      <c r="BB25" s="130" t="n"/>
      <c r="BC25" s="130" t="n"/>
      <c r="BD25" s="130" t="n"/>
      <c r="BE25" s="130" t="n"/>
      <c r="BF25" s="130" t="n"/>
      <c r="BG25" s="130" t="n"/>
      <c r="BH25" s="130" t="n"/>
    </row>
    <row r="26" ht="17.25" customHeight="1">
      <c r="A26" s="63" t="n"/>
      <c r="B26" s="183" t="n"/>
      <c r="C26" s="62" t="n"/>
      <c r="F26" s="130" t="n"/>
      <c r="G26" s="130" t="n"/>
      <c r="H26" s="130" t="n"/>
      <c r="I26" s="130" t="n"/>
      <c r="J26" s="130" t="n"/>
      <c r="K26" s="130" t="n"/>
      <c r="L26" s="130" t="n"/>
      <c r="M26" s="130" t="n"/>
      <c r="N26" s="64" t="n"/>
      <c r="O26" s="64" t="n"/>
      <c r="P26" s="64" t="n"/>
      <c r="Q26" s="64" t="n"/>
      <c r="R26" s="64" t="n"/>
      <c r="S26" s="64" t="n"/>
      <c r="T26" s="64" t="n"/>
      <c r="U26" s="64" t="n"/>
      <c r="V26" s="64" t="n"/>
      <c r="W26" s="64" t="n"/>
      <c r="X26" s="64" t="n"/>
      <c r="Y26" s="64" t="n"/>
      <c r="Z26" s="64" t="n"/>
      <c r="AA26" s="64" t="n"/>
      <c r="AB26" s="64" t="n"/>
      <c r="AC26" s="64" t="n"/>
      <c r="AD26" s="64" t="n"/>
      <c r="AE26" s="184">
        <f>+A2</f>
        <v/>
      </c>
      <c r="AS26" s="64" t="n"/>
      <c r="AT26" s="64" t="n"/>
      <c r="AU26" s="64" t="n"/>
      <c r="AV26" s="64" t="n"/>
      <c r="AW26" s="130" t="n"/>
      <c r="AX26" s="130" t="n"/>
      <c r="AY26" s="130" t="n"/>
      <c r="AZ26" s="130" t="n"/>
      <c r="BA26" s="130" t="n"/>
      <c r="BB26" s="130" t="n"/>
      <c r="BC26" s="130" t="n"/>
      <c r="BD26" s="130" t="n"/>
      <c r="BE26" s="130" t="n"/>
      <c r="BF26" s="130" t="n"/>
      <c r="BG26" s="130" t="n"/>
      <c r="BH26" s="130" t="n"/>
    </row>
    <row r="27" ht="17.25" customHeight="1">
      <c r="A27" s="63" t="n"/>
      <c r="B27" s="100" t="n"/>
      <c r="C27" s="600" t="n"/>
      <c r="D27" s="600" t="n"/>
      <c r="E27" s="600" t="n"/>
      <c r="F27" s="64" t="n"/>
      <c r="G27" s="64" t="n"/>
      <c r="H27" s="64" t="n"/>
      <c r="I27" s="64" t="n"/>
      <c r="J27" s="64" t="n"/>
      <c r="K27" s="64" t="n"/>
      <c r="L27" s="64" t="n"/>
      <c r="M27" s="64" t="n"/>
      <c r="N27" s="64" t="n"/>
      <c r="O27" s="64" t="n"/>
      <c r="P27" s="64" t="n"/>
      <c r="Q27" s="64" t="n"/>
      <c r="R27" s="64" t="n"/>
      <c r="S27" s="64" t="n"/>
      <c r="T27" s="64" t="n"/>
      <c r="U27" s="64" t="n"/>
      <c r="V27" s="64" t="n"/>
      <c r="W27" s="64" t="n"/>
      <c r="X27" s="64" t="n"/>
      <c r="Y27" s="64" t="n"/>
      <c r="Z27" s="64" t="n"/>
      <c r="AA27" s="64" t="n"/>
      <c r="AB27" s="64" t="n"/>
      <c r="AC27" s="64" t="n"/>
      <c r="AD27" s="64" t="n"/>
      <c r="AE27" s="185" t="inlineStr">
        <is>
          <t>(mxj †gvni e¨envi Ki‡Z n‡e)</t>
        </is>
      </c>
      <c r="AS27" s="64" t="n"/>
      <c r="AT27" s="64" t="n"/>
      <c r="AU27" s="64" t="n"/>
      <c r="AV27" s="64" t="n"/>
      <c r="AW27" s="64" t="n"/>
      <c r="AX27" s="64" t="n"/>
      <c r="AY27" s="64" t="n"/>
      <c r="AZ27" s="64" t="n"/>
      <c r="BA27" s="76" t="n"/>
      <c r="BB27" s="76" t="n"/>
      <c r="BC27" s="76" t="n"/>
      <c r="BD27" s="76" t="n"/>
      <c r="BE27" s="64" t="n"/>
      <c r="BF27" s="64" t="n"/>
      <c r="BG27" s="64" t="n"/>
      <c r="BH27" s="64" t="n"/>
    </row>
    <row r="28" ht="18.75" customHeight="1">
      <c r="A28" s="63" t="n"/>
      <c r="B28" s="100" t="n"/>
      <c r="C28" s="600" t="n"/>
      <c r="D28" s="600" t="n"/>
      <c r="E28" s="600" t="n"/>
      <c r="F28" s="64" t="n"/>
      <c r="G28" s="64" t="n"/>
      <c r="H28" s="64" t="n"/>
      <c r="I28" s="64" t="n"/>
      <c r="J28" s="64" t="n"/>
      <c r="K28" s="64" t="n"/>
      <c r="L28" s="64" t="n"/>
      <c r="M28" s="64" t="n"/>
      <c r="N28" s="64" t="n"/>
      <c r="O28" s="64" t="n"/>
      <c r="P28" s="64" t="n"/>
      <c r="Q28" s="64" t="n"/>
      <c r="R28" s="64" t="n"/>
      <c r="S28" s="64" t="n"/>
      <c r="T28" s="64" t="n"/>
      <c r="U28" s="64" t="n"/>
      <c r="V28" s="64" t="n"/>
      <c r="W28" s="64" t="n"/>
      <c r="X28" s="64" t="n"/>
      <c r="Y28" s="64" t="n"/>
      <c r="Z28" s="64" t="n"/>
      <c r="AA28" s="64" t="n"/>
      <c r="AB28" s="64" t="n"/>
      <c r="AC28" s="64" t="n"/>
      <c r="AD28" s="64" t="n"/>
      <c r="AE28" s="64" t="n"/>
      <c r="AF28" s="64" t="n"/>
      <c r="AG28" s="64" t="n"/>
      <c r="AH28" s="64" t="n"/>
      <c r="AI28" s="64" t="n"/>
      <c r="AJ28" s="64" t="n"/>
      <c r="AK28" s="64" t="n"/>
      <c r="AL28" s="64" t="n"/>
      <c r="AM28" s="64" t="n"/>
      <c r="AN28" s="64" t="n"/>
      <c r="AO28" s="64" t="n"/>
      <c r="AP28" s="64" t="n"/>
      <c r="AQ28" s="64" t="n"/>
      <c r="AR28" s="64" t="n"/>
      <c r="AS28" s="64" t="n"/>
      <c r="AT28" s="64" t="n"/>
      <c r="AU28" s="64" t="n"/>
      <c r="AV28" s="64" t="n"/>
      <c r="AW28" s="64" t="n"/>
      <c r="AX28" s="64" t="n"/>
      <c r="AY28" s="64" t="n"/>
      <c r="AZ28" s="64" t="n"/>
      <c r="BA28" s="76" t="n"/>
      <c r="BB28" s="76" t="n"/>
      <c r="BC28" s="76" t="n"/>
      <c r="BD28" s="76" t="n"/>
      <c r="BE28" s="64" t="n"/>
      <c r="BF28" s="64" t="n"/>
      <c r="BG28" s="64" t="n"/>
      <c r="BH28" s="64" t="n"/>
    </row>
    <row r="29" ht="18.75" customHeight="1">
      <c r="A29" s="63" t="n"/>
      <c r="B29" s="100" t="n"/>
      <c r="C29" s="600" t="n"/>
      <c r="F29" s="64" t="n"/>
      <c r="G29" s="64" t="n"/>
      <c r="H29" s="64" t="n"/>
      <c r="I29" s="64" t="n"/>
      <c r="J29" s="64" t="n"/>
      <c r="K29" s="64" t="n"/>
      <c r="L29" s="64" t="n"/>
      <c r="M29" s="64" t="n"/>
      <c r="N29" s="64" t="n"/>
      <c r="O29" s="64" t="n"/>
      <c r="P29" s="64" t="n"/>
      <c r="Q29" s="64" t="n"/>
      <c r="R29" s="64" t="n"/>
      <c r="S29" s="64" t="n"/>
      <c r="T29" s="64" t="n"/>
      <c r="U29" s="64" t="n"/>
      <c r="V29" s="64" t="n"/>
      <c r="W29" s="64" t="n"/>
      <c r="X29" s="64" t="n"/>
      <c r="Y29" s="64" t="n"/>
      <c r="Z29" s="64" t="n"/>
      <c r="AA29" s="64" t="n"/>
      <c r="AB29" s="64" t="n"/>
      <c r="AC29" s="64" t="n"/>
      <c r="AD29" s="64" t="n"/>
      <c r="AE29" s="64" t="n"/>
      <c r="AF29" s="64" t="n"/>
      <c r="AG29" s="64" t="n"/>
      <c r="AH29" s="64" t="n"/>
      <c r="AI29" s="64" t="n"/>
      <c r="AJ29" s="64" t="n"/>
      <c r="AK29" s="64" t="n"/>
      <c r="AL29" s="64" t="n"/>
      <c r="AM29" s="64" t="n"/>
      <c r="AN29" s="64" t="n"/>
      <c r="AO29" s="64" t="n"/>
      <c r="AP29" s="64" t="n"/>
      <c r="AQ29" s="64" t="n"/>
      <c r="AR29" s="64" t="n"/>
      <c r="AS29" s="64" t="n"/>
      <c r="AT29" s="64" t="n"/>
      <c r="AU29" s="64" t="n"/>
      <c r="AV29" s="64" t="n"/>
      <c r="AW29" s="64" t="n"/>
      <c r="AX29" s="64" t="n"/>
      <c r="AY29" s="64" t="n"/>
      <c r="AZ29" s="64" t="n"/>
      <c r="BA29" s="76" t="n"/>
      <c r="BB29" s="76" t="n"/>
      <c r="BC29" s="76" t="n"/>
      <c r="BD29" s="76" t="n"/>
      <c r="BE29" s="64" t="n"/>
      <c r="BF29" s="64" t="n"/>
      <c r="BG29" s="64" t="n"/>
      <c r="BH29" s="64" t="n"/>
    </row>
    <row r="30" ht="18.75" customHeight="1">
      <c r="A30" s="63" t="n"/>
      <c r="B30" s="100" t="n"/>
      <c r="C30" s="600" t="n"/>
      <c r="F30" s="64" t="n"/>
      <c r="G30" s="64" t="n"/>
      <c r="H30" s="64" t="n"/>
      <c r="I30" s="64" t="n"/>
      <c r="J30" s="64" t="n"/>
      <c r="K30" s="64" t="n"/>
      <c r="L30" s="64" t="n"/>
      <c r="M30" s="64" t="n"/>
      <c r="N30" s="64" t="n"/>
      <c r="O30" s="64" t="n"/>
      <c r="P30" s="64" t="n"/>
      <c r="Q30" s="64" t="n"/>
      <c r="R30" s="64" t="n"/>
      <c r="S30" s="64" t="n"/>
      <c r="T30" s="64" t="n"/>
      <c r="U30" s="64" t="n"/>
      <c r="V30" s="64" t="n"/>
      <c r="W30" s="64" t="n"/>
      <c r="X30" s="64" t="n"/>
      <c r="Y30" s="64" t="n"/>
      <c r="Z30" s="64" t="n"/>
      <c r="AA30" s="64" t="n"/>
      <c r="AB30" s="64" t="n"/>
      <c r="AC30" s="64" t="n"/>
      <c r="AD30" s="64" t="n"/>
      <c r="AE30" s="64" t="n"/>
      <c r="AF30" s="64" t="n"/>
      <c r="AG30" s="64" t="n"/>
      <c r="AH30" s="64" t="n"/>
      <c r="AI30" s="64" t="n"/>
      <c r="AJ30" s="64" t="n"/>
      <c r="AK30" s="64" t="n"/>
      <c r="AL30" s="64" t="n"/>
      <c r="AM30" s="64" t="n"/>
      <c r="AN30" s="64" t="n"/>
      <c r="AO30" s="64" t="n"/>
      <c r="AP30" s="64" t="n"/>
      <c r="AQ30" s="64" t="n"/>
      <c r="AR30" s="64" t="n"/>
      <c r="AS30" s="64" t="n"/>
      <c r="AT30" s="64" t="n"/>
      <c r="AU30" s="64" t="n"/>
      <c r="AV30" s="64" t="n"/>
      <c r="AW30" s="64" t="n"/>
      <c r="AX30" s="64" t="n"/>
      <c r="AY30" s="64" t="n"/>
      <c r="AZ30" s="64" t="n"/>
      <c r="BA30" s="76" t="n"/>
      <c r="BB30" s="76" t="n"/>
      <c r="BC30" s="76" t="n"/>
      <c r="BD30" s="76" t="n"/>
      <c r="BE30" s="64" t="n"/>
      <c r="BF30" s="64" t="n"/>
      <c r="BG30" s="64" t="n"/>
      <c r="BH30" s="64" t="n"/>
    </row>
    <row r="31" ht="11.25" customFormat="1" customHeight="1" s="18">
      <c r="A31" s="375" t="n"/>
      <c r="B31" s="100" t="n"/>
      <c r="C31" s="103" t="n"/>
      <c r="D31" s="103" t="n"/>
      <c r="E31" s="103" t="n"/>
      <c r="F31" s="103" t="n"/>
      <c r="G31" s="103" t="n"/>
      <c r="H31" s="103" t="n"/>
      <c r="I31" s="103" t="n"/>
      <c r="J31" s="103" t="n"/>
      <c r="K31" s="103" t="n"/>
      <c r="L31" s="103" t="n"/>
      <c r="M31" s="103" t="n"/>
      <c r="N31" s="103" t="n"/>
      <c r="O31" s="103" t="n"/>
      <c r="P31" s="103" t="n"/>
      <c r="Q31" s="103" t="n"/>
      <c r="R31" s="103" t="n"/>
      <c r="S31" s="103" t="n"/>
      <c r="T31" s="103" t="n"/>
      <c r="U31" s="103" t="n"/>
      <c r="V31" s="103" t="n"/>
      <c r="W31" s="103" t="n"/>
      <c r="X31" s="103" t="n"/>
      <c r="Y31" s="103" t="n"/>
      <c r="Z31" s="103" t="n"/>
      <c r="AA31" s="103" t="n"/>
      <c r="AB31" s="103" t="n"/>
      <c r="AC31" s="103" t="n"/>
      <c r="AD31" s="103" t="n"/>
      <c r="AE31" s="103" t="n"/>
      <c r="AF31" s="103" t="n"/>
      <c r="AG31" s="103" t="n"/>
      <c r="AH31" s="103" t="n"/>
      <c r="AI31" s="103" t="n"/>
      <c r="AJ31" s="103" t="n"/>
      <c r="AK31" s="103" t="n"/>
      <c r="AL31" s="103" t="n"/>
      <c r="AM31" s="103" t="n"/>
      <c r="AN31" s="103" t="n"/>
      <c r="AO31" s="103" t="n"/>
      <c r="AP31" s="103" t="n"/>
      <c r="AQ31" s="103" t="n"/>
      <c r="AR31" s="103" t="n"/>
      <c r="AS31" s="103" t="n"/>
      <c r="AT31" s="103" t="n"/>
      <c r="AU31" s="103" t="n"/>
      <c r="AV31" s="103" t="n"/>
      <c r="AW31" s="103" t="n"/>
      <c r="AX31" s="103" t="n"/>
      <c r="AY31" s="103" t="n"/>
      <c r="AZ31" s="103" t="n"/>
      <c r="BA31" s="103" t="n"/>
      <c r="BB31" s="103" t="n"/>
      <c r="BC31" s="103" t="n"/>
      <c r="BD31" s="103" t="n"/>
      <c r="BE31" s="103" t="n"/>
      <c r="BF31" s="103" t="n"/>
      <c r="BG31" s="103" t="n"/>
      <c r="BH31" s="103" t="n"/>
    </row>
    <row r="32" ht="18.75" customFormat="1" customHeight="1" s="18">
      <c r="A32" s="375" t="n"/>
      <c r="B32" s="100" t="n"/>
      <c r="C32" s="103" t="n"/>
      <c r="D32" s="103" t="n"/>
      <c r="E32" s="103" t="n"/>
      <c r="F32" s="103" t="n"/>
      <c r="G32" s="103" t="n"/>
      <c r="H32" s="103" t="n"/>
      <c r="I32" s="103" t="n"/>
      <c r="J32" s="103" t="n"/>
      <c r="K32" s="103" t="n"/>
      <c r="L32" s="103" t="n"/>
      <c r="M32" s="103" t="n"/>
      <c r="N32" s="103" t="n"/>
      <c r="O32" s="103" t="n"/>
      <c r="P32" s="103" t="n"/>
      <c r="Q32" s="103" t="n"/>
      <c r="R32" s="103" t="n"/>
      <c r="S32" s="103" t="n"/>
      <c r="T32" s="103" t="n"/>
      <c r="U32" s="103" t="n"/>
      <c r="V32" s="103" t="n"/>
      <c r="W32" s="103" t="n"/>
      <c r="X32" s="103" t="n"/>
      <c r="Y32" s="103" t="n"/>
      <c r="Z32" s="103" t="n"/>
      <c r="AA32" s="103" t="n"/>
      <c r="AB32" s="103" t="n"/>
      <c r="AC32" s="103" t="n"/>
      <c r="AD32" s="103" t="n"/>
      <c r="AE32" s="103" t="n"/>
      <c r="AF32" s="103" t="n"/>
      <c r="AG32" s="103" t="n"/>
      <c r="AH32" s="103" t="n"/>
      <c r="AI32" s="103" t="n"/>
      <c r="AJ32" s="103" t="n"/>
      <c r="AK32" s="103" t="n"/>
      <c r="AL32" s="103" t="n"/>
      <c r="AM32" s="103" t="n"/>
      <c r="AN32" s="103" t="n"/>
      <c r="AO32" s="103" t="n"/>
      <c r="AP32" s="103" t="n"/>
      <c r="AQ32" s="103" t="n"/>
      <c r="AR32" s="103" t="n"/>
      <c r="AS32" s="103" t="n"/>
      <c r="AT32" s="103" t="n"/>
      <c r="AU32" s="103" t="n"/>
      <c r="AV32" s="103" t="n"/>
      <c r="AW32" s="103" t="n"/>
      <c r="AX32" s="103" t="n"/>
      <c r="AY32" s="103" t="n"/>
      <c r="AZ32" s="103" t="n"/>
      <c r="BA32" s="103" t="n"/>
      <c r="BB32" s="103" t="n"/>
      <c r="BC32" s="103" t="n"/>
      <c r="BD32" s="103" t="n"/>
      <c r="BE32" s="103" t="n"/>
      <c r="BF32" s="103" t="n"/>
      <c r="BG32" s="103" t="n"/>
      <c r="BH32" s="103" t="n"/>
    </row>
    <row r="33" ht="18.75" customHeight="1">
      <c r="A33" s="600" t="n"/>
      <c r="B33" s="186" t="n"/>
      <c r="C33" s="64" t="n"/>
      <c r="D33" s="64" t="n"/>
      <c r="E33" s="64" t="n"/>
      <c r="F33" s="64" t="n"/>
      <c r="G33" s="64" t="n"/>
      <c r="H33" s="64" t="n"/>
      <c r="I33" s="64" t="n"/>
      <c r="J33" s="64" t="n"/>
      <c r="K33" s="64" t="n"/>
      <c r="L33" s="64" t="n"/>
      <c r="M33" s="64" t="n"/>
      <c r="N33" s="64" t="n"/>
      <c r="O33" s="64" t="n"/>
      <c r="P33" s="64" t="n"/>
      <c r="Q33" s="64" t="n"/>
      <c r="R33" s="64" t="n"/>
      <c r="S33" s="64" t="n"/>
      <c r="T33" s="64" t="n"/>
      <c r="U33" s="64" t="n"/>
      <c r="V33" s="64" t="n"/>
      <c r="W33" s="64" t="n"/>
      <c r="X33" s="64" t="n"/>
      <c r="Y33" s="64" t="n"/>
      <c r="Z33" s="64" t="n"/>
      <c r="AA33" s="64" t="n"/>
      <c r="AB33" s="64" t="n"/>
      <c r="AC33" s="64" t="n"/>
      <c r="AD33" s="64" t="n"/>
      <c r="AE33" s="64" t="n"/>
      <c r="AF33" s="64" t="n"/>
      <c r="AG33" s="64" t="n"/>
      <c r="AH33" s="64" t="n"/>
      <c r="AI33" s="64" t="n"/>
      <c r="AJ33" s="64" t="n"/>
      <c r="AK33" s="64" t="n"/>
      <c r="AL33" s="64" t="n"/>
      <c r="AM33" s="64" t="n"/>
      <c r="AN33" s="64" t="n"/>
      <c r="AO33" s="64" t="n"/>
      <c r="AP33" s="64" t="n"/>
      <c r="AQ33" s="64" t="n"/>
      <c r="AR33" s="64" t="n"/>
      <c r="AS33" s="64" t="n"/>
      <c r="AT33" s="64" t="n"/>
      <c r="AU33" s="64" t="n"/>
      <c r="AV33" s="64" t="n"/>
      <c r="AW33" s="64" t="n"/>
      <c r="AX33" s="64" t="n"/>
      <c r="AY33" s="64" t="n"/>
      <c r="AZ33" s="64" t="n"/>
      <c r="BA33" s="64" t="n"/>
      <c r="BB33" s="64" t="n"/>
      <c r="BC33" s="64" t="n"/>
      <c r="BD33" s="64" t="n"/>
      <c r="BE33" s="64" t="n"/>
      <c r="BF33" s="64" t="n"/>
      <c r="BG33" s="64" t="n"/>
      <c r="BH33" s="64" t="n"/>
    </row>
    <row r="34" ht="18.75" customHeight="1">
      <c r="A34" s="600" t="n"/>
      <c r="B34" s="186" t="n"/>
      <c r="C34" s="64" t="n"/>
      <c r="D34" s="64" t="n"/>
      <c r="E34" s="64" t="n"/>
      <c r="F34" s="64" t="n"/>
      <c r="G34" s="64" t="n"/>
      <c r="H34" s="64" t="n"/>
      <c r="I34" s="64" t="n"/>
      <c r="J34" s="64" t="n"/>
      <c r="K34" s="64" t="n"/>
      <c r="L34" s="64" t="n"/>
      <c r="M34" s="64" t="n"/>
      <c r="N34" s="64" t="n"/>
      <c r="O34" s="64" t="n"/>
      <c r="P34" s="64" t="n"/>
      <c r="Q34" s="64" t="n"/>
      <c r="R34" s="64" t="n"/>
      <c r="S34" s="64" t="n"/>
      <c r="T34" s="64" t="n"/>
      <c r="U34" s="64" t="n"/>
      <c r="V34" s="64" t="n"/>
      <c r="W34" s="64" t="n"/>
      <c r="X34" s="64" t="n"/>
      <c r="Y34" s="64" t="n"/>
      <c r="Z34" s="64" t="n"/>
      <c r="AA34" s="64" t="n"/>
      <c r="AB34" s="64" t="n"/>
      <c r="AC34" s="64" t="n"/>
      <c r="AD34" s="64" t="n"/>
      <c r="AE34" s="64" t="n"/>
      <c r="AF34" s="64" t="n"/>
      <c r="AG34" s="64" t="n"/>
      <c r="AH34" s="64" t="n"/>
      <c r="AI34" s="64" t="n"/>
      <c r="AJ34" s="64" t="n"/>
      <c r="AK34" s="64" t="n"/>
      <c r="AL34" s="64" t="n"/>
      <c r="AM34" s="64" t="n"/>
      <c r="AN34" s="64" t="n"/>
      <c r="AO34" s="64" t="n"/>
      <c r="AP34" s="64" t="n"/>
      <c r="AQ34" s="64" t="n"/>
      <c r="AR34" s="64" t="n"/>
      <c r="AS34" s="64" t="n"/>
      <c r="AT34" s="64" t="n"/>
      <c r="AU34" s="64" t="n"/>
      <c r="AV34" s="64" t="n"/>
      <c r="AW34" s="64" t="n"/>
      <c r="AX34" s="64" t="n"/>
      <c r="AY34" s="64" t="n"/>
      <c r="AZ34" s="64" t="n"/>
      <c r="BA34" s="64" t="n"/>
      <c r="BB34" s="64" t="n"/>
      <c r="BC34" s="64" t="n"/>
      <c r="BD34" s="64" t="n"/>
      <c r="BE34" s="64" t="n"/>
      <c r="BF34" s="64" t="n"/>
      <c r="BG34" s="64" t="n"/>
      <c r="BH34" s="64" t="n"/>
    </row>
    <row r="35" ht="18.75" customHeight="1">
      <c r="A35" s="600" t="n"/>
      <c r="B35" s="186" t="n"/>
      <c r="C35" s="64" t="n"/>
      <c r="D35" s="64" t="n"/>
      <c r="E35" s="64" t="n"/>
      <c r="F35" s="64" t="n"/>
      <c r="G35" s="64" t="n"/>
      <c r="H35" s="64" t="n"/>
      <c r="I35" s="64" t="n"/>
      <c r="J35" s="64" t="n"/>
      <c r="K35" s="64" t="n"/>
      <c r="L35" s="64" t="n"/>
      <c r="M35" s="64" t="n"/>
      <c r="N35" s="64" t="n"/>
      <c r="O35" s="64" t="n"/>
      <c r="P35" s="64" t="n"/>
      <c r="Q35" s="64" t="n"/>
      <c r="R35" s="64" t="n"/>
      <c r="S35" s="64" t="n"/>
      <c r="T35" s="64" t="n"/>
      <c r="U35" s="64" t="n"/>
      <c r="V35" s="64" t="n"/>
      <c r="W35" s="64" t="n"/>
      <c r="X35" s="64" t="n"/>
      <c r="Y35" s="64" t="n"/>
      <c r="Z35" s="64" t="n"/>
      <c r="AA35" s="64" t="n"/>
      <c r="AB35" s="64" t="n"/>
      <c r="AC35" s="64" t="n"/>
      <c r="AD35" s="64" t="n"/>
      <c r="AE35" s="64" t="n"/>
      <c r="AF35" s="64" t="n"/>
      <c r="AG35" s="64" t="n"/>
      <c r="AH35" s="64" t="n"/>
      <c r="AI35" s="64" t="n"/>
      <c r="AJ35" s="64" t="n"/>
      <c r="AK35" s="64" t="n"/>
      <c r="AL35" s="64" t="n"/>
      <c r="AM35" s="64" t="n"/>
      <c r="AN35" s="64" t="n"/>
      <c r="AO35" s="64" t="n"/>
      <c r="AP35" s="64" t="n"/>
      <c r="AQ35" s="64" t="n"/>
      <c r="AR35" s="64" t="n"/>
      <c r="AS35" s="64" t="n"/>
      <c r="AT35" s="64" t="n"/>
      <c r="AU35" s="64" t="n"/>
      <c r="AV35" s="64" t="n"/>
      <c r="AW35" s="64" t="n"/>
      <c r="AX35" s="64" t="n"/>
      <c r="AY35" s="64" t="n"/>
      <c r="AZ35" s="64" t="n"/>
      <c r="BA35" s="64" t="n"/>
      <c r="BB35" s="64" t="n"/>
      <c r="BC35" s="64" t="n"/>
      <c r="BD35" s="64" t="n"/>
      <c r="BE35" s="64" t="n"/>
      <c r="BF35" s="64" t="n"/>
      <c r="BG35" s="64" t="n"/>
      <c r="BH35" s="64" t="n"/>
    </row>
  </sheetData>
  <mergeCells count="18">
    <mergeCell ref="AE27:AR27"/>
    <mergeCell ref="AE23:AR23"/>
    <mergeCell ref="A9:AT9"/>
    <mergeCell ref="A4:AT4"/>
    <mergeCell ref="A3:AT3"/>
    <mergeCell ref="AE26:AR26"/>
    <mergeCell ref="AL5:AN5"/>
    <mergeCell ref="A5:AE5"/>
    <mergeCell ref="A2:AT2"/>
    <mergeCell ref="E12:AN15"/>
    <mergeCell ref="AO5:AS5"/>
    <mergeCell ref="AE24:AR24"/>
    <mergeCell ref="AE25:AR25"/>
    <mergeCell ref="C29:E29"/>
    <mergeCell ref="C30:E30"/>
    <mergeCell ref="C26:E26"/>
    <mergeCell ref="A1:AT1"/>
    <mergeCell ref="AE22:AR22"/>
  </mergeCells>
  <pageMargins left="0.7" right="0.7" top="0.75" bottom="0.75" header="0.3" footer="0.3"/>
</worksheet>
</file>

<file path=xl/worksheets/sheet27.xml><?xml version="1.0" encoding="utf-8"?>
<worksheet xmlns="http://schemas.openxmlformats.org/spreadsheetml/2006/main">
  <sheetPr>
    <outlinePr summaryBelow="0"/>
    <pageSetUpPr/>
  </sheetPr>
  <dimension ref="A1:T69"/>
  <sheetViews>
    <sheetView workbookViewId="0">
      <selection activeCell="A1" sqref="A1"/>
    </sheetView>
  </sheetViews>
  <sheetFormatPr baseColWidth="8" defaultRowHeight="15"/>
  <cols>
    <col width="5.290714285714285" bestFit="1" customWidth="1" style="64" min="1" max="1"/>
    <col width="5.290714285714285" bestFit="1" customWidth="1" style="64" min="2" max="2"/>
    <col width="8.43357142857143" bestFit="1" customWidth="1" style="64" min="3" max="3"/>
    <col width="2.433571428571428" bestFit="1" customWidth="1" style="64" min="4" max="4"/>
    <col width="5.290714285714285" bestFit="1" customWidth="1" style="64" min="5" max="5"/>
    <col width="5.290714285714285" bestFit="1" customWidth="1" style="64" min="6" max="6"/>
    <col width="5.290714285714285" bestFit="1" customWidth="1" style="64" min="7" max="7"/>
    <col width="7.290714285714285" bestFit="1" customWidth="1" style="64" min="8" max="8"/>
    <col width="6.719285714285714" bestFit="1" customWidth="1" style="64" min="9" max="9"/>
    <col width="5.290714285714285" bestFit="1" customWidth="1" style="64" min="10" max="10"/>
    <col width="5.290714285714285" bestFit="1" customWidth="1" style="64" min="11" max="11"/>
    <col width="5.290714285714285" bestFit="1" customWidth="1" style="64" min="12" max="12"/>
    <col width="5.290714285714285" bestFit="1" customWidth="1" style="64" min="13" max="13"/>
    <col width="5.290714285714285" bestFit="1" customWidth="1" style="64" min="14" max="14"/>
    <col width="3.290714285714285" bestFit="1" customWidth="1" style="64" min="15" max="15"/>
    <col width="13.57642857142857" bestFit="1" customWidth="1" style="63" min="16" max="16"/>
    <col width="13.57642857142857" bestFit="1" customWidth="1" style="64" min="17" max="17"/>
    <col width="13.57642857142857" bestFit="1" customWidth="1" style="64" min="18" max="18"/>
    <col width="13.57642857142857" bestFit="1" customWidth="1" style="64" min="19" max="19"/>
    <col width="13.57642857142857" bestFit="1" customWidth="1" style="64" min="20" max="20"/>
  </cols>
  <sheetData>
    <row r="1" ht="18.75" customHeight="1">
      <c r="A1" s="64" t="n"/>
      <c r="B1" s="64" t="n"/>
      <c r="C1" s="64" t="n"/>
      <c r="D1" s="64" t="n"/>
      <c r="E1" s="64" t="n"/>
      <c r="F1" s="64" t="n"/>
      <c r="G1" s="64" t="n"/>
      <c r="H1" s="64" t="n"/>
      <c r="I1" s="64" t="n"/>
      <c r="J1" s="64" t="n"/>
      <c r="K1" s="64" t="n"/>
      <c r="L1" s="64" t="n"/>
      <c r="M1" s="64" t="n"/>
      <c r="N1" s="64" t="n"/>
      <c r="O1" s="64" t="n"/>
      <c r="P1" s="63" t="n"/>
      <c r="Q1" s="64" t="n"/>
      <c r="R1" s="64" t="n"/>
      <c r="S1" s="64" t="n"/>
      <c r="T1" s="64" t="n"/>
    </row>
    <row r="2" ht="18.75" customHeight="1">
      <c r="A2" s="64" t="n"/>
      <c r="B2" s="64" t="n"/>
      <c r="C2" s="64" t="n"/>
      <c r="D2" s="64" t="n"/>
      <c r="E2" s="64" t="n"/>
      <c r="F2" s="64" t="n"/>
      <c r="G2" s="64" t="n"/>
      <c r="H2" s="64" t="n"/>
      <c r="I2" s="64" t="n"/>
      <c r="J2" s="64" t="n"/>
      <c r="K2" s="64" t="n"/>
      <c r="L2" s="64" t="n"/>
      <c r="M2" s="64" t="n"/>
      <c r="N2" s="64" t="n"/>
      <c r="O2" s="64" t="n"/>
      <c r="P2" s="63" t="n"/>
      <c r="Q2" s="64" t="n"/>
      <c r="R2" s="64" t="n"/>
      <c r="S2" s="64" t="n"/>
      <c r="T2" s="64" t="n"/>
    </row>
    <row r="3" ht="18.75" customHeight="1">
      <c r="A3" s="64" t="n"/>
      <c r="B3" s="64" t="n"/>
      <c r="C3" s="64" t="n"/>
      <c r="D3" s="64" t="n"/>
      <c r="E3" s="64" t="n"/>
      <c r="F3" s="64" t="n"/>
      <c r="G3" s="64" t="n"/>
      <c r="H3" s="64" t="n"/>
      <c r="I3" s="64" t="n"/>
      <c r="J3" s="64" t="n"/>
      <c r="K3" s="64" t="n"/>
      <c r="L3" s="64" t="n"/>
      <c r="M3" s="64" t="n"/>
      <c r="N3" s="64" t="n"/>
      <c r="O3" s="64" t="n"/>
      <c r="P3" s="63" t="n"/>
      <c r="Q3" s="64" t="n"/>
      <c r="R3" s="64" t="n"/>
      <c r="S3" s="64" t="n"/>
      <c r="T3" s="64" t="n"/>
    </row>
    <row r="4" ht="18.75" customHeight="1">
      <c r="A4" s="64" t="n"/>
      <c r="B4" s="64" t="n"/>
      <c r="C4" s="64" t="n"/>
      <c r="D4" s="64" t="n"/>
      <c r="E4" s="64" t="n"/>
      <c r="F4" s="64" t="n"/>
      <c r="G4" s="64" t="n"/>
      <c r="H4" s="64" t="n"/>
      <c r="I4" s="64" t="n"/>
      <c r="J4" s="64" t="n"/>
      <c r="K4" s="64" t="n"/>
      <c r="L4" s="64" t="n"/>
      <c r="M4" s="64" t="n"/>
      <c r="N4" s="64" t="n"/>
      <c r="O4" s="64" t="n"/>
      <c r="P4" s="63" t="n"/>
      <c r="Q4" s="64" t="n"/>
      <c r="R4" s="64" t="n"/>
      <c r="S4" s="64" t="n"/>
      <c r="T4" s="64" t="n"/>
    </row>
    <row r="5" ht="18.75" customHeight="1">
      <c r="A5" s="64" t="n"/>
      <c r="B5" s="64" t="n"/>
      <c r="C5" s="64" t="n"/>
      <c r="D5" s="64" t="n"/>
      <c r="E5" s="64" t="n"/>
      <c r="F5" s="64" t="n"/>
      <c r="G5" s="64" t="n"/>
      <c r="H5" s="64" t="n"/>
      <c r="I5" s="64" t="n"/>
      <c r="J5" s="64" t="n"/>
      <c r="K5" s="64" t="n"/>
      <c r="L5" s="64" t="n"/>
      <c r="M5" s="64" t="n"/>
      <c r="N5" s="64" t="n"/>
      <c r="O5" s="64" t="n"/>
      <c r="P5" s="63" t="n"/>
      <c r="Q5" s="64" t="n"/>
      <c r="R5" s="64" t="n"/>
      <c r="S5" s="64" t="n"/>
      <c r="T5" s="64" t="n"/>
    </row>
    <row r="6" ht="18.75" customHeight="1">
      <c r="A6" s="64" t="n"/>
      <c r="B6" s="64" t="n"/>
      <c r="C6" s="64" t="n"/>
      <c r="D6" s="64" t="n"/>
      <c r="E6" s="64" t="n"/>
      <c r="F6" s="64" t="n"/>
      <c r="G6" s="64" t="n"/>
      <c r="H6" s="64" t="n"/>
      <c r="I6" s="64" t="n"/>
      <c r="J6" s="64" t="n"/>
      <c r="K6" s="64" t="n"/>
      <c r="L6" s="64" t="n"/>
      <c r="M6" s="64" t="n"/>
      <c r="N6" s="64" t="n"/>
      <c r="O6" s="64" t="n"/>
      <c r="P6" s="63" t="n"/>
      <c r="Q6" s="64" t="n"/>
      <c r="R6" s="64" t="n"/>
      <c r="S6" s="64" t="n"/>
      <c r="T6" s="64" t="n"/>
    </row>
    <row r="7" ht="18.75" customHeight="1">
      <c r="A7" s="64" t="n"/>
      <c r="B7" s="64" t="n"/>
      <c r="C7" s="64" t="n"/>
      <c r="D7" s="64" t="n"/>
      <c r="E7" s="64" t="n"/>
      <c r="F7" s="64" t="n"/>
      <c r="G7" s="64" t="n"/>
      <c r="H7" s="64" t="n"/>
      <c r="I7" s="64" t="n"/>
      <c r="J7" s="64" t="n"/>
      <c r="K7" s="64" t="n"/>
      <c r="L7" s="64" t="n"/>
      <c r="M7" s="64" t="n"/>
      <c r="N7" s="64" t="n"/>
      <c r="O7" s="64" t="n"/>
      <c r="P7" s="63" t="n"/>
      <c r="Q7" s="64" t="n"/>
      <c r="R7" s="64" t="n"/>
      <c r="S7" s="64" t="n"/>
      <c r="T7" s="64" t="n"/>
    </row>
    <row r="8" ht="18.75" customHeight="1">
      <c r="A8" s="64" t="n"/>
      <c r="B8" s="64" t="n"/>
      <c r="C8" s="64" t="n"/>
      <c r="D8" s="64" t="n"/>
      <c r="E8" s="64" t="n"/>
      <c r="F8" s="64" t="n"/>
      <c r="G8" s="64" t="n"/>
      <c r="H8" s="64" t="n"/>
      <c r="I8" s="64" t="n"/>
      <c r="J8" s="64" t="n"/>
      <c r="K8" s="64" t="n"/>
      <c r="L8" s="64" t="n"/>
      <c r="M8" s="64" t="n"/>
      <c r="N8" s="64" t="n"/>
      <c r="O8" s="64" t="n"/>
      <c r="P8" s="63" t="n"/>
      <c r="Q8" s="64" t="n"/>
      <c r="R8" s="64" t="n"/>
      <c r="S8" s="64" t="n"/>
      <c r="T8" s="64" t="n"/>
    </row>
    <row r="9" ht="18.75" customHeight="1">
      <c r="A9" s="64" t="n"/>
      <c r="B9" s="64" t="n"/>
      <c r="C9" s="64" t="n"/>
      <c r="D9" s="64" t="n"/>
      <c r="E9" s="64" t="n"/>
      <c r="F9" s="64" t="n"/>
      <c r="G9" s="64" t="n"/>
      <c r="H9" s="64" t="n"/>
      <c r="I9" s="64" t="n"/>
      <c r="J9" s="64" t="n"/>
      <c r="K9" s="64" t="n"/>
      <c r="L9" s="64" t="n"/>
      <c r="M9" s="64" t="n"/>
      <c r="N9" s="64" t="n"/>
      <c r="O9" s="64" t="n"/>
      <c r="P9" s="63" t="n"/>
      <c r="Q9" s="64" t="n"/>
      <c r="R9" s="64" t="n"/>
      <c r="S9" s="64" t="n"/>
      <c r="T9" s="64" t="n"/>
    </row>
    <row r="10" ht="18.75" customHeight="1">
      <c r="A10" s="64" t="n"/>
      <c r="B10" s="64" t="n"/>
      <c r="C10" s="64" t="n"/>
      <c r="D10" s="64" t="n"/>
      <c r="E10" s="64" t="n"/>
      <c r="F10" s="64" t="n"/>
      <c r="G10" s="64" t="n"/>
      <c r="H10" s="64" t="n"/>
      <c r="I10" s="64" t="n"/>
      <c r="J10" s="64" t="n"/>
      <c r="K10" s="64" t="n"/>
      <c r="L10" s="64" t="n"/>
      <c r="M10" s="64" t="n"/>
      <c r="N10" s="64" t="n"/>
      <c r="O10" s="64" t="n"/>
      <c r="P10" s="63" t="n"/>
      <c r="Q10" s="64" t="n"/>
      <c r="R10" s="64" t="n"/>
      <c r="S10" s="64" t="n"/>
      <c r="T10" s="64" t="n"/>
    </row>
    <row r="11" ht="18.75" customHeight="1">
      <c r="A11" s="64" t="n"/>
      <c r="B11" s="64" t="n"/>
      <c r="C11" s="64" t="n"/>
      <c r="D11" s="64" t="n"/>
      <c r="E11" s="64" t="n"/>
      <c r="F11" s="64" t="n"/>
      <c r="G11" s="64" t="n"/>
      <c r="H11" s="64" t="n"/>
      <c r="I11" s="64" t="n"/>
      <c r="J11" s="64" t="n"/>
      <c r="K11" s="64" t="n"/>
      <c r="L11" s="64" t="n"/>
      <c r="M11" s="64" t="n"/>
      <c r="N11" s="64" t="n"/>
      <c r="O11" s="64" t="n"/>
      <c r="P11" s="63" t="n"/>
      <c r="Q11" s="64" t="n"/>
      <c r="R11" s="64" t="n"/>
      <c r="S11" s="64" t="n"/>
      <c r="T11" s="64" t="n"/>
    </row>
    <row r="12" ht="18.75" customHeight="1">
      <c r="A12" s="64" t="n"/>
      <c r="B12" s="64" t="n"/>
      <c r="C12" s="64" t="n"/>
      <c r="D12" s="64" t="n"/>
      <c r="E12" s="64" t="n"/>
      <c r="F12" s="64" t="n"/>
      <c r="G12" s="64" t="n"/>
      <c r="H12" s="64" t="n"/>
      <c r="I12" s="64" t="n"/>
      <c r="J12" s="64" t="n"/>
      <c r="K12" s="64" t="n"/>
      <c r="L12" s="64" t="n"/>
      <c r="M12" s="64" t="n"/>
      <c r="N12" s="64" t="n"/>
      <c r="O12" s="64" t="n"/>
      <c r="P12" s="63" t="n"/>
      <c r="Q12" s="64" t="n"/>
      <c r="R12" s="64" t="n"/>
      <c r="S12" s="64" t="n"/>
      <c r="T12" s="64" t="n"/>
    </row>
    <row r="13" ht="189" customHeight="1">
      <c r="A13" s="64" t="n"/>
      <c r="B13" s="64" t="n"/>
      <c r="C13" s="64" t="n"/>
      <c r="D13" s="64" t="n"/>
      <c r="E13" s="64" t="n"/>
      <c r="F13" s="64" t="n"/>
      <c r="G13" s="64" t="n"/>
      <c r="H13" s="64" t="n"/>
      <c r="I13" s="64" t="n"/>
      <c r="J13" s="64" t="n"/>
      <c r="K13" s="64" t="n"/>
      <c r="L13" s="64" t="n"/>
      <c r="M13" s="64" t="n"/>
      <c r="N13" s="64" t="n"/>
      <c r="O13" s="64" t="n"/>
      <c r="P13" s="63" t="n"/>
      <c r="Q13" s="64" t="n"/>
      <c r="R13" s="64" t="n"/>
      <c r="S13" s="64" t="n"/>
      <c r="T13" s="64" t="n"/>
    </row>
    <row r="14" ht="18.75" customHeight="1">
      <c r="A14" s="64" t="n"/>
      <c r="B14" s="64" t="n"/>
      <c r="C14" s="64" t="n"/>
      <c r="D14" s="64" t="n"/>
      <c r="E14" s="64" t="n"/>
      <c r="F14" s="64" t="n"/>
      <c r="G14" s="64" t="n"/>
      <c r="H14" s="64" t="n"/>
      <c r="I14" s="64" t="n"/>
      <c r="J14" s="64" t="n"/>
      <c r="K14" s="64" t="n"/>
      <c r="L14" s="64" t="n"/>
      <c r="M14" s="64" t="n"/>
      <c r="N14" s="64" t="n"/>
      <c r="O14" s="64" t="n"/>
      <c r="P14" s="63" t="n"/>
      <c r="Q14" s="64" t="n"/>
      <c r="R14" s="64" t="n"/>
      <c r="S14" s="64" t="n"/>
      <c r="T14" s="64" t="n"/>
    </row>
    <row r="15" ht="18.75" customHeight="1">
      <c r="A15" s="64" t="n"/>
      <c r="B15" s="64" t="n"/>
      <c r="C15" s="64" t="n"/>
      <c r="D15" s="64" t="n"/>
      <c r="E15" s="64" t="n"/>
      <c r="F15" s="64" t="n"/>
      <c r="G15" s="64" t="n"/>
      <c r="H15" s="64" t="n"/>
      <c r="I15" s="64" t="n"/>
      <c r="J15" s="64" t="n"/>
      <c r="K15" s="64" t="n"/>
      <c r="L15" s="64" t="n"/>
      <c r="M15" s="64" t="n"/>
      <c r="N15" s="64" t="n"/>
      <c r="O15" s="64" t="n"/>
      <c r="P15" s="63" t="n"/>
      <c r="Q15" s="162" t="inlineStr">
        <is>
          <t>LF-60(e)</t>
        </is>
      </c>
      <c r="R15" s="64" t="n"/>
      <c r="S15" s="64" t="n"/>
      <c r="T15" s="64" t="n"/>
    </row>
    <row r="16" ht="18.75" customHeight="1">
      <c r="A16" s="64" t="n"/>
      <c r="B16" s="64" t="n"/>
      <c r="C16" s="64" t="n"/>
      <c r="D16" s="64" t="n"/>
      <c r="E16" s="64" t="n"/>
      <c r="F16" s="64" t="n"/>
      <c r="G16" s="64" t="n"/>
      <c r="H16" s="64" t="n"/>
      <c r="I16" s="64" t="n"/>
      <c r="J16" s="64" t="n"/>
      <c r="K16" s="64" t="n"/>
      <c r="L16" s="64" t="n"/>
      <c r="M16" s="64" t="n"/>
      <c r="N16" s="64" t="n"/>
      <c r="O16" s="64" t="n"/>
      <c r="P16" s="63" t="n"/>
      <c r="Q16" s="64" t="n"/>
      <c r="R16" s="64" t="n"/>
      <c r="S16" s="64" t="n"/>
      <c r="T16" s="64" t="n"/>
    </row>
    <row r="17" ht="18.75" customHeight="1">
      <c r="A17" s="64" t="n"/>
      <c r="B17" s="64" t="n"/>
      <c r="C17" s="64" t="n"/>
      <c r="D17" s="64" t="n"/>
      <c r="E17" s="64" t="n"/>
      <c r="F17" s="64" t="n"/>
      <c r="G17" s="64" t="n"/>
      <c r="H17" s="64" t="n"/>
      <c r="I17" s="64" t="n"/>
      <c r="J17" s="64" t="n"/>
      <c r="K17" s="64" t="n"/>
      <c r="L17" s="64" t="n"/>
      <c r="M17" s="64" t="n"/>
      <c r="N17" s="64" t="n"/>
      <c r="O17" s="64" t="n"/>
      <c r="P17" s="63" t="n"/>
      <c r="Q17" s="64" t="n"/>
      <c r="R17" s="64" t="n"/>
      <c r="S17" s="64" t="n"/>
      <c r="T17" s="64" t="n"/>
    </row>
    <row r="18" ht="18.75" customHeight="1">
      <c r="A18" s="665" t="n"/>
      <c r="B18" s="64" t="n"/>
      <c r="C18" s="64" t="n"/>
      <c r="D18" s="64" t="n"/>
      <c r="E18" s="64" t="n"/>
      <c r="F18" s="64" t="n"/>
      <c r="G18" s="64" t="n"/>
      <c r="H18" s="64" t="n"/>
      <c r="I18" s="64" t="n"/>
      <c r="J18" s="64" t="n"/>
      <c r="K18" s="64" t="n"/>
      <c r="L18" s="64" t="n"/>
      <c r="M18" s="64" t="n"/>
      <c r="N18" s="64" t="n"/>
      <c r="O18" s="64" t="n"/>
      <c r="P18" s="63" t="n"/>
      <c r="Q18" s="64" t="n"/>
      <c r="R18" s="64" t="n"/>
      <c r="S18" s="64" t="n"/>
      <c r="T18" s="64" t="n"/>
    </row>
    <row r="19" ht="18.75" customHeight="1">
      <c r="A19" s="164" t="inlineStr">
        <is>
          <t>LETTER OF CONTINUITY</t>
        </is>
      </c>
      <c r="S19" s="64" t="n"/>
      <c r="T19" s="64" t="n"/>
    </row>
    <row r="20" ht="18" customFormat="1" customHeight="1" s="18">
      <c r="A20" s="165" t="n"/>
      <c r="B20" s="103" t="n"/>
      <c r="C20" s="103" t="n"/>
      <c r="D20" s="103" t="n"/>
      <c r="E20" s="103" t="n"/>
      <c r="F20" s="103" t="n"/>
      <c r="G20" s="103" t="n"/>
      <c r="H20" s="103" t="n"/>
      <c r="I20" s="103" t="n"/>
      <c r="J20" s="103" t="n"/>
      <c r="K20" s="103" t="n"/>
      <c r="L20" s="103" t="n"/>
      <c r="M20" s="103" t="n"/>
      <c r="N20" s="103" t="n"/>
      <c r="O20" s="103" t="n"/>
      <c r="P20" s="166" t="n"/>
      <c r="S20" s="103" t="n"/>
      <c r="T20" s="103" t="n"/>
    </row>
    <row r="21" ht="18" customFormat="1" customHeight="1" s="18">
      <c r="B21" s="103" t="n"/>
      <c r="C21" s="103" t="n"/>
      <c r="D21" s="103" t="n"/>
      <c r="E21" s="103" t="n"/>
      <c r="F21" s="103" t="n"/>
      <c r="G21" s="103" t="n"/>
      <c r="H21" s="103" t="n"/>
      <c r="I21" s="103" t="n"/>
      <c r="J21" s="103" t="n"/>
      <c r="K21" s="103" t="n"/>
      <c r="L21" s="103" t="n"/>
      <c r="M21" s="103" t="n"/>
      <c r="N21" s="103" t="n"/>
      <c r="O21" s="103" t="n"/>
      <c r="P21" s="166" t="n"/>
      <c r="S21" s="103" t="n"/>
      <c r="T21" s="103" t="n"/>
    </row>
    <row r="22" ht="29.25" customFormat="1" customHeight="1" s="18">
      <c r="A22" s="199" t="n"/>
      <c r="B22" s="103" t="n"/>
      <c r="C22" s="103" t="n"/>
      <c r="D22" s="103" t="n"/>
      <c r="E22" s="103" t="n"/>
      <c r="F22" s="103" t="n"/>
      <c r="G22" s="103" t="n"/>
      <c r="H22" s="103" t="n"/>
      <c r="I22" s="103" t="n"/>
      <c r="J22" s="103" t="n"/>
      <c r="K22" s="103" t="n"/>
      <c r="L22" s="103" t="n"/>
      <c r="M22" s="103" t="n"/>
      <c r="N22" s="103" t="n"/>
      <c r="O22" s="103" t="n"/>
      <c r="P22" s="168" t="n"/>
      <c r="Q22" s="168" t="n"/>
      <c r="R22" s="168" t="n"/>
      <c r="S22" s="103" t="n"/>
      <c r="T22" s="103" t="n"/>
    </row>
    <row r="23" ht="22.5" customHeight="1">
      <c r="A23" s="199" t="n"/>
      <c r="B23" s="155" t="inlineStr">
        <is>
          <t xml:space="preserve">The Manager </t>
        </is>
      </c>
      <c r="C23" s="155" t="n"/>
      <c r="D23" s="155" t="n"/>
      <c r="E23" s="155" t="n"/>
      <c r="F23" s="155" t="n"/>
      <c r="G23" s="98" t="inlineStr">
        <is>
          <t xml:space="preserve">  </t>
        </is>
      </c>
      <c r="H23" s="64" t="n"/>
      <c r="I23" s="64" t="n"/>
      <c r="J23" s="64" t="n"/>
      <c r="K23" s="64" t="n"/>
      <c r="L23" s="64" t="n"/>
      <c r="M23" s="168" t="n"/>
      <c r="O23" s="139" t="inlineStr">
        <is>
          <t>Place: Fatullah</t>
        </is>
      </c>
      <c r="S23" s="64" t="n"/>
      <c r="T23" s="64" t="n"/>
    </row>
    <row r="24" ht="22.5" customHeight="1">
      <c r="A24" s="199" t="n"/>
      <c r="B24" s="155" t="inlineStr">
        <is>
          <t>Bangladesh  Krishi Bank</t>
        </is>
      </c>
      <c r="C24" s="155" t="n"/>
      <c r="D24" s="155" t="n"/>
      <c r="E24" s="155" t="n"/>
      <c r="F24" s="155" t="n"/>
      <c r="G24" s="64" t="n"/>
      <c r="H24" s="64" t="n"/>
      <c r="I24" s="64" t="n"/>
      <c r="J24" s="64" t="n"/>
      <c r="K24" s="64" t="n"/>
      <c r="L24" s="64" t="n"/>
      <c r="M24" s="168" t="n"/>
      <c r="O24" s="139" t="inlineStr">
        <is>
          <t>Date: ......................</t>
        </is>
      </c>
      <c r="T24" s="64" t="n"/>
    </row>
    <row r="25" ht="18" customHeight="1">
      <c r="A25" s="199" t="n"/>
      <c r="B25" s="155">
        <f>+'Data Input'!D74</f>
        <v/>
      </c>
      <c r="C25" s="155" t="n"/>
      <c r="D25" s="155" t="n"/>
      <c r="E25" s="155" t="n"/>
      <c r="F25" s="155" t="n"/>
      <c r="G25" s="64" t="n"/>
      <c r="H25" s="64" t="n"/>
      <c r="I25" s="64" t="n"/>
      <c r="J25" s="64" t="n"/>
      <c r="K25" s="64" t="n"/>
      <c r="L25" s="64" t="n"/>
      <c r="M25" s="64" t="n"/>
      <c r="N25" s="64" t="n"/>
      <c r="O25" s="139" t="n"/>
      <c r="P25" s="139" t="n"/>
      <c r="Q25" s="139" t="n"/>
      <c r="R25" s="139" t="n"/>
      <c r="S25" s="64" t="n"/>
      <c r="T25" s="64" t="n"/>
    </row>
    <row r="26" ht="18.75" customHeight="1">
      <c r="A26" s="169" t="n"/>
      <c r="B26" s="64" t="n"/>
      <c r="C26" s="64" t="n"/>
      <c r="D26" s="64" t="n"/>
      <c r="E26" s="64" t="n"/>
      <c r="F26" s="64" t="n"/>
      <c r="G26" s="64" t="n"/>
      <c r="H26" s="64" t="n"/>
      <c r="I26" s="64" t="n"/>
      <c r="J26" s="64" t="n"/>
      <c r="K26" s="64" t="n"/>
      <c r="L26" s="64" t="n"/>
      <c r="M26" s="64" t="n"/>
      <c r="N26" s="64" t="n"/>
      <c r="O26" s="64" t="n"/>
      <c r="P26" s="63" t="n"/>
      <c r="Q26" s="64" t="n"/>
      <c r="R26" s="64" t="n"/>
      <c r="S26" s="64" t="n"/>
      <c r="T26" s="64" t="n"/>
    </row>
    <row r="27" ht="33.75" customHeight="1">
      <c r="A27" s="1964" t="n"/>
      <c r="B27" s="157" t="inlineStr">
        <is>
          <t>Dear Sir,                                                                                                                
     Referring to the Demand promissory Note for Tk. 500000/- only dated ................................ made by Md Jony in favour.- M/S Jony Store, Dapa Idrakpur, Fatullah,  Narayangonj and endorsed by the latter to your bank, a which is given to</t>
        </is>
      </c>
      <c r="S27" s="64" t="n"/>
      <c r="T27" s="64" t="n"/>
    </row>
    <row r="28" ht="15" customHeight="1">
      <c r="A28" s="1964" t="n"/>
      <c r="S28" s="64" t="n"/>
      <c r="T28" s="64" t="n"/>
    </row>
    <row r="29" ht="15" customHeight="1">
      <c r="A29" s="199" t="n"/>
      <c r="S29" s="64" t="n"/>
      <c r="T29" s="64" t="n"/>
    </row>
    <row r="30" ht="18.75" customHeight="1">
      <c r="A30" s="169" t="n"/>
      <c r="S30" s="64" t="n"/>
      <c r="T30" s="64" t="n"/>
    </row>
    <row r="31" ht="18.75" customHeight="1">
      <c r="A31" s="1964" t="n"/>
      <c r="S31" s="64" t="n"/>
      <c r="T31" s="64" t="n"/>
    </row>
    <row r="32" ht="49.5" customHeight="1">
      <c r="A32" s="206" t="n"/>
      <c r="S32" s="64" t="n"/>
      <c r="T32" s="64" t="n"/>
    </row>
    <row r="33" ht="18.75" customFormat="1" customHeight="1" s="18">
      <c r="A33" s="206" t="n"/>
      <c r="B33" s="206" t="n"/>
      <c r="C33" s="206" t="n"/>
      <c r="D33" s="206" t="n"/>
      <c r="E33" s="206" t="n"/>
      <c r="F33" s="206" t="n"/>
      <c r="G33" s="206" t="n"/>
      <c r="H33" s="206" t="n"/>
      <c r="I33" s="206" t="n"/>
      <c r="J33" s="206" t="n"/>
      <c r="K33" s="206" t="n"/>
      <c r="L33" s="206" t="n"/>
      <c r="M33" s="206" t="n"/>
      <c r="N33" s="206" t="n"/>
      <c r="O33" s="206" t="n"/>
      <c r="P33" s="206" t="n"/>
      <c r="Q33" s="206" t="n"/>
      <c r="R33" s="206" t="n"/>
      <c r="S33" s="103" t="n"/>
      <c r="T33" s="103" t="n"/>
    </row>
    <row r="34" ht="18.75" customFormat="1" customHeight="1" s="18">
      <c r="A34" s="206" t="n"/>
      <c r="B34" s="206" t="n"/>
      <c r="C34" s="206" t="n"/>
      <c r="D34" s="206" t="n"/>
      <c r="E34" s="206" t="n"/>
      <c r="F34" s="206" t="n"/>
      <c r="G34" s="206" t="n"/>
      <c r="H34" s="206" t="n"/>
      <c r="I34" s="206" t="n"/>
      <c r="J34" s="206" t="n"/>
      <c r="K34" s="206" t="n"/>
      <c r="L34" s="206" t="n"/>
      <c r="M34" s="206" t="n"/>
      <c r="N34" s="206" t="n"/>
      <c r="O34" s="206" t="n"/>
      <c r="P34" s="206" t="n"/>
      <c r="Q34" s="206" t="n"/>
      <c r="R34" s="206" t="n"/>
      <c r="S34" s="103" t="n"/>
      <c r="T34" s="103" t="n"/>
    </row>
    <row r="35" ht="18.75" customFormat="1" customHeight="1" s="18">
      <c r="A35" s="206" t="n"/>
      <c r="B35" s="206" t="n"/>
      <c r="C35" s="206" t="n"/>
      <c r="D35" s="206" t="n"/>
      <c r="E35" s="206" t="n"/>
      <c r="F35" s="206" t="n"/>
      <c r="G35" s="206" t="n"/>
      <c r="H35" s="206" t="n"/>
      <c r="I35" s="206" t="n"/>
      <c r="J35" s="206" t="n"/>
      <c r="K35" s="206" t="n"/>
      <c r="L35" s="206" t="n"/>
      <c r="M35" s="206" t="n"/>
      <c r="N35" s="206" t="n"/>
      <c r="O35" s="206" t="n"/>
      <c r="P35" s="206" t="n"/>
      <c r="Q35" s="206" t="n"/>
      <c r="R35" s="206" t="n"/>
      <c r="S35" s="103" t="n"/>
      <c r="T35" s="103" t="n"/>
    </row>
    <row r="36" ht="18.75" customFormat="1" customHeight="1" s="18">
      <c r="A36" s="206" t="n"/>
      <c r="B36" s="206" t="n"/>
      <c r="C36" s="206" t="n"/>
      <c r="D36" s="206" t="n"/>
      <c r="E36" s="206" t="n"/>
      <c r="F36" s="206" t="n"/>
      <c r="G36" s="206" t="n"/>
      <c r="H36" s="206" t="n"/>
      <c r="I36" s="206" t="n"/>
      <c r="J36" s="206" t="n"/>
      <c r="K36" s="206" t="n"/>
      <c r="L36" s="206" t="n"/>
      <c r="M36" s="206" t="n"/>
      <c r="N36" s="206" t="n"/>
      <c r="O36" s="206" t="n"/>
      <c r="P36" s="206" t="n"/>
      <c r="Q36" s="206" t="n"/>
      <c r="R36" s="206" t="n"/>
      <c r="S36" s="103" t="n"/>
      <c r="T36" s="103" t="n"/>
    </row>
    <row r="37" ht="18.75" customFormat="1" customHeight="1" s="18">
      <c r="A37" s="206" t="n"/>
      <c r="B37" s="206" t="n"/>
      <c r="C37" s="206" t="n"/>
      <c r="D37" s="206" t="n"/>
      <c r="E37" s="206" t="n"/>
      <c r="F37" s="206" t="n"/>
      <c r="G37" s="206" t="n"/>
      <c r="H37" s="206" t="n"/>
      <c r="I37" s="206" t="n"/>
      <c r="J37" s="206" t="n"/>
      <c r="K37" s="206" t="n"/>
      <c r="L37" s="206" t="n"/>
      <c r="M37" s="206" t="n"/>
      <c r="N37" s="206" t="n"/>
      <c r="O37" s="206" t="n"/>
      <c r="P37" s="206" t="n"/>
      <c r="Q37" s="206" t="n"/>
      <c r="R37" s="206" t="n"/>
      <c r="S37" s="103" t="n"/>
      <c r="T37" s="103" t="n"/>
    </row>
    <row r="38" ht="18.75" customFormat="1" customHeight="1" s="18">
      <c r="A38" s="206" t="n"/>
      <c r="B38" s="206" t="n"/>
      <c r="C38" s="206" t="n"/>
      <c r="D38" s="206" t="n"/>
      <c r="E38" s="206" t="n"/>
      <c r="F38" s="206" t="n"/>
      <c r="G38" s="206" t="n"/>
      <c r="H38" s="206" t="n"/>
      <c r="I38" s="206" t="n"/>
      <c r="J38" s="206" t="n"/>
      <c r="K38" s="206" t="n"/>
      <c r="L38" s="206" t="n"/>
      <c r="M38" s="206" t="n"/>
      <c r="N38" s="206" t="n"/>
      <c r="O38" s="206" t="n"/>
      <c r="P38" s="206" t="n"/>
      <c r="Q38" s="206" t="n"/>
      <c r="R38" s="206" t="n"/>
      <c r="S38" s="103" t="n"/>
      <c r="T38" s="103" t="n"/>
    </row>
    <row r="39" ht="18.75" customFormat="1" customHeight="1" s="18">
      <c r="A39" s="206" t="n"/>
      <c r="B39" s="206" t="n"/>
      <c r="C39" s="206" t="n"/>
      <c r="D39" s="206" t="n"/>
      <c r="E39" s="206" t="n"/>
      <c r="F39" s="206" t="n"/>
      <c r="G39" s="206" t="n"/>
      <c r="H39" s="206" t="n"/>
      <c r="I39" s="206" t="n"/>
      <c r="J39" s="206" t="n"/>
      <c r="K39" s="206" t="n"/>
      <c r="L39" s="206" t="n"/>
      <c r="M39" s="206" t="n"/>
      <c r="N39" s="206" t="n"/>
      <c r="O39" s="206" t="n"/>
      <c r="P39" s="206" t="n"/>
      <c r="Q39" s="206" t="n"/>
      <c r="R39" s="206" t="n"/>
      <c r="S39" s="103" t="n"/>
      <c r="T39" s="103" t="n"/>
    </row>
    <row r="40" ht="18.75" customFormat="1" customHeight="1" s="18">
      <c r="A40" s="206" t="n"/>
      <c r="B40" s="206" t="n"/>
      <c r="C40" s="206" t="n"/>
      <c r="D40" s="206" t="n"/>
      <c r="E40" s="206" t="n"/>
      <c r="F40" s="206" t="n"/>
      <c r="G40" s="206" t="n"/>
      <c r="H40" s="206" t="n"/>
      <c r="I40" s="206" t="n"/>
      <c r="J40" s="206" t="n"/>
      <c r="K40" s="206" t="n"/>
      <c r="L40" s="206" t="n"/>
      <c r="M40" s="206" t="n"/>
      <c r="N40" s="206" t="n"/>
      <c r="O40" s="206" t="n"/>
      <c r="P40" s="206" t="n"/>
      <c r="Q40" s="206" t="n"/>
      <c r="R40" s="206" t="n"/>
      <c r="S40" s="103" t="n"/>
      <c r="T40" s="103" t="n"/>
    </row>
    <row r="41" ht="18.75" customFormat="1" customHeight="1" s="18">
      <c r="A41" s="206" t="n"/>
      <c r="B41" s="206" t="n"/>
      <c r="C41" s="206" t="n"/>
      <c r="D41" s="206" t="n"/>
      <c r="E41" s="206" t="n"/>
      <c r="F41" s="206" t="n"/>
      <c r="G41" s="206" t="n"/>
      <c r="H41" s="206" t="n"/>
      <c r="I41" s="206" t="n"/>
      <c r="J41" s="206" t="n"/>
      <c r="K41" s="206" t="n"/>
      <c r="L41" s="206" t="n"/>
      <c r="M41" s="206" t="n"/>
      <c r="N41" s="206" t="n"/>
      <c r="O41" s="206" t="n"/>
      <c r="P41" s="206" t="n"/>
      <c r="Q41" s="206" t="n"/>
      <c r="R41" s="206" t="n"/>
      <c r="S41" s="103" t="n"/>
      <c r="T41" s="103" t="n"/>
    </row>
    <row r="42" ht="18.75" customHeight="1">
      <c r="A42" s="206" t="n"/>
      <c r="B42" s="206" t="n"/>
      <c r="C42" s="206" t="n"/>
      <c r="D42" s="206" t="n"/>
      <c r="E42" s="206" t="n"/>
      <c r="F42" s="206" t="n"/>
      <c r="G42" s="206" t="n"/>
      <c r="H42" s="206" t="n"/>
      <c r="I42" s="206" t="n"/>
      <c r="J42" s="206" t="n"/>
      <c r="K42" s="206" t="n"/>
      <c r="L42" s="206" t="n"/>
      <c r="M42" s="206" t="n"/>
      <c r="N42" s="206" t="n"/>
      <c r="O42" s="206" t="n"/>
      <c r="P42" s="197" t="n"/>
      <c r="Q42" s="197" t="n"/>
      <c r="R42" s="197" t="n"/>
      <c r="S42" s="64" t="n"/>
      <c r="T42" s="64" t="n"/>
    </row>
    <row r="43" ht="18.75" customFormat="1" customHeight="1" s="18">
      <c r="A43" s="206" t="n"/>
      <c r="B43" s="206" t="n"/>
      <c r="C43" s="206" t="n"/>
      <c r="D43" s="206" t="n"/>
      <c r="E43" s="206" t="n"/>
      <c r="F43" s="206" t="n"/>
      <c r="G43" s="206" t="n"/>
      <c r="H43" s="206" t="n"/>
      <c r="I43" s="206" t="n"/>
      <c r="J43" s="206" t="n"/>
      <c r="K43" s="206" t="n"/>
      <c r="L43" s="206" t="n"/>
      <c r="M43" s="206" t="n"/>
      <c r="N43" s="206" t="n"/>
      <c r="O43" s="206" t="n"/>
      <c r="P43" s="375" t="n"/>
      <c r="Q43" s="103" t="n"/>
      <c r="R43" s="103" t="n"/>
      <c r="S43" s="103" t="n"/>
      <c r="T43" s="103" t="n"/>
    </row>
    <row r="44" ht="18.75" customHeight="1">
      <c r="A44" s="197" t="n"/>
      <c r="B44" s="197" t="n"/>
      <c r="C44" s="197" t="n"/>
      <c r="D44" s="197" t="n"/>
      <c r="E44" s="197" t="n"/>
      <c r="F44" s="197" t="n"/>
      <c r="G44" s="197" t="n"/>
      <c r="H44" s="197" t="n"/>
      <c r="I44" s="197" t="n"/>
      <c r="J44" s="197" t="n"/>
      <c r="K44" s="197" t="n"/>
      <c r="L44" s="197" t="n"/>
      <c r="M44" s="197" t="n"/>
      <c r="N44" s="197" t="n"/>
      <c r="O44" s="197" t="n"/>
      <c r="P44" s="219" t="n"/>
      <c r="Q44" s="219" t="n"/>
      <c r="R44" s="219" t="n"/>
      <c r="S44" s="64" t="n"/>
      <c r="T44" s="64" t="n"/>
    </row>
    <row r="45" ht="20.25" customHeight="1">
      <c r="A45" s="64" t="n"/>
      <c r="B45" s="64" t="n"/>
      <c r="C45" s="64" t="n"/>
      <c r="D45" s="64" t="n"/>
      <c r="E45" s="64" t="n"/>
      <c r="F45" s="64" t="n"/>
      <c r="G45" s="64" t="n"/>
      <c r="H45" s="64" t="n"/>
      <c r="I45" s="64" t="n"/>
      <c r="J45" s="64" t="n"/>
      <c r="K45" s="64" t="n"/>
      <c r="L45" s="64" t="n"/>
      <c r="M45" s="64" t="n"/>
      <c r="N45" s="64" t="n"/>
      <c r="O45" s="64" t="n"/>
      <c r="P45" s="63" t="n"/>
      <c r="Q45" s="1964" t="n"/>
      <c r="R45" s="64" t="n"/>
      <c r="S45" s="64" t="n"/>
      <c r="T45" s="64" t="n"/>
    </row>
    <row r="46" ht="20.25" customHeight="1">
      <c r="A46" s="64" t="n"/>
      <c r="B46" s="64" t="n"/>
      <c r="C46" s="64" t="n"/>
      <c r="D46" s="64" t="n"/>
      <c r="E46" s="64" t="n"/>
      <c r="F46" s="64" t="n"/>
      <c r="G46" s="64" t="n"/>
      <c r="H46" s="64" t="n"/>
      <c r="I46" s="64" t="n"/>
      <c r="J46" s="64" t="n"/>
      <c r="K46" s="64" t="n"/>
      <c r="L46" s="64" t="n"/>
      <c r="M46" s="64" t="n"/>
      <c r="N46" s="219" t="n"/>
      <c r="O46" s="219" t="n"/>
      <c r="P46" s="63" t="n"/>
      <c r="Q46" s="1964" t="n"/>
      <c r="R46" s="64" t="n"/>
      <c r="S46" s="64" t="n"/>
      <c r="T46" s="64" t="n"/>
    </row>
    <row r="47" ht="20.25" customHeight="1">
      <c r="A47" s="155" t="n"/>
      <c r="B47" s="155" t="n"/>
      <c r="C47" s="155" t="n"/>
      <c r="D47" s="155" t="n"/>
      <c r="E47" s="155" t="n"/>
      <c r="F47" s="155" t="n"/>
      <c r="G47" s="155" t="n"/>
      <c r="H47" s="155" t="n"/>
      <c r="I47" s="155" t="n"/>
      <c r="J47" s="155" t="n"/>
      <c r="K47" s="155" t="n"/>
      <c r="L47" s="155" t="n"/>
      <c r="M47" s="155" t="n"/>
      <c r="N47" s="155" t="n"/>
      <c r="O47" s="155" t="n"/>
      <c r="P47" s="155" t="n"/>
      <c r="Q47" s="155" t="n"/>
      <c r="R47" s="155" t="n"/>
      <c r="S47" s="155" t="n"/>
      <c r="T47" s="155" t="n"/>
    </row>
    <row r="48" ht="20.25" customHeight="1">
      <c r="A48" s="155" t="n"/>
      <c r="B48" s="155" t="n"/>
      <c r="C48" s="155" t="n"/>
      <c r="D48" s="155" t="n"/>
      <c r="E48" s="155" t="n"/>
      <c r="F48" s="155" t="n"/>
      <c r="G48" s="155" t="n"/>
      <c r="H48" s="155" t="n"/>
      <c r="I48" s="155" t="n"/>
      <c r="J48" s="155" t="n"/>
      <c r="K48" s="155" t="n"/>
      <c r="L48" s="155" t="n"/>
      <c r="M48" s="155" t="n"/>
      <c r="N48" s="155" t="n"/>
      <c r="O48" s="155" t="n"/>
      <c r="P48" s="155" t="n"/>
      <c r="Q48" s="155" t="n"/>
      <c r="R48" s="155" t="n"/>
      <c r="S48" s="155" t="n"/>
      <c r="T48" s="155" t="n"/>
    </row>
    <row r="49" ht="233.25" customHeight="1">
      <c r="A49" s="155" t="n"/>
      <c r="B49" s="155" t="n"/>
      <c r="C49" s="155" t="n"/>
      <c r="D49" s="155" t="n"/>
      <c r="E49" s="155" t="n"/>
      <c r="F49" s="155" t="n"/>
      <c r="G49" s="155" t="n"/>
      <c r="H49" s="155" t="n"/>
      <c r="I49" s="155" t="n"/>
      <c r="J49" s="155" t="n"/>
      <c r="K49" s="155" t="n"/>
      <c r="L49" s="155" t="n"/>
      <c r="M49" s="155" t="n"/>
      <c r="N49" s="155" t="n"/>
      <c r="O49" s="155" t="n"/>
      <c r="P49" s="155" t="n"/>
      <c r="Q49" s="155" t="n"/>
      <c r="R49" s="155" t="n"/>
      <c r="S49" s="155" t="n"/>
      <c r="T49" s="155" t="n"/>
    </row>
    <row r="50" ht="20.25" customHeight="1">
      <c r="A50" s="155" t="n"/>
      <c r="B50" s="155" t="n"/>
      <c r="C50" s="155" t="n"/>
      <c r="D50" s="155" t="n"/>
      <c r="E50" s="155" t="n"/>
      <c r="F50" s="155" t="n"/>
      <c r="G50" s="155" t="n"/>
      <c r="H50" s="155" t="n"/>
      <c r="I50" s="155" t="n"/>
      <c r="J50" s="155" t="n"/>
      <c r="K50" s="155" t="n"/>
      <c r="L50" s="155" t="n"/>
      <c r="M50" s="155" t="n"/>
      <c r="N50" s="155" t="n"/>
      <c r="O50" s="155" t="n"/>
      <c r="P50" s="155" t="n"/>
      <c r="Q50" s="155" t="n"/>
      <c r="R50" s="155" t="n"/>
      <c r="S50" s="155" t="n"/>
      <c r="T50" s="155" t="n"/>
    </row>
    <row r="51" ht="20.25" customFormat="1" customHeight="1" s="18">
      <c r="A51" s="103" t="n"/>
      <c r="B51" s="157" t="inlineStr">
        <is>
          <t>you as a Continuing Security for repayment of any outstanding including interest in my/our overdraft/cash credit account which is at present outstanding or may be outstanding in future in my/our account with you, I/we undertake that I/we will remain liable on the said Promissory Note jointly and severally until final adjustment of the loan, notwithstanding the fact that the outstanding in the said account may from time to time be reduced or completely extinguished or brought into credit by payment of cash/cheque therein by me/us</t>
        </is>
      </c>
      <c r="T51" s="103" t="n"/>
    </row>
    <row r="52" ht="20.25" customFormat="1" customHeight="1" s="18">
      <c r="A52" s="103" t="n"/>
      <c r="T52" s="103" t="n"/>
    </row>
    <row r="53" ht="20.25" customHeight="1">
      <c r="A53" s="98" t="n"/>
      <c r="T53" s="64" t="n"/>
    </row>
    <row r="54" ht="20.25" customFormat="1" customHeight="1" s="18">
      <c r="A54" s="103" t="n"/>
      <c r="T54" s="103" t="n"/>
    </row>
    <row r="55" ht="20.25" customFormat="1" customHeight="1" s="18">
      <c r="A55" s="103" t="n"/>
      <c r="T55" s="103" t="n"/>
    </row>
    <row r="56" ht="20.25" customFormat="1" customHeight="1" s="18">
      <c r="A56" s="103" t="n"/>
      <c r="T56" s="103" t="n"/>
    </row>
    <row r="57" ht="20.25" customFormat="1" customHeight="1" s="18">
      <c r="A57" s="103" t="n"/>
      <c r="T57" s="103" t="n"/>
    </row>
    <row r="58" ht="20.25" customFormat="1" customHeight="1" s="18">
      <c r="A58" s="103" t="n"/>
      <c r="T58" s="103" t="n"/>
    </row>
    <row r="59" ht="20.25" customFormat="1" customHeight="1" s="18">
      <c r="A59" s="103" t="n"/>
      <c r="T59" s="103" t="n"/>
    </row>
    <row r="60" ht="20.25" customFormat="1" customHeight="1" s="18">
      <c r="A60" s="103" t="n"/>
      <c r="T60" s="103" t="n"/>
    </row>
    <row r="61" ht="20.25" customHeight="1">
      <c r="A61" s="64" t="n"/>
      <c r="B61" s="64" t="n"/>
      <c r="C61" s="64" t="n"/>
      <c r="D61" s="64" t="n"/>
      <c r="E61" s="64" t="n"/>
      <c r="F61" s="64" t="n"/>
      <c r="G61" s="64" t="n"/>
      <c r="H61" s="64" t="n"/>
      <c r="I61" s="64" t="n"/>
      <c r="J61" s="64" t="n"/>
      <c r="K61" s="64" t="n"/>
      <c r="L61" s="64" t="n"/>
      <c r="M61" s="64" t="n"/>
      <c r="N61" s="64" t="n"/>
      <c r="O61" s="64" t="n"/>
      <c r="P61" s="63" t="n"/>
      <c r="Q61" s="64" t="n"/>
      <c r="R61" s="64" t="n"/>
      <c r="S61" s="64" t="n"/>
      <c r="T61" s="64" t="n"/>
    </row>
    <row r="62" ht="20.25" customHeight="1">
      <c r="A62" s="64" t="n"/>
      <c r="B62" s="64" t="n"/>
      <c r="C62" s="64" t="n"/>
      <c r="D62" s="64" t="n"/>
      <c r="E62" s="64" t="n"/>
      <c r="F62" s="64" t="n"/>
      <c r="G62" s="64" t="n"/>
      <c r="H62" s="64" t="n"/>
      <c r="I62" s="64" t="n"/>
      <c r="J62" s="64" t="n"/>
      <c r="K62" s="64" t="n"/>
      <c r="L62" s="64" t="n"/>
      <c r="M62" s="64" t="n"/>
      <c r="N62" s="64" t="n"/>
      <c r="O62" s="64" t="n"/>
      <c r="P62" s="63" t="n"/>
      <c r="Q62" s="64" t="n"/>
      <c r="R62" s="64" t="n"/>
      <c r="S62" s="64" t="n"/>
      <c r="T62" s="64" t="n"/>
    </row>
    <row r="63" ht="20.25" customHeight="1">
      <c r="A63" s="64" t="n"/>
      <c r="B63" s="64" t="n"/>
      <c r="C63" s="64" t="n"/>
      <c r="D63" s="64" t="n"/>
      <c r="E63" s="64" t="n"/>
      <c r="F63" s="64" t="n"/>
      <c r="G63" s="64" t="n"/>
      <c r="H63" s="64" t="n"/>
      <c r="I63" s="64" t="n"/>
      <c r="J63" s="64" t="n"/>
      <c r="K63" s="64" t="n"/>
      <c r="L63" s="64" t="n"/>
      <c r="M63" s="64" t="n"/>
      <c r="N63" s="64" t="n"/>
      <c r="O63" s="64" t="n"/>
      <c r="P63" s="63" t="n"/>
      <c r="Q63" s="64" t="n"/>
      <c r="R63" s="64" t="n"/>
      <c r="S63" s="64" t="n"/>
      <c r="T63" s="64" t="n"/>
    </row>
    <row r="64" ht="20.25" customHeight="1">
      <c r="A64" s="64" t="n"/>
      <c r="B64" s="64" t="n"/>
      <c r="C64" s="64" t="n"/>
      <c r="D64" s="64" t="n"/>
      <c r="E64" s="64" t="n"/>
      <c r="F64" s="64" t="n"/>
      <c r="G64" s="64" t="n"/>
      <c r="H64" s="64" t="n"/>
      <c r="I64" s="64" t="n"/>
      <c r="J64" s="64" t="n"/>
      <c r="K64" s="64" t="n"/>
      <c r="L64" s="64" t="n"/>
      <c r="M64" s="64" t="n"/>
      <c r="N64" s="64" t="n"/>
      <c r="O64" s="64" t="n"/>
      <c r="P64" s="63" t="n"/>
      <c r="Q64" s="64" t="n"/>
      <c r="R64" s="64" t="n"/>
      <c r="S64" s="64" t="n"/>
      <c r="T64" s="64" t="n"/>
    </row>
    <row r="65" ht="20.25" customHeight="1">
      <c r="A65" s="64" t="n"/>
      <c r="B65" s="64" t="n"/>
      <c r="C65" s="64" t="n"/>
      <c r="D65" s="64" t="n"/>
      <c r="E65" s="64" t="n"/>
      <c r="F65" s="64" t="n"/>
      <c r="G65" s="64" t="n"/>
      <c r="H65" s="64" t="n"/>
      <c r="I65" s="64" t="n"/>
      <c r="J65" s="64" t="n"/>
      <c r="K65" s="64" t="n"/>
      <c r="L65" s="64" t="n"/>
      <c r="M65" s="64" t="n"/>
      <c r="N65" s="64" t="n"/>
      <c r="O65" s="64" t="n"/>
      <c r="P65" s="63" t="n"/>
      <c r="Q65" s="64" t="n"/>
      <c r="R65" s="64" t="n"/>
      <c r="S65" s="64" t="n"/>
      <c r="T65" s="64" t="n"/>
    </row>
    <row r="66" ht="20.25" customHeight="1">
      <c r="A66" s="64" t="n"/>
      <c r="B66" s="64" t="n"/>
      <c r="C66" s="64" t="n"/>
      <c r="D66" s="64" t="n"/>
      <c r="E66" s="64" t="n"/>
      <c r="F66" s="64" t="n"/>
      <c r="G66" s="64" t="n"/>
      <c r="H66" s="64" t="n"/>
      <c r="I66" s="64" t="n"/>
      <c r="J66" s="64" t="n"/>
      <c r="K66" s="64" t="n"/>
      <c r="L66" s="64" t="n"/>
      <c r="M66" s="64" t="n"/>
      <c r="N66" s="64" t="n"/>
      <c r="O66" s="98" t="inlineStr">
        <is>
          <t>Yours faithfully</t>
        </is>
      </c>
      <c r="P66" s="63" t="n"/>
      <c r="Q66" s="64" t="n"/>
      <c r="R66" s="64" t="n"/>
      <c r="S66" s="64" t="n"/>
      <c r="T66" s="64" t="n"/>
    </row>
    <row r="67" ht="20.25" customHeight="1">
      <c r="A67" s="64" t="n"/>
      <c r="B67" s="64" t="n"/>
      <c r="C67" s="64" t="n"/>
      <c r="D67" s="64" t="n"/>
      <c r="E67" s="64" t="n"/>
      <c r="F67" s="64" t="n"/>
      <c r="G67" s="64" t="n"/>
      <c r="H67" s="64" t="n"/>
      <c r="I67" s="64" t="n"/>
      <c r="J67" s="64" t="n"/>
      <c r="K67" s="64" t="n"/>
      <c r="L67" s="64" t="n"/>
      <c r="M67" s="64" t="n"/>
      <c r="N67" s="64" t="n"/>
      <c r="O67" s="64" t="n"/>
      <c r="P67" s="63" t="n"/>
      <c r="Q67" s="64" t="n"/>
      <c r="R67" s="64" t="n"/>
      <c r="S67" s="64" t="n"/>
      <c r="T67" s="64" t="n"/>
    </row>
    <row r="68" ht="20.25" customHeight="1">
      <c r="A68" s="64" t="n"/>
      <c r="B68" s="64" t="n"/>
      <c r="C68" s="64" t="n"/>
      <c r="D68" s="64" t="n"/>
      <c r="E68" s="64" t="n"/>
      <c r="F68" s="64" t="n"/>
      <c r="G68" s="64" t="n"/>
      <c r="H68" s="64" t="n"/>
      <c r="I68" s="64" t="n"/>
      <c r="J68" s="64" t="n"/>
      <c r="K68" s="64" t="n"/>
      <c r="L68" s="64" t="n"/>
      <c r="M68" s="64" t="n"/>
      <c r="N68" s="64" t="n"/>
      <c r="O68" s="64" t="n"/>
      <c r="P68" s="63" t="n"/>
      <c r="Q68" s="64" t="n"/>
      <c r="R68" s="64" t="n"/>
      <c r="S68" s="64" t="n"/>
      <c r="T68" s="64" t="n"/>
    </row>
    <row r="69" ht="18.75" customHeight="1">
      <c r="A69" s="64" t="n"/>
      <c r="B69" s="64" t="n"/>
      <c r="C69" s="64" t="n"/>
      <c r="D69" s="64" t="n"/>
      <c r="E69" s="64" t="n"/>
      <c r="F69" s="64" t="n"/>
      <c r="G69" s="64" t="n"/>
      <c r="H69" s="64" t="n"/>
      <c r="I69" s="64" t="n"/>
      <c r="J69" s="64" t="n"/>
      <c r="K69" s="64" t="n"/>
      <c r="L69" s="64" t="n"/>
      <c r="M69" s="64" t="n"/>
      <c r="N69" s="64" t="n"/>
      <c r="O69" s="64" t="n"/>
      <c r="P69" s="98" t="inlineStr">
        <is>
          <t>Borrower</t>
        </is>
      </c>
      <c r="Q69" s="64" t="n"/>
      <c r="R69" s="64" t="n"/>
      <c r="S69" s="64" t="n"/>
      <c r="T69" s="64" t="n"/>
    </row>
  </sheetData>
  <mergeCells count="10">
    <mergeCell ref="O23:R23"/>
    <mergeCell ref="P21:R21"/>
    <mergeCell ref="M24:N24"/>
    <mergeCell ref="B27:R32"/>
    <mergeCell ref="B51:S60"/>
    <mergeCell ref="A19:R19"/>
    <mergeCell ref="M23:N23"/>
    <mergeCell ref="A20:A21"/>
    <mergeCell ref="O24:S24"/>
    <mergeCell ref="P20:R20"/>
  </mergeCells>
  <pageMargins left="0.7" right="0.7" top="0.75" bottom="0.75" header="0.3" footer="0.3"/>
</worksheet>
</file>

<file path=xl/worksheets/sheet28.xml><?xml version="1.0" encoding="utf-8"?>
<worksheet xmlns="http://schemas.openxmlformats.org/spreadsheetml/2006/main">
  <sheetPr>
    <outlinePr summaryBelow="0"/>
    <pageSetUpPr/>
  </sheetPr>
  <dimension ref="A1:J74"/>
  <sheetViews>
    <sheetView workbookViewId="0">
      <selection activeCell="A1" sqref="A1"/>
    </sheetView>
  </sheetViews>
  <sheetFormatPr baseColWidth="8" defaultRowHeight="15"/>
  <cols>
    <col width="13.57642857142857" bestFit="1" customWidth="1" style="64" min="1" max="1"/>
    <col width="13.57642857142857" bestFit="1" customWidth="1" style="64" min="2" max="2"/>
    <col width="13.57642857142857" bestFit="1" customWidth="1" style="64" min="3" max="3"/>
    <col width="13.57642857142857" bestFit="1" customWidth="1" style="64" min="4" max="4"/>
    <col width="13.57642857142857" bestFit="1" customWidth="1" style="64" min="5" max="5"/>
    <col width="13.57642857142857" bestFit="1" customWidth="1" style="64" min="6" max="6"/>
    <col width="13.57642857142857" bestFit="1" customWidth="1" style="64" min="7" max="7"/>
    <col width="13.57642857142857" bestFit="1" customWidth="1" style="64" min="8" max="8"/>
    <col width="13.57642857142857" bestFit="1" customWidth="1" style="64" min="9" max="9"/>
    <col width="13.57642857142857" bestFit="1" customWidth="1" style="103" min="10" max="10"/>
  </cols>
  <sheetData>
    <row r="1" ht="33" customHeight="1">
      <c r="A1" s="150" t="n"/>
      <c r="J1" s="103" t="n"/>
    </row>
    <row r="2" ht="33" customHeight="1">
      <c r="A2" s="150" t="n"/>
      <c r="J2" s="103" t="n"/>
    </row>
    <row r="3" ht="33" customHeight="1">
      <c r="A3" s="150" t="n"/>
      <c r="J3" s="103" t="n"/>
    </row>
    <row r="4" ht="33" customHeight="1">
      <c r="A4" s="150" t="n"/>
      <c r="J4" s="103" t="n"/>
    </row>
    <row r="5" ht="33" customHeight="1">
      <c r="A5" s="150" t="n"/>
      <c r="J5" s="103" t="n"/>
    </row>
    <row r="6" ht="33" customHeight="1">
      <c r="A6" s="150" t="n"/>
      <c r="J6" s="103" t="n"/>
    </row>
    <row r="7" ht="33" customHeight="1">
      <c r="A7" s="150" t="n"/>
      <c r="J7" s="103" t="n"/>
    </row>
    <row r="8" ht="33" customHeight="1">
      <c r="A8" s="150" t="n"/>
      <c r="J8" s="103" t="n"/>
    </row>
    <row r="9" ht="45.75" customHeight="1">
      <c r="A9" s="150" t="n"/>
      <c r="J9" s="103" t="n"/>
    </row>
    <row r="10" ht="18.75" customHeight="1">
      <c r="A10" s="151" t="inlineStr">
        <is>
          <t>LF- 60 (G)</t>
        </is>
      </c>
      <c r="J10" s="103" t="n"/>
    </row>
    <row r="11" ht="18.75" customHeight="1">
      <c r="A11" s="152" t="inlineStr">
        <is>
          <t>REVIVAL LETTER</t>
        </is>
      </c>
      <c r="J11" s="103" t="n"/>
    </row>
    <row r="12" ht="18.75" customHeight="1">
      <c r="A12" s="153" t="n"/>
      <c r="B12" s="153" t="n"/>
      <c r="C12" s="153" t="n"/>
      <c r="D12" s="153" t="n"/>
      <c r="E12" s="153" t="n"/>
      <c r="F12" s="153" t="n"/>
      <c r="G12" s="153" t="n"/>
      <c r="H12" s="153" t="n"/>
      <c r="I12" s="153" t="n"/>
      <c r="J12" s="103" t="n"/>
    </row>
    <row r="13" ht="27" customHeight="1">
      <c r="A13" s="155" t="inlineStr">
        <is>
          <t xml:space="preserve">The Manager </t>
        </is>
      </c>
      <c r="B13" s="154" t="n"/>
      <c r="C13" s="154" t="n"/>
      <c r="D13" s="154" t="n"/>
      <c r="E13" s="154" t="n"/>
      <c r="F13" s="154" t="n"/>
      <c r="G13" s="139" t="inlineStr">
        <is>
          <t>Date:</t>
        </is>
      </c>
    </row>
    <row r="14" ht="27" customHeight="1">
      <c r="A14" s="155" t="inlineStr">
        <is>
          <t>Bangladesh  Krishi Bank</t>
        </is>
      </c>
      <c r="B14" s="154" t="n"/>
      <c r="C14" s="154" t="n"/>
      <c r="D14" s="154" t="n"/>
      <c r="E14" s="154" t="n"/>
      <c r="F14" s="154" t="n"/>
      <c r="G14" s="154" t="n"/>
      <c r="H14" s="154" t="n"/>
      <c r="I14" s="154" t="n"/>
      <c r="J14" s="103" t="n"/>
    </row>
    <row r="15" ht="27" customHeight="1">
      <c r="A15" s="155">
        <f>+'Data Input'!D74</f>
        <v/>
      </c>
      <c r="B15" s="154" t="n"/>
      <c r="C15" s="154" t="n"/>
      <c r="D15" s="154" t="n"/>
      <c r="E15" s="154" t="n"/>
      <c r="F15" s="154" t="n"/>
      <c r="G15" s="154" t="n"/>
      <c r="H15" s="154" t="n"/>
      <c r="I15" s="154" t="n"/>
      <c r="J15" s="103" t="n"/>
    </row>
    <row r="16" ht="27" customHeight="1">
      <c r="A16" s="155" t="n"/>
      <c r="B16" s="154" t="n"/>
      <c r="C16" s="154" t="n"/>
      <c r="D16" s="154" t="n"/>
      <c r="E16" s="154" t="n"/>
      <c r="F16" s="154" t="n"/>
      <c r="G16" s="154" t="n"/>
      <c r="H16" s="154" t="n"/>
      <c r="I16" s="154" t="n"/>
      <c r="J16" s="103" t="n"/>
    </row>
    <row r="17" ht="27" customHeight="1">
      <c r="A17" s="155" t="inlineStr">
        <is>
          <t>Dear Sir,</t>
        </is>
      </c>
      <c r="B17" s="155" t="n"/>
      <c r="C17" s="155" t="n"/>
      <c r="D17" s="155" t="n"/>
      <c r="E17" s="155" t="n"/>
      <c r="F17" s="155" t="n"/>
      <c r="G17" s="155" t="n"/>
      <c r="H17" s="155" t="n"/>
      <c r="I17" s="155" t="n"/>
      <c r="J17" s="103" t="n"/>
    </row>
    <row r="18" ht="27" customFormat="1" customHeight="1" s="18">
      <c r="A18" s="157">
        <f>"With reference to my/our CMSME  Loan Account with you secured by a Demand Promissory Note dated the.......................... for  Tk. "&amp;'Data Input'!D83&amp;"/- with interest made"</f>
        <v/>
      </c>
      <c r="J18" s="103" t="n"/>
    </row>
    <row r="19" ht="18.75" customFormat="1" customHeight="1" s="18">
      <c r="J19" s="103" t="n"/>
    </row>
    <row r="20" ht="37.5" customFormat="1" customHeight="1" s="18">
      <c r="J20" s="103" t="n"/>
    </row>
    <row r="21" ht="15" customFormat="1" customHeight="1" s="18">
      <c r="J21" s="103" t="n"/>
    </row>
    <row r="22" ht="15" customFormat="1" customHeight="1" s="18">
      <c r="J22" s="103" t="n"/>
    </row>
    <row r="23" ht="18.75" customFormat="1" customHeight="1" s="18">
      <c r="J23" s="103" t="n"/>
    </row>
    <row r="24" ht="18.75" customFormat="1" customHeight="1" s="18">
      <c r="J24" s="103" t="n"/>
    </row>
    <row r="25" ht="33" customHeight="1">
      <c r="A25" s="145" t="n"/>
      <c r="B25" s="145" t="n"/>
      <c r="C25" s="145" t="n"/>
      <c r="D25" s="145" t="n"/>
      <c r="E25" s="145" t="n"/>
      <c r="F25" s="145" t="n"/>
      <c r="G25" s="145" t="n"/>
      <c r="H25" s="145" t="n"/>
      <c r="I25" s="145" t="n"/>
      <c r="J25" s="103" t="n"/>
    </row>
    <row r="26" ht="18.75" customHeight="1">
      <c r="A26" s="145" t="n"/>
      <c r="B26" s="145" t="n"/>
      <c r="C26" s="145" t="n"/>
      <c r="D26" s="145" t="n"/>
      <c r="E26" s="145" t="n"/>
      <c r="F26" s="145" t="n"/>
      <c r="G26" s="145" t="n"/>
      <c r="H26" s="145" t="n"/>
      <c r="I26" s="145" t="n"/>
      <c r="J26" s="103" t="n"/>
    </row>
    <row r="27" ht="18.75" customHeight="1">
      <c r="A27" s="145" t="n"/>
      <c r="B27" s="145" t="n"/>
      <c r="C27" s="145" t="n"/>
      <c r="D27" s="145" t="n"/>
      <c r="E27" s="145" t="n"/>
      <c r="F27" s="145" t="n"/>
      <c r="G27" s="145" t="n"/>
      <c r="H27" s="145" t="n"/>
      <c r="I27" s="145" t="n"/>
      <c r="J27" s="103" t="n"/>
    </row>
    <row r="28" ht="18.75" customHeight="1">
      <c r="A28" s="145" t="n"/>
      <c r="B28" s="145" t="n"/>
      <c r="C28" s="145" t="n"/>
      <c r="D28" s="145" t="n"/>
      <c r="E28" s="145" t="n"/>
      <c r="F28" s="145" t="n"/>
      <c r="G28" s="145" t="n"/>
      <c r="H28" s="145" t="n"/>
      <c r="I28" s="145" t="n"/>
      <c r="J28" s="103" t="n"/>
    </row>
    <row r="29" ht="18.75" customHeight="1">
      <c r="A29" s="145" t="n"/>
      <c r="B29" s="145" t="n"/>
      <c r="C29" s="145" t="n"/>
      <c r="D29" s="145" t="n"/>
      <c r="E29" s="145" t="n"/>
      <c r="F29" s="145" t="n"/>
      <c r="G29" s="145" t="n"/>
      <c r="H29" s="145" t="n"/>
      <c r="I29" s="145" t="n"/>
      <c r="J29" s="103" t="n"/>
    </row>
    <row r="30" ht="18.75" customHeight="1">
      <c r="A30" s="145" t="n"/>
      <c r="B30" s="145" t="n"/>
      <c r="C30" s="145" t="n"/>
      <c r="D30" s="145" t="n"/>
      <c r="E30" s="145" t="n"/>
      <c r="F30" s="145" t="n"/>
      <c r="G30" s="145" t="n"/>
      <c r="H30" s="145" t="n"/>
      <c r="I30" s="145" t="n"/>
      <c r="J30" s="103" t="n"/>
    </row>
    <row r="31" ht="18.75" customHeight="1">
      <c r="A31" s="145" t="n"/>
      <c r="B31" s="145" t="n"/>
      <c r="C31" s="145" t="n"/>
      <c r="D31" s="145" t="n"/>
      <c r="E31" s="145" t="n"/>
      <c r="F31" s="145" t="n"/>
      <c r="G31" s="145" t="n"/>
      <c r="H31" s="145" t="n"/>
      <c r="I31" s="145" t="n"/>
      <c r="J31" s="103" t="n"/>
    </row>
    <row r="32" ht="18.75" customHeight="1">
      <c r="A32" s="145" t="n"/>
      <c r="B32" s="145" t="n"/>
      <c r="C32" s="145" t="n"/>
      <c r="D32" s="145" t="n"/>
      <c r="E32" s="145" t="n"/>
      <c r="F32" s="145" t="n"/>
      <c r="G32" s="145" t="n"/>
      <c r="H32" s="145" t="n"/>
      <c r="I32" s="145" t="n"/>
      <c r="J32" s="103" t="n"/>
    </row>
    <row r="33" ht="18.75" customHeight="1">
      <c r="A33" s="145" t="n"/>
      <c r="B33" s="145" t="n"/>
      <c r="C33" s="145" t="n"/>
      <c r="D33" s="145" t="n"/>
      <c r="E33" s="145" t="n"/>
      <c r="F33" s="145" t="n"/>
      <c r="G33" s="145" t="n"/>
      <c r="H33" s="145" t="n"/>
      <c r="I33" s="145" t="n"/>
      <c r="J33" s="103" t="n"/>
    </row>
    <row r="34" ht="18.75" customHeight="1">
      <c r="A34" s="145" t="n"/>
      <c r="B34" s="145" t="n"/>
      <c r="C34" s="145" t="n"/>
      <c r="D34" s="145" t="n"/>
      <c r="E34" s="145" t="n"/>
      <c r="F34" s="145" t="n"/>
      <c r="G34" s="145" t="n"/>
      <c r="H34" s="145" t="n"/>
      <c r="I34" s="145" t="n"/>
      <c r="J34" s="103" t="n"/>
    </row>
    <row r="35" ht="18.75" customHeight="1">
      <c r="A35" s="145" t="n"/>
      <c r="B35" s="145" t="n"/>
      <c r="C35" s="145" t="n"/>
      <c r="D35" s="145" t="n"/>
      <c r="E35" s="145" t="n"/>
      <c r="F35" s="145" t="n"/>
      <c r="G35" s="145" t="n"/>
      <c r="H35" s="145" t="n"/>
      <c r="I35" s="145" t="n"/>
      <c r="J35" s="103" t="n"/>
    </row>
    <row r="36" ht="18.75" customHeight="1">
      <c r="A36" s="145" t="n"/>
      <c r="J36" s="103" t="n"/>
    </row>
    <row r="37" ht="18.75" customHeight="1">
      <c r="A37" s="145" t="n"/>
      <c r="J37" s="103" t="n"/>
    </row>
    <row r="38" ht="18.75" customHeight="1">
      <c r="A38" s="145" t="n"/>
      <c r="J38" s="103" t="n"/>
    </row>
    <row r="39" ht="18.75" customHeight="1">
      <c r="A39" s="145" t="n"/>
      <c r="J39" s="103" t="n"/>
    </row>
    <row r="40" ht="18.75" customHeight="1">
      <c r="A40" s="145" t="n"/>
      <c r="B40" s="145" t="n"/>
      <c r="C40" s="145" t="n"/>
      <c r="D40" s="145" t="n"/>
      <c r="E40" s="145" t="n"/>
      <c r="F40" s="145" t="n"/>
      <c r="G40" s="145" t="n"/>
      <c r="H40" s="145" t="n"/>
      <c r="I40" s="145" t="n"/>
      <c r="J40" s="103" t="n"/>
    </row>
    <row r="41" ht="18.75" customHeight="1">
      <c r="A41" s="145" t="n"/>
      <c r="B41" s="145" t="n"/>
      <c r="C41" s="145" t="n"/>
      <c r="D41" s="145" t="n"/>
      <c r="E41" s="145" t="n"/>
      <c r="F41" s="145" t="n"/>
      <c r="G41" s="145" t="n"/>
      <c r="H41" s="145" t="n"/>
      <c r="I41" s="145" t="n"/>
      <c r="J41" s="103" t="n"/>
    </row>
    <row r="42" ht="18.75" customHeight="1">
      <c r="A42" s="145" t="n"/>
      <c r="B42" s="145" t="n"/>
      <c r="C42" s="145" t="n"/>
      <c r="D42" s="145" t="n"/>
      <c r="E42" s="145" t="n"/>
      <c r="F42" s="145" t="n"/>
      <c r="G42" s="145" t="n"/>
      <c r="H42" s="145" t="n"/>
      <c r="I42" s="145" t="n"/>
      <c r="J42" s="103" t="n"/>
    </row>
    <row r="43" ht="18.75" customHeight="1">
      <c r="A43" s="145" t="n"/>
      <c r="B43" s="145" t="n"/>
      <c r="C43" s="145" t="n"/>
      <c r="D43" s="145" t="n"/>
      <c r="E43" s="145" t="n"/>
      <c r="F43" s="145" t="n"/>
      <c r="G43" s="145" t="n"/>
      <c r="H43" s="145" t="n"/>
      <c r="I43" s="145" t="n"/>
      <c r="J43" s="103" t="n"/>
    </row>
    <row r="44" ht="18.75" customHeight="1">
      <c r="A44" s="145" t="n"/>
      <c r="B44" s="145" t="n"/>
      <c r="C44" s="145" t="n"/>
      <c r="D44" s="145" t="n"/>
      <c r="E44" s="145" t="n"/>
      <c r="F44" s="145" t="n"/>
      <c r="G44" s="145" t="n"/>
      <c r="H44" s="145" t="n"/>
      <c r="I44" s="145" t="n"/>
      <c r="J44" s="103" t="n"/>
    </row>
    <row r="45" ht="18.75" customHeight="1">
      <c r="A45" s="145" t="n"/>
      <c r="B45" s="145" t="n"/>
      <c r="C45" s="145" t="n"/>
      <c r="D45" s="145" t="n"/>
      <c r="E45" s="145" t="n"/>
      <c r="F45" s="145" t="n"/>
      <c r="G45" s="145" t="n"/>
      <c r="H45" s="145" t="n"/>
      <c r="I45" s="145" t="n"/>
      <c r="J45" s="103" t="n"/>
    </row>
    <row r="46" ht="18.75" customHeight="1">
      <c r="A46" s="145" t="n"/>
      <c r="B46" s="145" t="n"/>
      <c r="C46" s="145" t="n"/>
      <c r="D46" s="145" t="n"/>
      <c r="E46" s="145" t="n"/>
      <c r="F46" s="145" t="n"/>
      <c r="G46" s="145" t="n"/>
      <c r="H46" s="145" t="n"/>
      <c r="I46" s="145" t="n"/>
      <c r="J46" s="103" t="n"/>
    </row>
    <row r="47" ht="18.75" customHeight="1">
      <c r="A47" s="145" t="n"/>
      <c r="B47" s="145" t="n"/>
      <c r="C47" s="145" t="n"/>
      <c r="D47" s="145" t="n"/>
      <c r="E47" s="145" t="n"/>
      <c r="F47" s="145" t="n"/>
      <c r="G47" s="145" t="n"/>
      <c r="H47" s="145" t="n"/>
      <c r="I47" s="145" t="n"/>
      <c r="J47" s="103" t="n"/>
    </row>
    <row r="48" ht="18.75" customHeight="1">
      <c r="A48" s="145" t="n"/>
      <c r="B48" s="145" t="n"/>
      <c r="C48" s="145" t="n"/>
      <c r="D48" s="145" t="n"/>
      <c r="E48" s="145" t="n"/>
      <c r="F48" s="145" t="n"/>
      <c r="G48" s="145" t="n"/>
      <c r="H48" s="145" t="n"/>
      <c r="I48" s="145" t="n"/>
      <c r="J48" s="103" t="n"/>
    </row>
    <row r="49" ht="18.75" customHeight="1">
      <c r="A49" s="145" t="n"/>
      <c r="B49" s="145" t="n"/>
      <c r="C49" s="145" t="n"/>
      <c r="D49" s="145" t="n"/>
      <c r="E49" s="145" t="n"/>
      <c r="F49" s="145" t="n"/>
      <c r="G49" s="145" t="n"/>
      <c r="H49" s="145" t="n"/>
      <c r="I49" s="145" t="n"/>
      <c r="J49" s="103" t="n"/>
    </row>
    <row r="50" ht="18.75" customHeight="1">
      <c r="A50" s="145" t="n"/>
      <c r="B50" s="145" t="n"/>
      <c r="C50" s="145" t="n"/>
      <c r="D50" s="145" t="n"/>
      <c r="E50" s="145" t="n"/>
      <c r="F50" s="145" t="n"/>
      <c r="G50" s="145" t="n"/>
      <c r="H50" s="145" t="n"/>
      <c r="I50" s="145" t="n"/>
      <c r="J50" s="103" t="n"/>
    </row>
    <row r="51" ht="18.75" customHeight="1">
      <c r="A51" s="145" t="n"/>
      <c r="B51" s="145" t="n"/>
      <c r="C51" s="145" t="n"/>
      <c r="D51" s="145" t="n"/>
      <c r="E51" s="145" t="n"/>
      <c r="F51" s="145" t="n"/>
      <c r="G51" s="145" t="n"/>
      <c r="H51" s="145" t="n"/>
      <c r="I51" s="145" t="n"/>
      <c r="J51" s="103" t="n"/>
    </row>
    <row r="52" ht="18.75" customHeight="1">
      <c r="A52" s="145" t="n"/>
      <c r="B52" s="145" t="n"/>
      <c r="C52" s="145" t="n"/>
      <c r="D52" s="145" t="n"/>
      <c r="E52" s="145" t="n"/>
      <c r="F52" s="145" t="n"/>
      <c r="G52" s="145" t="n"/>
      <c r="H52" s="145" t="n"/>
      <c r="I52" s="145" t="n"/>
      <c r="J52" s="103" t="n"/>
    </row>
    <row r="53" ht="18.75" customHeight="1">
      <c r="A53" s="145" t="n"/>
      <c r="B53" s="145" t="n"/>
      <c r="C53" s="145" t="n"/>
      <c r="D53" s="145" t="n"/>
      <c r="E53" s="145" t="n"/>
      <c r="F53" s="145" t="n"/>
      <c r="G53" s="145" t="n"/>
      <c r="H53" s="145" t="n"/>
      <c r="I53" s="145" t="n"/>
      <c r="J53" s="103" t="n"/>
    </row>
    <row r="54" ht="18.75" customHeight="1">
      <c r="A54" s="145" t="n"/>
      <c r="B54" s="145" t="n"/>
      <c r="C54" s="145" t="n"/>
      <c r="D54" s="145" t="n"/>
      <c r="E54" s="145" t="n"/>
      <c r="F54" s="145" t="n"/>
      <c r="G54" s="145" t="n"/>
      <c r="H54" s="145" t="n"/>
      <c r="I54" s="145" t="n"/>
      <c r="J54" s="103" t="n"/>
    </row>
    <row r="55" ht="18.75" customHeight="1">
      <c r="A55" s="145" t="n"/>
      <c r="B55" s="145" t="n"/>
      <c r="C55" s="145" t="n"/>
      <c r="D55" s="145" t="n"/>
      <c r="E55" s="145" t="n"/>
      <c r="F55" s="145" t="n"/>
      <c r="G55" s="145" t="n"/>
      <c r="H55" s="145" t="n"/>
      <c r="I55" s="145" t="n"/>
      <c r="J55" s="103" t="n"/>
    </row>
    <row r="56" ht="18.75" customHeight="1">
      <c r="A56" s="145" t="n"/>
      <c r="B56" s="145" t="n"/>
      <c r="C56" s="145" t="n"/>
      <c r="D56" s="145" t="n"/>
      <c r="E56" s="145" t="n"/>
      <c r="F56" s="145" t="n"/>
      <c r="G56" s="145" t="n"/>
      <c r="H56" s="145" t="n"/>
      <c r="I56" s="145" t="n"/>
      <c r="J56" s="103" t="n"/>
    </row>
    <row r="57" ht="18.75" customHeight="1">
      <c r="A57" s="145" t="n"/>
      <c r="B57" s="145" t="n"/>
      <c r="C57" s="145" t="n"/>
      <c r="D57" s="145" t="n"/>
      <c r="E57" s="145" t="n"/>
      <c r="F57" s="145" t="n"/>
      <c r="G57" s="145" t="n"/>
      <c r="H57" s="145" t="n"/>
      <c r="I57" s="145" t="n"/>
      <c r="J57" s="103" t="n"/>
    </row>
    <row r="58" ht="18.75" customHeight="1">
      <c r="A58" s="145" t="n"/>
      <c r="B58" s="145" t="n"/>
      <c r="C58" s="145" t="n"/>
      <c r="D58" s="145" t="n"/>
      <c r="E58" s="145" t="n"/>
      <c r="F58" s="145" t="n"/>
      <c r="G58" s="145" t="n"/>
      <c r="H58" s="145" t="n"/>
      <c r="I58" s="145" t="n"/>
      <c r="J58" s="103" t="n"/>
    </row>
    <row r="59" ht="18.75" customFormat="1" customHeight="1" s="18">
      <c r="A59" s="157" t="inlineStr">
        <is>
          <t>by me/us in your favor, I/we acknowledge for the purpose of Section 19 of the Limitation Act IX of 1908 and any like Limitation Law in order to preclude any question of Limitation Law that I am/we are liable to you for payment of the said promissory note with interest and the same is to remain in force with all relative securities, agreement and obligations.</t>
        </is>
      </c>
    </row>
    <row r="60" ht="18.75" customFormat="1" customHeight="1" s="18"/>
    <row r="61" ht="89.25" customFormat="1" customHeight="1" s="18"/>
    <row r="62" ht="48" customHeight="1">
      <c r="A62" s="145" t="n"/>
      <c r="J62" s="103" t="n"/>
    </row>
    <row r="63" ht="48" customHeight="1">
      <c r="A63" s="145" t="n"/>
      <c r="J63" s="103" t="n"/>
    </row>
    <row r="64" ht="48" customHeight="1">
      <c r="A64" s="145" t="n"/>
      <c r="J64" s="103" t="n"/>
    </row>
    <row r="65" ht="18.75" customHeight="1">
      <c r="A65" s="158" t="n"/>
      <c r="D65" s="155" t="n"/>
      <c r="E65" s="155" t="n"/>
      <c r="F65" s="155" t="n"/>
      <c r="G65" s="158" t="inlineStr">
        <is>
          <t>Yours’ Faithfully</t>
        </is>
      </c>
      <c r="J65" s="103" t="n"/>
    </row>
    <row r="66" ht="18.75" customHeight="1">
      <c r="A66" s="64" t="n"/>
      <c r="B66" s="155" t="n"/>
      <c r="C66" s="155" t="n"/>
      <c r="D66" s="155" t="n"/>
      <c r="E66" s="155" t="n"/>
      <c r="F66" s="155" t="n"/>
      <c r="G66" s="155" t="n"/>
      <c r="H66" s="155" t="n"/>
      <c r="I66" s="155" t="n"/>
      <c r="J66" s="103" t="n"/>
    </row>
    <row r="67" ht="18.75" customHeight="1">
      <c r="A67" s="155" t="n"/>
      <c r="J67" s="103" t="n"/>
    </row>
    <row r="68" ht="18.75" customHeight="1">
      <c r="A68" s="159" t="n"/>
      <c r="J68" s="103" t="n"/>
    </row>
    <row r="69" ht="18.75" customHeight="1">
      <c r="A69" s="2755" t="n"/>
      <c r="J69" s="103" t="n"/>
    </row>
    <row r="70" ht="18.75" customHeight="1">
      <c r="A70" s="145" t="inlineStr">
        <is>
          <t>Note: - This is for signature by the maker of a demand promissory note made in favour of the Bank itself.</t>
        </is>
      </c>
      <c r="J70" s="103" t="n"/>
    </row>
    <row r="71" ht="18.75" customHeight="1">
      <c r="A71" s="160" t="n"/>
      <c r="J71" s="103" t="n"/>
    </row>
    <row r="72" ht="18.75" customHeight="1">
      <c r="A72" s="161" t="n"/>
      <c r="J72" s="103" t="n"/>
    </row>
    <row r="73" ht="18.75" customHeight="1">
      <c r="A73" s="2755" t="n"/>
      <c r="J73" s="103" t="n"/>
    </row>
    <row r="74" ht="18.75" customHeight="1">
      <c r="A74" s="2755" t="n"/>
      <c r="J74" s="103" t="n"/>
    </row>
  </sheetData>
  <mergeCells count="31">
    <mergeCell ref="A7:I7"/>
    <mergeCell ref="A37:I37"/>
    <mergeCell ref="A3:I3"/>
    <mergeCell ref="A74:I74"/>
    <mergeCell ref="A2:I2"/>
    <mergeCell ref="A71:I71"/>
    <mergeCell ref="A59:J61"/>
    <mergeCell ref="A5:I5"/>
    <mergeCell ref="G65:I65"/>
    <mergeCell ref="A8:I8"/>
    <mergeCell ref="A4:I4"/>
    <mergeCell ref="A62:I62"/>
    <mergeCell ref="A38:I38"/>
    <mergeCell ref="A72:I72"/>
    <mergeCell ref="A68:I68"/>
    <mergeCell ref="A63:I63"/>
    <mergeCell ref="A10:I10"/>
    <mergeCell ref="A18:I24"/>
    <mergeCell ref="A9:I9"/>
    <mergeCell ref="A67:I67"/>
    <mergeCell ref="A39:I39"/>
    <mergeCell ref="A64:I64"/>
    <mergeCell ref="G13:J13"/>
    <mergeCell ref="A73:I73"/>
    <mergeCell ref="A11:I11"/>
    <mergeCell ref="A36:I36"/>
    <mergeCell ref="A1:I1"/>
    <mergeCell ref="A70:I70"/>
    <mergeCell ref="A6:I6"/>
    <mergeCell ref="A69:I69"/>
    <mergeCell ref="A65:C65"/>
  </mergeCells>
  <pageMargins left="0.7" right="0.7" top="0.75" bottom="0.75" header="0.3" footer="0.3"/>
</worksheet>
</file>

<file path=xl/worksheets/sheet29.xml><?xml version="1.0" encoding="utf-8"?>
<worksheet xmlns="http://schemas.openxmlformats.org/spreadsheetml/2006/main">
  <sheetPr>
    <outlinePr summaryBelow="0"/>
    <pageSetUpPr/>
  </sheetPr>
  <dimension ref="A1:J73"/>
  <sheetViews>
    <sheetView workbookViewId="0">
      <selection activeCell="A1" sqref="A1"/>
    </sheetView>
  </sheetViews>
  <sheetFormatPr baseColWidth="8" defaultRowHeight="15"/>
  <cols>
    <col width="13.57642857142857" bestFit="1" customWidth="1" style="65" min="1" max="1"/>
    <col width="13.57642857142857" bestFit="1" customWidth="1" style="64" min="2" max="2"/>
    <col width="13.57642857142857" bestFit="1" customWidth="1" style="64" min="3" max="3"/>
    <col width="13.57642857142857" bestFit="1" customWidth="1" style="64" min="4" max="4"/>
    <col width="13.57642857142857" bestFit="1" customWidth="1" style="64" min="5" max="5"/>
    <col width="13.57642857142857" bestFit="1" customWidth="1" style="64" min="6" max="6"/>
    <col width="13.57642857142857" bestFit="1" customWidth="1" style="64" min="7" max="7"/>
    <col width="13.57642857142857" bestFit="1" customWidth="1" style="64" min="8" max="8"/>
    <col width="13.57642857142857" bestFit="1" customWidth="1" style="64" min="9" max="9"/>
    <col width="13.57642857142857" bestFit="1" customWidth="1" style="103" min="10" max="10"/>
  </cols>
  <sheetData>
    <row r="1" ht="31.5" customHeight="1">
      <c r="A1" s="137" t="n"/>
      <c r="B1" s="64" t="n"/>
      <c r="C1" s="64" t="n"/>
      <c r="D1" s="64" t="n"/>
      <c r="E1" s="64" t="n"/>
      <c r="F1" s="64" t="n"/>
      <c r="G1" s="64" t="n"/>
      <c r="H1" s="64" t="n"/>
      <c r="I1" s="64" t="n"/>
      <c r="J1" s="103" t="n"/>
    </row>
    <row r="2" ht="31.5" customHeight="1">
      <c r="A2" s="137" t="n"/>
      <c r="B2" s="64" t="n"/>
      <c r="C2" s="64" t="n"/>
      <c r="D2" s="64" t="n"/>
      <c r="E2" s="64" t="n"/>
      <c r="F2" s="64" t="n"/>
      <c r="G2" s="64" t="n"/>
      <c r="H2" s="64" t="n"/>
      <c r="I2" s="64" t="n"/>
      <c r="J2" s="103" t="n"/>
    </row>
    <row r="3" ht="31.5" customHeight="1">
      <c r="A3" s="137" t="n"/>
      <c r="B3" s="64" t="n"/>
      <c r="C3" s="64" t="n"/>
      <c r="D3" s="64" t="n"/>
      <c r="E3" s="64" t="n"/>
      <c r="F3" s="64" t="n"/>
      <c r="G3" s="64" t="n"/>
      <c r="H3" s="64" t="n"/>
      <c r="I3" s="64" t="n"/>
      <c r="J3" s="103" t="n"/>
    </row>
    <row r="4" ht="31.5" customHeight="1">
      <c r="A4" s="137" t="n"/>
      <c r="B4" s="64" t="n"/>
      <c r="C4" s="64" t="n"/>
      <c r="D4" s="64" t="n"/>
      <c r="E4" s="64" t="n"/>
      <c r="F4" s="64" t="n"/>
      <c r="G4" s="64" t="n"/>
      <c r="H4" s="64" t="n"/>
      <c r="I4" s="64" t="n"/>
      <c r="J4" s="103" t="n"/>
    </row>
    <row r="5" ht="31.5" customHeight="1">
      <c r="A5" s="137" t="n"/>
      <c r="B5" s="64" t="n"/>
      <c r="C5" s="64" t="n"/>
      <c r="D5" s="64" t="n"/>
      <c r="E5" s="64" t="n"/>
      <c r="F5" s="64" t="n"/>
      <c r="G5" s="64" t="n"/>
      <c r="H5" s="64" t="n"/>
      <c r="I5" s="64" t="n"/>
      <c r="J5" s="103" t="n"/>
    </row>
    <row r="6" ht="18.75" customHeight="1">
      <c r="A6" s="137" t="n"/>
      <c r="B6" s="64" t="n"/>
      <c r="C6" s="64" t="n"/>
      <c r="D6" s="64" t="n"/>
      <c r="E6" s="64" t="n"/>
      <c r="F6" s="64" t="n"/>
      <c r="G6" s="64" t="n"/>
      <c r="H6" s="64" t="n"/>
      <c r="I6" s="64" t="n"/>
      <c r="J6" s="103" t="n"/>
    </row>
    <row r="7" ht="18.75" customHeight="1">
      <c r="A7" s="137" t="n"/>
      <c r="B7" s="64" t="n"/>
      <c r="C7" s="64" t="n"/>
      <c r="D7" s="64" t="n"/>
      <c r="E7" s="64" t="n"/>
      <c r="F7" s="64" t="n"/>
      <c r="G7" s="64" t="n"/>
      <c r="H7" s="64" t="n"/>
      <c r="I7" s="64" t="n"/>
      <c r="J7" s="103" t="n"/>
    </row>
    <row r="8" ht="18.75" customHeight="1">
      <c r="A8" s="137" t="n"/>
      <c r="B8" s="64" t="n"/>
      <c r="C8" s="64" t="n"/>
      <c r="D8" s="64" t="n"/>
      <c r="E8" s="64" t="n"/>
      <c r="F8" s="64" t="n"/>
      <c r="G8" s="64" t="n"/>
      <c r="H8" s="64" t="n"/>
      <c r="I8" s="64" t="n"/>
      <c r="J8" s="103" t="n"/>
    </row>
    <row r="9" ht="88.5" customHeight="1">
      <c r="A9" s="137" t="n"/>
      <c r="B9" s="64" t="n"/>
      <c r="C9" s="64" t="n"/>
      <c r="D9" s="64" t="n"/>
      <c r="E9" s="64" t="n"/>
      <c r="F9" s="64" t="n"/>
      <c r="G9" s="64" t="n"/>
      <c r="H9" s="64" t="n"/>
      <c r="I9" s="64" t="n"/>
      <c r="J9" s="103" t="n"/>
    </row>
    <row r="10" ht="88.5" customHeight="1">
      <c r="A10" s="137" t="n"/>
      <c r="B10" s="64" t="n"/>
      <c r="C10" s="64" t="n"/>
      <c r="D10" s="64" t="n"/>
      <c r="E10" s="64" t="n"/>
      <c r="F10" s="64" t="n"/>
      <c r="G10" s="64" t="n"/>
      <c r="H10" s="64" t="n"/>
      <c r="I10" s="64" t="n"/>
      <c r="J10" s="103" t="n"/>
    </row>
    <row r="11" ht="61.5" customHeight="1">
      <c r="A11" s="137" t="n"/>
      <c r="B11" s="64" t="n"/>
      <c r="C11" s="64" t="n"/>
      <c r="D11" s="64" t="n"/>
      <c r="E11" s="64" t="n"/>
      <c r="F11" s="64" t="n"/>
      <c r="G11" s="64" t="n"/>
      <c r="H11" s="64" t="n"/>
      <c r="I11" s="64" t="n"/>
      <c r="J11" s="103" t="n"/>
    </row>
    <row r="12" ht="18.75" customHeight="1">
      <c r="A12" s="137" t="inlineStr">
        <is>
          <t xml:space="preserve">The Manager </t>
        </is>
      </c>
      <c r="B12" s="138" t="n"/>
      <c r="C12" s="138" t="n"/>
      <c r="D12" s="138" t="n"/>
      <c r="E12" s="138" t="n"/>
      <c r="F12" s="138" t="n"/>
      <c r="G12" s="139" t="inlineStr">
        <is>
          <t>Place: Fatullah</t>
        </is>
      </c>
    </row>
    <row r="13" ht="18.75" customHeight="1">
      <c r="A13" s="137" t="inlineStr">
        <is>
          <t>Bangladesh Krishi Bank</t>
        </is>
      </c>
      <c r="B13" s="138" t="n"/>
      <c r="C13" s="138" t="n"/>
      <c r="D13" s="138" t="n"/>
      <c r="E13" s="138" t="n"/>
      <c r="F13" s="138" t="n"/>
      <c r="G13" s="155" t="inlineStr">
        <is>
          <t>Date: .................................</t>
        </is>
      </c>
      <c r="H13" s="138" t="n"/>
      <c r="I13" s="138" t="n"/>
      <c r="J13" s="103" t="n"/>
    </row>
    <row r="14" ht="18.75" customHeight="1">
      <c r="A14" s="137">
        <f>+'Data Input'!D74</f>
        <v/>
      </c>
      <c r="B14" s="155" t="n"/>
      <c r="C14" s="155" t="n"/>
      <c r="D14" s="155" t="n"/>
      <c r="E14" s="155" t="n"/>
      <c r="F14" s="155" t="n"/>
      <c r="G14" s="155" t="n"/>
      <c r="H14" s="155" t="n"/>
      <c r="I14" s="155" t="n"/>
      <c r="J14" s="103" t="n"/>
    </row>
    <row r="15" ht="18.75" customHeight="1">
      <c r="A15" s="137" t="n"/>
      <c r="B15" s="155" t="n"/>
      <c r="C15" s="155" t="n"/>
      <c r="D15" s="155" t="n"/>
      <c r="E15" s="155" t="n"/>
      <c r="F15" s="155" t="n"/>
      <c r="G15" s="155" t="n"/>
      <c r="H15" s="155" t="n"/>
      <c r="I15" s="155" t="n"/>
      <c r="J15" s="103" t="n"/>
    </row>
    <row r="16" ht="37.5" customHeight="1">
      <c r="A16" s="137" t="n"/>
      <c r="B16" s="155" t="n"/>
      <c r="C16" s="64" t="n"/>
      <c r="D16" s="155" t="inlineStr">
        <is>
          <t>Sub: Letter of Acceptance.</t>
        </is>
      </c>
      <c r="E16" s="155" t="n"/>
      <c r="F16" s="155" t="n"/>
      <c r="G16" s="155" t="n"/>
      <c r="H16" s="155" t="n"/>
      <c r="I16" s="155" t="n"/>
      <c r="J16" s="103" t="n"/>
    </row>
    <row r="17" ht="18.75" customHeight="1">
      <c r="A17" s="137" t="inlineStr">
        <is>
          <t>Dear Sir,</t>
        </is>
      </c>
      <c r="B17" s="141" t="n"/>
      <c r="C17" s="141" t="n"/>
      <c r="D17" s="141" t="n"/>
      <c r="E17" s="141" t="n"/>
      <c r="F17" s="141" t="n"/>
      <c r="G17" s="141" t="n"/>
      <c r="H17" s="141" t="n"/>
      <c r="I17" s="141" t="n"/>
      <c r="J17" s="103" t="n"/>
    </row>
    <row r="18" ht="18.75" customHeight="1">
      <c r="A18" s="137" t="n"/>
      <c r="B18" s="155" t="n"/>
      <c r="C18" s="155" t="n"/>
      <c r="D18" s="155" t="n"/>
      <c r="E18" s="155" t="n"/>
      <c r="F18" s="155" t="n"/>
      <c r="G18" s="155" t="n"/>
      <c r="H18" s="155" t="n"/>
      <c r="I18" s="155" t="n"/>
      <c r="J18" s="103" t="n"/>
    </row>
    <row r="19" ht="18.75" customFormat="1" customHeight="1" s="18">
      <c r="A19" s="142" t="inlineStr">
        <is>
          <t>With reference to your Loan Sanctioned Letter No. 12(CMSME)/24-25/439 , Dated: 17/11/2024  (including Sanction order of BKB,</t>
        </is>
      </c>
    </row>
    <row r="20" ht="20.25" customFormat="1" customHeight="1" s="18"/>
    <row r="21" ht="18.75" customFormat="1" customHeight="1" s="18"/>
    <row r="22" ht="18" customFormat="1" customHeight="1" s="18"/>
    <row r="23" ht="18" customFormat="1" customHeight="1" s="18"/>
    <row r="24" ht="18" customFormat="1" customHeight="1" s="18"/>
    <row r="25" ht="18" customFormat="1" customHeight="1" s="18"/>
    <row r="26" ht="18" customHeight="1">
      <c r="A26" s="144" t="n"/>
      <c r="J26" s="103" t="n"/>
    </row>
    <row r="27" ht="18" customHeight="1">
      <c r="A27" s="144" t="n"/>
      <c r="J27" s="103" t="n"/>
    </row>
    <row r="28" ht="18.75" customHeight="1">
      <c r="A28" s="144" t="n"/>
      <c r="J28" s="103" t="n"/>
    </row>
    <row r="29" ht="18.75" customHeight="1">
      <c r="A29" s="144" t="n"/>
      <c r="B29" s="145" t="n"/>
      <c r="C29" s="145" t="n"/>
      <c r="D29" s="145" t="n"/>
      <c r="E29" s="145" t="n"/>
      <c r="F29" s="145" t="n"/>
      <c r="G29" s="145" t="n"/>
      <c r="H29" s="145" t="n"/>
      <c r="I29" s="145" t="n"/>
      <c r="J29" s="103" t="n"/>
    </row>
    <row r="30" ht="18.75" customHeight="1">
      <c r="A30" s="144" t="n"/>
      <c r="B30" s="145" t="n"/>
      <c r="C30" s="145" t="n"/>
      <c r="D30" s="145" t="n"/>
      <c r="E30" s="145" t="n"/>
      <c r="F30" s="145" t="n"/>
      <c r="G30" s="145" t="n"/>
      <c r="H30" s="145" t="n"/>
      <c r="I30" s="145" t="n"/>
      <c r="J30" s="103" t="n"/>
    </row>
    <row r="31" ht="18.75" customHeight="1">
      <c r="A31" s="144" t="n"/>
      <c r="B31" s="145" t="n"/>
      <c r="C31" s="145" t="n"/>
      <c r="D31" s="145" t="n"/>
      <c r="E31" s="145" t="n"/>
      <c r="F31" s="145" t="n"/>
      <c r="G31" s="145" t="n"/>
      <c r="H31" s="145" t="n"/>
      <c r="I31" s="145" t="n"/>
      <c r="J31" s="103" t="n"/>
    </row>
    <row r="32" ht="18.75" customHeight="1">
      <c r="A32" s="144" t="n"/>
      <c r="B32" s="145" t="n"/>
      <c r="C32" s="145" t="n"/>
      <c r="D32" s="145" t="n"/>
      <c r="E32" s="145" t="n"/>
      <c r="F32" s="145" t="n"/>
      <c r="G32" s="145" t="n"/>
      <c r="H32" s="145" t="n"/>
      <c r="I32" s="145" t="n"/>
      <c r="J32" s="103" t="n"/>
    </row>
    <row r="33" ht="18.75" customHeight="1">
      <c r="A33" s="144" t="n"/>
      <c r="B33" s="145" t="n"/>
      <c r="C33" s="145" t="n"/>
      <c r="D33" s="145" t="n"/>
      <c r="E33" s="145" t="n"/>
      <c r="F33" s="145" t="n"/>
      <c r="G33" s="145" t="n"/>
      <c r="H33" s="145" t="n"/>
      <c r="I33" s="145" t="n"/>
      <c r="J33" s="103" t="n"/>
    </row>
    <row r="34" ht="18.75" customHeight="1">
      <c r="A34" s="144" t="n"/>
      <c r="B34" s="145" t="n"/>
      <c r="C34" s="145" t="n"/>
      <c r="D34" s="145" t="n"/>
      <c r="E34" s="145" t="n"/>
      <c r="F34" s="145" t="n"/>
      <c r="G34" s="145" t="n"/>
      <c r="H34" s="145" t="n"/>
      <c r="I34" s="145" t="n"/>
      <c r="J34" s="103" t="n"/>
    </row>
    <row r="35" ht="18.75" customHeight="1">
      <c r="A35" s="144" t="n"/>
      <c r="B35" s="145" t="n"/>
      <c r="C35" s="145" t="n"/>
      <c r="D35" s="145" t="n"/>
      <c r="E35" s="145" t="n"/>
      <c r="F35" s="145" t="n"/>
      <c r="G35" s="145" t="n"/>
      <c r="H35" s="145" t="n"/>
      <c r="I35" s="145" t="n"/>
      <c r="J35" s="103" t="n"/>
    </row>
    <row r="36" ht="18.75" customHeight="1">
      <c r="A36" s="144" t="n"/>
      <c r="B36" s="145" t="n"/>
      <c r="C36" s="145" t="n"/>
      <c r="D36" s="145" t="n"/>
      <c r="E36" s="145" t="n"/>
      <c r="F36" s="145" t="n"/>
      <c r="G36" s="145" t="n"/>
      <c r="H36" s="145" t="n"/>
      <c r="I36" s="145" t="n"/>
      <c r="J36" s="103" t="n"/>
    </row>
    <row r="37" ht="18.75" customHeight="1">
      <c r="A37" s="144" t="n"/>
      <c r="B37" s="145" t="n"/>
      <c r="C37" s="145" t="n"/>
      <c r="D37" s="145" t="n"/>
      <c r="E37" s="145" t="n"/>
      <c r="F37" s="145" t="n"/>
      <c r="G37" s="145" t="n"/>
      <c r="H37" s="145" t="n"/>
      <c r="I37" s="145" t="n"/>
      <c r="J37" s="103" t="n"/>
    </row>
    <row r="38" ht="18.75" customHeight="1">
      <c r="A38" s="144" t="n"/>
      <c r="B38" s="145" t="n"/>
      <c r="C38" s="145" t="n"/>
      <c r="D38" s="145" t="n"/>
      <c r="E38" s="145" t="n"/>
      <c r="F38" s="145" t="n"/>
      <c r="G38" s="145" t="n"/>
      <c r="H38" s="145" t="n"/>
      <c r="I38" s="145" t="n"/>
      <c r="J38" s="103" t="n"/>
    </row>
    <row r="39" ht="18.75" customHeight="1">
      <c r="A39" s="144" t="n"/>
      <c r="B39" s="145" t="n"/>
      <c r="C39" s="145" t="n"/>
      <c r="D39" s="145" t="n"/>
      <c r="E39" s="145" t="n"/>
      <c r="F39" s="145" t="n"/>
      <c r="G39" s="145" t="n"/>
      <c r="H39" s="145" t="n"/>
      <c r="I39" s="145" t="n"/>
      <c r="J39" s="103" t="n"/>
    </row>
    <row r="40" ht="18.75" customHeight="1">
      <c r="A40" s="144" t="n"/>
      <c r="B40" s="145" t="n"/>
      <c r="C40" s="145" t="n"/>
      <c r="D40" s="145" t="n"/>
      <c r="E40" s="145" t="n"/>
      <c r="F40" s="145" t="n"/>
      <c r="G40" s="145" t="n"/>
      <c r="H40" s="145" t="n"/>
      <c r="I40" s="145" t="n"/>
      <c r="J40" s="103" t="n"/>
    </row>
    <row r="41" ht="18.75" customHeight="1">
      <c r="A41" s="144" t="n"/>
      <c r="B41" s="145" t="n"/>
      <c r="C41" s="145" t="n"/>
      <c r="D41" s="145" t="n"/>
      <c r="E41" s="145" t="n"/>
      <c r="F41" s="145" t="n"/>
      <c r="G41" s="145" t="n"/>
      <c r="H41" s="145" t="n"/>
      <c r="I41" s="145" t="n"/>
      <c r="J41" s="103" t="n"/>
    </row>
    <row r="42" ht="18.75" customHeight="1">
      <c r="A42" s="144" t="n"/>
      <c r="B42" s="145" t="n"/>
      <c r="C42" s="145" t="n"/>
      <c r="D42" s="145" t="n"/>
      <c r="E42" s="145" t="n"/>
      <c r="F42" s="145" t="n"/>
      <c r="G42" s="145" t="n"/>
      <c r="H42" s="145" t="n"/>
      <c r="I42" s="145" t="n"/>
      <c r="J42" s="103" t="n"/>
    </row>
    <row r="43" ht="18.75" customHeight="1">
      <c r="A43" s="144" t="n"/>
      <c r="B43" s="145" t="n"/>
      <c r="C43" s="145" t="n"/>
      <c r="D43" s="145" t="n"/>
      <c r="E43" s="145" t="n"/>
      <c r="F43" s="145" t="n"/>
      <c r="G43" s="145" t="n"/>
      <c r="H43" s="145" t="n"/>
      <c r="I43" s="145" t="n"/>
      <c r="J43" s="103" t="n"/>
    </row>
    <row r="44" ht="18.75" customHeight="1">
      <c r="A44" s="144" t="n"/>
      <c r="B44" s="145" t="n"/>
      <c r="C44" s="145" t="n"/>
      <c r="D44" s="145" t="n"/>
      <c r="E44" s="145" t="n"/>
      <c r="F44" s="145" t="n"/>
      <c r="G44" s="145" t="n"/>
      <c r="H44" s="145" t="n"/>
      <c r="I44" s="145" t="n"/>
      <c r="J44" s="103" t="n"/>
    </row>
    <row r="45" ht="18.75" customHeight="1">
      <c r="A45" s="144" t="n"/>
      <c r="B45" s="145" t="n"/>
      <c r="C45" s="145" t="n"/>
      <c r="D45" s="145" t="n"/>
      <c r="E45" s="145" t="n"/>
      <c r="F45" s="145" t="n"/>
      <c r="G45" s="145" t="n"/>
      <c r="H45" s="145" t="n"/>
      <c r="I45" s="145" t="n"/>
      <c r="J45" s="103" t="n"/>
    </row>
    <row r="46" ht="18.75" customHeight="1">
      <c r="A46" s="144" t="n"/>
      <c r="B46" s="145" t="n"/>
      <c r="C46" s="145" t="n"/>
      <c r="D46" s="145" t="n"/>
      <c r="E46" s="145" t="n"/>
      <c r="F46" s="145" t="n"/>
      <c r="G46" s="145" t="n"/>
      <c r="H46" s="145" t="n"/>
      <c r="I46" s="145" t="n"/>
      <c r="J46" s="103" t="n"/>
    </row>
    <row r="47" ht="18.75" customHeight="1">
      <c r="A47" s="144" t="n"/>
      <c r="B47" s="145" t="n"/>
      <c r="C47" s="145" t="n"/>
      <c r="D47" s="145" t="n"/>
      <c r="E47" s="145" t="n"/>
      <c r="F47" s="145" t="n"/>
      <c r="G47" s="145" t="n"/>
      <c r="H47" s="145" t="n"/>
      <c r="I47" s="145" t="n"/>
      <c r="J47" s="103" t="n"/>
    </row>
    <row r="48" ht="18.75" customHeight="1">
      <c r="A48" s="144" t="n"/>
      <c r="B48" s="145" t="n"/>
      <c r="C48" s="145" t="n"/>
      <c r="D48" s="145" t="n"/>
      <c r="E48" s="145" t="n"/>
      <c r="F48" s="145" t="n"/>
      <c r="G48" s="145" t="n"/>
      <c r="H48" s="145" t="n"/>
      <c r="I48" s="145" t="n"/>
      <c r="J48" s="103" t="n"/>
    </row>
    <row r="49" ht="18.75" customHeight="1">
      <c r="A49" s="144" t="n"/>
      <c r="B49" s="145" t="n"/>
      <c r="C49" s="145" t="n"/>
      <c r="D49" s="145" t="n"/>
      <c r="E49" s="145" t="n"/>
      <c r="F49" s="145" t="n"/>
      <c r="G49" s="145" t="n"/>
      <c r="H49" s="145" t="n"/>
      <c r="I49" s="145" t="n"/>
      <c r="J49" s="103" t="n"/>
    </row>
    <row r="50" ht="18.75" customHeight="1">
      <c r="A50" s="144" t="n"/>
      <c r="B50" s="145" t="n"/>
      <c r="C50" s="145" t="n"/>
      <c r="D50" s="145" t="n"/>
      <c r="E50" s="145" t="n"/>
      <c r="F50" s="145" t="n"/>
      <c r="G50" s="145" t="n"/>
      <c r="H50" s="145" t="n"/>
      <c r="I50" s="145" t="n"/>
      <c r="J50" s="103" t="n"/>
    </row>
    <row r="51" ht="18.75" customHeight="1">
      <c r="A51" s="144" t="n"/>
      <c r="B51" s="145" t="n"/>
      <c r="C51" s="145" t="n"/>
      <c r="D51" s="145" t="n"/>
      <c r="E51" s="145" t="n"/>
      <c r="F51" s="145" t="n"/>
      <c r="G51" s="145" t="n"/>
      <c r="H51" s="145" t="n"/>
      <c r="I51" s="145" t="n"/>
      <c r="J51" s="103" t="n"/>
    </row>
    <row r="52" ht="18.75" customHeight="1">
      <c r="A52" s="144" t="n"/>
      <c r="B52" s="145" t="n"/>
      <c r="C52" s="145" t="n"/>
      <c r="D52" s="145" t="n"/>
      <c r="E52" s="145" t="n"/>
      <c r="F52" s="145" t="n"/>
      <c r="G52" s="145" t="n"/>
      <c r="H52" s="145" t="n"/>
      <c r="I52" s="145" t="n"/>
      <c r="J52" s="103" t="n"/>
    </row>
    <row r="53" ht="18.75" customHeight="1">
      <c r="A53" s="144" t="n"/>
      <c r="B53" s="145" t="n"/>
      <c r="C53" s="145" t="n"/>
      <c r="D53" s="145" t="n"/>
      <c r="E53" s="145" t="n"/>
      <c r="F53" s="145" t="n"/>
      <c r="G53" s="145" t="n"/>
      <c r="H53" s="145" t="n"/>
      <c r="I53" s="145" t="n"/>
      <c r="J53" s="103" t="n"/>
    </row>
    <row r="54" ht="18.75" customHeight="1">
      <c r="A54" s="144" t="n"/>
      <c r="B54" s="145" t="n"/>
      <c r="C54" s="145" t="n"/>
      <c r="D54" s="145" t="n"/>
      <c r="E54" s="145" t="n"/>
      <c r="F54" s="145" t="n"/>
      <c r="G54" s="145" t="n"/>
      <c r="H54" s="145" t="n"/>
      <c r="I54" s="145" t="n"/>
      <c r="J54" s="103" t="n"/>
    </row>
    <row r="55" ht="18.75" customHeight="1">
      <c r="A55" s="144" t="n"/>
      <c r="J55" s="103" t="n"/>
    </row>
    <row r="56" ht="18.75" customHeight="1">
      <c r="A56" s="144" t="n"/>
      <c r="J56" s="103" t="n"/>
    </row>
    <row r="57" ht="18.75" customHeight="1">
      <c r="A57" s="144" t="n"/>
      <c r="J57" s="103" t="n"/>
    </row>
    <row r="58" ht="18.75" customHeight="1">
      <c r="A58" s="144" t="n"/>
      <c r="J58" s="103" t="n"/>
    </row>
    <row r="59" ht="18.75" customFormat="1" customHeight="1" s="18">
      <c r="A59" s="142" t="inlineStr">
        <is>
          <t>CRM Office No.....................................................................). I/We do hereby agree with all the terms &amp; conditions contained therein.</t>
        </is>
      </c>
    </row>
    <row r="60" ht="18.75" customFormat="1" customHeight="1" s="18"/>
    <row r="61" ht="18.75" customFormat="1" customHeight="1" s="18"/>
    <row r="62" ht="18.75" customHeight="1">
      <c r="A62" s="65" t="n"/>
      <c r="B62" s="155" t="n"/>
      <c r="C62" s="155" t="n"/>
      <c r="D62" s="155" t="n"/>
      <c r="E62" s="155" t="n"/>
      <c r="F62" s="155" t="n"/>
      <c r="G62" s="155" t="n"/>
      <c r="H62" s="155" t="n"/>
      <c r="I62" s="155" t="n"/>
      <c r="J62" s="103" t="n"/>
    </row>
    <row r="63" ht="18.75" customHeight="1">
      <c r="A63" s="137" t="n"/>
      <c r="B63" s="155" t="n"/>
      <c r="C63" s="155" t="n"/>
      <c r="D63" s="155" t="n"/>
      <c r="E63" s="155" t="n"/>
      <c r="F63" s="155" t="n"/>
      <c r="G63" s="155" t="n"/>
      <c r="H63" s="155" t="n"/>
      <c r="I63" s="155" t="n"/>
      <c r="J63" s="103" t="n"/>
    </row>
    <row r="64" ht="18.75" customHeight="1">
      <c r="A64" s="65" t="n"/>
      <c r="B64" s="155" t="n"/>
      <c r="C64" s="155" t="n"/>
      <c r="D64" s="155" t="n"/>
      <c r="E64" s="155" t="n"/>
      <c r="F64" s="155" t="n"/>
      <c r="G64" s="155" t="n"/>
      <c r="H64" s="155" t="n"/>
      <c r="I64" s="155" t="n"/>
      <c r="J64" s="103" t="n"/>
    </row>
    <row r="65" ht="18.75" customHeight="1">
      <c r="A65" s="65" t="n"/>
      <c r="B65" s="155" t="n"/>
      <c r="C65" s="155" t="n"/>
      <c r="D65" s="155" t="n"/>
      <c r="E65" s="155" t="n"/>
      <c r="F65" s="155" t="n"/>
      <c r="G65" s="146" t="n"/>
      <c r="J65" s="103" t="n"/>
    </row>
    <row r="66" ht="18.75" customHeight="1">
      <c r="A66" s="137" t="n"/>
      <c r="B66" s="155" t="n"/>
      <c r="C66" s="155" t="n"/>
      <c r="D66" s="155" t="n"/>
      <c r="E66" s="155" t="n"/>
      <c r="F66" s="155" t="n"/>
      <c r="G66" s="155" t="n"/>
      <c r="H66" s="155" t="n"/>
      <c r="I66" s="155" t="n"/>
      <c r="J66" s="103" t="n"/>
    </row>
    <row r="67" ht="18.75" customHeight="1">
      <c r="A67" s="137" t="n"/>
      <c r="B67" s="155" t="n"/>
      <c r="C67" s="155" t="n"/>
      <c r="D67" s="155" t="n"/>
      <c r="E67" s="155" t="n"/>
      <c r="F67" s="155" t="n"/>
      <c r="G67" s="155" t="n"/>
      <c r="H67" s="147" t="inlineStr">
        <is>
          <t>Your’s Faithfully,</t>
        </is>
      </c>
      <c r="I67" s="155" t="n"/>
      <c r="J67" s="103" t="n"/>
    </row>
    <row r="68" ht="18.75" customHeight="1">
      <c r="A68" s="65" t="n"/>
      <c r="B68" s="64" t="n"/>
      <c r="C68" s="64" t="n"/>
      <c r="D68" s="64" t="n"/>
      <c r="E68" s="64" t="n"/>
      <c r="F68" s="64" t="n"/>
      <c r="G68" s="64" t="n"/>
      <c r="H68" s="64" t="n"/>
      <c r="I68" s="64" t="n"/>
      <c r="J68" s="103" t="n"/>
    </row>
    <row r="69" ht="18.75" customHeight="1">
      <c r="A69" s="65" t="n"/>
      <c r="B69" s="64" t="n"/>
      <c r="C69" s="64" t="n"/>
      <c r="D69" s="64" t="n"/>
      <c r="E69" s="64" t="n"/>
      <c r="F69" s="64" t="n"/>
      <c r="G69" s="64" t="n"/>
      <c r="H69" s="64" t="n"/>
      <c r="I69" s="64" t="n"/>
      <c r="J69" s="103" t="n"/>
    </row>
    <row r="70" ht="18.75" customHeight="1">
      <c r="A70" s="65" t="n"/>
      <c r="B70" s="64" t="n"/>
      <c r="C70" s="64" t="n"/>
      <c r="D70" s="64" t="n"/>
      <c r="E70" s="64" t="n"/>
      <c r="F70" s="64" t="n"/>
      <c r="G70" s="64" t="n"/>
      <c r="H70" s="64" t="n"/>
      <c r="I70" s="64" t="n"/>
      <c r="J70" s="103" t="n"/>
    </row>
    <row r="71" ht="18.75" customHeight="1">
      <c r="A71" s="65" t="n"/>
      <c r="B71" s="64" t="n"/>
      <c r="C71" s="64" t="n"/>
      <c r="D71" s="64" t="n"/>
      <c r="E71" s="64" t="n"/>
      <c r="F71" s="64" t="n"/>
      <c r="G71" s="64" t="n"/>
      <c r="H71" s="64" t="n"/>
      <c r="I71" s="64" t="n"/>
      <c r="J71" s="103" t="n"/>
    </row>
    <row r="72" ht="131.25" customFormat="1" customHeight="1" s="18">
      <c r="A72" s="148" t="inlineStr">
        <is>
          <t xml:space="preserve">Witness:                1.                                                                                                                  </t>
        </is>
      </c>
      <c r="C72" s="103" t="n"/>
      <c r="D72" s="103" t="n"/>
      <c r="E72" s="103" t="n"/>
      <c r="F72" s="103" t="n"/>
      <c r="G72" s="103" t="n"/>
      <c r="H72" s="103" t="n"/>
      <c r="I72" s="103" t="n"/>
      <c r="J72" s="103" t="n"/>
    </row>
    <row r="73" ht="56.25" customHeight="1">
      <c r="A73" s="137" t="n">
        <v>2</v>
      </c>
      <c r="B73" s="64" t="n"/>
      <c r="C73" s="64" t="n"/>
      <c r="D73" s="64" t="n"/>
      <c r="E73" s="64" t="n"/>
      <c r="F73" s="64" t="n"/>
      <c r="G73" s="64" t="n"/>
      <c r="H73" s="64" t="n"/>
      <c r="I73" s="64" t="n"/>
      <c r="J73" s="103" t="n"/>
    </row>
  </sheetData>
  <mergeCells count="12">
    <mergeCell ref="A57:I57"/>
    <mergeCell ref="A72:B72"/>
    <mergeCell ref="A59:J61"/>
    <mergeCell ref="A28:I28"/>
    <mergeCell ref="G65:I65"/>
    <mergeCell ref="G12:J12"/>
    <mergeCell ref="A19:J25"/>
    <mergeCell ref="A56:I56"/>
    <mergeCell ref="A27:I27"/>
    <mergeCell ref="A58:I58"/>
    <mergeCell ref="A55:I55"/>
    <mergeCell ref="A26:I26"/>
  </mergeCells>
  <pageMargins left="0.7" right="0.7" top="0.75" bottom="0.75" header="0.3" footer="0.3"/>
</worksheet>
</file>

<file path=xl/worksheets/sheet30.xml><?xml version="1.0" encoding="utf-8"?>
<worksheet xmlns="http://schemas.openxmlformats.org/spreadsheetml/2006/main">
  <sheetPr>
    <outlinePr summaryBelow="0"/>
    <pageSetUpPr/>
  </sheetPr>
  <dimension ref="A1:AT73"/>
  <sheetViews>
    <sheetView workbookViewId="0">
      <selection activeCell="A1" sqref="A1"/>
    </sheetView>
  </sheetViews>
  <sheetFormatPr baseColWidth="8" defaultRowHeight="15"/>
  <cols>
    <col width="13.57642857142857" bestFit="1" customWidth="1" style="64" min="1" max="1"/>
    <col width="13.57642857142857" bestFit="1" customWidth="1" style="64" min="2" max="2"/>
    <col width="13.57642857142857" bestFit="1" customWidth="1" style="64" min="3" max="3"/>
    <col width="13.57642857142857" bestFit="1" customWidth="1" style="64" min="4" max="4"/>
    <col width="69.29071428571429" bestFit="1" customWidth="1" style="64" min="5" max="5"/>
    <col width="13.57642857142857" bestFit="1" customWidth="1" style="136" min="6" max="6"/>
    <col width="13.57642857142857" bestFit="1" customWidth="1" style="64" min="7" max="7"/>
    <col width="13.57642857142857" bestFit="1" customWidth="1" style="64" min="8" max="8"/>
    <col width="13.57642857142857" bestFit="1" customWidth="1" style="64" min="9" max="9"/>
    <col width="13.57642857142857" bestFit="1" customWidth="1" style="64" min="10" max="10"/>
    <col width="13.57642857142857" bestFit="1" customWidth="1" style="64" min="11" max="11"/>
    <col width="13.57642857142857" bestFit="1" customWidth="1" style="64" min="12" max="12"/>
    <col width="13.57642857142857" bestFit="1" customWidth="1" style="64" min="13" max="13"/>
    <col width="13.57642857142857" bestFit="1" customWidth="1" style="64" min="14" max="14"/>
    <col width="13.57642857142857" bestFit="1" customWidth="1" style="64" min="15" max="15"/>
    <col width="13.57642857142857" bestFit="1" customWidth="1" style="64" min="16" max="16"/>
    <col width="13.57642857142857" bestFit="1" customWidth="1" style="64" min="17" max="17"/>
    <col width="13.57642857142857" bestFit="1" customWidth="1" style="64" min="18" max="18"/>
    <col width="13.57642857142857" bestFit="1" customWidth="1" style="64" min="19" max="19"/>
    <col width="13.57642857142857" bestFit="1" customWidth="1" style="64" min="20" max="20"/>
    <col width="13.57642857142857" bestFit="1" customWidth="1" style="64" min="21" max="21"/>
    <col width="13.57642857142857" bestFit="1" customWidth="1" style="64" min="22" max="22"/>
    <col width="13.57642857142857" bestFit="1" customWidth="1" style="64" min="23" max="23"/>
    <col width="13.57642857142857" bestFit="1" customWidth="1" style="64" min="24" max="24"/>
    <col width="13.57642857142857" bestFit="1" customWidth="1" style="64" min="25" max="25"/>
    <col width="13.57642857142857" bestFit="1" customWidth="1" style="64" min="26" max="26"/>
    <col width="13.57642857142857" bestFit="1" customWidth="1" style="64" min="27" max="27"/>
    <col width="13.57642857142857" bestFit="1" customWidth="1" style="64" min="28" max="28"/>
    <col width="13.57642857142857" bestFit="1" customWidth="1" style="64" min="29" max="29"/>
    <col width="13.57642857142857" bestFit="1" customWidth="1" style="64" min="30" max="30"/>
    <col width="13.57642857142857" bestFit="1" customWidth="1" style="64" min="31" max="31"/>
    <col width="13.57642857142857" bestFit="1" customWidth="1" style="64" min="32" max="32"/>
    <col width="13.57642857142857" bestFit="1" customWidth="1" style="64" min="33" max="33"/>
    <col width="13.57642857142857" bestFit="1" customWidth="1" style="64" min="34" max="34"/>
    <col width="13.57642857142857" bestFit="1" customWidth="1" style="64" min="35" max="35"/>
    <col width="13.57642857142857" bestFit="1" customWidth="1" style="64" min="36" max="36"/>
    <col width="7.862142857142857" bestFit="1" customWidth="1" style="64" min="37" max="37"/>
    <col hidden="1" width="13.57642857142857" bestFit="1" customWidth="1" style="64" min="38" max="38"/>
    <col hidden="1" width="13.57642857142857" bestFit="1" customWidth="1" style="64" min="39" max="39"/>
    <col hidden="1" width="13.57642857142857" bestFit="1" customWidth="1" style="64" min="40" max="40"/>
    <col hidden="1" width="13.57642857142857" bestFit="1" customWidth="1" style="64" min="41" max="41"/>
    <col hidden="1" width="13.57642857142857" bestFit="1" customWidth="1" style="64" min="42" max="42"/>
    <col hidden="1" width="13.57642857142857" bestFit="1" customWidth="1" style="64" min="43" max="43"/>
    <col hidden="1" width="13.57642857142857" bestFit="1" customWidth="1" style="64" min="44" max="44"/>
    <col hidden="1" width="13.57642857142857" bestFit="1" customWidth="1" style="64" min="45" max="45"/>
    <col hidden="1" width="13.57642857142857" bestFit="1" customWidth="1" style="64" min="46" max="46"/>
  </cols>
  <sheetData>
    <row r="1" ht="18.75" customHeight="1">
      <c r="A1" s="109" t="n"/>
      <c r="B1" s="109" t="n"/>
      <c r="C1" s="109" t="n"/>
      <c r="D1" s="109" t="n"/>
      <c r="E1" s="109" t="n"/>
      <c r="F1" s="110" t="n"/>
      <c r="G1" s="109" t="n"/>
      <c r="H1" s="109" t="n"/>
      <c r="I1" s="109" t="n"/>
      <c r="J1" s="109" t="n"/>
      <c r="K1" s="109" t="n"/>
      <c r="L1" s="109" t="n"/>
      <c r="M1" s="109" t="n"/>
      <c r="N1" s="109" t="n"/>
      <c r="O1" s="109" t="n"/>
      <c r="P1" s="109" t="n"/>
      <c r="Q1" s="109" t="n"/>
      <c r="R1" s="109" t="n"/>
      <c r="S1" s="109" t="n"/>
      <c r="T1" s="109" t="n"/>
      <c r="U1" s="109" t="n"/>
      <c r="V1" s="109" t="n"/>
      <c r="W1" s="109" t="n"/>
      <c r="X1" s="109" t="n"/>
      <c r="Y1" s="109" t="n"/>
      <c r="Z1" s="109" t="n"/>
      <c r="AA1" s="109" t="n"/>
      <c r="AB1" s="109" t="n"/>
      <c r="AC1" s="109" t="n"/>
      <c r="AD1" s="109" t="n"/>
      <c r="AE1" s="109" t="n"/>
      <c r="AF1" s="109" t="n"/>
      <c r="AG1" s="109" t="n"/>
      <c r="AH1" s="109" t="n"/>
      <c r="AI1" s="109" t="n"/>
      <c r="AJ1" s="109" t="n"/>
      <c r="AK1" s="109" t="n"/>
      <c r="AL1" s="109" t="n"/>
      <c r="AM1" s="109" t="n"/>
      <c r="AN1" s="109" t="n"/>
      <c r="AO1" s="109" t="n"/>
      <c r="AP1" s="109" t="n"/>
      <c r="AQ1" s="109" t="n"/>
      <c r="AR1" s="109" t="n"/>
      <c r="AS1" s="109" t="n"/>
      <c r="AT1" s="109" t="n"/>
    </row>
    <row r="2" ht="18.75" customHeight="1">
      <c r="A2" s="600" t="n"/>
      <c r="B2" s="600" t="n"/>
      <c r="C2" s="600" t="n"/>
      <c r="D2" s="600" t="n"/>
      <c r="E2" s="600" t="n"/>
      <c r="F2" s="111" t="n"/>
      <c r="G2" s="600" t="n"/>
      <c r="H2" s="600" t="n"/>
      <c r="I2" s="600" t="n"/>
      <c r="J2" s="600" t="n"/>
      <c r="K2" s="600" t="n"/>
      <c r="L2" s="600" t="n"/>
      <c r="M2" s="600" t="n"/>
      <c r="N2" s="600" t="n"/>
      <c r="O2" s="600" t="n"/>
      <c r="P2" s="600" t="n"/>
      <c r="Q2" s="600" t="n"/>
      <c r="R2" s="600" t="n"/>
      <c r="S2" s="600" t="n"/>
      <c r="T2" s="600" t="n"/>
      <c r="U2" s="600" t="n"/>
      <c r="V2" s="600" t="n"/>
      <c r="W2" s="600" t="n"/>
      <c r="X2" s="600" t="n"/>
      <c r="Y2" s="600" t="n"/>
      <c r="Z2" s="600" t="n"/>
      <c r="AA2" s="600" t="n"/>
      <c r="AB2" s="600" t="n"/>
      <c r="AC2" s="600" t="n"/>
      <c r="AD2" s="600" t="n"/>
      <c r="AE2" s="600" t="n"/>
      <c r="AF2" s="600" t="n"/>
      <c r="AG2" s="600" t="n"/>
      <c r="AH2" s="600" t="n"/>
      <c r="AI2" s="600" t="n"/>
      <c r="AJ2" s="600" t="n"/>
      <c r="AK2" s="600" t="n"/>
      <c r="AL2" s="600" t="n"/>
      <c r="AM2" s="600" t="n"/>
      <c r="AN2" s="600" t="n"/>
      <c r="AO2" s="80" t="n"/>
      <c r="AP2" s="80" t="n"/>
      <c r="AQ2" s="80" t="n"/>
      <c r="AR2" s="80" t="n"/>
      <c r="AS2" s="80" t="n"/>
      <c r="AT2" s="80" t="n"/>
    </row>
    <row r="3" ht="18.75" customHeight="1">
      <c r="A3" s="112" t="n"/>
      <c r="B3" s="112" t="n"/>
      <c r="C3" s="112" t="n"/>
      <c r="D3" s="112" t="n"/>
      <c r="E3" s="112" t="n"/>
      <c r="F3" s="113" t="n"/>
      <c r="G3" s="112" t="n"/>
      <c r="H3" s="112" t="n"/>
      <c r="I3" s="112" t="n"/>
      <c r="J3" s="112" t="n"/>
      <c r="K3" s="112" t="n"/>
      <c r="L3" s="112" t="n"/>
      <c r="M3" s="112" t="n"/>
      <c r="N3" s="112" t="n"/>
      <c r="O3" s="112" t="n"/>
      <c r="P3" s="112" t="n"/>
      <c r="Q3" s="112" t="n"/>
      <c r="R3" s="112" t="n"/>
      <c r="S3" s="112" t="n"/>
      <c r="T3" s="112" t="n"/>
      <c r="U3" s="112" t="n"/>
      <c r="V3" s="112" t="n"/>
      <c r="W3" s="112" t="n"/>
      <c r="X3" s="112" t="n"/>
      <c r="Y3" s="112" t="n"/>
      <c r="Z3" s="112" t="n"/>
      <c r="AA3" s="112" t="n"/>
      <c r="AB3" s="112" t="n"/>
      <c r="AC3" s="112" t="n"/>
      <c r="AD3" s="112" t="n"/>
      <c r="AE3" s="112" t="n"/>
      <c r="AF3" s="112" t="n"/>
      <c r="AG3" s="112" t="n"/>
      <c r="AH3" s="112" t="n"/>
      <c r="AI3" s="112" t="n"/>
      <c r="AJ3" s="112" t="n"/>
      <c r="AK3" s="112" t="n"/>
      <c r="AL3" s="112" t="n"/>
      <c r="AM3" s="112" t="n"/>
      <c r="AN3" s="112" t="n"/>
      <c r="AO3" s="112" t="n"/>
      <c r="AP3" s="112" t="n"/>
      <c r="AQ3" s="112" t="n"/>
      <c r="AR3" s="112" t="n"/>
      <c r="AS3" s="112" t="n"/>
      <c r="AT3" s="112" t="n"/>
    </row>
    <row r="4" ht="18.75" customHeight="1">
      <c r="A4" s="114" t="n"/>
      <c r="B4" s="114" t="n"/>
      <c r="C4" s="114" t="n"/>
      <c r="D4" s="114" t="n"/>
      <c r="E4" s="114" t="n"/>
      <c r="F4" s="115" t="n"/>
      <c r="G4" s="114" t="n"/>
      <c r="H4" s="114" t="n"/>
      <c r="I4" s="114" t="n"/>
      <c r="J4" s="114" t="n"/>
      <c r="K4" s="114" t="n"/>
      <c r="L4" s="114" t="n"/>
      <c r="M4" s="114" t="n"/>
      <c r="N4" s="114" t="n"/>
      <c r="O4" s="114" t="n"/>
      <c r="P4" s="114" t="n"/>
      <c r="Q4" s="114" t="n"/>
      <c r="R4" s="114" t="n"/>
      <c r="S4" s="114" t="n"/>
      <c r="T4" s="114" t="n"/>
      <c r="U4" s="114" t="n"/>
      <c r="V4" s="114" t="n"/>
      <c r="W4" s="114" t="n"/>
      <c r="X4" s="114" t="n"/>
      <c r="Y4" s="114" t="n"/>
      <c r="Z4" s="114" t="n"/>
      <c r="AA4" s="114" t="n"/>
      <c r="AB4" s="114" t="n"/>
      <c r="AC4" s="114" t="n"/>
      <c r="AD4" s="114" t="n"/>
      <c r="AE4" s="114" t="n"/>
      <c r="AF4" s="114" t="n"/>
      <c r="AG4" s="114" t="n"/>
      <c r="AH4" s="114" t="n"/>
      <c r="AI4" s="114" t="n"/>
      <c r="AJ4" s="114" t="n"/>
      <c r="AK4" s="114" t="n"/>
      <c r="AL4" s="114" t="n"/>
      <c r="AM4" s="114" t="n"/>
      <c r="AN4" s="114" t="n"/>
      <c r="AO4" s="114" t="n"/>
      <c r="AP4" s="114" t="n"/>
      <c r="AQ4" s="114" t="n"/>
      <c r="AR4" s="114" t="n"/>
      <c r="AS4" s="114" t="n"/>
      <c r="AT4" s="114" t="n"/>
    </row>
    <row r="5" ht="18.75" customHeight="1">
      <c r="A5" s="114" t="n"/>
      <c r="B5" s="114" t="n"/>
      <c r="C5" s="114" t="n"/>
      <c r="D5" s="114" t="n"/>
      <c r="E5" s="114" t="n"/>
      <c r="F5" s="115" t="n"/>
      <c r="G5" s="114" t="n"/>
      <c r="H5" s="114" t="n"/>
      <c r="I5" s="114" t="n"/>
      <c r="J5" s="114" t="n"/>
      <c r="K5" s="114" t="n"/>
      <c r="L5" s="114" t="n"/>
      <c r="M5" s="114" t="n"/>
      <c r="N5" s="114" t="n"/>
      <c r="O5" s="114" t="n"/>
      <c r="P5" s="114" t="n"/>
      <c r="Q5" s="114" t="n"/>
      <c r="R5" s="114" t="n"/>
      <c r="S5" s="114" t="n"/>
      <c r="T5" s="114" t="n"/>
      <c r="U5" s="114" t="n"/>
      <c r="V5" s="114" t="n"/>
      <c r="W5" s="114" t="n"/>
      <c r="X5" s="114" t="n"/>
      <c r="Y5" s="114" t="n"/>
      <c r="Z5" s="114" t="n"/>
      <c r="AA5" s="114" t="n"/>
      <c r="AB5" s="114" t="n"/>
      <c r="AC5" s="114" t="n"/>
      <c r="AD5" s="114" t="n"/>
      <c r="AE5" s="114" t="n"/>
      <c r="AF5" s="114" t="n"/>
      <c r="AG5" s="114" t="n"/>
      <c r="AH5" s="114" t="n"/>
      <c r="AI5" s="114" t="n"/>
      <c r="AJ5" s="114" t="n"/>
      <c r="AK5" s="114" t="n"/>
      <c r="AL5" s="114" t="n"/>
      <c r="AM5" s="114" t="n"/>
      <c r="AN5" s="114" t="n"/>
      <c r="AO5" s="114" t="n"/>
      <c r="AP5" s="114" t="n"/>
      <c r="AQ5" s="114" t="n"/>
      <c r="AR5" s="114" t="n"/>
      <c r="AS5" s="114" t="n"/>
      <c r="AT5" s="114" t="n"/>
    </row>
    <row r="6" ht="18.75" customHeight="1">
      <c r="A6" s="116" t="n"/>
      <c r="B6" s="116" t="n"/>
      <c r="C6" s="116" t="n"/>
      <c r="D6" s="116" t="n"/>
      <c r="E6" s="116" t="n"/>
      <c r="F6" s="117" t="n"/>
      <c r="G6" s="116" t="n"/>
      <c r="H6" s="116" t="n"/>
      <c r="I6" s="116" t="n"/>
      <c r="J6" s="116" t="n"/>
      <c r="K6" s="116" t="n"/>
      <c r="L6" s="116" t="n"/>
      <c r="M6" s="116" t="n"/>
      <c r="N6" s="116" t="n"/>
      <c r="O6" s="116" t="n"/>
      <c r="P6" s="116" t="n"/>
      <c r="Q6" s="116" t="n"/>
      <c r="R6" s="116" t="n"/>
      <c r="S6" s="116" t="n"/>
      <c r="T6" s="116" t="n"/>
      <c r="U6" s="116" t="n"/>
      <c r="V6" s="116" t="n"/>
      <c r="W6" s="116" t="n"/>
      <c r="X6" s="116" t="n"/>
      <c r="Y6" s="116" t="n"/>
      <c r="Z6" s="116" t="n"/>
      <c r="AA6" s="116" t="n"/>
      <c r="AB6" s="116" t="n"/>
      <c r="AC6" s="116" t="n"/>
      <c r="AD6" s="116" t="n"/>
      <c r="AE6" s="116" t="n"/>
      <c r="AF6" s="116" t="n"/>
      <c r="AG6" s="116" t="n"/>
      <c r="AH6" s="116" t="n"/>
      <c r="AI6" s="116" t="n"/>
      <c r="AJ6" s="116" t="n"/>
      <c r="AK6" s="116" t="n"/>
      <c r="AL6" s="116" t="n"/>
      <c r="AM6" s="116" t="n"/>
      <c r="AN6" s="116" t="n"/>
      <c r="AO6" s="116" t="n"/>
      <c r="AP6" s="116" t="n"/>
      <c r="AQ6" s="116" t="n"/>
      <c r="AR6" s="116" t="n"/>
      <c r="AS6" s="116" t="n"/>
      <c r="AT6" s="116" t="n"/>
    </row>
    <row r="7" ht="18.75" customHeight="1">
      <c r="A7" s="116" t="n"/>
      <c r="B7" s="116" t="n"/>
      <c r="C7" s="116" t="n"/>
      <c r="D7" s="116" t="n"/>
      <c r="E7" s="116" t="n"/>
      <c r="F7" s="117" t="n"/>
      <c r="G7" s="116" t="n"/>
      <c r="H7" s="116" t="n"/>
      <c r="I7" s="116" t="n"/>
      <c r="J7" s="116" t="n"/>
      <c r="K7" s="116" t="n"/>
      <c r="L7" s="116" t="n"/>
      <c r="M7" s="116" t="n"/>
      <c r="N7" s="116" t="n"/>
      <c r="O7" s="116" t="n"/>
      <c r="P7" s="116" t="n"/>
      <c r="Q7" s="116" t="n"/>
      <c r="R7" s="116" t="n"/>
      <c r="S7" s="116" t="n"/>
      <c r="T7" s="116" t="n"/>
      <c r="U7" s="116" t="n"/>
      <c r="V7" s="116" t="n"/>
      <c r="W7" s="116" t="n"/>
      <c r="X7" s="116" t="n"/>
      <c r="Y7" s="116" t="n"/>
      <c r="Z7" s="116" t="n"/>
      <c r="AA7" s="116" t="n"/>
      <c r="AB7" s="116" t="n"/>
      <c r="AC7" s="116" t="n"/>
      <c r="AD7" s="116" t="n"/>
      <c r="AE7" s="116" t="n"/>
      <c r="AF7" s="116" t="n"/>
      <c r="AG7" s="116" t="n"/>
      <c r="AH7" s="116" t="n"/>
      <c r="AI7" s="116" t="n"/>
      <c r="AJ7" s="116" t="n"/>
      <c r="AK7" s="116" t="n"/>
      <c r="AL7" s="116" t="n"/>
      <c r="AM7" s="116" t="n"/>
      <c r="AN7" s="116" t="n"/>
      <c r="AO7" s="116" t="n"/>
      <c r="AP7" s="116" t="n"/>
      <c r="AQ7" s="116" t="n"/>
      <c r="AR7" s="116" t="n"/>
      <c r="AS7" s="116" t="n"/>
      <c r="AT7" s="116" t="n"/>
    </row>
    <row r="8" ht="242.25" customHeight="1">
      <c r="A8" s="112" t="n"/>
      <c r="B8" s="112" t="n"/>
      <c r="C8" s="112" t="n"/>
      <c r="D8" s="112" t="n"/>
      <c r="E8" s="112" t="n"/>
      <c r="F8" s="113" t="n"/>
      <c r="G8" s="112" t="n"/>
      <c r="H8" s="112" t="n"/>
      <c r="I8" s="112" t="n"/>
      <c r="J8" s="112" t="n"/>
      <c r="K8" s="112" t="n"/>
      <c r="L8" s="112" t="n"/>
      <c r="M8" s="112" t="n"/>
      <c r="N8" s="112" t="n"/>
      <c r="O8" s="112" t="n"/>
      <c r="P8" s="112" t="n"/>
      <c r="Q8" s="112" t="n"/>
      <c r="R8" s="112" t="n"/>
      <c r="S8" s="112" t="n"/>
      <c r="T8" s="112" t="n"/>
      <c r="U8" s="112" t="n"/>
      <c r="V8" s="112" t="n"/>
      <c r="W8" s="112" t="n"/>
      <c r="X8" s="112" t="n"/>
      <c r="Y8" s="112" t="n"/>
      <c r="Z8" s="112" t="n"/>
      <c r="AA8" s="112" t="n"/>
      <c r="AB8" s="112" t="n"/>
      <c r="AC8" s="112" t="n"/>
      <c r="AD8" s="112" t="n"/>
      <c r="AE8" s="112" t="n"/>
      <c r="AF8" s="112" t="n"/>
      <c r="AG8" s="112" t="n"/>
      <c r="AH8" s="112" t="n"/>
      <c r="AI8" s="112" t="n"/>
      <c r="AJ8" s="112" t="n"/>
      <c r="AK8" s="112" t="n"/>
      <c r="AL8" s="112" t="n"/>
      <c r="AM8" s="112" t="n"/>
      <c r="AN8" s="112" t="n"/>
      <c r="AO8" s="112" t="n"/>
      <c r="AP8" s="112" t="n"/>
      <c r="AQ8" s="112" t="n"/>
      <c r="AR8" s="112" t="n"/>
      <c r="AS8" s="112" t="n"/>
      <c r="AT8" s="112" t="n"/>
    </row>
    <row r="9" ht="18.75" customHeight="1">
      <c r="A9" s="114" t="n"/>
      <c r="B9" s="114" t="n"/>
      <c r="C9" s="114" t="n"/>
      <c r="D9" s="114" t="n"/>
      <c r="E9" s="114" t="n"/>
      <c r="F9" s="115" t="n"/>
      <c r="G9" s="114" t="n"/>
      <c r="H9" s="114" t="n"/>
      <c r="I9" s="114" t="n"/>
      <c r="J9" s="114" t="n"/>
      <c r="K9" s="114" t="n"/>
      <c r="L9" s="114" t="n"/>
      <c r="M9" s="114" t="n"/>
      <c r="N9" s="114" t="n"/>
      <c r="O9" s="114" t="n"/>
      <c r="P9" s="114" t="n"/>
      <c r="Q9" s="114" t="n"/>
      <c r="R9" s="114" t="n"/>
      <c r="S9" s="114" t="n"/>
      <c r="T9" s="114" t="n"/>
      <c r="U9" s="114" t="n"/>
      <c r="V9" s="114" t="n"/>
      <c r="W9" s="114" t="n"/>
      <c r="X9" s="114" t="n"/>
      <c r="Y9" s="114" t="n"/>
      <c r="Z9" s="114" t="n"/>
      <c r="AA9" s="114" t="n"/>
      <c r="AB9" s="114" t="n"/>
      <c r="AC9" s="114" t="n"/>
      <c r="AD9" s="114" t="n"/>
      <c r="AE9" s="114" t="n"/>
      <c r="AF9" s="114" t="n"/>
      <c r="AG9" s="114" t="n"/>
      <c r="AH9" s="114" t="n"/>
      <c r="AI9" s="114" t="n"/>
      <c r="AJ9" s="114" t="n"/>
      <c r="AK9" s="114" t="n"/>
      <c r="AL9" s="114" t="n"/>
      <c r="AM9" s="114" t="n"/>
      <c r="AN9" s="114" t="n"/>
      <c r="AO9" s="114" t="n"/>
      <c r="AP9" s="114" t="n"/>
      <c r="AQ9" s="114" t="n"/>
      <c r="AR9" s="114" t="n"/>
      <c r="AS9" s="114" t="n"/>
      <c r="AT9" s="114" t="n"/>
    </row>
    <row r="10" ht="18.75" customHeight="1">
      <c r="A10" s="114" t="n"/>
      <c r="B10" s="114" t="n"/>
      <c r="C10" s="114" t="n"/>
      <c r="D10" s="114" t="n"/>
      <c r="E10" s="114" t="n"/>
      <c r="F10" s="115" t="n"/>
      <c r="G10" s="114" t="n"/>
      <c r="H10" s="114" t="n"/>
      <c r="I10" s="114" t="n"/>
      <c r="J10" s="114" t="n"/>
      <c r="K10" s="114" t="n"/>
      <c r="L10" s="114" t="n"/>
      <c r="M10" s="114" t="n"/>
      <c r="N10" s="114" t="n"/>
      <c r="O10" s="114" t="n"/>
      <c r="P10" s="114" t="n"/>
      <c r="Q10" s="114" t="n"/>
      <c r="R10" s="114" t="n"/>
      <c r="S10" s="114" t="n"/>
      <c r="T10" s="114" t="n"/>
      <c r="U10" s="114" t="n"/>
      <c r="V10" s="114" t="n"/>
      <c r="W10" s="114" t="n"/>
      <c r="X10" s="114" t="n"/>
      <c r="Y10" s="114" t="n"/>
      <c r="Z10" s="114" t="n"/>
      <c r="AA10" s="114" t="n"/>
      <c r="AB10" s="114" t="n"/>
      <c r="AC10" s="114" t="n"/>
      <c r="AD10" s="114" t="n"/>
      <c r="AE10" s="114" t="n"/>
      <c r="AF10" s="114" t="n"/>
      <c r="AG10" s="114" t="n"/>
      <c r="AH10" s="114" t="n"/>
      <c r="AI10" s="114" t="n"/>
      <c r="AJ10" s="114" t="n"/>
      <c r="AK10" s="114" t="n"/>
      <c r="AL10" s="114" t="n"/>
      <c r="AM10" s="114" t="n"/>
      <c r="AN10" s="114" t="n"/>
      <c r="AO10" s="114" t="n"/>
      <c r="AP10" s="114" t="n"/>
      <c r="AQ10" s="114" t="n"/>
      <c r="AR10" s="114" t="n"/>
      <c r="AS10" s="114" t="n"/>
      <c r="AT10" s="114" t="n"/>
    </row>
    <row r="11" ht="18.75" customHeight="1">
      <c r="A11" s="116" t="n"/>
      <c r="B11" s="116" t="n"/>
      <c r="C11" s="116" t="n"/>
      <c r="D11" s="116" t="n"/>
      <c r="E11" s="116" t="n"/>
      <c r="F11" s="117" t="n"/>
      <c r="G11" s="116" t="n"/>
      <c r="H11" s="116" t="n"/>
      <c r="I11" s="116" t="n"/>
      <c r="J11" s="116" t="n"/>
      <c r="K11" s="116" t="n"/>
      <c r="L11" s="116" t="n"/>
      <c r="M11" s="116" t="n"/>
      <c r="N11" s="116" t="n"/>
      <c r="O11" s="116" t="n"/>
      <c r="P11" s="116" t="n"/>
      <c r="Q11" s="116" t="n"/>
      <c r="R11" s="116" t="n"/>
      <c r="S11" s="116" t="n"/>
      <c r="T11" s="116" t="n"/>
      <c r="U11" s="116" t="n"/>
      <c r="V11" s="116" t="n"/>
      <c r="W11" s="116" t="n"/>
      <c r="X11" s="116" t="n"/>
      <c r="Y11" s="116" t="n"/>
      <c r="Z11" s="116" t="n"/>
      <c r="AA11" s="116" t="n"/>
      <c r="AB11" s="116" t="n"/>
      <c r="AC11" s="116" t="n"/>
      <c r="AD11" s="116" t="n"/>
      <c r="AE11" s="116" t="n"/>
      <c r="AF11" s="116" t="n"/>
      <c r="AG11" s="116" t="n"/>
      <c r="AH11" s="116" t="n"/>
      <c r="AI11" s="116" t="n"/>
      <c r="AJ11" s="116" t="n"/>
      <c r="AK11" s="116" t="n"/>
      <c r="AL11" s="116" t="n"/>
      <c r="AM11" s="116" t="n"/>
      <c r="AN11" s="116" t="n"/>
      <c r="AO11" s="116" t="n"/>
      <c r="AP11" s="116" t="n"/>
      <c r="AQ11" s="116" t="n"/>
      <c r="AR11" s="116" t="n"/>
      <c r="AS11" s="116" t="n"/>
      <c r="AT11" s="116" t="n"/>
    </row>
    <row r="12" ht="18.75" customHeight="1">
      <c r="A12" s="116" t="n"/>
      <c r="B12" s="116" t="n"/>
      <c r="C12" s="116" t="n"/>
      <c r="D12" s="116" t="n"/>
      <c r="E12" s="116" t="n"/>
      <c r="F12" s="117" t="n"/>
      <c r="G12" s="116" t="n"/>
      <c r="H12" s="116" t="n"/>
      <c r="I12" s="116" t="n"/>
      <c r="J12" s="116" t="n"/>
      <c r="K12" s="116" t="n"/>
      <c r="L12" s="116" t="n"/>
      <c r="M12" s="116" t="n"/>
      <c r="N12" s="116" t="n"/>
      <c r="O12" s="116" t="n"/>
      <c r="P12" s="116" t="n"/>
      <c r="Q12" s="116" t="n"/>
      <c r="R12" s="116" t="n"/>
      <c r="S12" s="116" t="n"/>
      <c r="T12" s="116" t="n"/>
      <c r="U12" s="116" t="n"/>
      <c r="V12" s="116" t="n"/>
      <c r="W12" s="116" t="n"/>
      <c r="X12" s="116" t="n"/>
      <c r="Y12" s="116" t="n"/>
      <c r="Z12" s="116" t="n"/>
      <c r="AA12" s="116" t="n"/>
      <c r="AB12" s="116" t="n"/>
      <c r="AC12" s="116" t="n"/>
      <c r="AD12" s="116" t="n"/>
      <c r="AE12" s="116" t="n"/>
      <c r="AF12" s="116" t="n"/>
      <c r="AG12" s="116" t="n"/>
      <c r="AH12" s="116" t="n"/>
      <c r="AI12" s="116" t="n"/>
      <c r="AJ12" s="116" t="n"/>
      <c r="AK12" s="116" t="n"/>
      <c r="AL12" s="116" t="n"/>
      <c r="AM12" s="116" t="n"/>
      <c r="AN12" s="116" t="n"/>
      <c r="AO12" s="116" t="n"/>
      <c r="AP12" s="116" t="n"/>
      <c r="AQ12" s="116" t="n"/>
      <c r="AR12" s="116" t="n"/>
      <c r="AS12" s="116" t="n"/>
      <c r="AT12" s="116" t="n"/>
    </row>
    <row r="13" ht="18.75" customHeight="1">
      <c r="A13" s="114" t="n"/>
      <c r="B13" s="114" t="n"/>
      <c r="C13" s="114" t="n"/>
      <c r="D13" s="114" t="n"/>
      <c r="E13" s="114" t="n"/>
      <c r="F13" s="115" t="n"/>
      <c r="G13" s="114" t="n"/>
      <c r="H13" s="114" t="n"/>
      <c r="I13" s="114" t="n"/>
      <c r="J13" s="114" t="n"/>
      <c r="K13" s="114" t="n"/>
      <c r="L13" s="114" t="n"/>
      <c r="M13" s="114" t="n"/>
      <c r="N13" s="114" t="n"/>
      <c r="O13" s="114" t="n"/>
      <c r="P13" s="114" t="n"/>
      <c r="Q13" s="114" t="n"/>
      <c r="R13" s="114" t="n"/>
      <c r="S13" s="114" t="n"/>
      <c r="T13" s="114" t="n"/>
      <c r="U13" s="114" t="n"/>
      <c r="V13" s="114" t="n"/>
      <c r="W13" s="114" t="n"/>
      <c r="X13" s="114" t="n"/>
      <c r="Y13" s="114" t="n"/>
      <c r="Z13" s="114" t="n"/>
      <c r="AA13" s="114" t="n"/>
      <c r="AB13" s="114" t="n"/>
      <c r="AC13" s="114" t="n"/>
      <c r="AD13" s="114" t="n"/>
      <c r="AE13" s="114" t="n"/>
      <c r="AF13" s="114" t="n"/>
      <c r="AG13" s="114" t="n"/>
      <c r="AH13" s="114" t="n"/>
      <c r="AI13" s="114" t="n"/>
      <c r="AJ13" s="114" t="n"/>
      <c r="AK13" s="114" t="n"/>
      <c r="AL13" s="114" t="n"/>
      <c r="AM13" s="114" t="n"/>
      <c r="AN13" s="114" t="n"/>
      <c r="AO13" s="114" t="n"/>
      <c r="AP13" s="114" t="n"/>
      <c r="AQ13" s="114" t="n"/>
      <c r="AR13" s="114" t="n"/>
      <c r="AS13" s="114" t="n"/>
      <c r="AT13" s="114" t="n"/>
    </row>
    <row r="14" ht="18.75" customHeight="1">
      <c r="A14" s="114" t="n"/>
      <c r="B14" s="114" t="n"/>
      <c r="C14" s="114" t="n"/>
      <c r="D14" s="114" t="n"/>
      <c r="E14" s="114" t="n"/>
      <c r="F14" s="115" t="n"/>
      <c r="G14" s="114" t="n"/>
      <c r="H14" s="114" t="n"/>
      <c r="I14" s="114" t="n"/>
      <c r="J14" s="114" t="n"/>
      <c r="K14" s="114" t="n"/>
      <c r="L14" s="114" t="n"/>
      <c r="M14" s="114" t="n"/>
      <c r="N14" s="114" t="n"/>
      <c r="O14" s="114" t="n"/>
      <c r="P14" s="114" t="n"/>
      <c r="Q14" s="114" t="n"/>
      <c r="R14" s="114" t="n"/>
      <c r="S14" s="114" t="n"/>
      <c r="T14" s="114" t="n"/>
      <c r="U14" s="114" t="n"/>
      <c r="V14" s="114" t="n"/>
      <c r="W14" s="114" t="n"/>
      <c r="X14" s="114" t="n"/>
      <c r="Y14" s="114" t="n"/>
      <c r="Z14" s="114" t="n"/>
      <c r="AA14" s="114" t="n"/>
      <c r="AB14" s="114" t="n"/>
      <c r="AC14" s="114" t="n"/>
      <c r="AD14" s="114" t="n"/>
      <c r="AE14" s="114" t="n"/>
      <c r="AF14" s="114" t="n"/>
      <c r="AG14" s="114" t="n"/>
      <c r="AH14" s="114" t="n"/>
      <c r="AI14" s="114" t="n"/>
      <c r="AJ14" s="114" t="n"/>
      <c r="AK14" s="114" t="n"/>
      <c r="AL14" s="114" t="n"/>
      <c r="AM14" s="114" t="n"/>
      <c r="AN14" s="114" t="n"/>
      <c r="AO14" s="114" t="n"/>
      <c r="AP14" s="114" t="n"/>
      <c r="AQ14" s="114" t="n"/>
      <c r="AR14" s="114" t="n"/>
      <c r="AS14" s="114" t="n"/>
      <c r="AT14" s="114" t="n"/>
    </row>
    <row r="15" ht="18.75" customHeight="1">
      <c r="A15" s="116" t="n"/>
      <c r="B15" s="116" t="n"/>
      <c r="C15" s="116" t="n"/>
      <c r="D15" s="116" t="n"/>
      <c r="E15" s="116" t="n"/>
      <c r="F15" s="117" t="n"/>
      <c r="G15" s="116" t="n"/>
      <c r="H15" s="116" t="n"/>
      <c r="I15" s="116" t="n"/>
      <c r="J15" s="116" t="n"/>
      <c r="K15" s="116" t="n"/>
      <c r="L15" s="116" t="n"/>
      <c r="M15" s="116" t="n"/>
      <c r="N15" s="116" t="n"/>
      <c r="O15" s="116" t="n"/>
      <c r="P15" s="116" t="n"/>
      <c r="Q15" s="116" t="n"/>
      <c r="R15" s="116" t="n"/>
      <c r="S15" s="116" t="n"/>
      <c r="T15" s="116" t="n"/>
      <c r="U15" s="116" t="n"/>
      <c r="V15" s="116" t="n"/>
      <c r="W15" s="116" t="n"/>
      <c r="X15" s="116" t="n"/>
      <c r="Y15" s="116" t="n"/>
      <c r="Z15" s="116" t="n"/>
      <c r="AA15" s="116" t="n"/>
      <c r="AB15" s="116" t="n"/>
      <c r="AC15" s="116" t="n"/>
      <c r="AD15" s="116" t="n"/>
      <c r="AE15" s="116" t="n"/>
      <c r="AF15" s="116" t="n"/>
      <c r="AG15" s="116" t="n"/>
      <c r="AH15" s="116" t="n"/>
      <c r="AI15" s="116" t="n"/>
      <c r="AJ15" s="116" t="n"/>
      <c r="AK15" s="116" t="n"/>
      <c r="AL15" s="116" t="n"/>
      <c r="AM15" s="116" t="n"/>
      <c r="AN15" s="116" t="n"/>
      <c r="AO15" s="116" t="n"/>
      <c r="AP15" s="116" t="n"/>
      <c r="AQ15" s="116" t="n"/>
      <c r="AR15" s="116" t="n"/>
      <c r="AS15" s="116" t="n"/>
      <c r="AT15" s="116" t="n"/>
    </row>
    <row r="16" ht="18.75" customHeight="1">
      <c r="A16" s="116" t="n"/>
      <c r="B16" s="116" t="n"/>
      <c r="C16" s="116" t="n"/>
      <c r="D16" s="116" t="n"/>
      <c r="E16" s="116" t="n"/>
      <c r="F16" s="117" t="n"/>
      <c r="G16" s="116" t="n"/>
      <c r="H16" s="116" t="n"/>
      <c r="I16" s="116" t="n"/>
      <c r="J16" s="116" t="n"/>
      <c r="K16" s="116" t="n"/>
      <c r="L16" s="116" t="n"/>
      <c r="M16" s="116" t="n"/>
      <c r="N16" s="116" t="n"/>
      <c r="O16" s="116" t="n"/>
      <c r="P16" s="116" t="n"/>
      <c r="Q16" s="116" t="n"/>
      <c r="R16" s="116" t="n"/>
      <c r="S16" s="116" t="n"/>
      <c r="T16" s="116" t="n"/>
      <c r="U16" s="116" t="n"/>
      <c r="V16" s="116" t="n"/>
      <c r="W16" s="116" t="n"/>
      <c r="X16" s="116" t="n"/>
      <c r="Y16" s="116" t="n"/>
      <c r="Z16" s="116" t="n"/>
      <c r="AA16" s="116" t="n"/>
      <c r="AB16" s="116" t="n"/>
      <c r="AC16" s="116" t="n"/>
      <c r="AD16" s="116" t="n"/>
      <c r="AE16" s="116" t="n"/>
      <c r="AF16" s="116" t="n"/>
      <c r="AG16" s="116" t="n"/>
      <c r="AH16" s="116" t="n"/>
      <c r="AI16" s="116" t="n"/>
      <c r="AJ16" s="116" t="n"/>
      <c r="AK16" s="116" t="n"/>
      <c r="AL16" s="116" t="n"/>
      <c r="AM16" s="116" t="n"/>
      <c r="AN16" s="116" t="n"/>
      <c r="AO16" s="116" t="n"/>
      <c r="AP16" s="116" t="n"/>
      <c r="AQ16" s="116" t="n"/>
      <c r="AR16" s="116" t="n"/>
      <c r="AS16" s="116" t="n"/>
      <c r="AT16" s="116" t="n"/>
    </row>
    <row r="17" ht="18.75" customHeight="1">
      <c r="A17" s="112" t="n"/>
      <c r="B17" s="112" t="n"/>
      <c r="C17" s="112" t="n"/>
      <c r="D17" s="112" t="n"/>
      <c r="E17" s="112" t="n"/>
      <c r="F17" s="113" t="n"/>
      <c r="G17" s="112" t="n"/>
      <c r="H17" s="112" t="n"/>
      <c r="I17" s="112" t="n"/>
      <c r="J17" s="112" t="n"/>
      <c r="K17" s="112" t="n"/>
      <c r="L17" s="112" t="n"/>
      <c r="M17" s="112" t="n"/>
      <c r="N17" s="112" t="n"/>
      <c r="O17" s="112" t="n"/>
      <c r="P17" s="112" t="n"/>
      <c r="Q17" s="112" t="n"/>
      <c r="R17" s="112" t="n"/>
      <c r="S17" s="112" t="n"/>
      <c r="T17" s="112" t="n"/>
      <c r="U17" s="112" t="n"/>
      <c r="V17" s="112" t="n"/>
      <c r="W17" s="112" t="n"/>
      <c r="X17" s="112" t="n"/>
      <c r="Y17" s="112" t="n"/>
      <c r="Z17" s="112" t="n"/>
      <c r="AA17" s="112" t="n"/>
      <c r="AB17" s="112" t="n"/>
      <c r="AC17" s="112" t="n"/>
      <c r="AD17" s="112" t="n"/>
      <c r="AE17" s="112" t="n"/>
      <c r="AF17" s="112" t="n"/>
      <c r="AG17" s="112" t="n"/>
      <c r="AH17" s="112" t="n"/>
      <c r="AI17" s="112" t="n"/>
      <c r="AJ17" s="112" t="n"/>
      <c r="AK17" s="112" t="n"/>
      <c r="AL17" s="112" t="n"/>
      <c r="AM17" s="112" t="n"/>
      <c r="AN17" s="112" t="n"/>
      <c r="AO17" s="112" t="n"/>
      <c r="AP17" s="112" t="n"/>
      <c r="AQ17" s="112" t="n"/>
      <c r="AR17" s="112" t="n"/>
      <c r="AS17" s="112" t="n"/>
      <c r="AT17" s="112" t="n"/>
    </row>
    <row r="18" ht="18.75" customHeight="1">
      <c r="A18" s="114" t="n"/>
      <c r="B18" s="114" t="n"/>
      <c r="C18" s="114" t="n"/>
      <c r="D18" s="114" t="n"/>
      <c r="E18" s="114" t="n"/>
      <c r="F18" s="115" t="n"/>
      <c r="G18" s="114" t="n"/>
      <c r="H18" s="114" t="n"/>
      <c r="I18" s="114" t="n"/>
      <c r="J18" s="114" t="n"/>
      <c r="K18" s="114" t="n"/>
      <c r="L18" s="114" t="n"/>
      <c r="M18" s="114" t="n"/>
      <c r="N18" s="114" t="n"/>
      <c r="O18" s="114" t="n"/>
      <c r="P18" s="114" t="n"/>
      <c r="Q18" s="114" t="n"/>
      <c r="R18" s="114" t="n"/>
      <c r="S18" s="114" t="n"/>
      <c r="T18" s="114" t="n"/>
      <c r="U18" s="114" t="n"/>
      <c r="V18" s="114" t="n"/>
      <c r="W18" s="114" t="n"/>
      <c r="X18" s="114" t="n"/>
      <c r="Y18" s="114" t="n"/>
      <c r="Z18" s="114" t="n"/>
      <c r="AA18" s="114" t="n"/>
      <c r="AB18" s="114" t="n"/>
      <c r="AC18" s="114" t="n"/>
      <c r="AD18" s="114" t="n"/>
      <c r="AE18" s="114" t="n"/>
      <c r="AF18" s="114" t="n"/>
      <c r="AG18" s="114" t="n"/>
      <c r="AH18" s="114" t="n"/>
      <c r="AI18" s="114" t="n"/>
      <c r="AJ18" s="114" t="n"/>
      <c r="AK18" s="114" t="n"/>
      <c r="AL18" s="114" t="n"/>
      <c r="AM18" s="114" t="n"/>
      <c r="AN18" s="114" t="n"/>
      <c r="AO18" s="114" t="n"/>
      <c r="AP18" s="114" t="n"/>
      <c r="AQ18" s="114" t="n"/>
      <c r="AR18" s="114" t="n"/>
      <c r="AS18" s="114" t="n"/>
      <c r="AT18" s="114" t="n"/>
    </row>
    <row r="19" ht="18.75" customHeight="1">
      <c r="A19" s="114" t="n"/>
      <c r="B19" s="114" t="n"/>
      <c r="C19" s="114" t="n"/>
      <c r="D19" s="114" t="n"/>
      <c r="E19" s="114" t="n"/>
      <c r="F19" s="115" t="n"/>
      <c r="G19" s="114" t="n"/>
      <c r="H19" s="114" t="n"/>
      <c r="I19" s="114" t="n"/>
      <c r="J19" s="114" t="n"/>
      <c r="K19" s="114" t="n"/>
      <c r="L19" s="114" t="n"/>
      <c r="M19" s="114" t="n"/>
      <c r="N19" s="114" t="n"/>
      <c r="O19" s="114" t="n"/>
      <c r="P19" s="114" t="n"/>
      <c r="Q19" s="114" t="n"/>
      <c r="R19" s="114" t="n"/>
      <c r="S19" s="114" t="n"/>
      <c r="T19" s="114" t="n"/>
      <c r="U19" s="114" t="n"/>
      <c r="V19" s="114" t="n"/>
      <c r="W19" s="114" t="n"/>
      <c r="X19" s="114" t="n"/>
      <c r="Y19" s="114" t="n"/>
      <c r="Z19" s="114" t="n"/>
      <c r="AA19" s="114" t="n"/>
      <c r="AB19" s="114" t="n"/>
      <c r="AC19" s="114" t="n"/>
      <c r="AD19" s="114" t="n"/>
      <c r="AE19" s="114" t="n"/>
      <c r="AF19" s="114" t="n"/>
      <c r="AG19" s="114" t="n"/>
      <c r="AH19" s="114" t="n"/>
      <c r="AI19" s="114" t="n"/>
      <c r="AJ19" s="114" t="n"/>
      <c r="AK19" s="114" t="n"/>
      <c r="AL19" s="114" t="n"/>
      <c r="AM19" s="114" t="n"/>
      <c r="AN19" s="114" t="n"/>
      <c r="AO19" s="114" t="n"/>
      <c r="AP19" s="114" t="n"/>
      <c r="AQ19" s="114" t="n"/>
      <c r="AR19" s="114" t="n"/>
      <c r="AS19" s="114" t="n"/>
      <c r="AT19" s="114" t="n"/>
    </row>
    <row r="20" ht="18.75" customHeight="1">
      <c r="A20" s="116" t="n"/>
      <c r="B20" s="116" t="n"/>
      <c r="C20" s="116" t="n"/>
      <c r="D20" s="116" t="n"/>
      <c r="E20" s="116" t="n"/>
      <c r="F20" s="117" t="n"/>
      <c r="G20" s="116" t="n"/>
      <c r="H20" s="116" t="n"/>
      <c r="I20" s="116" t="n"/>
      <c r="J20" s="116" t="n"/>
      <c r="K20" s="116" t="n"/>
      <c r="L20" s="116" t="n"/>
      <c r="M20" s="116" t="n"/>
      <c r="N20" s="116" t="n"/>
      <c r="O20" s="116" t="n"/>
      <c r="P20" s="116" t="n"/>
      <c r="Q20" s="116" t="n"/>
      <c r="R20" s="116" t="n"/>
      <c r="S20" s="116" t="n"/>
      <c r="T20" s="116" t="n"/>
      <c r="U20" s="116" t="n"/>
      <c r="V20" s="116" t="n"/>
      <c r="W20" s="116" t="n"/>
      <c r="X20" s="116" t="n"/>
      <c r="Y20" s="116" t="n"/>
      <c r="Z20" s="116" t="n"/>
      <c r="AA20" s="116" t="n"/>
      <c r="AB20" s="116" t="n"/>
      <c r="AC20" s="116" t="n"/>
      <c r="AD20" s="116" t="n"/>
      <c r="AE20" s="116" t="n"/>
      <c r="AF20" s="116" t="n"/>
      <c r="AG20" s="116" t="n"/>
      <c r="AH20" s="116" t="n"/>
      <c r="AI20" s="116" t="n"/>
      <c r="AJ20" s="116" t="n"/>
      <c r="AK20" s="116" t="n"/>
      <c r="AL20" s="116" t="n"/>
      <c r="AM20" s="116" t="n"/>
      <c r="AN20" s="116" t="n"/>
      <c r="AO20" s="116" t="n"/>
      <c r="AP20" s="116" t="n"/>
      <c r="AQ20" s="116" t="n"/>
      <c r="AR20" s="116" t="n"/>
      <c r="AS20" s="116" t="n"/>
      <c r="AT20" s="116" t="n"/>
    </row>
    <row r="21" ht="18.75" customHeight="1">
      <c r="A21" s="114" t="n"/>
      <c r="B21" s="114" t="n"/>
      <c r="C21" s="114" t="n"/>
      <c r="D21" s="114" t="n"/>
      <c r="E21" s="114" t="n"/>
      <c r="F21" s="115" t="n"/>
      <c r="G21" s="114" t="n"/>
      <c r="H21" s="114" t="n"/>
      <c r="I21" s="114" t="n"/>
      <c r="J21" s="114" t="n"/>
      <c r="K21" s="114" t="n"/>
      <c r="L21" s="114" t="n"/>
      <c r="M21" s="114" t="n"/>
      <c r="N21" s="114" t="n"/>
      <c r="O21" s="114" t="n"/>
      <c r="P21" s="114" t="n"/>
      <c r="Q21" s="114" t="n"/>
      <c r="R21" s="114" t="n"/>
      <c r="S21" s="114" t="n"/>
      <c r="T21" s="114" t="n"/>
      <c r="U21" s="114" t="n"/>
      <c r="V21" s="114" t="n"/>
      <c r="W21" s="114" t="n"/>
      <c r="X21" s="114" t="n"/>
      <c r="Y21" s="114" t="n"/>
      <c r="Z21" s="114" t="n"/>
      <c r="AA21" s="114" t="n"/>
      <c r="AB21" s="114" t="n"/>
      <c r="AC21" s="114" t="n"/>
      <c r="AD21" s="114" t="n"/>
      <c r="AE21" s="114" t="n"/>
      <c r="AF21" s="114" t="n"/>
      <c r="AG21" s="114" t="n"/>
      <c r="AH21" s="114" t="n"/>
      <c r="AI21" s="114" t="n"/>
      <c r="AJ21" s="114" t="n"/>
      <c r="AK21" s="114" t="n"/>
      <c r="AL21" s="114" t="n"/>
      <c r="AM21" s="114" t="n"/>
      <c r="AN21" s="114" t="n"/>
      <c r="AO21" s="114" t="n"/>
      <c r="AP21" s="114" t="n"/>
      <c r="AQ21" s="114" t="n"/>
      <c r="AR21" s="114" t="n"/>
      <c r="AS21" s="114" t="n"/>
      <c r="AT21" s="114" t="n"/>
    </row>
    <row r="22" ht="18.75" customHeight="1">
      <c r="A22" s="600" t="n"/>
      <c r="B22" s="600" t="n"/>
      <c r="C22" s="600" t="n"/>
      <c r="D22" s="600" t="n"/>
      <c r="E22" s="600" t="n"/>
      <c r="F22" s="111" t="n"/>
      <c r="G22" s="600" t="n"/>
      <c r="H22" s="600" t="n"/>
      <c r="I22" s="600" t="n"/>
      <c r="J22" s="600" t="n"/>
      <c r="K22" s="600" t="n"/>
      <c r="L22" s="600" t="n"/>
      <c r="M22" s="600" t="n"/>
      <c r="N22" s="600" t="n"/>
      <c r="O22" s="600" t="n"/>
      <c r="P22" s="600" t="n"/>
      <c r="Q22" s="600" t="n"/>
      <c r="R22" s="600" t="n"/>
      <c r="S22" s="600" t="n"/>
      <c r="T22" s="600" t="n"/>
      <c r="U22" s="600" t="n"/>
      <c r="V22" s="600" t="n"/>
      <c r="W22" s="600" t="n"/>
      <c r="X22" s="600" t="n"/>
      <c r="Y22" s="600" t="n"/>
      <c r="Z22" s="600" t="n"/>
      <c r="AA22" s="600" t="n"/>
      <c r="AB22" s="600" t="n"/>
      <c r="AC22" s="600" t="n"/>
      <c r="AD22" s="600" t="n"/>
      <c r="AE22" s="600" t="n"/>
      <c r="AF22" s="600" t="n"/>
      <c r="AG22" s="600" t="n"/>
      <c r="AH22" s="600" t="n"/>
      <c r="AI22" s="600" t="n"/>
      <c r="AJ22" s="600" t="n"/>
      <c r="AK22" s="600" t="n"/>
      <c r="AL22" s="600" t="n"/>
      <c r="AM22" s="600" t="n"/>
      <c r="AN22" s="600" t="n"/>
      <c r="AO22" s="600" t="n"/>
      <c r="AP22" s="600" t="n"/>
      <c r="AQ22" s="600" t="n"/>
      <c r="AR22" s="600" t="n"/>
      <c r="AS22" s="600" t="n"/>
      <c r="AT22" s="600" t="n"/>
    </row>
    <row r="23" ht="58.5" customHeight="1">
      <c r="A23" s="64" t="n"/>
      <c r="B23" s="118" t="n"/>
      <c r="C23" s="118" t="n"/>
      <c r="D23" s="118" t="n"/>
      <c r="E23" s="118" t="inlineStr">
        <is>
          <t xml:space="preserve">উত্তরাধিকার সংক্রান্ত ঘোষনাপত্র </t>
        </is>
      </c>
      <c r="F23" s="119" t="n"/>
      <c r="G23" s="118" t="n"/>
      <c r="H23" s="118" t="n"/>
      <c r="I23" s="118" t="n"/>
      <c r="J23" s="118" t="n"/>
      <c r="K23" s="118" t="n"/>
      <c r="L23" s="118" t="n"/>
      <c r="M23" s="118" t="n"/>
      <c r="N23" s="118" t="n"/>
      <c r="O23" s="118" t="n"/>
      <c r="P23" s="118" t="n"/>
      <c r="Q23" s="118" t="n"/>
      <c r="R23" s="118" t="n"/>
      <c r="S23" s="118" t="n"/>
      <c r="T23" s="118" t="n"/>
      <c r="U23" s="118" t="n"/>
      <c r="V23" s="118" t="n"/>
      <c r="W23" s="118" t="n"/>
      <c r="X23" s="118" t="n"/>
      <c r="Y23" s="118" t="n"/>
      <c r="Z23" s="118" t="n"/>
      <c r="AA23" s="118" t="n"/>
      <c r="AB23" s="118" t="n"/>
      <c r="AC23" s="118" t="n"/>
      <c r="AD23" s="118" t="n"/>
      <c r="AE23" s="118" t="n"/>
      <c r="AF23" s="118" t="n"/>
      <c r="AG23" s="118" t="n"/>
      <c r="AH23" s="118" t="n"/>
      <c r="AI23" s="118" t="n"/>
      <c r="AJ23" s="118" t="n"/>
      <c r="AK23" s="118" t="n"/>
      <c r="AL23" s="118" t="n"/>
      <c r="AM23" s="118" t="n"/>
      <c r="AN23" s="118" t="n"/>
      <c r="AO23" s="118" t="n"/>
      <c r="AP23" s="118" t="n"/>
      <c r="AQ23" s="118" t="n"/>
      <c r="AR23" s="118" t="n"/>
      <c r="AS23" s="118" t="n"/>
      <c r="AT23" s="118" t="n"/>
    </row>
    <row r="24" ht="18.75" customHeight="1">
      <c r="A24" s="600" t="n"/>
      <c r="B24" s="120" t="n"/>
      <c r="C24" s="120" t="n"/>
      <c r="D24" s="120" t="n"/>
      <c r="E24" s="120" t="n"/>
      <c r="F24" s="121" t="n"/>
      <c r="G24" s="122" t="inlineStr">
        <is>
          <t>(SUCCESSION PLAN)</t>
        </is>
      </c>
      <c r="H24" s="120" t="n"/>
      <c r="I24" s="120" t="n"/>
      <c r="J24" s="120" t="n"/>
      <c r="K24" s="120" t="n"/>
      <c r="L24" s="120" t="n"/>
      <c r="M24" s="120" t="n"/>
      <c r="N24" s="600" t="n"/>
      <c r="O24" s="120" t="n"/>
      <c r="P24" s="64" t="n"/>
      <c r="Q24" s="120" t="n"/>
      <c r="R24" s="120" t="n"/>
      <c r="S24" s="120" t="n"/>
      <c r="T24" s="120" t="n"/>
      <c r="U24" s="120" t="n"/>
      <c r="V24" s="120" t="n"/>
      <c r="W24" s="120" t="n"/>
      <c r="X24" s="120" t="n"/>
      <c r="Y24" s="120" t="n"/>
      <c r="Z24" s="120" t="n"/>
      <c r="AA24" s="120" t="n"/>
      <c r="AB24" s="120" t="n"/>
      <c r="AC24" s="120" t="n"/>
      <c r="AD24" s="120" t="n"/>
      <c r="AE24" s="120" t="n"/>
      <c r="AF24" s="120" t="n"/>
      <c r="AG24" s="120" t="n"/>
      <c r="AH24" s="120" t="n"/>
      <c r="AI24" s="120" t="n"/>
      <c r="AJ24" s="120" t="n"/>
      <c r="AK24" s="120" t="n"/>
      <c r="AL24" s="120" t="n"/>
      <c r="AM24" s="120" t="n"/>
      <c r="AN24" s="120" t="n"/>
      <c r="AO24" s="120" t="n"/>
      <c r="AP24" s="120" t="n"/>
      <c r="AQ24" s="120" t="n"/>
      <c r="AR24" s="120" t="n"/>
      <c r="AS24" s="120" t="n"/>
      <c r="AT24" s="120" t="n"/>
    </row>
    <row r="25" ht="18.75" customHeight="1">
      <c r="A25" s="600" t="n"/>
      <c r="B25" s="120" t="n"/>
      <c r="C25" s="120" t="n"/>
      <c r="D25" s="120" t="n"/>
      <c r="E25" s="120" t="n"/>
      <c r="F25" s="121" t="n"/>
      <c r="G25" s="120" t="n"/>
      <c r="H25" s="120" t="n"/>
      <c r="I25" s="120" t="n"/>
      <c r="J25" s="120" t="n"/>
      <c r="K25" s="120" t="n"/>
      <c r="L25" s="120" t="n"/>
      <c r="M25" s="120" t="n"/>
      <c r="N25" s="600" t="n"/>
      <c r="O25" s="120" t="n"/>
      <c r="P25" s="123" t="n"/>
      <c r="Q25" s="120" t="n"/>
      <c r="R25" s="120" t="n"/>
      <c r="S25" s="120" t="n"/>
      <c r="T25" s="120" t="n"/>
      <c r="U25" s="120" t="n"/>
      <c r="V25" s="120" t="n"/>
      <c r="W25" s="120" t="n"/>
      <c r="X25" s="120" t="n"/>
      <c r="Y25" s="120" t="n"/>
      <c r="Z25" s="120" t="n"/>
      <c r="AA25" s="120" t="n"/>
      <c r="AB25" s="120" t="n"/>
      <c r="AC25" s="120" t="n"/>
      <c r="AD25" s="120" t="n"/>
      <c r="AE25" s="120" t="n"/>
      <c r="AF25" s="120" t="n"/>
      <c r="AG25" s="120" t="n"/>
      <c r="AH25" s="120" t="n"/>
      <c r="AI25" s="120" t="n"/>
      <c r="AJ25" s="120" t="n"/>
      <c r="AK25" s="120" t="n"/>
      <c r="AL25" s="120" t="n"/>
      <c r="AM25" s="120" t="n"/>
      <c r="AN25" s="120" t="n"/>
      <c r="AO25" s="120" t="n"/>
      <c r="AP25" s="120" t="n"/>
      <c r="AQ25" s="120" t="n"/>
      <c r="AR25" s="120" t="n"/>
      <c r="AS25" s="120" t="n"/>
      <c r="AT25" s="120" t="n"/>
    </row>
    <row r="26" ht="21.75" customFormat="1" customHeight="1" s="18">
      <c r="A26" s="124" t="inlineStr">
        <is>
          <t>এই উত্তারাধিকার সংক্রান্ত ঘোষনাপত্র অদ্য ২০২4 সনের b‡f¤^i মাসের 20/08/2024 ইং তারিখে সম্পাদিত হল।</t>
        </is>
      </c>
      <c r="P26" s="83" t="n"/>
      <c r="Q26" s="83" t="n"/>
      <c r="R26" s="83" t="n"/>
      <c r="S26" s="83" t="n"/>
      <c r="T26" s="83" t="n"/>
      <c r="U26" s="83" t="n"/>
      <c r="V26" s="83" t="n"/>
      <c r="W26" s="83" t="n"/>
      <c r="X26" s="83" t="n"/>
      <c r="Y26" s="83" t="n"/>
      <c r="Z26" s="83" t="n"/>
      <c r="AA26" s="83" t="n"/>
      <c r="AB26" s="83" t="n"/>
      <c r="AC26" s="83" t="n"/>
      <c r="AD26" s="83" t="n"/>
      <c r="AE26" s="83" t="n"/>
      <c r="AF26" s="83" t="n"/>
      <c r="AG26" s="83" t="n"/>
      <c r="AH26" s="83" t="n"/>
      <c r="AI26" s="83" t="n"/>
      <c r="AJ26" s="83" t="n"/>
      <c r="AK26" s="83" t="n"/>
      <c r="AL26" s="83" t="n"/>
      <c r="AM26" s="83" t="n"/>
      <c r="AN26" s="83" t="n"/>
      <c r="AO26" s="83" t="n"/>
      <c r="AP26" s="83" t="n"/>
      <c r="AQ26" s="83" t="n"/>
      <c r="AR26" s="83" t="n"/>
      <c r="AS26" s="83" t="n"/>
      <c r="AT26" s="83" t="n"/>
    </row>
    <row r="27" ht="18.75" customHeight="1">
      <c r="A27" s="64" t="n"/>
      <c r="B27" s="64" t="n"/>
      <c r="C27" s="64" t="n"/>
      <c r="D27" s="64" t="n"/>
      <c r="E27" s="64" t="n"/>
      <c r="F27" s="136" t="n"/>
      <c r="G27" s="64" t="n"/>
      <c r="H27" s="64" t="n"/>
      <c r="I27" s="64" t="n"/>
      <c r="J27" s="64" t="n"/>
      <c r="K27" s="64" t="n"/>
      <c r="L27" s="64" t="n"/>
      <c r="M27" s="64" t="n"/>
      <c r="N27" s="64" t="n"/>
      <c r="O27" s="64" t="n"/>
      <c r="P27" s="64" t="n"/>
      <c r="Q27" s="64" t="n"/>
      <c r="R27" s="64" t="n"/>
      <c r="S27" s="64" t="n"/>
      <c r="T27" s="64" t="n"/>
      <c r="U27" s="64" t="n"/>
      <c r="V27" s="64" t="n"/>
      <c r="W27" s="64" t="n"/>
      <c r="X27" s="64" t="n"/>
      <c r="Y27" s="64" t="n"/>
      <c r="Z27" s="64" t="n"/>
      <c r="AA27" s="64" t="n"/>
      <c r="AB27" s="64" t="n"/>
      <c r="AC27" s="64" t="n"/>
      <c r="AD27" s="64" t="n"/>
      <c r="AE27" s="64" t="n"/>
      <c r="AF27" s="64" t="n"/>
      <c r="AG27" s="64" t="n"/>
      <c r="AH27" s="64" t="n"/>
      <c r="AI27" s="64" t="n"/>
      <c r="AJ27" s="64" t="n"/>
      <c r="AK27" s="64" t="n"/>
      <c r="AL27" s="64" t="n"/>
      <c r="AM27" s="64" t="n"/>
      <c r="AN27" s="64" t="n"/>
      <c r="AO27" s="64" t="n"/>
      <c r="AP27" s="64" t="n"/>
      <c r="AQ27" s="64" t="n"/>
      <c r="AR27" s="64" t="n"/>
      <c r="AS27" s="64" t="n"/>
      <c r="AT27" s="64" t="n"/>
    </row>
    <row r="28" ht="213.75" customFormat="1" customHeight="1" s="18">
      <c r="A28" s="83" t="inlineStr">
        <is>
          <t>আমি/আমরা, জনাব/জনাবাঃ ‡gmvm© Rwb †÷vi Gi †cÖvcvBUi ‡gvt Rwb, wcZv- g„Z †gvt Bw`ªm Avjx, gvZv- ‡gvmvt Avgexqv LvZzb , eZ©gvb wVKvbv- `vcv B`ªvKcyi, dZzjøv, bvivqYMÄ, ¯’vqx wVKvbvt `vcv B`ªvKcyi, dZzjøv, bvivqYMÄ Ges e¨emvwqK wVKvbvt `vcv B`ªvKcyi, dZzjøv, bvivqYMÄ| বাংলাদেশ কৃষি ব্যাংক,  প্রধান কার্যালয়, ৮৩-৮৫, মতিঝিল বাণিজ্যিক এলাকা, ঢাকা, যে ব্যাংক ১৯৭৩ সনের বাংলাদেশ কৃষি ব্যাংক আদেশে (১৯৭৩ সনের রাষ্টপতির আদেশ নং- ২৭)  প্রদত্ত ক্ষমতা বলে প্রতিষ্ঠিত ( অতঃপর বিকেবি বলে অবিহিত হবে), এর অনুকূলে উত্তরাধিকার সংক্রান্ত ঘোষনাপত্র সম্পাদন করলামঃ-যেহেতু আমি: ‡gvt Rwb  নিজ নামে বিকেবি, dZzjøv শাখায় একটি ঋন হিসাব নং myÎ bs-FY- wmGgGmGgB- 12/2024-25 গ্রহন করি এবং ঋন পরিশোধপূর্বে আমার মৃত্যুরক্ষেত্রে নিম্নলিখিত উত্তরাধিকার রেখে যাই</t>
        </is>
      </c>
      <c r="P28" s="128" t="n"/>
      <c r="Q28" s="128" t="n"/>
      <c r="R28" s="128" t="n"/>
      <c r="S28" s="128" t="n"/>
      <c r="T28" s="128" t="n"/>
      <c r="U28" s="128" t="n"/>
      <c r="V28" s="128" t="n"/>
      <c r="W28" s="128" t="n"/>
      <c r="X28" s="128" t="n"/>
      <c r="Y28" s="128" t="n"/>
      <c r="Z28" s="128" t="n"/>
      <c r="AA28" s="128" t="n"/>
      <c r="AB28" s="128" t="n"/>
      <c r="AC28" s="128" t="n"/>
      <c r="AD28" s="128" t="n"/>
      <c r="AE28" s="128" t="n"/>
      <c r="AF28" s="128" t="n"/>
      <c r="AG28" s="128" t="n"/>
      <c r="AH28" s="128" t="n"/>
      <c r="AI28" s="128" t="n"/>
      <c r="AJ28" s="128" t="n"/>
      <c r="AK28" s="128" t="n"/>
      <c r="AL28" s="128" t="n"/>
      <c r="AM28" s="128" t="n"/>
      <c r="AN28" s="128" t="n"/>
      <c r="AO28" s="128" t="n"/>
      <c r="AP28" s="128" t="n"/>
      <c r="AQ28" s="128" t="n"/>
      <c r="AR28" s="128" t="n"/>
      <c r="AS28" s="128" t="n"/>
      <c r="AT28" s="128" t="n"/>
    </row>
    <row r="29" ht="18.75" customHeight="1">
      <c r="A29" s="62" t="n"/>
      <c r="B29" s="129" t="inlineStr">
        <is>
          <t>নাম</t>
        </is>
      </c>
      <c r="C29" s="130" t="n"/>
      <c r="D29" s="130" t="n"/>
      <c r="E29" s="130" t="n"/>
      <c r="F29" s="131" t="inlineStr">
        <is>
          <t xml:space="preserve">বয়স( বছর) </t>
        </is>
      </c>
      <c r="G29" s="62" t="n"/>
      <c r="H29" s="62" t="n"/>
      <c r="I29" s="130" t="n"/>
      <c r="J29" s="130" t="n"/>
      <c r="K29" s="129" t="inlineStr">
        <is>
          <t xml:space="preserve">ঋন গ্রহিতার সাথে সম্পর্ক </t>
        </is>
      </c>
      <c r="L29" s="62" t="n"/>
      <c r="M29" s="62" t="n"/>
      <c r="N29" s="62" t="n"/>
      <c r="O29" s="62" t="n"/>
      <c r="P29" s="62" t="n"/>
      <c r="Q29" s="64" t="n"/>
      <c r="R29" s="64" t="n"/>
      <c r="S29" s="62" t="n"/>
      <c r="T29" s="62" t="n"/>
      <c r="U29" s="62" t="n"/>
      <c r="V29" s="62" t="n"/>
      <c r="W29" s="62" t="n"/>
      <c r="X29" s="62" t="n"/>
      <c r="Y29" s="62" t="n"/>
      <c r="Z29" s="62" t="n"/>
      <c r="AA29" s="62" t="n"/>
      <c r="AB29" s="62" t="n"/>
      <c r="AC29" s="62" t="n"/>
      <c r="AD29" s="62" t="n"/>
      <c r="AE29" s="62" t="n"/>
      <c r="AF29" s="64" t="n"/>
      <c r="AG29" s="62" t="n"/>
      <c r="AH29" s="62" t="n"/>
      <c r="AI29" s="62" t="n"/>
      <c r="AJ29" s="62" t="n"/>
      <c r="AK29" s="62" t="n"/>
      <c r="AL29" s="62" t="n"/>
      <c r="AM29" s="62" t="n"/>
      <c r="AN29" s="62" t="n"/>
      <c r="AO29" s="62" t="n"/>
      <c r="AP29" s="62" t="n"/>
      <c r="AQ29" s="62" t="n"/>
      <c r="AR29" s="62" t="n"/>
      <c r="AS29" s="62" t="n"/>
      <c r="AT29" s="62" t="n"/>
    </row>
    <row r="30" ht="18.75" customHeight="1">
      <c r="A30" s="62" t="n"/>
      <c r="B30" s="130" t="n"/>
      <c r="C30" s="130" t="n"/>
      <c r="D30" s="130" t="n"/>
      <c r="E30" s="130" t="n"/>
      <c r="F30" s="132" t="n"/>
      <c r="G30" s="62" t="n"/>
      <c r="H30" s="130" t="n"/>
      <c r="I30" s="130" t="n"/>
      <c r="J30" s="130" t="n"/>
      <c r="K30" s="62" t="n"/>
      <c r="L30" s="62" t="n"/>
      <c r="M30" s="62" t="n"/>
      <c r="N30" s="62" t="n"/>
      <c r="O30" s="62" t="n"/>
      <c r="P30" s="62" t="n"/>
      <c r="Q30" s="64" t="n"/>
      <c r="R30" s="64" t="n"/>
      <c r="S30" s="62" t="n"/>
      <c r="T30" s="62" t="n"/>
      <c r="U30" s="62" t="n"/>
      <c r="V30" s="62" t="n"/>
      <c r="W30" s="62" t="n"/>
      <c r="X30" s="62" t="n"/>
      <c r="Y30" s="62" t="n"/>
      <c r="Z30" s="62" t="n"/>
      <c r="AA30" s="62" t="n"/>
      <c r="AB30" s="62" t="n"/>
      <c r="AC30" s="62" t="n"/>
      <c r="AD30" s="62" t="n"/>
      <c r="AE30" s="62" t="n"/>
      <c r="AF30" s="62" t="n"/>
      <c r="AG30" s="62" t="n"/>
      <c r="AH30" s="62" t="n"/>
      <c r="AI30" s="62" t="n"/>
      <c r="AJ30" s="62" t="n"/>
      <c r="AK30" s="62" t="n"/>
      <c r="AL30" s="62" t="n"/>
      <c r="AM30" s="62" t="n"/>
      <c r="AN30" s="62" t="n"/>
      <c r="AO30" s="62" t="n"/>
      <c r="AP30" s="62" t="n"/>
      <c r="AQ30" s="62" t="n"/>
      <c r="AR30" s="62" t="n"/>
      <c r="AS30" s="62" t="n"/>
      <c r="AT30" s="62" t="n"/>
    </row>
    <row r="31" ht="18.75" customHeight="1">
      <c r="A31" s="62" t="n"/>
      <c r="B31" s="62" t="inlineStr">
        <is>
          <t>01| ‡gvmvt Avgexqv LvZzb</t>
        </is>
      </c>
      <c r="C31" s="130" t="n"/>
      <c r="D31" s="130" t="n"/>
      <c r="E31" s="62" t="n"/>
      <c r="F31" s="133" t="n">
        <v>60</v>
      </c>
      <c r="G31" s="62" t="n"/>
      <c r="H31" s="130" t="n"/>
      <c r="I31" s="62" t="n"/>
      <c r="J31" s="130" t="n"/>
      <c r="K31" s="62" t="n"/>
      <c r="L31" s="62" t="n"/>
      <c r="M31" s="62" t="n"/>
      <c r="N31" s="62" t="n"/>
      <c r="O31" s="62" t="n"/>
      <c r="P31" s="62" t="n"/>
      <c r="Q31" s="64" t="n"/>
      <c r="R31" s="64" t="n"/>
      <c r="S31" s="62" t="n"/>
      <c r="T31" s="62" t="n"/>
      <c r="U31" s="62" t="n"/>
      <c r="V31" s="62" t="n"/>
      <c r="W31" s="62" t="n"/>
      <c r="X31" s="62" t="n"/>
      <c r="Y31" s="62" t="n"/>
      <c r="Z31" s="62" t="n"/>
      <c r="AA31" s="62" t="n"/>
      <c r="AB31" s="62" t="n"/>
      <c r="AC31" s="62" t="n"/>
      <c r="AD31" s="62" t="n"/>
      <c r="AE31" s="62" t="n"/>
      <c r="AF31" s="62" t="n"/>
      <c r="AG31" s="62" t="n"/>
      <c r="AH31" s="62" t="n"/>
      <c r="AI31" s="62" t="n"/>
      <c r="AJ31" s="62" t="n"/>
      <c r="AK31" s="62" t="n"/>
      <c r="AL31" s="62" t="n"/>
      <c r="AM31" s="62" t="n"/>
      <c r="AN31" s="62" t="n"/>
      <c r="AO31" s="62" t="n"/>
      <c r="AP31" s="62" t="n"/>
      <c r="AQ31" s="62" t="n"/>
      <c r="AR31" s="62" t="n"/>
      <c r="AS31" s="62" t="n"/>
      <c r="AT31" s="62" t="n"/>
    </row>
    <row r="32" ht="18.75" customHeight="1">
      <c r="A32" s="62" t="n"/>
      <c r="B32" s="62" t="inlineStr">
        <is>
          <t xml:space="preserve">02| †gvt iwb </t>
        </is>
      </c>
      <c r="C32" s="130" t="n"/>
      <c r="D32" s="130" t="n"/>
      <c r="E32" s="130" t="n"/>
      <c r="F32" s="133" t="n">
        <v>38</v>
      </c>
      <c r="G32" s="62" t="n"/>
      <c r="H32" s="130" t="n"/>
      <c r="I32" s="130" t="n"/>
      <c r="J32" s="62" t="n"/>
      <c r="K32" s="62" t="n"/>
      <c r="L32" s="62" t="n"/>
      <c r="M32" s="62" t="n"/>
      <c r="N32" s="62" t="n"/>
      <c r="O32" s="62" t="n"/>
      <c r="P32" s="62" t="n"/>
      <c r="Q32" s="64" t="n"/>
      <c r="R32" s="64" t="n"/>
      <c r="S32" s="62" t="n"/>
      <c r="T32" s="62" t="n"/>
      <c r="U32" s="62" t="n"/>
      <c r="V32" s="62" t="n"/>
      <c r="W32" s="62" t="n"/>
      <c r="X32" s="62" t="n"/>
      <c r="Y32" s="62" t="n"/>
      <c r="Z32" s="62" t="n"/>
      <c r="AA32" s="62" t="n"/>
      <c r="AB32" s="62" t="n"/>
      <c r="AC32" s="62" t="n"/>
      <c r="AD32" s="62" t="n"/>
      <c r="AE32" s="62" t="n"/>
      <c r="AF32" s="62" t="n"/>
      <c r="AG32" s="62" t="n"/>
      <c r="AH32" s="62" t="n"/>
      <c r="AI32" s="62" t="n"/>
      <c r="AJ32" s="62" t="n"/>
      <c r="AK32" s="62" t="n"/>
      <c r="AL32" s="62" t="n"/>
      <c r="AM32" s="62" t="n"/>
      <c r="AN32" s="62" t="n"/>
      <c r="AO32" s="62" t="n"/>
      <c r="AP32" s="62" t="n"/>
      <c r="AQ32" s="62" t="n"/>
      <c r="AR32" s="62" t="n"/>
      <c r="AS32" s="62" t="n"/>
      <c r="AT32" s="62" t="n"/>
    </row>
    <row r="33" ht="18.75" customHeight="1">
      <c r="A33" s="62" t="n"/>
      <c r="B33" s="62" t="inlineStr">
        <is>
          <t xml:space="preserve">03| cwc Av³vi </t>
        </is>
      </c>
      <c r="C33" s="130" t="n"/>
      <c r="D33" s="130" t="n"/>
      <c r="E33" s="62" t="n"/>
      <c r="F33" s="133" t="n">
        <v>41</v>
      </c>
      <c r="G33" s="62" t="n"/>
      <c r="H33" s="62" t="n"/>
      <c r="I33" s="130" t="n"/>
      <c r="J33" s="130" t="n"/>
      <c r="K33" s="62" t="n"/>
      <c r="L33" s="62" t="n"/>
      <c r="M33" s="62" t="n"/>
      <c r="N33" s="62" t="n"/>
      <c r="O33" s="62" t="n"/>
      <c r="P33" s="62" t="n"/>
      <c r="Q33" s="64" t="n"/>
      <c r="R33" s="64" t="n"/>
      <c r="S33" s="62" t="n"/>
      <c r="T33" s="62" t="n"/>
      <c r="U33" s="62" t="n"/>
      <c r="V33" s="62" t="n"/>
      <c r="W33" s="62" t="n"/>
      <c r="X33" s="62" t="n"/>
      <c r="Y33" s="62" t="n"/>
      <c r="Z33" s="62" t="n"/>
      <c r="AA33" s="62" t="n"/>
      <c r="AB33" s="62" t="n"/>
      <c r="AC33" s="62" t="n"/>
      <c r="AD33" s="62" t="n"/>
      <c r="AE33" s="62" t="n"/>
      <c r="AF33" s="62" t="n"/>
      <c r="AG33" s="62" t="n"/>
      <c r="AH33" s="62" t="n"/>
      <c r="AI33" s="62" t="n"/>
      <c r="AJ33" s="62" t="n"/>
      <c r="AK33" s="62" t="n"/>
      <c r="AL33" s="62" t="n"/>
      <c r="AM33" s="62" t="n"/>
      <c r="AN33" s="62" t="n"/>
      <c r="AO33" s="62" t="n"/>
      <c r="AP33" s="62" t="n"/>
      <c r="AQ33" s="62" t="n"/>
      <c r="AR33" s="62" t="n"/>
      <c r="AS33" s="62" t="n"/>
      <c r="AT33" s="62" t="n"/>
    </row>
    <row r="34" ht="18.75" customHeight="1">
      <c r="A34" s="62" t="n"/>
      <c r="B34" s="62" t="inlineStr">
        <is>
          <t xml:space="preserve">04| ixcv </t>
        </is>
      </c>
      <c r="C34" s="130" t="n"/>
      <c r="D34" s="130" t="n"/>
      <c r="E34" s="130" t="n"/>
      <c r="F34" s="133" t="n">
        <v>33</v>
      </c>
      <c r="G34" s="62" t="n"/>
      <c r="H34" s="130" t="n"/>
      <c r="I34" s="62" t="n"/>
      <c r="J34" s="130" t="n"/>
      <c r="K34" s="62" t="n"/>
      <c r="L34" s="62" t="n"/>
      <c r="M34" s="62" t="n"/>
      <c r="N34" s="62" t="n"/>
      <c r="O34" s="62" t="n"/>
      <c r="P34" s="62" t="n"/>
      <c r="Q34" s="64" t="n"/>
      <c r="R34" s="64" t="n"/>
      <c r="S34" s="62" t="n"/>
      <c r="T34" s="62" t="n"/>
      <c r="U34" s="62" t="n"/>
      <c r="V34" s="62" t="n"/>
      <c r="W34" s="62" t="n"/>
      <c r="X34" s="62" t="n"/>
      <c r="Y34" s="62" t="n"/>
      <c r="Z34" s="62" t="n"/>
      <c r="AA34" s="62" t="n"/>
      <c r="AB34" s="62" t="n"/>
      <c r="AC34" s="62" t="n"/>
      <c r="AD34" s="62" t="n"/>
      <c r="AE34" s="62" t="n"/>
      <c r="AF34" s="62" t="n"/>
      <c r="AG34" s="62" t="n"/>
      <c r="AH34" s="62" t="n"/>
      <c r="AI34" s="62" t="n"/>
      <c r="AJ34" s="62" t="n"/>
      <c r="AK34" s="62" t="n"/>
      <c r="AL34" s="62" t="n"/>
      <c r="AM34" s="62" t="n"/>
      <c r="AN34" s="62" t="n"/>
      <c r="AO34" s="62" t="n"/>
      <c r="AP34" s="62" t="n"/>
      <c r="AQ34" s="62" t="n"/>
      <c r="AR34" s="62" t="n"/>
      <c r="AS34" s="62" t="n"/>
      <c r="AT34" s="62" t="n"/>
    </row>
    <row r="35" ht="20.25" customHeight="1">
      <c r="A35" s="62" t="n"/>
      <c r="B35" s="134" t="n"/>
      <c r="C35" s="62" t="n"/>
      <c r="D35" s="62" t="n"/>
      <c r="E35" s="62" t="n"/>
      <c r="F35" s="132" t="n"/>
      <c r="G35" s="62" t="n"/>
      <c r="H35" s="62" t="n"/>
      <c r="I35" s="62" t="n"/>
      <c r="J35" s="62" t="n"/>
      <c r="K35" s="62" t="n"/>
      <c r="L35" s="62" t="n"/>
      <c r="M35" s="62" t="n"/>
      <c r="N35" s="62" t="n"/>
      <c r="O35" s="62" t="n"/>
      <c r="P35" s="62" t="n"/>
      <c r="Q35" s="62" t="n"/>
      <c r="R35" s="62" t="n"/>
      <c r="S35" s="62" t="n"/>
      <c r="T35" s="62" t="n"/>
      <c r="U35" s="62" t="n"/>
      <c r="V35" s="62" t="n"/>
      <c r="W35" s="62" t="n"/>
      <c r="X35" s="62" t="n"/>
      <c r="Y35" s="62" t="n"/>
      <c r="Z35" s="62" t="n"/>
      <c r="AA35" s="62" t="n"/>
      <c r="AB35" s="62" t="n"/>
      <c r="AC35" s="62" t="n"/>
      <c r="AD35" s="62" t="n"/>
      <c r="AE35" s="62" t="n"/>
      <c r="AF35" s="62" t="n"/>
      <c r="AG35" s="62" t="n"/>
      <c r="AH35" s="62" t="n"/>
      <c r="AI35" s="62" t="n"/>
      <c r="AJ35" s="62" t="n"/>
      <c r="AK35" s="62" t="n"/>
      <c r="AL35" s="62" t="n"/>
      <c r="AM35" s="62" t="n"/>
      <c r="AN35" s="62" t="n"/>
      <c r="AO35" s="62" t="n"/>
      <c r="AP35" s="62" t="n"/>
      <c r="AQ35" s="62" t="n"/>
      <c r="AR35" s="62" t="n"/>
      <c r="AS35" s="62" t="n"/>
      <c r="AT35" s="62" t="n"/>
    </row>
    <row r="36" ht="18.75" customHeight="1">
      <c r="A36" s="64" t="n"/>
      <c r="B36" s="64" t="n"/>
      <c r="C36" s="64" t="n"/>
      <c r="D36" s="64" t="n"/>
      <c r="E36" s="64" t="n"/>
      <c r="F36" s="136" t="n"/>
      <c r="G36" s="64" t="n"/>
      <c r="H36" s="64" t="n"/>
      <c r="I36" s="64" t="n"/>
      <c r="J36" s="64" t="n"/>
      <c r="K36" s="64" t="n"/>
      <c r="L36" s="64" t="n"/>
      <c r="M36" s="64" t="n"/>
      <c r="N36" s="64" t="n"/>
      <c r="O36" s="64" t="n"/>
      <c r="P36" s="64" t="n"/>
      <c r="Q36" s="64" t="n"/>
      <c r="R36" s="64" t="n"/>
      <c r="S36" s="64" t="n"/>
      <c r="T36" s="64" t="n"/>
      <c r="U36" s="64" t="n"/>
      <c r="V36" s="64" t="n"/>
      <c r="W36" s="64" t="n"/>
      <c r="X36" s="64" t="n"/>
      <c r="Y36" s="64" t="n"/>
      <c r="Z36" s="64" t="n"/>
      <c r="AA36" s="64" t="n"/>
      <c r="AB36" s="64" t="n"/>
      <c r="AC36" s="64" t="n"/>
      <c r="AD36" s="64" t="n"/>
      <c r="AE36" s="64" t="n"/>
      <c r="AF36" s="64" t="n"/>
      <c r="AG36" s="64" t="n"/>
      <c r="AH36" s="64" t="n"/>
      <c r="AI36" s="64" t="n"/>
      <c r="AJ36" s="64" t="n"/>
      <c r="AK36" s="64" t="n"/>
      <c r="AL36" s="64" t="n"/>
      <c r="AM36" s="64" t="n"/>
      <c r="AN36" s="64" t="n"/>
      <c r="AO36" s="64" t="n"/>
      <c r="AP36" s="64" t="n"/>
      <c r="AQ36" s="64" t="n"/>
      <c r="AR36" s="64" t="n"/>
      <c r="AS36" s="64" t="n"/>
      <c r="AT36" s="64" t="n"/>
    </row>
    <row r="37" ht="18.75" customHeight="1">
      <c r="A37" s="64" t="n"/>
      <c r="B37" s="64" t="n"/>
      <c r="C37" s="64" t="n"/>
      <c r="D37" s="64" t="n"/>
      <c r="E37" s="64" t="n"/>
      <c r="F37" s="136" t="n"/>
      <c r="G37" s="64" t="n"/>
      <c r="H37" s="64" t="n"/>
      <c r="I37" s="64" t="n"/>
      <c r="J37" s="64" t="n"/>
      <c r="K37" s="64" t="n"/>
      <c r="L37" s="64" t="n"/>
      <c r="M37" s="64" t="n"/>
      <c r="N37" s="64" t="n"/>
      <c r="O37" s="64" t="n"/>
      <c r="P37" s="64" t="n"/>
      <c r="Q37" s="64" t="n"/>
      <c r="R37" s="64" t="n"/>
      <c r="S37" s="64" t="n"/>
      <c r="T37" s="64" t="n"/>
      <c r="U37" s="64" t="n"/>
      <c r="V37" s="64" t="n"/>
      <c r="W37" s="64" t="n"/>
      <c r="X37" s="64" t="n"/>
      <c r="Y37" s="64" t="n"/>
      <c r="Z37" s="64" t="n"/>
      <c r="AA37" s="64" t="n"/>
      <c r="AB37" s="64" t="n"/>
      <c r="AC37" s="64" t="n"/>
      <c r="AD37" s="64" t="n"/>
      <c r="AE37" s="64" t="n"/>
      <c r="AF37" s="64" t="n"/>
      <c r="AG37" s="64" t="n"/>
      <c r="AH37" s="64" t="n"/>
      <c r="AI37" s="64" t="n"/>
      <c r="AJ37" s="64" t="n"/>
      <c r="AK37" s="64" t="n"/>
      <c r="AL37" s="64" t="n"/>
      <c r="AM37" s="64" t="n"/>
      <c r="AN37" s="64" t="n"/>
      <c r="AO37" s="64" t="n"/>
      <c r="AP37" s="64" t="n"/>
      <c r="AQ37" s="64" t="n"/>
      <c r="AR37" s="64" t="n"/>
      <c r="AS37" s="64" t="n"/>
      <c r="AT37" s="64" t="n"/>
    </row>
    <row r="38" ht="18.75" customHeight="1">
      <c r="A38" s="64" t="n"/>
      <c r="B38" s="64" t="n"/>
      <c r="C38" s="64" t="n"/>
      <c r="D38" s="64" t="n"/>
      <c r="E38" s="64" t="n"/>
      <c r="F38" s="136" t="n"/>
      <c r="G38" s="64" t="n"/>
      <c r="H38" s="64" t="n"/>
      <c r="I38" s="64" t="n"/>
      <c r="J38" s="64" t="n"/>
      <c r="K38" s="64" t="n"/>
      <c r="L38" s="64" t="n"/>
      <c r="M38" s="64" t="n"/>
      <c r="N38" s="64" t="n"/>
      <c r="O38" s="64" t="n"/>
      <c r="P38" s="64" t="n"/>
      <c r="Q38" s="64" t="n"/>
      <c r="R38" s="64" t="n"/>
      <c r="S38" s="64" t="n"/>
      <c r="T38" s="64" t="n"/>
      <c r="U38" s="64" t="n"/>
      <c r="V38" s="64" t="n"/>
      <c r="W38" s="64" t="n"/>
      <c r="X38" s="64" t="n"/>
      <c r="Y38" s="64" t="n"/>
      <c r="Z38" s="64" t="n"/>
      <c r="AA38" s="64" t="n"/>
      <c r="AB38" s="64" t="n"/>
      <c r="AC38" s="64" t="n"/>
      <c r="AD38" s="64" t="n"/>
      <c r="AE38" s="64" t="n"/>
      <c r="AF38" s="64" t="n"/>
      <c r="AG38" s="64" t="n"/>
      <c r="AH38" s="64" t="n"/>
      <c r="AI38" s="64" t="n"/>
      <c r="AJ38" s="64" t="n"/>
      <c r="AK38" s="64" t="n"/>
      <c r="AL38" s="64" t="n"/>
      <c r="AM38" s="64" t="n"/>
      <c r="AN38" s="64" t="n"/>
      <c r="AO38" s="64" t="n"/>
      <c r="AP38" s="64" t="n"/>
      <c r="AQ38" s="64" t="n"/>
      <c r="AR38" s="64" t="n"/>
      <c r="AS38" s="64" t="n"/>
      <c r="AT38" s="64" t="n"/>
    </row>
    <row r="39" ht="18.75" customHeight="1">
      <c r="A39" s="64" t="n"/>
      <c r="B39" s="64" t="n"/>
      <c r="C39" s="64" t="n"/>
      <c r="D39" s="64" t="n"/>
      <c r="E39" s="64" t="n"/>
      <c r="F39" s="136" t="n"/>
      <c r="G39" s="64" t="n"/>
      <c r="H39" s="64" t="n"/>
      <c r="I39" s="64" t="n"/>
      <c r="J39" s="64" t="n"/>
      <c r="K39" s="64" t="n"/>
      <c r="L39" s="64" t="n"/>
      <c r="M39" s="64" t="n"/>
      <c r="N39" s="64" t="n"/>
      <c r="O39" s="64" t="n"/>
      <c r="P39" s="64" t="n"/>
      <c r="Q39" s="64" t="n"/>
      <c r="R39" s="64" t="n"/>
      <c r="S39" s="64" t="n"/>
      <c r="T39" s="64" t="n"/>
      <c r="U39" s="64" t="n"/>
      <c r="V39" s="64" t="n"/>
      <c r="W39" s="64" t="n"/>
      <c r="X39" s="64" t="n"/>
      <c r="Y39" s="64" t="n"/>
      <c r="Z39" s="64" t="n"/>
      <c r="AA39" s="64" t="n"/>
      <c r="AB39" s="64" t="n"/>
      <c r="AC39" s="64" t="n"/>
      <c r="AD39" s="64" t="n"/>
      <c r="AE39" s="64" t="n"/>
      <c r="AF39" s="64" t="n"/>
      <c r="AG39" s="64" t="n"/>
      <c r="AH39" s="64" t="n"/>
      <c r="AI39" s="64" t="n"/>
      <c r="AJ39" s="64" t="n"/>
      <c r="AK39" s="64" t="n"/>
      <c r="AL39" s="64" t="n"/>
      <c r="AM39" s="64" t="n"/>
      <c r="AN39" s="64" t="n"/>
      <c r="AO39" s="64" t="n"/>
      <c r="AP39" s="64" t="n"/>
      <c r="AQ39" s="64" t="n"/>
      <c r="AR39" s="64" t="n"/>
      <c r="AS39" s="64" t="n"/>
      <c r="AT39" s="64" t="n"/>
    </row>
    <row r="40" ht="18.75" customHeight="1">
      <c r="A40" s="64" t="n"/>
      <c r="B40" s="64" t="n"/>
      <c r="C40" s="64" t="n"/>
      <c r="D40" s="64" t="n"/>
      <c r="E40" s="64" t="n"/>
      <c r="F40" s="136" t="n"/>
      <c r="G40" s="64" t="n"/>
      <c r="H40" s="64" t="n"/>
      <c r="I40" s="64" t="n"/>
      <c r="J40" s="64" t="n"/>
      <c r="K40" s="64" t="n"/>
      <c r="L40" s="64" t="n"/>
      <c r="M40" s="64" t="n"/>
      <c r="N40" s="64" t="n"/>
      <c r="O40" s="64" t="n"/>
      <c r="P40" s="64" t="n"/>
      <c r="Q40" s="64" t="n"/>
      <c r="R40" s="64" t="n"/>
      <c r="S40" s="64" t="n"/>
      <c r="T40" s="64" t="n"/>
      <c r="U40" s="64" t="n"/>
      <c r="V40" s="64" t="n"/>
      <c r="W40" s="64" t="n"/>
      <c r="X40" s="64" t="n"/>
      <c r="Y40" s="64" t="n"/>
      <c r="Z40" s="64" t="n"/>
      <c r="AA40" s="64" t="n"/>
      <c r="AB40" s="64" t="n"/>
      <c r="AC40" s="64" t="n"/>
      <c r="AD40" s="64" t="n"/>
      <c r="AE40" s="64" t="n"/>
      <c r="AF40" s="64" t="n"/>
      <c r="AG40" s="64" t="n"/>
      <c r="AH40" s="64" t="n"/>
      <c r="AI40" s="64" t="n"/>
      <c r="AJ40" s="64" t="n"/>
      <c r="AK40" s="64" t="n"/>
      <c r="AL40" s="64" t="n"/>
      <c r="AM40" s="64" t="n"/>
      <c r="AN40" s="64" t="n"/>
      <c r="AO40" s="64" t="n"/>
      <c r="AP40" s="64" t="n"/>
      <c r="AQ40" s="64" t="n"/>
      <c r="AR40" s="64" t="n"/>
      <c r="AS40" s="64" t="n"/>
      <c r="AT40" s="64" t="n"/>
    </row>
    <row r="41" ht="18.75" customHeight="1">
      <c r="A41" s="64" t="n"/>
      <c r="B41" s="64" t="n"/>
      <c r="C41" s="64" t="n"/>
      <c r="D41" s="64" t="n"/>
      <c r="E41" s="64" t="n"/>
      <c r="F41" s="136" t="n"/>
      <c r="G41" s="64" t="n"/>
      <c r="H41" s="64" t="n"/>
      <c r="I41" s="64" t="n"/>
      <c r="J41" s="64" t="n"/>
      <c r="K41" s="64" t="n"/>
      <c r="L41" s="64" t="n"/>
      <c r="M41" s="64" t="n"/>
      <c r="N41" s="64" t="n"/>
      <c r="O41" s="64" t="n"/>
      <c r="P41" s="64" t="n"/>
      <c r="Q41" s="64" t="n"/>
      <c r="R41" s="64" t="n"/>
      <c r="S41" s="64" t="n"/>
      <c r="T41" s="64" t="n"/>
      <c r="U41" s="64" t="n"/>
      <c r="V41" s="64" t="n"/>
      <c r="W41" s="64" t="n"/>
      <c r="X41" s="64" t="n"/>
      <c r="Y41" s="64" t="n"/>
      <c r="Z41" s="64" t="n"/>
      <c r="AA41" s="64" t="n"/>
      <c r="AB41" s="64" t="n"/>
      <c r="AC41" s="64" t="n"/>
      <c r="AD41" s="64" t="n"/>
      <c r="AE41" s="64" t="n"/>
      <c r="AF41" s="64" t="n"/>
      <c r="AG41" s="64" t="n"/>
      <c r="AH41" s="64" t="n"/>
      <c r="AI41" s="64" t="n"/>
      <c r="AJ41" s="64" t="n"/>
      <c r="AK41" s="64" t="n"/>
      <c r="AL41" s="64" t="n"/>
      <c r="AM41" s="64" t="n"/>
      <c r="AN41" s="64" t="n"/>
      <c r="AO41" s="64" t="n"/>
      <c r="AP41" s="64" t="n"/>
      <c r="AQ41" s="64" t="n"/>
      <c r="AR41" s="64" t="n"/>
      <c r="AS41" s="64" t="n"/>
      <c r="AT41" s="64" t="n"/>
    </row>
    <row r="42" ht="18.75" customHeight="1">
      <c r="A42" s="64" t="n"/>
      <c r="B42" s="64" t="n"/>
      <c r="C42" s="64" t="n"/>
      <c r="D42" s="64" t="n"/>
      <c r="E42" s="64" t="n"/>
      <c r="F42" s="136" t="n"/>
      <c r="G42" s="64" t="n"/>
      <c r="H42" s="64" t="n"/>
      <c r="I42" s="64" t="n"/>
      <c r="J42" s="64" t="n"/>
      <c r="K42" s="64" t="n"/>
      <c r="L42" s="64" t="n"/>
      <c r="M42" s="64" t="n"/>
      <c r="N42" s="64" t="n"/>
      <c r="O42" s="64" t="n"/>
      <c r="P42" s="64" t="n"/>
      <c r="Q42" s="64" t="n"/>
      <c r="R42" s="64" t="n"/>
      <c r="S42" s="64" t="n"/>
      <c r="T42" s="64" t="n"/>
      <c r="U42" s="64" t="n"/>
      <c r="V42" s="64" t="n"/>
      <c r="W42" s="64" t="n"/>
      <c r="X42" s="64" t="n"/>
      <c r="Y42" s="64" t="n"/>
      <c r="Z42" s="64" t="n"/>
      <c r="AA42" s="64" t="n"/>
      <c r="AB42" s="64" t="n"/>
      <c r="AC42" s="64" t="n"/>
      <c r="AD42" s="64" t="n"/>
      <c r="AE42" s="64" t="n"/>
      <c r="AF42" s="64" t="n"/>
      <c r="AG42" s="64" t="n"/>
      <c r="AH42" s="64" t="n"/>
      <c r="AI42" s="64" t="n"/>
      <c r="AJ42" s="64" t="n"/>
      <c r="AK42" s="64" t="n"/>
      <c r="AL42" s="64" t="n"/>
      <c r="AM42" s="64" t="n"/>
      <c r="AN42" s="64" t="n"/>
      <c r="AO42" s="64" t="n"/>
      <c r="AP42" s="64" t="n"/>
      <c r="AQ42" s="64" t="n"/>
      <c r="AR42" s="64" t="n"/>
      <c r="AS42" s="64" t="n"/>
      <c r="AT42" s="64" t="n"/>
    </row>
    <row r="43" ht="18.75" customHeight="1">
      <c r="A43" s="64" t="n"/>
      <c r="B43" s="64" t="n"/>
      <c r="C43" s="64" t="n"/>
      <c r="D43" s="64" t="n"/>
      <c r="E43" s="64" t="n"/>
      <c r="F43" s="136" t="n"/>
      <c r="G43" s="64" t="n"/>
      <c r="H43" s="64" t="n"/>
      <c r="I43" s="64" t="n"/>
      <c r="J43" s="64" t="n"/>
      <c r="K43" s="64" t="n"/>
      <c r="L43" s="64" t="n"/>
      <c r="M43" s="64" t="n"/>
      <c r="N43" s="64" t="n"/>
      <c r="O43" s="64" t="n"/>
      <c r="P43" s="64" t="n"/>
      <c r="Q43" s="64" t="n"/>
      <c r="R43" s="64" t="n"/>
      <c r="S43" s="64" t="n"/>
      <c r="T43" s="64" t="n"/>
      <c r="U43" s="64" t="n"/>
      <c r="V43" s="64" t="n"/>
      <c r="W43" s="64" t="n"/>
      <c r="X43" s="64" t="n"/>
      <c r="Y43" s="64" t="n"/>
      <c r="Z43" s="64" t="n"/>
      <c r="AA43" s="64" t="n"/>
      <c r="AB43" s="64" t="n"/>
      <c r="AC43" s="64" t="n"/>
      <c r="AD43" s="64" t="n"/>
      <c r="AE43" s="64" t="n"/>
      <c r="AF43" s="64" t="n"/>
      <c r="AG43" s="64" t="n"/>
      <c r="AH43" s="64" t="n"/>
      <c r="AI43" s="64" t="n"/>
      <c r="AJ43" s="64" t="n"/>
      <c r="AK43" s="64" t="n"/>
      <c r="AL43" s="64" t="n"/>
      <c r="AM43" s="64" t="n"/>
      <c r="AN43" s="64" t="n"/>
      <c r="AO43" s="64" t="n"/>
      <c r="AP43" s="64" t="n"/>
      <c r="AQ43" s="64" t="n"/>
      <c r="AR43" s="64" t="n"/>
      <c r="AS43" s="64" t="n"/>
      <c r="AT43" s="64" t="n"/>
    </row>
    <row r="44" ht="18.75" customHeight="1">
      <c r="A44" s="64" t="n"/>
      <c r="B44" s="64" t="n"/>
      <c r="C44" s="64" t="n"/>
      <c r="D44" s="64" t="n"/>
      <c r="E44" s="64" t="n"/>
      <c r="F44" s="136" t="n"/>
      <c r="G44" s="64" t="n"/>
      <c r="H44" s="64" t="n"/>
      <c r="I44" s="64" t="n"/>
      <c r="J44" s="64" t="n"/>
      <c r="K44" s="64" t="n"/>
      <c r="L44" s="64" t="n"/>
      <c r="M44" s="64" t="n"/>
      <c r="N44" s="64" t="n"/>
      <c r="O44" s="64" t="n"/>
      <c r="P44" s="64" t="n"/>
      <c r="Q44" s="64" t="n"/>
      <c r="R44" s="64" t="n"/>
      <c r="S44" s="64" t="n"/>
      <c r="T44" s="64" t="n"/>
      <c r="U44" s="64" t="n"/>
      <c r="V44" s="64" t="n"/>
      <c r="W44" s="64" t="n"/>
      <c r="X44" s="64" t="n"/>
      <c r="Y44" s="64" t="n"/>
      <c r="Z44" s="64" t="n"/>
      <c r="AA44" s="64" t="n"/>
      <c r="AB44" s="64" t="n"/>
      <c r="AC44" s="64" t="n"/>
      <c r="AD44" s="64" t="n"/>
      <c r="AE44" s="64" t="n"/>
      <c r="AF44" s="64" t="n"/>
      <c r="AG44" s="64" t="n"/>
      <c r="AH44" s="64" t="n"/>
      <c r="AI44" s="64" t="n"/>
      <c r="AJ44" s="64" t="n"/>
      <c r="AK44" s="64" t="n"/>
      <c r="AL44" s="64" t="n"/>
      <c r="AM44" s="64" t="n"/>
      <c r="AN44" s="64" t="n"/>
      <c r="AO44" s="64" t="n"/>
      <c r="AP44" s="64" t="n"/>
      <c r="AQ44" s="64" t="n"/>
      <c r="AR44" s="64" t="n"/>
      <c r="AS44" s="64" t="n"/>
      <c r="AT44" s="64" t="n"/>
    </row>
    <row r="45" ht="18.75" customHeight="1">
      <c r="A45" s="64" t="n"/>
      <c r="B45" s="64" t="n"/>
      <c r="C45" s="64" t="n"/>
      <c r="D45" s="64" t="n"/>
      <c r="E45" s="64" t="n"/>
      <c r="F45" s="136" t="n"/>
      <c r="G45" s="64" t="n"/>
      <c r="H45" s="64" t="n"/>
      <c r="I45" s="64" t="n"/>
      <c r="J45" s="64" t="n"/>
      <c r="K45" s="64" t="n"/>
      <c r="L45" s="64" t="n"/>
      <c r="M45" s="64" t="n"/>
      <c r="N45" s="64" t="n"/>
      <c r="O45" s="64" t="n"/>
      <c r="P45" s="64" t="n"/>
      <c r="Q45" s="64" t="n"/>
      <c r="R45" s="64" t="n"/>
      <c r="S45" s="64" t="n"/>
      <c r="T45" s="64" t="n"/>
      <c r="U45" s="64" t="n"/>
      <c r="V45" s="64" t="n"/>
      <c r="W45" s="64" t="n"/>
      <c r="X45" s="64" t="n"/>
      <c r="Y45" s="64" t="n"/>
      <c r="Z45" s="64" t="n"/>
      <c r="AA45" s="64" t="n"/>
      <c r="AB45" s="64" t="n"/>
      <c r="AC45" s="64" t="n"/>
      <c r="AD45" s="64" t="n"/>
      <c r="AE45" s="64" t="n"/>
      <c r="AF45" s="64" t="n"/>
      <c r="AG45" s="64" t="n"/>
      <c r="AH45" s="64" t="n"/>
      <c r="AI45" s="64" t="n"/>
      <c r="AJ45" s="64" t="n"/>
      <c r="AK45" s="64" t="n"/>
      <c r="AL45" s="64" t="n"/>
      <c r="AM45" s="64" t="n"/>
      <c r="AN45" s="64" t="n"/>
      <c r="AO45" s="64" t="n"/>
      <c r="AP45" s="64" t="n"/>
      <c r="AQ45" s="64" t="n"/>
      <c r="AR45" s="64" t="n"/>
      <c r="AS45" s="64" t="n"/>
      <c r="AT45" s="64" t="n"/>
    </row>
    <row r="46" ht="18.75" customHeight="1">
      <c r="A46" s="64" t="n"/>
      <c r="B46" s="64" t="n"/>
      <c r="C46" s="64" t="n"/>
      <c r="D46" s="64" t="n"/>
      <c r="E46" s="64" t="n"/>
      <c r="F46" s="136" t="n"/>
      <c r="G46" s="64" t="n"/>
      <c r="H46" s="64" t="n"/>
      <c r="I46" s="64" t="n"/>
      <c r="J46" s="64" t="n"/>
      <c r="K46" s="64" t="n"/>
      <c r="L46" s="64" t="n"/>
      <c r="M46" s="64" t="n"/>
      <c r="N46" s="64" t="n"/>
      <c r="O46" s="64" t="n"/>
      <c r="P46" s="64" t="n"/>
      <c r="Q46" s="64" t="n"/>
      <c r="R46" s="64" t="n"/>
      <c r="S46" s="64" t="n"/>
      <c r="T46" s="64" t="n"/>
      <c r="U46" s="64" t="n"/>
      <c r="V46" s="64" t="n"/>
      <c r="W46" s="64" t="n"/>
      <c r="X46" s="64" t="n"/>
      <c r="Y46" s="64" t="n"/>
      <c r="Z46" s="64" t="n"/>
      <c r="AA46" s="64" t="n"/>
      <c r="AB46" s="64" t="n"/>
      <c r="AC46" s="64" t="n"/>
      <c r="AD46" s="64" t="n"/>
      <c r="AE46" s="64" t="n"/>
      <c r="AF46" s="64" t="n"/>
      <c r="AG46" s="64" t="n"/>
      <c r="AH46" s="64" t="n"/>
      <c r="AI46" s="64" t="n"/>
      <c r="AJ46" s="64" t="n"/>
      <c r="AK46" s="64" t="n"/>
      <c r="AL46" s="64" t="n"/>
      <c r="AM46" s="64" t="n"/>
      <c r="AN46" s="64" t="n"/>
      <c r="AO46" s="64" t="n"/>
      <c r="AP46" s="64" t="n"/>
      <c r="AQ46" s="64" t="n"/>
      <c r="AR46" s="64" t="n"/>
      <c r="AS46" s="64" t="n"/>
      <c r="AT46" s="64" t="n"/>
    </row>
    <row r="47" ht="18.75" customHeight="1">
      <c r="A47" s="64" t="n"/>
      <c r="B47" s="64" t="n"/>
      <c r="C47" s="64" t="n"/>
      <c r="D47" s="64" t="n"/>
      <c r="E47" s="64" t="n"/>
      <c r="F47" s="136" t="n"/>
      <c r="G47" s="64" t="n"/>
      <c r="H47" s="64" t="n"/>
      <c r="I47" s="64" t="n"/>
      <c r="J47" s="64" t="n"/>
      <c r="K47" s="64" t="n"/>
      <c r="L47" s="64" t="n"/>
      <c r="M47" s="64" t="n"/>
      <c r="N47" s="64" t="n"/>
      <c r="O47" s="64" t="n"/>
      <c r="P47" s="64" t="n"/>
      <c r="Q47" s="64" t="n"/>
      <c r="R47" s="64" t="n"/>
      <c r="S47" s="64" t="n"/>
      <c r="T47" s="64" t="n"/>
      <c r="U47" s="64" t="n"/>
      <c r="V47" s="64" t="n"/>
      <c r="W47" s="64" t="n"/>
      <c r="X47" s="64" t="n"/>
      <c r="Y47" s="64" t="n"/>
      <c r="Z47" s="64" t="n"/>
      <c r="AA47" s="64" t="n"/>
      <c r="AB47" s="64" t="n"/>
      <c r="AC47" s="64" t="n"/>
      <c r="AD47" s="64" t="n"/>
      <c r="AE47" s="64" t="n"/>
      <c r="AF47" s="64" t="n"/>
      <c r="AG47" s="64" t="n"/>
      <c r="AH47" s="64" t="n"/>
      <c r="AI47" s="64" t="n"/>
      <c r="AJ47" s="64" t="n"/>
      <c r="AK47" s="64" t="n"/>
      <c r="AL47" s="64" t="n"/>
      <c r="AM47" s="64" t="n"/>
      <c r="AN47" s="64" t="n"/>
      <c r="AO47" s="64" t="n"/>
      <c r="AP47" s="64" t="n"/>
      <c r="AQ47" s="64" t="n"/>
      <c r="AR47" s="64" t="n"/>
      <c r="AS47" s="64" t="n"/>
      <c r="AT47" s="64" t="n"/>
    </row>
    <row r="48" ht="18.75" customHeight="1">
      <c r="A48" s="109" t="n"/>
      <c r="B48" s="64" t="n"/>
      <c r="C48" s="64" t="n"/>
      <c r="D48" s="64" t="n"/>
      <c r="E48" s="64" t="n"/>
      <c r="F48" s="136" t="n"/>
      <c r="G48" s="64" t="n"/>
      <c r="H48" s="64" t="n"/>
      <c r="I48" s="64" t="n"/>
      <c r="J48" s="64" t="n"/>
      <c r="K48" s="64" t="n"/>
      <c r="L48" s="64" t="n"/>
      <c r="M48" s="64" t="n"/>
      <c r="N48" s="64" t="n"/>
      <c r="O48" s="64" t="n"/>
      <c r="P48" s="64" t="n"/>
      <c r="Q48" s="64" t="n"/>
      <c r="R48" s="64" t="n"/>
      <c r="S48" s="64" t="n"/>
      <c r="T48" s="64" t="n"/>
      <c r="U48" s="64" t="n"/>
      <c r="V48" s="64" t="n"/>
      <c r="W48" s="64" t="n"/>
      <c r="X48" s="64" t="n"/>
      <c r="Y48" s="64" t="n"/>
      <c r="Z48" s="64" t="n"/>
      <c r="AA48" s="64" t="n"/>
      <c r="AB48" s="64" t="n"/>
      <c r="AC48" s="64" t="n"/>
      <c r="AD48" s="64" t="n"/>
      <c r="AE48" s="64" t="n"/>
      <c r="AF48" s="64" t="n"/>
      <c r="AG48" s="64" t="n"/>
      <c r="AH48" s="64" t="n"/>
      <c r="AI48" s="64" t="n"/>
      <c r="AJ48" s="64" t="n"/>
      <c r="AK48" s="64" t="n"/>
      <c r="AL48" s="64" t="n"/>
      <c r="AM48" s="64" t="n"/>
      <c r="AN48" s="64" t="n"/>
      <c r="AO48" s="64" t="n"/>
      <c r="AP48" s="64" t="n"/>
      <c r="AQ48" s="64" t="n"/>
      <c r="AR48" s="64" t="n"/>
      <c r="AS48" s="64" t="n"/>
      <c r="AT48" s="64" t="n"/>
    </row>
    <row r="49" ht="18.75" customHeight="1">
      <c r="A49" s="600" t="n"/>
      <c r="B49" s="64" t="n"/>
      <c r="C49" s="64" t="n"/>
      <c r="D49" s="64" t="n"/>
      <c r="E49" s="64" t="n"/>
      <c r="F49" s="136" t="n"/>
      <c r="G49" s="64" t="n"/>
      <c r="H49" s="64" t="n"/>
      <c r="I49" s="64" t="n"/>
      <c r="J49" s="64" t="n"/>
      <c r="K49" s="64" t="n"/>
      <c r="L49" s="64" t="n"/>
      <c r="M49" s="64" t="n"/>
      <c r="N49" s="64" t="n"/>
      <c r="O49" s="64" t="n"/>
      <c r="P49" s="64" t="n"/>
      <c r="Q49" s="64" t="n"/>
      <c r="R49" s="64" t="n"/>
      <c r="S49" s="64" t="n"/>
      <c r="T49" s="64" t="n"/>
      <c r="U49" s="64" t="n"/>
      <c r="V49" s="64" t="n"/>
      <c r="W49" s="64" t="n"/>
      <c r="X49" s="64" t="n"/>
      <c r="Y49" s="64" t="n"/>
      <c r="Z49" s="64" t="n"/>
      <c r="AA49" s="64" t="n"/>
      <c r="AB49" s="64" t="n"/>
      <c r="AC49" s="64" t="n"/>
      <c r="AD49" s="64" t="n"/>
      <c r="AE49" s="64" t="n"/>
      <c r="AF49" s="64" t="n"/>
      <c r="AG49" s="64" t="n"/>
      <c r="AH49" s="64" t="n"/>
      <c r="AI49" s="64" t="n"/>
      <c r="AJ49" s="64" t="n"/>
      <c r="AK49" s="64" t="n"/>
      <c r="AL49" s="64" t="n"/>
      <c r="AM49" s="64" t="n"/>
      <c r="AN49" s="64" t="n"/>
      <c r="AO49" s="64" t="n"/>
      <c r="AP49" s="64" t="n"/>
      <c r="AQ49" s="64" t="n"/>
      <c r="AR49" s="64" t="n"/>
      <c r="AS49" s="64" t="n"/>
      <c r="AT49" s="64" t="n"/>
    </row>
    <row r="50" ht="18.75" customHeight="1">
      <c r="A50" s="112" t="n"/>
      <c r="B50" s="64" t="n"/>
      <c r="C50" s="64" t="n"/>
      <c r="D50" s="64" t="n"/>
      <c r="E50" s="64" t="n"/>
      <c r="F50" s="136" t="n"/>
      <c r="G50" s="64" t="n"/>
      <c r="H50" s="64" t="n"/>
      <c r="I50" s="64" t="n"/>
      <c r="J50" s="64" t="n"/>
      <c r="K50" s="64" t="n"/>
      <c r="L50" s="64" t="n"/>
      <c r="M50" s="64" t="n"/>
      <c r="N50" s="64" t="n"/>
      <c r="O50" s="64" t="n"/>
      <c r="P50" s="64" t="n"/>
      <c r="Q50" s="64" t="n"/>
      <c r="R50" s="64" t="n"/>
      <c r="S50" s="64" t="n"/>
      <c r="T50" s="64" t="n"/>
      <c r="U50" s="64" t="n"/>
      <c r="V50" s="64" t="n"/>
      <c r="W50" s="64" t="n"/>
      <c r="X50" s="64" t="n"/>
      <c r="Y50" s="64" t="n"/>
      <c r="Z50" s="64" t="n"/>
      <c r="AA50" s="64" t="n"/>
      <c r="AB50" s="64" t="n"/>
      <c r="AC50" s="64" t="n"/>
      <c r="AD50" s="64" t="n"/>
      <c r="AE50" s="64" t="n"/>
      <c r="AF50" s="64" t="n"/>
      <c r="AG50" s="64" t="n"/>
      <c r="AH50" s="64" t="n"/>
      <c r="AI50" s="64" t="n"/>
      <c r="AJ50" s="64" t="n"/>
      <c r="AK50" s="64" t="n"/>
      <c r="AL50" s="64" t="n"/>
      <c r="AM50" s="64" t="n"/>
      <c r="AN50" s="64" t="n"/>
      <c r="AO50" s="64" t="n"/>
      <c r="AP50" s="64" t="n"/>
      <c r="AQ50" s="64" t="n"/>
      <c r="AR50" s="64" t="n"/>
      <c r="AS50" s="64" t="n"/>
      <c r="AT50" s="64" t="n"/>
    </row>
    <row r="51" ht="18.75" customHeight="1">
      <c r="A51" s="114" t="n"/>
      <c r="B51" s="64" t="n"/>
      <c r="C51" s="64" t="n"/>
      <c r="D51" s="64" t="n"/>
      <c r="E51" s="64" t="n"/>
      <c r="F51" s="136" t="n"/>
      <c r="G51" s="64" t="n"/>
      <c r="H51" s="64" t="n"/>
      <c r="I51" s="64" t="n"/>
      <c r="J51" s="64" t="n"/>
      <c r="K51" s="64" t="n"/>
      <c r="L51" s="64" t="n"/>
      <c r="M51" s="64" t="n"/>
      <c r="N51" s="64" t="n"/>
      <c r="O51" s="64" t="n"/>
      <c r="P51" s="64" t="n"/>
      <c r="Q51" s="64" t="n"/>
      <c r="R51" s="64" t="n"/>
      <c r="S51" s="64" t="n"/>
      <c r="T51" s="64" t="n"/>
      <c r="U51" s="64" t="n"/>
      <c r="V51" s="64" t="n"/>
      <c r="W51" s="64" t="n"/>
      <c r="X51" s="64" t="n"/>
      <c r="Y51" s="64" t="n"/>
      <c r="Z51" s="64" t="n"/>
      <c r="AA51" s="64" t="n"/>
      <c r="AB51" s="64" t="n"/>
      <c r="AC51" s="64" t="n"/>
      <c r="AD51" s="64" t="n"/>
      <c r="AE51" s="64" t="n"/>
      <c r="AF51" s="64" t="n"/>
      <c r="AG51" s="64" t="n"/>
      <c r="AH51" s="64" t="n"/>
      <c r="AI51" s="64" t="n"/>
      <c r="AJ51" s="64" t="n"/>
      <c r="AK51" s="64" t="n"/>
      <c r="AL51" s="64" t="n"/>
      <c r="AM51" s="64" t="n"/>
      <c r="AN51" s="64" t="n"/>
      <c r="AO51" s="64" t="n"/>
      <c r="AP51" s="64" t="n"/>
      <c r="AQ51" s="64" t="n"/>
      <c r="AR51" s="64" t="n"/>
      <c r="AS51" s="64" t="n"/>
      <c r="AT51" s="64" t="n"/>
    </row>
    <row r="52" ht="18.75" customHeight="1">
      <c r="A52" s="114" t="n"/>
      <c r="B52" s="64" t="n"/>
      <c r="C52" s="64" t="n"/>
      <c r="D52" s="64" t="n"/>
      <c r="E52" s="64" t="n"/>
      <c r="F52" s="136" t="n"/>
      <c r="G52" s="64" t="n"/>
      <c r="H52" s="64" t="n"/>
      <c r="I52" s="64" t="n"/>
      <c r="J52" s="64" t="n"/>
      <c r="K52" s="64" t="n"/>
      <c r="L52" s="64" t="n"/>
      <c r="M52" s="64" t="n"/>
      <c r="N52" s="64" t="n"/>
      <c r="O52" s="64" t="n"/>
      <c r="P52" s="64" t="n"/>
      <c r="Q52" s="64" t="n"/>
      <c r="R52" s="64" t="n"/>
      <c r="S52" s="64" t="n"/>
      <c r="T52" s="64" t="n"/>
      <c r="U52" s="64" t="n"/>
      <c r="V52" s="64" t="n"/>
      <c r="W52" s="64" t="n"/>
      <c r="X52" s="64" t="n"/>
      <c r="Y52" s="64" t="n"/>
      <c r="Z52" s="64" t="n"/>
      <c r="AA52" s="64" t="n"/>
      <c r="AB52" s="64" t="n"/>
      <c r="AC52" s="64" t="n"/>
      <c r="AD52" s="64" t="n"/>
      <c r="AE52" s="64" t="n"/>
      <c r="AF52" s="64" t="n"/>
      <c r="AG52" s="64" t="n"/>
      <c r="AH52" s="64" t="n"/>
      <c r="AI52" s="64" t="n"/>
      <c r="AJ52" s="64" t="n"/>
      <c r="AK52" s="64" t="n"/>
      <c r="AL52" s="64" t="n"/>
      <c r="AM52" s="64" t="n"/>
      <c r="AN52" s="64" t="n"/>
      <c r="AO52" s="64" t="n"/>
      <c r="AP52" s="64" t="n"/>
      <c r="AQ52" s="64" t="n"/>
      <c r="AR52" s="64" t="n"/>
      <c r="AS52" s="64" t="n"/>
      <c r="AT52" s="64" t="n"/>
    </row>
    <row r="53" ht="18.75" customHeight="1">
      <c r="A53" s="116" t="n"/>
      <c r="B53" s="64" t="n"/>
      <c r="C53" s="64" t="n"/>
      <c r="D53" s="64" t="n"/>
      <c r="E53" s="64" t="n"/>
      <c r="F53" s="136" t="n"/>
      <c r="G53" s="64" t="n"/>
      <c r="H53" s="64" t="n"/>
      <c r="I53" s="64" t="n"/>
      <c r="J53" s="64" t="n"/>
      <c r="K53" s="64" t="n"/>
      <c r="L53" s="64" t="n"/>
      <c r="M53" s="64" t="n"/>
      <c r="N53" s="64" t="n"/>
      <c r="O53" s="64" t="n"/>
      <c r="P53" s="64" t="n"/>
      <c r="Q53" s="64" t="n"/>
      <c r="R53" s="64" t="n"/>
      <c r="S53" s="64" t="n"/>
      <c r="T53" s="64" t="n"/>
      <c r="U53" s="64" t="n"/>
      <c r="V53" s="64" t="n"/>
      <c r="W53" s="64" t="n"/>
      <c r="X53" s="64" t="n"/>
      <c r="Y53" s="64" t="n"/>
      <c r="Z53" s="64" t="n"/>
      <c r="AA53" s="64" t="n"/>
      <c r="AB53" s="64" t="n"/>
      <c r="AC53" s="64" t="n"/>
      <c r="AD53" s="64" t="n"/>
      <c r="AE53" s="64" t="n"/>
      <c r="AF53" s="64" t="n"/>
      <c r="AG53" s="64" t="n"/>
      <c r="AH53" s="64" t="n"/>
      <c r="AI53" s="64" t="n"/>
      <c r="AJ53" s="64" t="n"/>
      <c r="AK53" s="64" t="n"/>
      <c r="AL53" s="64" t="n"/>
      <c r="AM53" s="64" t="n"/>
      <c r="AN53" s="64" t="n"/>
      <c r="AO53" s="64" t="n"/>
      <c r="AP53" s="64" t="n"/>
      <c r="AQ53" s="64" t="n"/>
      <c r="AR53" s="64" t="n"/>
      <c r="AS53" s="64" t="n"/>
      <c r="AT53" s="64" t="n"/>
    </row>
    <row r="54" ht="18.75" customHeight="1">
      <c r="A54" s="116" t="n"/>
      <c r="B54" s="64" t="n"/>
      <c r="C54" s="64" t="n"/>
      <c r="D54" s="64" t="n"/>
      <c r="E54" s="64" t="n"/>
      <c r="F54" s="136" t="n"/>
      <c r="G54" s="64" t="n"/>
      <c r="H54" s="64" t="n"/>
      <c r="I54" s="64" t="n"/>
      <c r="J54" s="64" t="n"/>
      <c r="K54" s="64" t="n"/>
      <c r="L54" s="64" t="n"/>
      <c r="M54" s="64" t="n"/>
      <c r="N54" s="64" t="n"/>
      <c r="O54" s="64" t="n"/>
      <c r="P54" s="64" t="n"/>
      <c r="Q54" s="64" t="n"/>
      <c r="R54" s="64" t="n"/>
      <c r="S54" s="64" t="n"/>
      <c r="T54" s="64" t="n"/>
      <c r="U54" s="64" t="n"/>
      <c r="V54" s="64" t="n"/>
      <c r="W54" s="64" t="n"/>
      <c r="X54" s="64" t="n"/>
      <c r="Y54" s="64" t="n"/>
      <c r="Z54" s="64" t="n"/>
      <c r="AA54" s="64" t="n"/>
      <c r="AB54" s="64" t="n"/>
      <c r="AC54" s="64" t="n"/>
      <c r="AD54" s="64" t="n"/>
      <c r="AE54" s="64" t="n"/>
      <c r="AF54" s="64" t="n"/>
      <c r="AG54" s="64" t="n"/>
      <c r="AH54" s="64" t="n"/>
      <c r="AI54" s="64" t="n"/>
      <c r="AJ54" s="64" t="n"/>
      <c r="AK54" s="64" t="n"/>
      <c r="AL54" s="64" t="n"/>
      <c r="AM54" s="64" t="n"/>
      <c r="AN54" s="64" t="n"/>
      <c r="AO54" s="64" t="n"/>
      <c r="AP54" s="64" t="n"/>
      <c r="AQ54" s="64" t="n"/>
      <c r="AR54" s="64" t="n"/>
      <c r="AS54" s="64" t="n"/>
      <c r="AT54" s="64" t="n"/>
    </row>
    <row r="55" ht="18.75" customHeight="1">
      <c r="A55" s="112" t="n"/>
      <c r="B55" s="64" t="n"/>
      <c r="C55" s="64" t="n"/>
      <c r="D55" s="64" t="n"/>
      <c r="E55" s="64" t="n"/>
      <c r="F55" s="136" t="n"/>
      <c r="G55" s="64" t="n"/>
      <c r="H55" s="64" t="n"/>
      <c r="I55" s="64" t="n"/>
      <c r="J55" s="64" t="n"/>
      <c r="K55" s="64" t="n"/>
      <c r="L55" s="64" t="n"/>
      <c r="M55" s="64" t="n"/>
      <c r="N55" s="64" t="n"/>
      <c r="O55" s="64" t="n"/>
      <c r="P55" s="64" t="n"/>
      <c r="Q55" s="64" t="n"/>
      <c r="R55" s="64" t="n"/>
      <c r="S55" s="64" t="n"/>
      <c r="T55" s="64" t="n"/>
      <c r="U55" s="64" t="n"/>
      <c r="V55" s="64" t="n"/>
      <c r="W55" s="64" t="n"/>
      <c r="X55" s="64" t="n"/>
      <c r="Y55" s="64" t="n"/>
      <c r="Z55" s="64" t="n"/>
      <c r="AA55" s="64" t="n"/>
      <c r="AB55" s="64" t="n"/>
      <c r="AC55" s="64" t="n"/>
      <c r="AD55" s="64" t="n"/>
      <c r="AE55" s="64" t="n"/>
      <c r="AF55" s="64" t="n"/>
      <c r="AG55" s="64" t="n"/>
      <c r="AH55" s="64" t="n"/>
      <c r="AI55" s="64" t="n"/>
      <c r="AJ55" s="64" t="n"/>
      <c r="AK55" s="64" t="n"/>
      <c r="AL55" s="64" t="n"/>
      <c r="AM55" s="64" t="n"/>
      <c r="AN55" s="64" t="n"/>
      <c r="AO55" s="64" t="n"/>
      <c r="AP55" s="64" t="n"/>
      <c r="AQ55" s="64" t="n"/>
      <c r="AR55" s="64" t="n"/>
      <c r="AS55" s="64" t="n"/>
      <c r="AT55" s="64" t="n"/>
    </row>
    <row r="56" ht="18.75" customHeight="1">
      <c r="A56" s="114" t="n"/>
      <c r="B56" s="64" t="n"/>
      <c r="C56" s="64" t="n"/>
      <c r="D56" s="64" t="n"/>
      <c r="E56" s="64" t="n"/>
      <c r="F56" s="136" t="n"/>
      <c r="G56" s="64" t="n"/>
      <c r="H56" s="64" t="n"/>
      <c r="I56" s="64" t="n"/>
      <c r="J56" s="64" t="n"/>
      <c r="K56" s="64" t="n"/>
      <c r="L56" s="64" t="n"/>
      <c r="M56" s="64" t="n"/>
      <c r="N56" s="64" t="n"/>
      <c r="O56" s="64" t="n"/>
      <c r="P56" s="64" t="n"/>
      <c r="Q56" s="64" t="n"/>
      <c r="R56" s="64" t="n"/>
      <c r="S56" s="64" t="n"/>
      <c r="T56" s="64" t="n"/>
      <c r="U56" s="64" t="n"/>
      <c r="V56" s="64" t="n"/>
      <c r="W56" s="64" t="n"/>
      <c r="X56" s="64" t="n"/>
      <c r="Y56" s="64" t="n"/>
      <c r="Z56" s="64" t="n"/>
      <c r="AA56" s="64" t="n"/>
      <c r="AB56" s="64" t="n"/>
      <c r="AC56" s="64" t="n"/>
      <c r="AD56" s="64" t="n"/>
      <c r="AE56" s="64" t="n"/>
      <c r="AF56" s="64" t="n"/>
      <c r="AG56" s="64" t="n"/>
      <c r="AH56" s="64" t="n"/>
      <c r="AI56" s="64" t="n"/>
      <c r="AJ56" s="64" t="n"/>
      <c r="AK56" s="64" t="n"/>
      <c r="AL56" s="64" t="n"/>
      <c r="AM56" s="64" t="n"/>
      <c r="AN56" s="64" t="n"/>
      <c r="AO56" s="64" t="n"/>
      <c r="AP56" s="64" t="n"/>
      <c r="AQ56" s="64" t="n"/>
      <c r="AR56" s="64" t="n"/>
      <c r="AS56" s="64" t="n"/>
      <c r="AT56" s="64" t="n"/>
    </row>
    <row r="57" ht="18.75" customHeight="1">
      <c r="A57" s="114" t="n"/>
      <c r="B57" s="64" t="n"/>
      <c r="C57" s="64" t="n"/>
      <c r="D57" s="64" t="n"/>
      <c r="E57" s="64" t="n"/>
      <c r="F57" s="136" t="n"/>
      <c r="G57" s="64" t="n"/>
      <c r="H57" s="64" t="n"/>
      <c r="I57" s="64" t="n"/>
      <c r="J57" s="64" t="n"/>
      <c r="K57" s="64" t="n"/>
      <c r="L57" s="64" t="n"/>
      <c r="M57" s="64" t="n"/>
      <c r="N57" s="64" t="n"/>
      <c r="O57" s="64" t="n"/>
      <c r="P57" s="64" t="n"/>
      <c r="Q57" s="64" t="n"/>
      <c r="R57" s="64" t="n"/>
      <c r="S57" s="64" t="n"/>
      <c r="T57" s="64" t="n"/>
      <c r="U57" s="64" t="n"/>
      <c r="V57" s="64" t="n"/>
      <c r="W57" s="64" t="n"/>
      <c r="X57" s="64" t="n"/>
      <c r="Y57" s="64" t="n"/>
      <c r="Z57" s="64" t="n"/>
      <c r="AA57" s="64" t="n"/>
      <c r="AB57" s="64" t="n"/>
      <c r="AC57" s="64" t="n"/>
      <c r="AD57" s="64" t="n"/>
      <c r="AE57" s="64" t="n"/>
      <c r="AF57" s="64" t="n"/>
      <c r="AG57" s="64" t="n"/>
      <c r="AH57" s="64" t="n"/>
      <c r="AI57" s="64" t="n"/>
      <c r="AJ57" s="64" t="n"/>
      <c r="AK57" s="64" t="n"/>
      <c r="AL57" s="64" t="n"/>
      <c r="AM57" s="64" t="n"/>
      <c r="AN57" s="64" t="n"/>
      <c r="AO57" s="64" t="n"/>
      <c r="AP57" s="64" t="n"/>
      <c r="AQ57" s="64" t="n"/>
      <c r="AR57" s="64" t="n"/>
      <c r="AS57" s="64" t="n"/>
      <c r="AT57" s="64" t="n"/>
    </row>
    <row r="58" ht="18.75" customHeight="1">
      <c r="A58" s="116" t="n"/>
      <c r="B58" s="64" t="n"/>
      <c r="C58" s="64" t="n"/>
      <c r="D58" s="64" t="n"/>
      <c r="E58" s="64" t="n"/>
      <c r="F58" s="136" t="n"/>
      <c r="G58" s="64" t="n"/>
      <c r="H58" s="64" t="n"/>
      <c r="I58" s="64" t="n"/>
      <c r="J58" s="64" t="n"/>
      <c r="K58" s="64" t="n"/>
      <c r="L58" s="64" t="n"/>
      <c r="M58" s="64" t="n"/>
      <c r="N58" s="64" t="n"/>
      <c r="O58" s="64" t="n"/>
      <c r="P58" s="64" t="n"/>
      <c r="Q58" s="64" t="n"/>
      <c r="R58" s="64" t="n"/>
      <c r="S58" s="64" t="n"/>
      <c r="T58" s="64" t="n"/>
      <c r="U58" s="64" t="n"/>
      <c r="V58" s="64" t="n"/>
      <c r="W58" s="64" t="n"/>
      <c r="X58" s="64" t="n"/>
      <c r="Y58" s="64" t="n"/>
      <c r="Z58" s="64" t="n"/>
      <c r="AA58" s="64" t="n"/>
      <c r="AB58" s="64" t="n"/>
      <c r="AC58" s="64" t="n"/>
      <c r="AD58" s="64" t="n"/>
      <c r="AE58" s="64" t="n"/>
      <c r="AF58" s="64" t="n"/>
      <c r="AG58" s="64" t="n"/>
      <c r="AH58" s="64" t="n"/>
      <c r="AI58" s="64" t="n"/>
      <c r="AJ58" s="64" t="n"/>
      <c r="AK58" s="64" t="n"/>
      <c r="AL58" s="64" t="n"/>
      <c r="AM58" s="64" t="n"/>
      <c r="AN58" s="64" t="n"/>
      <c r="AO58" s="64" t="n"/>
      <c r="AP58" s="64" t="n"/>
      <c r="AQ58" s="64" t="n"/>
      <c r="AR58" s="64" t="n"/>
      <c r="AS58" s="64" t="n"/>
      <c r="AT58" s="64" t="n"/>
    </row>
    <row r="59" ht="18.75" customHeight="1">
      <c r="A59" s="116" t="n"/>
      <c r="B59" s="64" t="n"/>
      <c r="C59" s="64" t="n"/>
      <c r="D59" s="64" t="n"/>
      <c r="E59" s="64" t="n"/>
      <c r="F59" s="136" t="n"/>
      <c r="G59" s="64" t="n"/>
      <c r="H59" s="64" t="n"/>
      <c r="I59" s="64" t="n"/>
      <c r="J59" s="64" t="n"/>
      <c r="K59" s="64" t="n"/>
      <c r="L59" s="64" t="n"/>
      <c r="M59" s="64" t="n"/>
      <c r="N59" s="64" t="n"/>
      <c r="O59" s="64" t="n"/>
      <c r="P59" s="64" t="n"/>
      <c r="Q59" s="64" t="n"/>
      <c r="R59" s="64" t="n"/>
      <c r="S59" s="64" t="n"/>
      <c r="T59" s="64" t="n"/>
      <c r="U59" s="64" t="n"/>
      <c r="V59" s="64" t="n"/>
      <c r="W59" s="64" t="n"/>
      <c r="X59" s="64" t="n"/>
      <c r="Y59" s="64" t="n"/>
      <c r="Z59" s="64" t="n"/>
      <c r="AA59" s="64" t="n"/>
      <c r="AB59" s="64" t="n"/>
      <c r="AC59" s="64" t="n"/>
      <c r="AD59" s="64" t="n"/>
      <c r="AE59" s="64" t="n"/>
      <c r="AF59" s="64" t="n"/>
      <c r="AG59" s="64" t="n"/>
      <c r="AH59" s="64" t="n"/>
      <c r="AI59" s="64" t="n"/>
      <c r="AJ59" s="64" t="n"/>
      <c r="AK59" s="64" t="n"/>
      <c r="AL59" s="64" t="n"/>
      <c r="AM59" s="64" t="n"/>
      <c r="AN59" s="64" t="n"/>
      <c r="AO59" s="64" t="n"/>
      <c r="AP59" s="64" t="n"/>
      <c r="AQ59" s="64" t="n"/>
      <c r="AR59" s="64" t="n"/>
      <c r="AS59" s="64" t="n"/>
      <c r="AT59" s="64" t="n"/>
    </row>
    <row r="60" ht="18.75" customHeight="1">
      <c r="A60" s="114" t="n"/>
      <c r="B60" s="64" t="n"/>
      <c r="C60" s="64" t="n"/>
      <c r="D60" s="64" t="n"/>
      <c r="E60" s="64" t="n"/>
      <c r="F60" s="136" t="n"/>
      <c r="G60" s="64" t="n"/>
      <c r="H60" s="64" t="n"/>
      <c r="I60" s="64" t="n"/>
      <c r="J60" s="64" t="n"/>
      <c r="K60" s="64" t="n"/>
      <c r="L60" s="64" t="n"/>
      <c r="M60" s="64" t="n"/>
      <c r="N60" s="64" t="n"/>
      <c r="O60" s="64" t="n"/>
      <c r="P60" s="64" t="n"/>
      <c r="Q60" s="64" t="n"/>
      <c r="R60" s="64" t="n"/>
      <c r="S60" s="64" t="n"/>
      <c r="T60" s="64" t="n"/>
      <c r="U60" s="64" t="n"/>
      <c r="V60" s="64" t="n"/>
      <c r="W60" s="64" t="n"/>
      <c r="X60" s="64" t="n"/>
      <c r="Y60" s="64" t="n"/>
      <c r="Z60" s="64" t="n"/>
      <c r="AA60" s="64" t="n"/>
      <c r="AB60" s="64" t="n"/>
      <c r="AC60" s="64" t="n"/>
      <c r="AD60" s="64" t="n"/>
      <c r="AE60" s="64" t="n"/>
      <c r="AF60" s="64" t="n"/>
      <c r="AG60" s="64" t="n"/>
      <c r="AH60" s="64" t="n"/>
      <c r="AI60" s="64" t="n"/>
      <c r="AJ60" s="64" t="n"/>
      <c r="AK60" s="64" t="n"/>
      <c r="AL60" s="64" t="n"/>
      <c r="AM60" s="64" t="n"/>
      <c r="AN60" s="64" t="n"/>
      <c r="AO60" s="64" t="n"/>
      <c r="AP60" s="64" t="n"/>
      <c r="AQ60" s="64" t="n"/>
      <c r="AR60" s="64" t="n"/>
      <c r="AS60" s="64" t="n"/>
      <c r="AT60" s="64" t="n"/>
    </row>
    <row r="61" ht="18.75" customHeight="1">
      <c r="A61" s="114" t="n"/>
      <c r="B61" s="64" t="n"/>
      <c r="C61" s="64" t="n"/>
      <c r="D61" s="64" t="n"/>
      <c r="E61" s="64" t="n"/>
      <c r="F61" s="136" t="n"/>
      <c r="G61" s="64" t="n"/>
      <c r="H61" s="64" t="n"/>
      <c r="I61" s="64" t="n"/>
      <c r="J61" s="64" t="n"/>
      <c r="K61" s="64" t="n"/>
      <c r="L61" s="64" t="n"/>
      <c r="M61" s="64" t="n"/>
      <c r="N61" s="64" t="n"/>
      <c r="O61" s="64" t="n"/>
      <c r="P61" s="64" t="n"/>
      <c r="Q61" s="64" t="n"/>
      <c r="R61" s="64" t="n"/>
      <c r="S61" s="64" t="n"/>
      <c r="T61" s="64" t="n"/>
      <c r="U61" s="64" t="n"/>
      <c r="V61" s="64" t="n"/>
      <c r="W61" s="64" t="n"/>
      <c r="X61" s="64" t="n"/>
      <c r="Y61" s="64" t="n"/>
      <c r="Z61" s="64" t="n"/>
      <c r="AA61" s="64" t="n"/>
      <c r="AB61" s="64" t="n"/>
      <c r="AC61" s="64" t="n"/>
      <c r="AD61" s="64" t="n"/>
      <c r="AE61" s="64" t="n"/>
      <c r="AF61" s="64" t="n"/>
      <c r="AG61" s="64" t="n"/>
      <c r="AH61" s="64" t="n"/>
      <c r="AI61" s="64" t="n"/>
      <c r="AJ61" s="64" t="n"/>
      <c r="AK61" s="64" t="n"/>
      <c r="AL61" s="64" t="n"/>
      <c r="AM61" s="64" t="n"/>
      <c r="AN61" s="64" t="n"/>
      <c r="AO61" s="64" t="n"/>
      <c r="AP61" s="64" t="n"/>
      <c r="AQ61" s="64" t="n"/>
      <c r="AR61" s="64" t="n"/>
      <c r="AS61" s="64" t="n"/>
      <c r="AT61" s="64" t="n"/>
    </row>
    <row r="62" ht="18.75" customHeight="1">
      <c r="A62" s="116" t="n"/>
      <c r="B62" s="64" t="n"/>
      <c r="C62" s="64" t="n"/>
      <c r="D62" s="64" t="n"/>
      <c r="E62" s="64" t="n"/>
      <c r="F62" s="136" t="n"/>
      <c r="G62" s="64" t="n"/>
      <c r="H62" s="64" t="n"/>
      <c r="I62" s="64" t="n"/>
      <c r="J62" s="64" t="n"/>
      <c r="K62" s="64" t="n"/>
      <c r="L62" s="64" t="n"/>
      <c r="M62" s="64" t="n"/>
      <c r="N62" s="64" t="n"/>
      <c r="O62" s="64" t="n"/>
      <c r="P62" s="64" t="n"/>
      <c r="Q62" s="64" t="n"/>
      <c r="R62" s="64" t="n"/>
      <c r="S62" s="64" t="n"/>
      <c r="T62" s="64" t="n"/>
      <c r="U62" s="64" t="n"/>
      <c r="V62" s="64" t="n"/>
      <c r="W62" s="64" t="n"/>
      <c r="X62" s="64" t="n"/>
      <c r="Y62" s="64" t="n"/>
      <c r="Z62" s="64" t="n"/>
      <c r="AA62" s="64" t="n"/>
      <c r="AB62" s="64" t="n"/>
      <c r="AC62" s="64" t="n"/>
      <c r="AD62" s="64" t="n"/>
      <c r="AE62" s="64" t="n"/>
      <c r="AF62" s="64" t="n"/>
      <c r="AG62" s="64" t="n"/>
      <c r="AH62" s="64" t="n"/>
      <c r="AI62" s="64" t="n"/>
      <c r="AJ62" s="64" t="n"/>
      <c r="AK62" s="64" t="n"/>
      <c r="AL62" s="64" t="n"/>
      <c r="AM62" s="64" t="n"/>
      <c r="AN62" s="64" t="n"/>
      <c r="AO62" s="64" t="n"/>
      <c r="AP62" s="64" t="n"/>
      <c r="AQ62" s="64" t="n"/>
      <c r="AR62" s="64" t="n"/>
      <c r="AS62" s="64" t="n"/>
      <c r="AT62" s="64" t="n"/>
    </row>
    <row r="63" ht="18.75" customHeight="1">
      <c r="A63" s="116" t="n"/>
      <c r="B63" s="64" t="n"/>
      <c r="C63" s="64" t="n"/>
      <c r="D63" s="64" t="n"/>
      <c r="E63" s="64" t="n"/>
      <c r="F63" s="136" t="n"/>
      <c r="G63" s="64" t="n"/>
      <c r="H63" s="64" t="n"/>
      <c r="I63" s="64" t="n"/>
      <c r="J63" s="64" t="n"/>
      <c r="K63" s="64" t="n"/>
      <c r="L63" s="64" t="n"/>
      <c r="M63" s="64" t="n"/>
      <c r="N63" s="64" t="n"/>
      <c r="O63" s="64" t="n"/>
      <c r="P63" s="64" t="n"/>
      <c r="Q63" s="64" t="n"/>
      <c r="R63" s="64" t="n"/>
      <c r="S63" s="64" t="n"/>
      <c r="T63" s="64" t="n"/>
      <c r="U63" s="64" t="n"/>
      <c r="V63" s="64" t="n"/>
      <c r="W63" s="64" t="n"/>
      <c r="X63" s="64" t="n"/>
      <c r="Y63" s="64" t="n"/>
      <c r="Z63" s="64" t="n"/>
      <c r="AA63" s="64" t="n"/>
      <c r="AB63" s="64" t="n"/>
      <c r="AC63" s="64" t="n"/>
      <c r="AD63" s="64" t="n"/>
      <c r="AE63" s="64" t="n"/>
      <c r="AF63" s="64" t="n"/>
      <c r="AG63" s="64" t="n"/>
      <c r="AH63" s="64" t="n"/>
      <c r="AI63" s="64" t="n"/>
      <c r="AJ63" s="64" t="n"/>
      <c r="AK63" s="64" t="n"/>
      <c r="AL63" s="64" t="n"/>
      <c r="AM63" s="64" t="n"/>
      <c r="AN63" s="64" t="n"/>
      <c r="AO63" s="64" t="n"/>
      <c r="AP63" s="64" t="n"/>
      <c r="AQ63" s="64" t="n"/>
      <c r="AR63" s="64" t="n"/>
      <c r="AS63" s="64" t="n"/>
      <c r="AT63" s="64" t="n"/>
    </row>
    <row r="64" ht="18.75" customHeight="1">
      <c r="A64" s="112" t="n"/>
      <c r="B64" s="64" t="n"/>
      <c r="C64" s="64" t="n"/>
      <c r="D64" s="64" t="n"/>
      <c r="E64" s="64" t="n"/>
      <c r="F64" s="136" t="n"/>
      <c r="G64" s="64" t="n"/>
      <c r="H64" s="64" t="n"/>
      <c r="I64" s="64" t="n"/>
      <c r="J64" s="64" t="n"/>
      <c r="K64" s="64" t="n"/>
      <c r="L64" s="64" t="n"/>
      <c r="M64" s="64" t="n"/>
      <c r="N64" s="64" t="n"/>
      <c r="O64" s="64" t="n"/>
      <c r="P64" s="64" t="n"/>
      <c r="Q64" s="64" t="n"/>
      <c r="R64" s="64" t="n"/>
      <c r="S64" s="64" t="n"/>
      <c r="T64" s="64" t="n"/>
      <c r="U64" s="64" t="n"/>
      <c r="V64" s="64" t="n"/>
      <c r="W64" s="64" t="n"/>
      <c r="X64" s="64" t="n"/>
      <c r="Y64" s="64" t="n"/>
      <c r="Z64" s="64" t="n"/>
      <c r="AA64" s="64" t="n"/>
      <c r="AB64" s="64" t="n"/>
      <c r="AC64" s="64" t="n"/>
      <c r="AD64" s="64" t="n"/>
      <c r="AE64" s="64" t="n"/>
      <c r="AF64" s="64" t="n"/>
      <c r="AG64" s="64" t="n"/>
      <c r="AH64" s="64" t="n"/>
      <c r="AI64" s="64" t="n"/>
      <c r="AJ64" s="64" t="n"/>
      <c r="AK64" s="64" t="n"/>
      <c r="AL64" s="64" t="n"/>
      <c r="AM64" s="64" t="n"/>
      <c r="AN64" s="64" t="n"/>
      <c r="AO64" s="64" t="n"/>
      <c r="AP64" s="64" t="n"/>
      <c r="AQ64" s="64" t="n"/>
      <c r="AR64" s="64" t="n"/>
      <c r="AS64" s="64" t="n"/>
      <c r="AT64" s="64" t="n"/>
    </row>
    <row r="65" ht="18.75" customHeight="1">
      <c r="A65" s="114" t="n"/>
      <c r="B65" s="64" t="n"/>
      <c r="C65" s="64" t="n"/>
      <c r="D65" s="64" t="n"/>
      <c r="E65" s="64" t="n"/>
      <c r="F65" s="136" t="n"/>
      <c r="G65" s="64" t="n"/>
      <c r="H65" s="64" t="n"/>
      <c r="I65" s="64" t="n"/>
      <c r="J65" s="64" t="n"/>
      <c r="K65" s="64" t="n"/>
      <c r="L65" s="64" t="n"/>
      <c r="M65" s="64" t="n"/>
      <c r="N65" s="64" t="n"/>
      <c r="O65" s="64" t="n"/>
      <c r="P65" s="64" t="n"/>
      <c r="Q65" s="64" t="n"/>
      <c r="R65" s="64" t="n"/>
      <c r="S65" s="64" t="n"/>
      <c r="T65" s="64" t="n"/>
      <c r="U65" s="64" t="n"/>
      <c r="V65" s="64" t="n"/>
      <c r="W65" s="64" t="n"/>
      <c r="X65" s="64" t="n"/>
      <c r="Y65" s="64" t="n"/>
      <c r="Z65" s="64" t="n"/>
      <c r="AA65" s="64" t="n"/>
      <c r="AB65" s="64" t="n"/>
      <c r="AC65" s="64" t="n"/>
      <c r="AD65" s="64" t="n"/>
      <c r="AE65" s="64" t="n"/>
      <c r="AF65" s="64" t="n"/>
      <c r="AG65" s="64" t="n"/>
      <c r="AH65" s="64" t="n"/>
      <c r="AI65" s="64" t="n"/>
      <c r="AJ65" s="64" t="n"/>
      <c r="AK65" s="64" t="n"/>
      <c r="AL65" s="64" t="n"/>
      <c r="AM65" s="64" t="n"/>
      <c r="AN65" s="64" t="n"/>
      <c r="AO65" s="64" t="n"/>
      <c r="AP65" s="64" t="n"/>
      <c r="AQ65" s="64" t="n"/>
      <c r="AR65" s="64" t="n"/>
      <c r="AS65" s="64" t="n"/>
      <c r="AT65" s="64" t="n"/>
    </row>
    <row r="66" ht="18.75" customHeight="1">
      <c r="A66" s="114" t="n"/>
      <c r="B66" s="64" t="n"/>
      <c r="C66" s="64" t="n"/>
      <c r="D66" s="64" t="n"/>
      <c r="E66" s="64" t="n"/>
      <c r="F66" s="136" t="n"/>
      <c r="G66" s="64" t="n"/>
      <c r="H66" s="64" t="n"/>
      <c r="I66" s="64" t="n"/>
      <c r="J66" s="64" t="n"/>
      <c r="K66" s="64" t="n"/>
      <c r="L66" s="64" t="n"/>
      <c r="M66" s="64" t="n"/>
      <c r="N66" s="64" t="n"/>
      <c r="O66" s="64" t="n"/>
      <c r="P66" s="64" t="n"/>
      <c r="Q66" s="64" t="n"/>
      <c r="R66" s="64" t="n"/>
      <c r="S66" s="64" t="n"/>
      <c r="T66" s="64" t="n"/>
      <c r="U66" s="64" t="n"/>
      <c r="V66" s="64" t="n"/>
      <c r="W66" s="64" t="n"/>
      <c r="X66" s="64" t="n"/>
      <c r="Y66" s="64" t="n"/>
      <c r="Z66" s="64" t="n"/>
      <c r="AA66" s="64" t="n"/>
      <c r="AB66" s="64" t="n"/>
      <c r="AC66" s="64" t="n"/>
      <c r="AD66" s="64" t="n"/>
      <c r="AE66" s="64" t="n"/>
      <c r="AF66" s="64" t="n"/>
      <c r="AG66" s="64" t="n"/>
      <c r="AH66" s="64" t="n"/>
      <c r="AI66" s="64" t="n"/>
      <c r="AJ66" s="64" t="n"/>
      <c r="AK66" s="64" t="n"/>
      <c r="AL66" s="64" t="n"/>
      <c r="AM66" s="64" t="n"/>
      <c r="AN66" s="64" t="n"/>
      <c r="AO66" s="64" t="n"/>
      <c r="AP66" s="64" t="n"/>
      <c r="AQ66" s="64" t="n"/>
      <c r="AR66" s="64" t="n"/>
      <c r="AS66" s="64" t="n"/>
      <c r="AT66" s="64" t="n"/>
    </row>
    <row r="67" ht="18.75" customHeight="1">
      <c r="A67" s="116" t="n"/>
      <c r="B67" s="64" t="n"/>
      <c r="C67" s="64" t="n"/>
      <c r="D67" s="64" t="n"/>
      <c r="E67" s="64" t="n"/>
      <c r="F67" s="136" t="n"/>
      <c r="G67" s="64" t="n"/>
      <c r="H67" s="64" t="n"/>
      <c r="I67" s="64" t="n"/>
      <c r="J67" s="64" t="n"/>
      <c r="K67" s="64" t="n"/>
      <c r="L67" s="64" t="n"/>
      <c r="M67" s="64" t="n"/>
      <c r="N67" s="64" t="n"/>
      <c r="O67" s="64" t="n"/>
      <c r="P67" s="64" t="n"/>
      <c r="Q67" s="64" t="n"/>
      <c r="R67" s="64" t="n"/>
      <c r="S67" s="64" t="n"/>
      <c r="T67" s="64" t="n"/>
      <c r="U67" s="64" t="n"/>
      <c r="V67" s="64" t="n"/>
      <c r="W67" s="64" t="n"/>
      <c r="X67" s="64" t="n"/>
      <c r="Y67" s="64" t="n"/>
      <c r="Z67" s="64" t="n"/>
      <c r="AA67" s="64" t="n"/>
      <c r="AB67" s="64" t="n"/>
      <c r="AC67" s="64" t="n"/>
      <c r="AD67" s="64" t="n"/>
      <c r="AE67" s="64" t="n"/>
      <c r="AF67" s="64" t="n"/>
      <c r="AG67" s="64" t="n"/>
      <c r="AH67" s="64" t="n"/>
      <c r="AI67" s="64" t="n"/>
      <c r="AJ67" s="64" t="n"/>
      <c r="AK67" s="64" t="n"/>
      <c r="AL67" s="64" t="n"/>
      <c r="AM67" s="64" t="n"/>
      <c r="AN67" s="64" t="n"/>
      <c r="AO67" s="64" t="n"/>
      <c r="AP67" s="64" t="n"/>
      <c r="AQ67" s="64" t="n"/>
      <c r="AR67" s="64" t="n"/>
      <c r="AS67" s="64" t="n"/>
      <c r="AT67" s="64" t="n"/>
    </row>
    <row r="68" ht="18.75" customHeight="1">
      <c r="A68" s="114" t="n"/>
      <c r="B68" s="64" t="n"/>
      <c r="C68" s="64" t="n"/>
      <c r="D68" s="64" t="n"/>
      <c r="E68" s="64" t="n"/>
      <c r="F68" s="136" t="n"/>
      <c r="G68" s="64" t="n"/>
      <c r="H68" s="64" t="n"/>
      <c r="I68" s="64" t="n"/>
      <c r="J68" s="64" t="n"/>
      <c r="K68" s="64" t="n"/>
      <c r="L68" s="64" t="n"/>
      <c r="M68" s="64" t="n"/>
      <c r="N68" s="64" t="n"/>
      <c r="O68" s="64" t="n"/>
      <c r="P68" s="64" t="n"/>
      <c r="Q68" s="64" t="n"/>
      <c r="R68" s="64" t="n"/>
      <c r="S68" s="64" t="n"/>
      <c r="T68" s="64" t="n"/>
      <c r="U68" s="64" t="n"/>
      <c r="V68" s="64" t="n"/>
      <c r="W68" s="64" t="n"/>
      <c r="X68" s="64" t="n"/>
      <c r="Y68" s="64" t="n"/>
      <c r="Z68" s="64" t="n"/>
      <c r="AA68" s="64" t="n"/>
      <c r="AB68" s="64" t="n"/>
      <c r="AC68" s="64" t="n"/>
      <c r="AD68" s="64" t="n"/>
      <c r="AE68" s="64" t="n"/>
      <c r="AF68" s="64" t="n"/>
      <c r="AG68" s="64" t="n"/>
      <c r="AH68" s="64" t="n"/>
      <c r="AI68" s="64" t="n"/>
      <c r="AJ68" s="64" t="n"/>
      <c r="AK68" s="64" t="n"/>
      <c r="AL68" s="64" t="n"/>
      <c r="AM68" s="64" t="n"/>
      <c r="AN68" s="64" t="n"/>
      <c r="AO68" s="64" t="n"/>
      <c r="AP68" s="64" t="n"/>
      <c r="AQ68" s="64" t="n"/>
      <c r="AR68" s="64" t="n"/>
      <c r="AS68" s="64" t="n"/>
      <c r="AT68" s="64" t="n"/>
    </row>
    <row r="69" ht="18.75" customHeight="1">
      <c r="A69" s="64" t="n"/>
      <c r="B69" s="64" t="n"/>
      <c r="C69" s="64" t="n"/>
      <c r="D69" s="64" t="n"/>
      <c r="E69" s="64" t="n"/>
      <c r="F69" s="136" t="n"/>
      <c r="G69" s="64" t="n"/>
      <c r="H69" s="64" t="n"/>
      <c r="I69" s="64" t="n"/>
      <c r="J69" s="64" t="n"/>
      <c r="K69" s="64" t="n"/>
      <c r="L69" s="64" t="n"/>
      <c r="M69" s="64" t="n"/>
      <c r="N69" s="64" t="n"/>
      <c r="O69" s="64" t="n"/>
      <c r="P69" s="64" t="n"/>
      <c r="Q69" s="64" t="n"/>
      <c r="R69" s="64" t="n"/>
      <c r="S69" s="64" t="n"/>
      <c r="T69" s="64" t="n"/>
      <c r="U69" s="64" t="n"/>
      <c r="V69" s="64" t="n"/>
      <c r="W69" s="64" t="n"/>
      <c r="X69" s="64" t="n"/>
      <c r="Y69" s="64" t="n"/>
      <c r="Z69" s="64" t="n"/>
      <c r="AA69" s="64" t="n"/>
      <c r="AB69" s="64" t="n"/>
      <c r="AC69" s="64" t="n"/>
      <c r="AD69" s="64" t="n"/>
      <c r="AE69" s="64" t="n"/>
      <c r="AF69" s="64" t="n"/>
      <c r="AG69" s="64" t="n"/>
      <c r="AH69" s="64" t="n"/>
      <c r="AI69" s="64" t="n"/>
      <c r="AJ69" s="64" t="n"/>
      <c r="AK69" s="64" t="n"/>
      <c r="AL69" s="64" t="n"/>
      <c r="AM69" s="64" t="n"/>
      <c r="AN69" s="64" t="n"/>
      <c r="AO69" s="64" t="n"/>
      <c r="AP69" s="64" t="n"/>
      <c r="AQ69" s="64" t="n"/>
      <c r="AR69" s="64" t="n"/>
      <c r="AS69" s="64" t="n"/>
      <c r="AT69" s="64" t="n"/>
    </row>
    <row r="70" ht="18.75" customHeight="1">
      <c r="A70" s="64" t="n"/>
      <c r="B70" s="64" t="n"/>
      <c r="C70" s="64" t="n"/>
      <c r="D70" s="64" t="n"/>
      <c r="E70" s="64" t="n"/>
      <c r="F70" s="136" t="n"/>
      <c r="G70" s="64" t="n"/>
      <c r="H70" s="64" t="n"/>
      <c r="I70" s="64" t="n"/>
      <c r="J70" s="64" t="n"/>
      <c r="K70" s="64" t="n"/>
      <c r="L70" s="64" t="n"/>
      <c r="M70" s="64" t="n"/>
      <c r="N70" s="64" t="n"/>
      <c r="O70" s="64" t="n"/>
      <c r="P70" s="64" t="n"/>
      <c r="Q70" s="64" t="n"/>
      <c r="R70" s="64" t="n"/>
      <c r="S70" s="64" t="n"/>
      <c r="T70" s="64" t="n"/>
      <c r="U70" s="64" t="n"/>
      <c r="V70" s="64" t="n"/>
      <c r="W70" s="64" t="n"/>
      <c r="X70" s="64" t="n"/>
      <c r="Y70" s="64" t="n"/>
      <c r="Z70" s="64" t="n"/>
      <c r="AA70" s="64" t="n"/>
      <c r="AB70" s="64" t="n"/>
      <c r="AC70" s="64" t="n"/>
      <c r="AD70" s="64" t="n"/>
      <c r="AE70" s="64" t="n"/>
      <c r="AF70" s="64" t="n"/>
      <c r="AG70" s="64" t="n"/>
      <c r="AH70" s="64" t="n"/>
      <c r="AI70" s="64" t="n"/>
      <c r="AJ70" s="64" t="n"/>
      <c r="AK70" s="64" t="n"/>
      <c r="AL70" s="64" t="n"/>
      <c r="AM70" s="64" t="n"/>
      <c r="AN70" s="64" t="n"/>
      <c r="AO70" s="64" t="n"/>
      <c r="AP70" s="64" t="n"/>
      <c r="AQ70" s="64" t="n"/>
      <c r="AR70" s="64" t="n"/>
      <c r="AS70" s="64" t="n"/>
      <c r="AT70" s="64" t="n"/>
    </row>
    <row r="71" ht="18.75" customHeight="1">
      <c r="A71" s="64" t="n"/>
      <c r="B71" s="64" t="n"/>
      <c r="C71" s="64" t="n"/>
      <c r="D71" s="64" t="n"/>
      <c r="E71" s="64" t="n"/>
      <c r="F71" s="136" t="n"/>
      <c r="G71" s="64" t="n"/>
      <c r="H71" s="64" t="n"/>
      <c r="I71" s="64" t="n"/>
      <c r="J71" s="64" t="n"/>
      <c r="K71" s="64" t="n"/>
      <c r="L71" s="64" t="n"/>
      <c r="M71" s="64" t="n"/>
      <c r="N71" s="64" t="n"/>
      <c r="O71" s="64" t="n"/>
      <c r="P71" s="64" t="n"/>
      <c r="Q71" s="64" t="n"/>
      <c r="R71" s="64" t="n"/>
      <c r="S71" s="64" t="n"/>
      <c r="T71" s="64" t="n"/>
      <c r="U71" s="64" t="n"/>
      <c r="V71" s="64" t="n"/>
      <c r="W71" s="64" t="n"/>
      <c r="X71" s="64" t="n"/>
      <c r="Y71" s="64" t="n"/>
      <c r="Z71" s="64" t="n"/>
      <c r="AA71" s="64" t="n"/>
      <c r="AB71" s="64" t="n"/>
      <c r="AC71" s="64" t="n"/>
      <c r="AD71" s="64" t="n"/>
      <c r="AE71" s="64" t="n"/>
      <c r="AF71" s="64" t="n"/>
      <c r="AG71" s="64" t="n"/>
      <c r="AH71" s="64" t="n"/>
      <c r="AI71" s="64" t="n"/>
      <c r="AJ71" s="64" t="n"/>
      <c r="AK71" s="64" t="n"/>
      <c r="AL71" s="64" t="n"/>
      <c r="AM71" s="64" t="n"/>
      <c r="AN71" s="64" t="n"/>
      <c r="AO71" s="64" t="n"/>
      <c r="AP71" s="64" t="n"/>
      <c r="AQ71" s="64" t="n"/>
      <c r="AR71" s="64" t="n"/>
      <c r="AS71" s="64" t="n"/>
      <c r="AT71" s="64" t="n"/>
    </row>
    <row r="72" ht="152.25" customFormat="1" customHeight="1" s="18">
      <c r="A72" s="83" t="inlineStr">
        <is>
          <t xml:space="preserve"> এবং যেহেতু আমার ঋন  হিসাবে মূল টাকা ...................................মাত্র ও সুদ   আছে এবং যাহেতু আমি/আমার উল্লিখিত ঋনের সমুদয় অর্থ আমার মৃত্যুর পূর্বে পরিশোধিত না হলে  উক্ত  ঋনের অর্থ আমার উত্তরাধিকার ................... পরিশোধ করবে বলে ঘোষনার  প্রেক্ষিতে আমাকে/আমাদেরকে বিকেবি উল্লেখিত হিসাবের টাকা প্রদানে সম্মত হয়েছে। </t>
        </is>
      </c>
      <c r="P72" s="103" t="n"/>
      <c r="Q72" s="103" t="n"/>
      <c r="R72" s="103" t="n"/>
      <c r="S72" s="103" t="n"/>
      <c r="T72" s="103" t="n"/>
      <c r="U72" s="103" t="n"/>
      <c r="V72" s="103" t="n"/>
      <c r="W72" s="103" t="n"/>
      <c r="X72" s="103" t="n"/>
      <c r="Y72" s="103" t="n"/>
      <c r="Z72" s="103" t="n"/>
      <c r="AA72" s="103" t="n"/>
      <c r="AB72" s="103" t="n"/>
      <c r="AC72" s="103" t="n"/>
      <c r="AD72" s="103" t="n"/>
      <c r="AE72" s="103" t="n"/>
      <c r="AF72" s="103" t="n"/>
      <c r="AG72" s="103" t="n"/>
      <c r="AH72" s="103" t="n"/>
      <c r="AI72" s="103" t="n"/>
      <c r="AJ72" s="103" t="n"/>
      <c r="AK72" s="103" t="n"/>
      <c r="AL72" s="103" t="n"/>
      <c r="AM72" s="103" t="n"/>
      <c r="AN72" s="103" t="n"/>
      <c r="AO72" s="103" t="n"/>
      <c r="AP72" s="103" t="n"/>
      <c r="AQ72" s="103" t="n"/>
      <c r="AR72" s="103" t="n"/>
      <c r="AS72" s="103" t="n"/>
      <c r="AT72" s="103" t="n"/>
    </row>
    <row r="73" ht="19.5" customHeight="1">
      <c r="A73" s="1964" t="n"/>
      <c r="B73" s="1964" t="n"/>
      <c r="C73" s="1964" t="n"/>
      <c r="D73" s="1964" t="n"/>
      <c r="E73" s="1964" t="n"/>
      <c r="F73" s="135" t="n"/>
      <c r="G73" s="1964" t="n"/>
      <c r="H73" s="1964" t="n"/>
      <c r="I73" s="1964" t="n"/>
      <c r="J73" s="1964" t="n"/>
      <c r="K73" s="1964" t="n"/>
      <c r="L73" s="1964" t="n"/>
      <c r="M73" s="1964" t="n"/>
      <c r="N73" s="1964" t="n"/>
      <c r="O73" s="1964" t="n"/>
      <c r="P73" s="64" t="n"/>
      <c r="Q73" s="64" t="n"/>
      <c r="R73" s="64" t="n"/>
      <c r="S73" s="64" t="n"/>
      <c r="T73" s="64" t="n"/>
      <c r="U73" s="64" t="n"/>
      <c r="V73" s="64" t="n"/>
      <c r="W73" s="64" t="n"/>
      <c r="X73" s="64" t="n"/>
      <c r="Y73" s="64" t="n"/>
      <c r="Z73" s="64" t="n"/>
      <c r="AA73" s="64" t="n"/>
      <c r="AB73" s="64" t="n"/>
      <c r="AC73" s="64" t="n"/>
      <c r="AD73" s="64" t="n"/>
      <c r="AE73" s="64" t="n"/>
      <c r="AF73" s="64" t="n"/>
      <c r="AG73" s="64" t="n"/>
      <c r="AH73" s="64" t="n"/>
      <c r="AI73" s="64" t="n"/>
      <c r="AJ73" s="64" t="n"/>
      <c r="AK73" s="64" t="n"/>
      <c r="AL73" s="64" t="n"/>
      <c r="AM73" s="64" t="n"/>
      <c r="AN73" s="64" t="n"/>
      <c r="AO73" s="64" t="n"/>
      <c r="AP73" s="64" t="n"/>
      <c r="AQ73" s="64" t="n"/>
      <c r="AR73" s="64" t="n"/>
      <c r="AS73" s="64" t="n"/>
      <c r="AT73" s="64" t="n"/>
    </row>
  </sheetData>
  <mergeCells count="3">
    <mergeCell ref="A28:O28"/>
    <mergeCell ref="A26:O26"/>
    <mergeCell ref="A72:O72"/>
  </mergeCells>
  <pageMargins left="0.7" right="0.7" top="0.75" bottom="0.75" header="0.3" footer="0.3"/>
</worksheet>
</file>

<file path=xl/worksheets/sheet31.xml><?xml version="1.0" encoding="utf-8"?>
<worksheet xmlns="http://schemas.openxmlformats.org/spreadsheetml/2006/main">
  <sheetPr>
    <outlinePr summaryBelow="0"/>
    <pageSetUpPr/>
  </sheetPr>
  <dimension ref="A1:AY62"/>
  <sheetViews>
    <sheetView workbookViewId="0">
      <selection activeCell="A1" sqref="A1"/>
    </sheetView>
  </sheetViews>
  <sheetFormatPr baseColWidth="8" defaultRowHeight="15"/>
  <cols>
    <col width="3.719285714285714" bestFit="1" customWidth="1" style="64" min="1" max="1"/>
    <col width="2.719285714285714" bestFit="1" customWidth="1" style="108" min="2" max="2"/>
    <col width="2.290714285714285" bestFit="1" customWidth="1" style="108" min="3" max="3"/>
    <col width="2.290714285714285" bestFit="1" customWidth="1" style="108" min="4" max="4"/>
    <col width="2.290714285714285" bestFit="1" customWidth="1" style="108" min="5" max="5"/>
    <col width="2.290714285714285" bestFit="1" customWidth="1" style="108" min="6" max="6"/>
    <col width="2.290714285714285" bestFit="1" customWidth="1" style="108" min="7" max="7"/>
    <col width="2.290714285714285" bestFit="1" customWidth="1" style="108" min="8" max="8"/>
    <col width="1.290714285714286" bestFit="1" customWidth="1" style="108" min="9" max="9"/>
    <col width="2.719285714285714" bestFit="1" customWidth="1" style="108" min="10" max="10"/>
    <col width="2.719285714285714" bestFit="1" customWidth="1" style="108" min="11" max="11"/>
    <col width="2.290714285714285" bestFit="1" customWidth="1" style="108" min="12" max="12"/>
    <col width="2.290714285714285" bestFit="1" customWidth="1" style="108" min="13" max="13"/>
    <col width="2.290714285714285" bestFit="1" customWidth="1" style="108" min="14" max="14"/>
    <col width="2.290714285714285" bestFit="1" customWidth="1" style="108" min="15" max="15"/>
    <col width="2.290714285714285" bestFit="1" customWidth="1" style="108" min="16" max="16"/>
    <col width="4.433571428571429" bestFit="1" customWidth="1" style="108" min="17" max="17"/>
    <col width="2.290714285714285" bestFit="1" customWidth="1" style="108" min="18" max="18"/>
    <col width="2.290714285714285" bestFit="1" customWidth="1" style="108" min="19" max="19"/>
    <col width="1.719285714285714" bestFit="1" customWidth="1" style="108" min="20" max="20"/>
    <col width="1.719285714285714" bestFit="1" customWidth="1" style="108" min="21" max="21"/>
    <col width="1.719285714285714" bestFit="1" customWidth="1" style="108" min="22" max="22"/>
    <col width="1.719285714285714" bestFit="1" customWidth="1" style="108" min="23" max="23"/>
    <col width="1.719285714285714" bestFit="1" customWidth="1" style="108" min="24" max="24"/>
    <col width="1.147857142857143" bestFit="1" customWidth="1" style="108" min="25" max="25"/>
    <col width="1.719285714285714" bestFit="1" customWidth="1" style="108" min="26" max="26"/>
    <col width="1.719285714285714" bestFit="1" customWidth="1" style="108" min="27" max="27"/>
    <col width="2.290714285714285" bestFit="1" customWidth="1" style="108" min="28" max="28"/>
    <col width="2.290714285714285" bestFit="1" customWidth="1" style="108" min="29" max="29"/>
    <col width="1.862142857142857" bestFit="1" customWidth="1" style="108" min="30" max="30"/>
    <col width="2.862142857142857" bestFit="1" customWidth="1" style="108" min="31" max="31"/>
    <col width="2.862142857142857" bestFit="1" customWidth="1" style="108" min="32" max="32"/>
    <col width="2.862142857142857" bestFit="1" customWidth="1" style="108" min="33" max="33"/>
    <col width="2.290714285714285" bestFit="1" customWidth="1" style="108" min="34" max="34"/>
    <col width="2.290714285714285" bestFit="1" customWidth="1" style="108" min="35" max="35"/>
    <col width="2.290714285714285" bestFit="1" customWidth="1" style="108" min="36" max="36"/>
    <col width="2.290714285714285" bestFit="1" customWidth="1" style="108" min="37" max="37"/>
    <col width="2.290714285714285" bestFit="1" customWidth="1" style="108" min="38" max="38"/>
    <col width="2.290714285714285" bestFit="1" customWidth="1" style="108" min="39" max="39"/>
    <col width="2.290714285714285" bestFit="1" customWidth="1" style="108" min="40" max="40"/>
    <col width="2.005" bestFit="1" customWidth="1" style="108" min="41" max="41"/>
    <col width="2.005" bestFit="1" customWidth="1" style="108" min="42" max="42"/>
    <col width="2.005" bestFit="1" customWidth="1" style="108" min="43" max="43"/>
    <col width="2.005" bestFit="1" customWidth="1" style="108" min="44" max="44"/>
    <col width="2.005" bestFit="1" customWidth="1" style="64" min="45" max="45"/>
    <col width="2.005" bestFit="1" customWidth="1" style="64" min="46" max="46"/>
    <col width="13.57642857142857" bestFit="1" customWidth="1" style="64" min="47" max="47"/>
    <col width="11.43357142857143" bestFit="1" customWidth="1" style="64" min="48" max="48"/>
    <col width="11.71928571428571" bestFit="1" customWidth="1" style="64" min="49" max="49"/>
    <col width="13.57642857142857" bestFit="1" customWidth="1" style="64" min="50" max="50"/>
    <col width="13.57642857142857" bestFit="1" customWidth="1" style="103" min="51" max="51"/>
  </cols>
  <sheetData>
    <row r="1" ht="30.75" customFormat="1" customHeight="1" s="18">
      <c r="A1" s="419" t="n"/>
      <c r="AU1" s="103" t="n"/>
      <c r="AV1" s="103" t="n"/>
      <c r="AW1" s="103" t="n"/>
      <c r="AX1" s="103" t="n"/>
      <c r="AY1" s="69" t="n"/>
    </row>
    <row r="2" ht="19.5" customFormat="1" customHeight="1" s="18">
      <c r="A2" s="172" t="n"/>
      <c r="AU2" s="103" t="n"/>
      <c r="AV2" s="103" t="n"/>
      <c r="AW2" s="103" t="n"/>
      <c r="AX2" s="103" t="n"/>
      <c r="AY2" s="71" t="n"/>
    </row>
    <row r="3" ht="13.5" customFormat="1" customHeight="1" s="18">
      <c r="A3" s="173" t="n"/>
      <c r="AU3" s="103" t="n"/>
      <c r="AV3" s="103" t="n"/>
      <c r="AW3" s="103" t="n"/>
      <c r="AX3" s="103" t="n"/>
      <c r="AY3" s="73" t="n"/>
    </row>
    <row r="4" ht="13.5" customFormat="1" customHeight="1" s="18">
      <c r="A4" s="74" t="n"/>
      <c r="AU4" s="103" t="n"/>
      <c r="AV4" s="103" t="n"/>
      <c r="AW4" s="103" t="n"/>
      <c r="AX4" s="103" t="n"/>
      <c r="AY4" s="75" t="n"/>
    </row>
    <row r="5" ht="18.75" customHeight="1">
      <c r="A5" s="600" t="n"/>
      <c r="B5" s="600" t="n"/>
      <c r="C5" s="600" t="n"/>
      <c r="D5" s="600" t="n"/>
      <c r="E5" s="600" t="n"/>
      <c r="F5" s="600" t="n"/>
      <c r="G5" s="600" t="n"/>
      <c r="H5" s="600" t="n"/>
      <c r="I5" s="600" t="n"/>
      <c r="J5" s="600" t="n"/>
      <c r="K5" s="600" t="n"/>
      <c r="L5" s="600" t="n"/>
      <c r="M5" s="600" t="n"/>
      <c r="N5" s="600" t="n"/>
      <c r="O5" s="600" t="n"/>
      <c r="P5" s="600" t="n"/>
      <c r="Q5" s="600" t="n"/>
      <c r="R5" s="600" t="n"/>
      <c r="S5" s="600" t="n"/>
      <c r="T5" s="600" t="n"/>
      <c r="U5" s="600" t="n"/>
      <c r="V5" s="600" t="n"/>
      <c r="W5" s="600" t="n"/>
      <c r="X5" s="600" t="n"/>
      <c r="Y5" s="600" t="n"/>
      <c r="Z5" s="600" t="n"/>
      <c r="AA5" s="600" t="n"/>
      <c r="AB5" s="600" t="n"/>
      <c r="AC5" s="600" t="n"/>
      <c r="AD5" s="600" t="n"/>
      <c r="AE5" s="600" t="n"/>
      <c r="AF5" s="108" t="n"/>
      <c r="AG5" s="76" t="n"/>
      <c r="AH5" s="76" t="n"/>
      <c r="AI5" s="108" t="n"/>
      <c r="AJ5" s="108" t="n"/>
      <c r="AK5" s="108" t="n"/>
      <c r="AL5" s="76" t="n"/>
      <c r="AM5" s="76" t="n"/>
      <c r="AN5" s="76" t="n"/>
      <c r="AO5" s="77" t="n"/>
      <c r="AP5" s="77" t="n"/>
      <c r="AQ5" s="77" t="n"/>
      <c r="AR5" s="77" t="n"/>
      <c r="AS5" s="77" t="n"/>
      <c r="AT5" s="78" t="n"/>
      <c r="AU5" s="64" t="n"/>
      <c r="AV5" s="64" t="n"/>
      <c r="AW5" s="64" t="n"/>
      <c r="AX5" s="64" t="n"/>
      <c r="AY5" s="103" t="n"/>
    </row>
    <row r="6" ht="18.75" customHeight="1">
      <c r="A6" s="600" t="n"/>
      <c r="B6" s="600" t="n"/>
      <c r="C6" s="600" t="n"/>
      <c r="D6" s="600" t="n"/>
      <c r="E6" s="600" t="n"/>
      <c r="F6" s="600" t="n"/>
      <c r="G6" s="600" t="n"/>
      <c r="H6" s="600" t="n"/>
      <c r="I6" s="600" t="n"/>
      <c r="J6" s="600" t="n"/>
      <c r="K6" s="600" t="n"/>
      <c r="L6" s="600" t="n"/>
      <c r="M6" s="600" t="n"/>
      <c r="N6" s="600" t="n"/>
      <c r="O6" s="600" t="n"/>
      <c r="P6" s="600" t="n"/>
      <c r="Q6" s="600" t="n"/>
      <c r="R6" s="600" t="n"/>
      <c r="S6" s="600" t="n"/>
      <c r="T6" s="600" t="n"/>
      <c r="U6" s="600" t="n"/>
      <c r="V6" s="600" t="n"/>
      <c r="W6" s="600" t="n"/>
      <c r="X6" s="600" t="n"/>
      <c r="Y6" s="600" t="n"/>
      <c r="Z6" s="600" t="n"/>
      <c r="AA6" s="600" t="n"/>
      <c r="AB6" s="600" t="n"/>
      <c r="AC6" s="600" t="n"/>
      <c r="AD6" s="600" t="n"/>
      <c r="AE6" s="600" t="n"/>
      <c r="AF6" s="108" t="n"/>
      <c r="AG6" s="76" t="n"/>
      <c r="AH6" s="76" t="n"/>
      <c r="AI6" s="108" t="n"/>
      <c r="AJ6" s="108" t="n"/>
      <c r="AK6" s="108" t="n"/>
      <c r="AL6" s="76" t="n"/>
      <c r="AM6" s="76" t="n"/>
      <c r="AN6" s="76" t="n"/>
      <c r="AO6" s="77" t="n"/>
      <c r="AP6" s="77" t="n"/>
      <c r="AQ6" s="77" t="n"/>
      <c r="AR6" s="77" t="n"/>
      <c r="AS6" s="77" t="n"/>
      <c r="AT6" s="78" t="n"/>
      <c r="AU6" s="64" t="n"/>
      <c r="AV6" s="64" t="n"/>
      <c r="AW6" s="64" t="n"/>
      <c r="AX6" s="64" t="n"/>
      <c r="AY6" s="103" t="n"/>
    </row>
    <row r="7" ht="16.5" customHeight="1">
      <c r="A7" s="600" t="n"/>
      <c r="B7" s="600" t="n"/>
      <c r="C7" s="600" t="n"/>
      <c r="D7" s="600" t="n"/>
      <c r="E7" s="600" t="n"/>
      <c r="F7" s="600" t="n"/>
      <c r="G7" s="600" t="n"/>
      <c r="H7" s="600" t="n"/>
      <c r="I7" s="600" t="n"/>
      <c r="J7" s="600" t="n"/>
      <c r="K7" s="600" t="n"/>
      <c r="L7" s="600" t="n"/>
      <c r="M7" s="600" t="n"/>
      <c r="N7" s="600" t="n"/>
      <c r="O7" s="600" t="n"/>
      <c r="P7" s="600" t="n"/>
      <c r="Q7" s="600" t="n"/>
      <c r="R7" s="600" t="n"/>
      <c r="S7" s="600" t="n"/>
      <c r="T7" s="600" t="n"/>
      <c r="U7" s="600" t="n"/>
      <c r="V7" s="600" t="n"/>
      <c r="W7" s="600" t="n"/>
      <c r="X7" s="600" t="n"/>
      <c r="Y7" s="600" t="n"/>
      <c r="Z7" s="600" t="n"/>
      <c r="AA7" s="600" t="n"/>
      <c r="AB7" s="600" t="n"/>
      <c r="AC7" s="600" t="n"/>
      <c r="AD7" s="600" t="n"/>
      <c r="AE7" s="600" t="n"/>
      <c r="AF7" s="108" t="n"/>
      <c r="AG7" s="76" t="n"/>
      <c r="AH7" s="76" t="n"/>
      <c r="AI7" s="108" t="n"/>
      <c r="AJ7" s="108" t="n"/>
      <c r="AK7" s="108" t="n"/>
      <c r="AL7" s="76" t="n"/>
      <c r="AM7" s="76" t="n"/>
      <c r="AN7" s="76" t="n"/>
      <c r="AO7" s="77" t="n"/>
      <c r="AP7" s="77" t="n"/>
      <c r="AQ7" s="77" t="n"/>
      <c r="AR7" s="77" t="n"/>
      <c r="AS7" s="77" t="n"/>
      <c r="AT7" s="78" t="n"/>
      <c r="AU7" s="64" t="n"/>
      <c r="AV7" s="64" t="n"/>
      <c r="AW7" s="64" t="n"/>
      <c r="AX7" s="64" t="n"/>
      <c r="AY7" s="103" t="n"/>
    </row>
    <row r="8" ht="18.75" customHeight="1">
      <c r="A8" s="64" t="n"/>
      <c r="B8" s="108" t="n"/>
      <c r="C8" s="108" t="n"/>
      <c r="D8" s="108" t="n"/>
      <c r="E8" s="108" t="n"/>
      <c r="F8" s="108" t="n"/>
      <c r="G8" s="108" t="n"/>
      <c r="H8" s="108" t="n"/>
      <c r="I8" s="108" t="n"/>
      <c r="J8" s="108" t="n"/>
      <c r="K8" s="108" t="n"/>
      <c r="L8" s="108" t="n"/>
      <c r="M8" s="108" t="n"/>
      <c r="N8" s="108" t="n"/>
      <c r="O8" s="108" t="n"/>
      <c r="P8" s="108" t="n"/>
      <c r="Q8" s="108" t="n"/>
      <c r="R8" s="108" t="n"/>
      <c r="S8" s="108" t="n"/>
      <c r="T8" s="108" t="n"/>
      <c r="U8" s="108" t="n"/>
      <c r="V8" s="108" t="n"/>
      <c r="W8" s="108" t="n"/>
      <c r="X8" s="108" t="n"/>
      <c r="Y8" s="108" t="n"/>
      <c r="Z8" s="108" t="n"/>
      <c r="AA8" s="108" t="n"/>
      <c r="AB8" s="108" t="n"/>
      <c r="AC8" s="108" t="n"/>
      <c r="AD8" s="108" t="n"/>
      <c r="AE8" s="108" t="n"/>
      <c r="AF8" s="108" t="n"/>
      <c r="AG8" s="108" t="n"/>
      <c r="AH8" s="108" t="n"/>
      <c r="AI8" s="108" t="n"/>
      <c r="AJ8" s="108" t="n"/>
      <c r="AK8" s="108" t="n"/>
      <c r="AL8" s="108" t="n"/>
      <c r="AM8" s="108" t="n"/>
      <c r="AN8" s="108" t="n"/>
      <c r="AO8" s="108" t="n"/>
      <c r="AP8" s="108" t="n"/>
      <c r="AQ8" s="108" t="n"/>
      <c r="AR8" s="108" t="n"/>
      <c r="AS8" s="64" t="n"/>
      <c r="AT8" s="64" t="n"/>
      <c r="AU8" s="64" t="n"/>
      <c r="AV8" s="64" t="n"/>
      <c r="AW8" s="64" t="n"/>
      <c r="AX8" s="64" t="n"/>
      <c r="AY8" s="103" t="n"/>
    </row>
    <row r="9" ht="16.5" customHeight="1">
      <c r="A9" s="600" t="n"/>
      <c r="B9" s="600" t="n"/>
      <c r="C9" s="600" t="n"/>
      <c r="D9" s="600" t="n"/>
      <c r="E9" s="600" t="n"/>
      <c r="F9" s="600" t="n"/>
      <c r="G9" s="600" t="n"/>
      <c r="H9" s="600" t="n"/>
      <c r="I9" s="600" t="n"/>
      <c r="J9" s="600" t="n"/>
      <c r="K9" s="600" t="n"/>
      <c r="L9" s="600" t="n"/>
      <c r="M9" s="600" t="n"/>
      <c r="N9" s="600" t="n"/>
      <c r="O9" s="600" t="inlineStr">
        <is>
          <t xml:space="preserve">                                                   </t>
        </is>
      </c>
      <c r="P9" s="600" t="n"/>
      <c r="Q9" s="600" t="n"/>
      <c r="R9" s="600" t="n"/>
      <c r="S9" s="600" t="n"/>
      <c r="T9" s="600" t="n"/>
      <c r="U9" s="600" t="n"/>
      <c r="V9" s="600" t="n"/>
      <c r="W9" s="600" t="n"/>
      <c r="X9" s="600" t="n"/>
      <c r="Y9" s="600" t="n"/>
      <c r="Z9" s="600" t="n"/>
      <c r="AA9" s="600" t="n"/>
      <c r="AB9" s="600" t="n"/>
      <c r="AC9" s="600" t="n"/>
      <c r="AD9" s="600" t="n"/>
      <c r="AE9" s="600" t="n"/>
      <c r="AF9" s="108" t="n"/>
      <c r="AG9" s="76" t="n"/>
      <c r="AH9" s="76" t="n"/>
      <c r="AI9" s="108" t="n"/>
      <c r="AJ9" s="108" t="n"/>
      <c r="AK9" s="108" t="n"/>
      <c r="AL9" s="76" t="n"/>
      <c r="AM9" s="76" t="n"/>
      <c r="AN9" s="76" t="n"/>
      <c r="AO9" s="77" t="n"/>
      <c r="AP9" s="77" t="n"/>
      <c r="AQ9" s="77" t="n"/>
      <c r="AR9" s="77" t="n"/>
      <c r="AS9" s="77" t="n"/>
      <c r="AT9" s="78" t="n"/>
      <c r="AU9" s="64" t="n"/>
      <c r="AV9" s="64" t="n"/>
      <c r="AW9" s="64" t="n"/>
      <c r="AX9" s="64" t="n"/>
      <c r="AY9" s="103" t="n"/>
    </row>
    <row r="10" ht="123.75" customHeight="1">
      <c r="A10" s="600" t="n"/>
      <c r="B10" s="600" t="n"/>
      <c r="C10" s="600" t="n"/>
      <c r="D10" s="600" t="n"/>
      <c r="E10" s="600" t="n"/>
      <c r="F10" s="600" t="n"/>
      <c r="G10" s="600" t="n"/>
      <c r="H10" s="600" t="n"/>
      <c r="I10" s="600" t="n"/>
      <c r="J10" s="600" t="n"/>
      <c r="K10" s="600" t="n"/>
      <c r="L10" s="600" t="n"/>
      <c r="M10" s="600" t="n"/>
      <c r="N10" s="600" t="n"/>
      <c r="O10" s="600" t="n"/>
      <c r="P10" s="600" t="n"/>
      <c r="Q10" s="600" t="n"/>
      <c r="R10" s="600" t="n"/>
      <c r="S10" s="600" t="n"/>
      <c r="T10" s="600" t="n"/>
      <c r="U10" s="600" t="n"/>
      <c r="V10" s="600" t="n"/>
      <c r="W10" s="600" t="n"/>
      <c r="X10" s="600" t="n"/>
      <c r="Y10" s="600" t="n"/>
      <c r="Z10" s="600" t="n"/>
      <c r="AA10" s="600" t="n"/>
      <c r="AB10" s="600" t="n"/>
      <c r="AC10" s="600" t="n"/>
      <c r="AD10" s="600" t="n"/>
      <c r="AE10" s="600" t="n"/>
      <c r="AF10" s="108" t="n"/>
      <c r="AG10" s="76" t="n"/>
      <c r="AH10" s="76" t="n"/>
      <c r="AI10" s="108" t="n"/>
      <c r="AJ10" s="108" t="n"/>
      <c r="AK10" s="108" t="n"/>
      <c r="AL10" s="76" t="n"/>
      <c r="AM10" s="76" t="n"/>
      <c r="AN10" s="76" t="n"/>
      <c r="AO10" s="77" t="n"/>
      <c r="AP10" s="77" t="n"/>
      <c r="AQ10" s="77" t="n"/>
      <c r="AR10" s="77" t="n"/>
      <c r="AS10" s="77" t="n"/>
      <c r="AT10" s="78" t="n"/>
      <c r="AU10" s="64" t="n"/>
      <c r="AV10" s="64" t="n"/>
      <c r="AW10" s="64" t="n"/>
      <c r="AX10" s="64" t="n"/>
      <c r="AY10" s="103" t="n"/>
    </row>
    <row r="11" ht="16.5" customHeight="1">
      <c r="A11" s="600" t="n"/>
      <c r="B11" s="79" t="n"/>
      <c r="C11" s="80" t="n"/>
      <c r="D11" s="600" t="n"/>
      <c r="E11" s="600" t="n"/>
      <c r="F11" s="600" t="n"/>
      <c r="G11" s="600" t="n"/>
      <c r="H11" s="600" t="n"/>
      <c r="I11" s="600" t="n"/>
      <c r="J11" s="600" t="n"/>
      <c r="K11" s="600" t="n"/>
      <c r="L11" s="600" t="n"/>
      <c r="M11" s="600" t="n"/>
      <c r="N11" s="600" t="n"/>
      <c r="O11" s="600" t="n"/>
      <c r="P11" s="600" t="n"/>
      <c r="Q11" s="600" t="n"/>
      <c r="R11" s="600" t="n"/>
      <c r="S11" s="600" t="n"/>
      <c r="T11" s="600" t="n"/>
      <c r="U11" s="600" t="n"/>
      <c r="V11" s="600" t="n"/>
      <c r="W11" s="600" t="n"/>
      <c r="X11" s="600" t="n"/>
      <c r="Y11" s="600" t="n"/>
      <c r="Z11" s="600" t="n"/>
      <c r="AA11" s="600" t="n"/>
      <c r="AB11" s="600" t="n"/>
      <c r="AC11" s="600" t="n"/>
      <c r="AD11" s="600" t="n"/>
      <c r="AE11" s="600" t="n"/>
      <c r="AF11" s="600" t="n"/>
      <c r="AG11" s="600" t="n"/>
      <c r="AH11" s="600" t="n"/>
      <c r="AI11" s="600" t="n"/>
      <c r="AJ11" s="600" t="n"/>
      <c r="AK11" s="600" t="n"/>
      <c r="AL11" s="600" t="n"/>
      <c r="AM11" s="600" t="n"/>
      <c r="AN11" s="600" t="n"/>
      <c r="AO11" s="600" t="n"/>
      <c r="AP11" s="600" t="n"/>
      <c r="AQ11" s="600" t="n"/>
      <c r="AR11" s="600" t="n"/>
      <c r="AS11" s="64" t="n"/>
      <c r="AT11" s="64" t="n"/>
      <c r="AU11" s="64" t="n"/>
      <c r="AV11" s="64" t="n"/>
      <c r="AW11" s="64" t="n"/>
      <c r="AX11" s="64" t="n"/>
      <c r="AY11" s="103" t="n"/>
    </row>
    <row r="12" ht="24.75" customHeight="1">
      <c r="A12" s="62" t="n"/>
      <c r="B12" s="81" t="n"/>
      <c r="C12" s="82" t="n"/>
      <c r="D12" s="62" t="n"/>
      <c r="E12" s="62" t="n"/>
      <c r="F12" s="62" t="n"/>
      <c r="G12" s="62" t="n"/>
      <c r="H12" s="62" t="n"/>
      <c r="I12" s="62" t="n"/>
      <c r="J12" s="62" t="n"/>
      <c r="K12" s="62" t="n"/>
      <c r="L12" s="62" t="n"/>
      <c r="M12" s="62" t="n"/>
      <c r="N12" s="62" t="n"/>
      <c r="O12" s="62" t="n"/>
      <c r="P12" s="62" t="n"/>
      <c r="Q12" s="62" t="n"/>
      <c r="R12" s="62" t="n"/>
      <c r="S12" s="62" t="n"/>
      <c r="T12" s="62" t="n"/>
      <c r="U12" s="62" t="n"/>
      <c r="V12" s="62" t="n"/>
      <c r="W12" s="62" t="n"/>
      <c r="X12" s="62" t="n"/>
      <c r="Y12" s="62" t="n"/>
      <c r="Z12" s="62" t="n"/>
      <c r="AA12" s="62" t="n"/>
      <c r="AB12" s="62" t="n"/>
      <c r="AC12" s="62" t="n"/>
      <c r="AD12" s="62" t="n"/>
      <c r="AE12" s="62" t="n"/>
      <c r="AF12" s="62" t="n"/>
      <c r="AG12" s="62" t="n"/>
      <c r="AH12" s="62" t="n"/>
      <c r="AI12" s="62" t="n"/>
      <c r="AJ12" s="62" t="n"/>
      <c r="AK12" s="62" t="n"/>
      <c r="AL12" s="62" t="n"/>
      <c r="AM12" s="62" t="n"/>
      <c r="AN12" s="62" t="n"/>
      <c r="AO12" s="62" t="n"/>
      <c r="AP12" s="62" t="n"/>
      <c r="AQ12" s="62" t="n"/>
      <c r="AR12" s="62" t="n"/>
      <c r="AS12" s="64" t="n"/>
      <c r="AT12" s="64" t="n"/>
      <c r="AU12" s="64" t="n"/>
      <c r="AV12" s="64" t="n"/>
      <c r="AW12" s="64" t="n"/>
      <c r="AX12" s="64" t="n"/>
      <c r="AY12" s="103" t="n"/>
    </row>
    <row r="13" ht="24.75" customHeight="1">
      <c r="A13" s="64" t="n"/>
      <c r="B13" s="62" t="n"/>
      <c r="C13" s="62" t="n"/>
      <c r="D13" s="62" t="n"/>
      <c r="E13" s="62" t="n"/>
      <c r="F13" s="62" t="n"/>
      <c r="G13" s="62" t="n"/>
      <c r="H13" s="62" t="n"/>
      <c r="I13" s="62" t="n"/>
      <c r="J13" s="62" t="n"/>
      <c r="K13" s="62" t="n"/>
      <c r="L13" s="62" t="n"/>
      <c r="M13" s="62" t="n"/>
      <c r="N13" s="62" t="n"/>
      <c r="O13" s="62" t="n"/>
      <c r="P13" s="62" t="n"/>
      <c r="Q13" s="62" t="n"/>
      <c r="R13" s="62" t="n"/>
      <c r="S13" s="62" t="n"/>
      <c r="T13" s="62" t="n"/>
      <c r="U13" s="62" t="n"/>
      <c r="V13" s="62" t="n"/>
      <c r="W13" s="62" t="n"/>
      <c r="X13" s="62" t="n"/>
      <c r="Y13" s="62" t="n"/>
      <c r="Z13" s="62" t="n"/>
      <c r="AA13" s="62" t="n"/>
      <c r="AB13" s="62" t="n"/>
      <c r="AC13" s="62" t="n"/>
      <c r="AD13" s="62" t="n"/>
      <c r="AE13" s="62" t="n"/>
      <c r="AF13" s="62" t="n"/>
      <c r="AG13" s="62" t="n"/>
      <c r="AH13" s="62" t="n"/>
      <c r="AI13" s="62" t="n"/>
      <c r="AJ13" s="62" t="n"/>
      <c r="AK13" s="62" t="n"/>
      <c r="AL13" s="62" t="n"/>
      <c r="AM13" s="62" t="n"/>
      <c r="AN13" s="62" t="n"/>
      <c r="AO13" s="62" t="n"/>
      <c r="AP13" s="62" t="n"/>
      <c r="AQ13" s="62" t="n"/>
      <c r="AR13" s="62" t="n"/>
      <c r="AS13" s="64" t="n"/>
      <c r="AT13" s="64" t="n"/>
      <c r="AU13" s="64" t="n"/>
      <c r="AV13" s="64" t="n"/>
      <c r="AW13" s="64" t="n"/>
      <c r="AX13" s="64" t="n"/>
      <c r="AY13" s="103" t="n"/>
    </row>
    <row r="14" ht="24.75" customHeight="1">
      <c r="A14" s="83" t="n"/>
      <c r="B14" s="62" t="n"/>
      <c r="C14" s="62" t="n"/>
      <c r="D14" s="62" t="n"/>
      <c r="E14" s="62" t="n"/>
      <c r="F14" s="62" t="n"/>
      <c r="G14" s="62" t="n"/>
      <c r="H14" s="62" t="n"/>
      <c r="I14" s="62" t="n"/>
      <c r="J14" s="62" t="n"/>
      <c r="K14" s="62" t="n"/>
      <c r="L14" s="62" t="n"/>
      <c r="M14" s="62" t="n"/>
      <c r="N14" s="62" t="n"/>
      <c r="O14" s="62" t="n"/>
      <c r="P14" s="62" t="n"/>
      <c r="Q14" s="62" t="n"/>
      <c r="R14" s="62" t="n"/>
      <c r="S14" s="62" t="n"/>
      <c r="T14" s="62" t="n"/>
      <c r="U14" s="62" t="n"/>
      <c r="V14" s="62" t="n"/>
      <c r="W14" s="62" t="n"/>
      <c r="X14" s="62" t="n"/>
      <c r="Y14" s="62" t="n"/>
      <c r="Z14" s="62" t="n"/>
      <c r="AA14" s="62" t="n"/>
      <c r="AB14" s="62" t="n"/>
      <c r="AC14" s="62" t="n"/>
      <c r="AD14" s="62" t="n"/>
      <c r="AE14" s="62" t="n"/>
      <c r="AF14" s="62" t="n"/>
      <c r="AG14" s="62" t="n"/>
      <c r="AH14" s="62" t="n"/>
      <c r="AI14" s="62" t="n"/>
      <c r="AJ14" s="62" t="n"/>
      <c r="AK14" s="62" t="n"/>
      <c r="AL14" s="62" t="n"/>
      <c r="AM14" s="62" t="n"/>
      <c r="AN14" s="62" t="n"/>
      <c r="AO14" s="62" t="n"/>
      <c r="AP14" s="62" t="n"/>
      <c r="AQ14" s="62" t="n"/>
      <c r="AR14" s="62" t="n"/>
      <c r="AS14" s="64" t="n"/>
      <c r="AT14" s="64" t="n"/>
      <c r="AU14" s="64" t="n"/>
      <c r="AV14" s="64" t="n"/>
      <c r="AW14" s="64" t="n"/>
      <c r="AX14" s="64" t="n"/>
      <c r="AY14" s="103" t="n"/>
    </row>
    <row r="15" ht="22.5" customHeight="1">
      <c r="A15" s="199" t="n"/>
      <c r="B15" s="1964" t="n"/>
      <c r="C15" s="1964" t="n"/>
      <c r="D15" s="600" t="n"/>
      <c r="E15" s="600" t="n"/>
      <c r="F15" s="600" t="n"/>
      <c r="G15" s="600" t="n"/>
      <c r="H15" s="600" t="n"/>
      <c r="I15" s="600" t="n"/>
      <c r="J15" s="600" t="n"/>
      <c r="K15" s="600" t="n"/>
      <c r="L15" s="600" t="n"/>
      <c r="M15" s="600" t="n"/>
      <c r="N15" s="600" t="n"/>
      <c r="O15" s="600" t="n"/>
      <c r="P15" s="600" t="n"/>
      <c r="Q15" s="600" t="n"/>
      <c r="R15" s="600" t="n"/>
      <c r="S15" s="600" t="n"/>
      <c r="T15" s="600" t="n"/>
      <c r="U15" s="600" t="n"/>
      <c r="V15" s="600" t="n"/>
      <c r="W15" s="600" t="n"/>
      <c r="X15" s="600" t="n"/>
      <c r="Y15" s="600" t="n"/>
      <c r="Z15" s="600" t="n"/>
      <c r="AA15" s="600" t="n"/>
      <c r="AB15" s="600" t="n"/>
      <c r="AC15" s="600" t="n"/>
      <c r="AD15" s="600" t="n"/>
      <c r="AE15" s="600" t="n"/>
      <c r="AF15" s="600" t="n"/>
      <c r="AG15" s="600" t="n"/>
      <c r="AH15" s="600" t="n"/>
      <c r="AI15" s="600" t="n"/>
      <c r="AJ15" s="600" t="n"/>
      <c r="AK15" s="600" t="n"/>
      <c r="AL15" s="600" t="n"/>
      <c r="AM15" s="600" t="n"/>
      <c r="AN15" s="600" t="n"/>
      <c r="AO15" s="600" t="n"/>
      <c r="AP15" s="600" t="n"/>
      <c r="AQ15" s="600" t="n"/>
      <c r="AR15" s="600" t="n"/>
      <c r="AS15" s="64" t="n"/>
      <c r="AT15" s="64" t="n"/>
      <c r="AU15" s="64" t="n"/>
      <c r="AV15" s="64" t="n"/>
      <c r="AW15" s="64" t="n"/>
      <c r="AX15" s="64" t="n"/>
      <c r="AY15" s="103" t="n"/>
    </row>
    <row r="16" ht="20.25" customHeight="1">
      <c r="A16" s="600" t="n"/>
      <c r="B16" s="79" t="n"/>
      <c r="C16" s="80" t="n"/>
      <c r="D16" s="600" t="n"/>
      <c r="E16" s="600" t="n"/>
      <c r="F16" s="600" t="n"/>
      <c r="G16" s="600" t="n"/>
      <c r="H16" s="600" t="n"/>
      <c r="I16" s="600" t="n"/>
      <c r="J16" s="600" t="n"/>
      <c r="K16" s="600" t="n"/>
      <c r="L16" s="600" t="n"/>
      <c r="M16" s="600" t="n"/>
      <c r="N16" s="600" t="n"/>
      <c r="O16" s="600" t="n"/>
      <c r="P16" s="600" t="n"/>
      <c r="Q16" s="600" t="n"/>
      <c r="R16" s="600" t="n"/>
      <c r="S16" s="600" t="n"/>
      <c r="T16" s="600" t="n"/>
      <c r="U16" s="600" t="n"/>
      <c r="V16" s="600" t="n"/>
      <c r="W16" s="600" t="n"/>
      <c r="X16" s="600" t="n"/>
      <c r="Y16" s="600" t="n"/>
      <c r="Z16" s="600" t="n"/>
      <c r="AA16" s="600" t="n"/>
      <c r="AB16" s="600" t="n"/>
      <c r="AC16" s="600" t="n"/>
      <c r="AD16" s="600" t="n"/>
      <c r="AE16" s="600" t="n"/>
      <c r="AF16" s="600" t="n"/>
      <c r="AG16" s="600" t="n"/>
      <c r="AH16" s="600" t="n"/>
      <c r="AI16" s="600" t="n"/>
      <c r="AJ16" s="600" t="n"/>
      <c r="AK16" s="600" t="n"/>
      <c r="AL16" s="600" t="n"/>
      <c r="AM16" s="600" t="n"/>
      <c r="AN16" s="600" t="n"/>
      <c r="AO16" s="600" t="n"/>
      <c r="AP16" s="600" t="n"/>
      <c r="AQ16" s="600" t="n"/>
      <c r="AR16" s="600" t="n"/>
      <c r="AS16" s="64" t="n"/>
      <c r="AT16" s="64" t="n"/>
      <c r="AU16" s="64" t="n"/>
      <c r="AV16" s="64" t="n"/>
      <c r="AW16" s="64" t="n"/>
      <c r="AX16" s="64" t="n"/>
      <c r="AY16" s="103" t="n"/>
    </row>
    <row r="17" ht="20.25" customHeight="1">
      <c r="A17" s="600" t="n"/>
      <c r="B17" s="79" t="n"/>
      <c r="C17" s="80" t="n"/>
      <c r="D17" s="600" t="n"/>
      <c r="E17" s="600" t="n"/>
      <c r="F17" s="600" t="n"/>
      <c r="G17" s="600" t="n"/>
      <c r="H17" s="600" t="n"/>
      <c r="I17" s="600" t="n"/>
      <c r="J17" s="600" t="n"/>
      <c r="K17" s="600" t="n"/>
      <c r="L17" s="600" t="n"/>
      <c r="M17" s="600" t="n"/>
      <c r="N17" s="600" t="n"/>
      <c r="O17" s="600" t="n"/>
      <c r="P17" s="600" t="n"/>
      <c r="Q17" s="600" t="n"/>
      <c r="R17" s="600" t="n"/>
      <c r="S17" s="600" t="n"/>
      <c r="T17" s="600" t="n"/>
      <c r="U17" s="600" t="n"/>
      <c r="V17" s="600" t="n"/>
      <c r="W17" s="600" t="n"/>
      <c r="X17" s="600" t="n"/>
      <c r="Y17" s="600" t="n"/>
      <c r="Z17" s="600" t="n"/>
      <c r="AA17" s="600" t="n"/>
      <c r="AB17" s="600" t="n"/>
      <c r="AC17" s="600" t="n"/>
      <c r="AD17" s="600" t="n"/>
      <c r="AE17" s="600" t="n"/>
      <c r="AF17" s="600" t="n"/>
      <c r="AG17" s="600" t="n"/>
      <c r="AH17" s="600" t="n"/>
      <c r="AI17" s="600" t="n"/>
      <c r="AJ17" s="600" t="n"/>
      <c r="AK17" s="600" t="n"/>
      <c r="AL17" s="600" t="n"/>
      <c r="AM17" s="600" t="n"/>
      <c r="AN17" s="600" t="n"/>
      <c r="AO17" s="600" t="n"/>
      <c r="AP17" s="600" t="n"/>
      <c r="AQ17" s="600" t="n"/>
      <c r="AR17" s="600" t="n"/>
      <c r="AS17" s="64" t="n"/>
      <c r="AT17" s="64" t="n"/>
      <c r="AU17" s="64" t="n"/>
      <c r="AV17" s="64" t="n"/>
      <c r="AW17" s="64" t="n"/>
      <c r="AX17" s="64" t="n"/>
      <c r="AY17" s="103" t="n"/>
    </row>
    <row r="18" ht="42" customHeight="1">
      <c r="A18" s="86" t="inlineStr">
        <is>
          <t>e¨w³MZ M¨vivw›U</t>
        </is>
      </c>
      <c r="AU18" s="64" t="n"/>
      <c r="AV18" s="64" t="n"/>
      <c r="AW18" s="64" t="n"/>
      <c r="AX18" s="64" t="n"/>
      <c r="AY18" s="103" t="n"/>
    </row>
    <row r="19" ht="22.5" customHeight="1">
      <c r="A19" s="1964" t="n"/>
      <c r="B19" s="87" t="n"/>
      <c r="C19" s="88" t="n"/>
      <c r="D19" s="1964" t="n"/>
      <c r="E19" s="1964" t="n"/>
      <c r="F19" s="1964" t="n"/>
      <c r="G19" s="1964" t="n"/>
      <c r="H19" s="1964" t="n"/>
      <c r="I19" s="1964" t="n"/>
      <c r="J19" s="1964" t="n"/>
      <c r="K19" s="1964" t="n"/>
      <c r="L19" s="1964" t="n"/>
      <c r="M19" s="1964" t="n"/>
      <c r="N19" s="1964" t="n"/>
      <c r="O19" s="1964" t="n"/>
      <c r="P19" s="1964" t="n"/>
      <c r="Q19" s="1964" t="n"/>
      <c r="R19" s="1964" t="n"/>
      <c r="S19" s="1964" t="n"/>
      <c r="T19" s="1964" t="n"/>
      <c r="U19" s="1964" t="n"/>
      <c r="V19" s="1964" t="n"/>
      <c r="W19" s="1964" t="n"/>
      <c r="X19" s="1964" t="n"/>
      <c r="Y19" s="1964" t="n"/>
      <c r="Z19" s="1964" t="n"/>
      <c r="AA19" s="1964" t="n"/>
      <c r="AB19" s="1964" t="n"/>
      <c r="AC19" s="1964" t="n"/>
      <c r="AD19" s="1964" t="n"/>
      <c r="AE19" s="1964" t="n"/>
      <c r="AF19" s="1964" t="n"/>
      <c r="AG19" s="1964" t="n"/>
      <c r="AH19" s="1964" t="n"/>
      <c r="AI19" s="1964" t="n"/>
      <c r="AJ19" s="1964" t="n"/>
      <c r="AK19" s="1964" t="n"/>
      <c r="AL19" s="1964" t="n"/>
      <c r="AM19" s="1964" t="n"/>
      <c r="AN19" s="1964" t="n"/>
      <c r="AO19" s="1964" t="n"/>
      <c r="AP19" s="1964" t="n"/>
      <c r="AQ19" s="1964" t="n"/>
      <c r="AR19" s="1964" t="n"/>
      <c r="AS19" s="64" t="n"/>
      <c r="AT19" s="64" t="n"/>
      <c r="AU19" s="64" t="n"/>
      <c r="AV19" s="64" t="n"/>
      <c r="AW19" s="64" t="n"/>
      <c r="AX19" s="64" t="n"/>
      <c r="AY19" s="103" t="n"/>
    </row>
    <row r="20" ht="20.25" customHeight="1">
      <c r="A20" s="600" t="inlineStr">
        <is>
          <t xml:space="preserve">                                                   </t>
        </is>
      </c>
      <c r="B20" s="600" t="n"/>
      <c r="C20" s="600" t="n"/>
      <c r="D20" s="600" t="n"/>
      <c r="E20" s="600" t="n"/>
      <c r="F20" s="600" t="n"/>
      <c r="G20" s="600" t="n"/>
      <c r="H20" s="600" t="n"/>
      <c r="I20" s="600" t="n"/>
      <c r="J20" s="600" t="n"/>
      <c r="K20" s="600" t="n"/>
      <c r="L20" s="600" t="n"/>
      <c r="M20" s="600" t="n"/>
      <c r="N20" s="600" t="n"/>
      <c r="O20" s="600" t="n"/>
      <c r="P20" s="600" t="n"/>
      <c r="Q20" s="600" t="n"/>
      <c r="R20" s="600" t="n"/>
      <c r="S20" s="600" t="n"/>
      <c r="T20" s="600" t="n"/>
      <c r="U20" s="600" t="n"/>
      <c r="V20" s="600" t="n"/>
      <c r="W20" s="600" t="n"/>
      <c r="X20" s="600" t="n"/>
      <c r="Y20" s="600" t="n"/>
      <c r="Z20" s="600" t="n"/>
      <c r="AA20" s="600" t="n"/>
      <c r="AB20" s="600" t="n"/>
      <c r="AC20" s="600" t="n"/>
      <c r="AD20" s="600" t="n"/>
      <c r="AE20" s="600" t="n"/>
      <c r="AF20" s="600" t="n"/>
      <c r="AG20" s="600" t="n"/>
      <c r="AH20" s="600" t="n"/>
      <c r="AI20" s="600" t="n"/>
      <c r="AJ20" s="600" t="n"/>
      <c r="AK20" s="600" t="n"/>
      <c r="AL20" s="600" t="n"/>
      <c r="AM20" s="600" t="n"/>
      <c r="AN20" s="600" t="n"/>
      <c r="AO20" s="600" t="n"/>
      <c r="AP20" s="600" t="n"/>
      <c r="AQ20" s="600" t="n"/>
      <c r="AR20" s="600" t="n"/>
      <c r="AS20" s="600" t="n"/>
      <c r="AT20" s="600" t="n"/>
      <c r="AU20" s="64" t="n"/>
      <c r="AV20" s="64" t="n"/>
      <c r="AW20" s="64" t="n"/>
      <c r="AX20" s="64" t="n"/>
      <c r="AY20" s="103" t="n"/>
    </row>
    <row r="21" ht="20.25" customHeight="1">
      <c r="A21" s="600" t="n"/>
      <c r="B21" s="89">
        <f>"Avwg wbgœ¯^vÿiKvix GB g‡g© wbðqZv cÖ`vb Kwi‡ZwQ †h, "&amp;'Data Input'!D12&amp;", wcZv/¯^vgxi bvgt "&amp;'Data Input'!D13&amp;", gvZvi bvgt "&amp;'Data Input'!D14&amp;",eZ©gvb wVKvbvt "&amp;+'Data Input'!D17&amp;", ¯’vqx wVKvbvt "&amp;+'Data Input'!D17&amp;" ;evsjv‡`k K…wl e¨vsK,dZzjøv kvLv nB‡Z gyw` cY¨ e¨emv cwiPvjbv Kivi Rb¨ gs "&amp;+'Data Input'!D11&amp;" (K_vqt cvuP jÿ) UvKv gvÎ wmGgGmGgB Lv‡Z RvgvbZwenxb FY cÖ`vb Kiv nB‡j D³ F‡Yi UvKv h_vh_ fv‡e e¨eüZ nB‡e Ges FYwU h_vmg‡q my‡` Avm‡j cwi‡kva wbwðZ nB‡e|"</f>
        <v/>
      </c>
      <c r="AS21" s="600" t="n"/>
      <c r="AT21" s="600" t="n"/>
      <c r="AU21" s="64" t="n"/>
      <c r="AV21" s="64" t="n"/>
      <c r="AW21" s="64" t="n"/>
      <c r="AX21" s="64" t="n"/>
      <c r="AY21" s="103" t="n"/>
    </row>
    <row r="22" ht="20.25" customHeight="1">
      <c r="A22" s="600" t="n"/>
      <c r="AS22" s="600" t="n"/>
      <c r="AT22" s="600" t="n"/>
      <c r="AU22" s="64" t="n"/>
      <c r="AV22" s="64" t="n"/>
      <c r="AW22" s="64" t="n"/>
      <c r="AX22" s="64" t="n"/>
      <c r="AY22" s="103" t="n"/>
    </row>
    <row r="23" ht="20.25" customHeight="1">
      <c r="A23" s="600" t="n"/>
      <c r="AS23" s="600" t="n"/>
      <c r="AT23" s="600" t="n"/>
      <c r="AU23" s="64" t="n"/>
      <c r="AV23" s="64" t="n"/>
      <c r="AW23" s="64" t="n"/>
      <c r="AX23" s="64" t="n"/>
      <c r="AY23" s="103" t="n"/>
    </row>
    <row r="24" ht="20.25" customHeight="1">
      <c r="A24" s="600" t="n"/>
      <c r="AS24" s="600" t="n"/>
      <c r="AT24" s="600" t="n"/>
      <c r="AU24" s="64" t="n"/>
      <c r="AV24" s="64" t="n"/>
      <c r="AW24" s="64" t="n"/>
      <c r="AX24" s="64" t="n"/>
      <c r="AY24" s="103" t="n"/>
    </row>
    <row r="25" ht="20.25" customHeight="1">
      <c r="A25" s="600" t="n"/>
      <c r="AS25" s="600" t="n"/>
      <c r="AT25" s="600" t="n"/>
      <c r="AU25" s="64" t="n"/>
      <c r="AV25" s="64" t="n"/>
      <c r="AW25" s="64" t="n"/>
      <c r="AX25" s="64" t="n"/>
      <c r="AY25" s="103" t="n"/>
    </row>
    <row r="26" ht="20.25" customHeight="1">
      <c r="A26" s="600" t="n"/>
      <c r="AS26" s="600" t="n"/>
      <c r="AT26" s="600" t="n"/>
      <c r="AU26" s="64" t="n"/>
      <c r="AV26" s="64" t="n"/>
      <c r="AW26" s="64" t="n"/>
      <c r="AX26" s="64" t="n"/>
      <c r="AY26" s="103" t="n"/>
    </row>
    <row r="27" ht="20.25" customHeight="1">
      <c r="A27" s="600" t="n"/>
      <c r="AS27" s="600" t="n"/>
      <c r="AT27" s="600" t="n"/>
      <c r="AU27" s="64" t="n"/>
      <c r="AV27" s="64" t="n"/>
      <c r="AW27" s="64" t="n"/>
      <c r="AX27" s="64" t="n"/>
      <c r="AY27" s="103" t="n"/>
    </row>
    <row r="28" ht="20.25" customHeight="1">
      <c r="A28" s="600" t="n"/>
      <c r="AS28" s="600" t="n"/>
      <c r="AT28" s="600" t="n"/>
      <c r="AU28" s="64" t="n"/>
      <c r="AV28" s="64" t="n"/>
      <c r="AW28" s="64" t="n"/>
      <c r="AX28" s="64" t="n"/>
      <c r="AY28" s="103" t="n"/>
    </row>
    <row r="29" ht="18.75" customHeight="1">
      <c r="A29" s="600" t="n"/>
      <c r="AS29" s="600" t="n"/>
      <c r="AT29" s="600" t="n"/>
      <c r="AU29" s="64" t="n"/>
      <c r="AV29" s="64" t="n"/>
      <c r="AW29" s="64" t="n"/>
      <c r="AX29" s="64" t="n"/>
      <c r="AY29" s="103" t="n"/>
    </row>
    <row r="30" ht="18.75" customHeight="1">
      <c r="A30" s="600" t="n"/>
      <c r="AS30" s="77" t="n"/>
      <c r="AT30" s="78" t="n"/>
      <c r="AU30" s="64" t="n"/>
      <c r="AV30" s="64" t="n"/>
      <c r="AW30" s="64" t="n"/>
      <c r="AX30" s="64" t="n"/>
      <c r="AY30" s="103" t="n"/>
    </row>
    <row r="31" ht="18.75" customHeight="1">
      <c r="A31" s="62" t="n"/>
      <c r="B31" s="62" t="n"/>
      <c r="C31" s="62" t="n"/>
      <c r="D31" s="62" t="n"/>
      <c r="E31" s="108" t="n"/>
      <c r="F31" s="108" t="n"/>
      <c r="G31" s="108" t="n"/>
      <c r="H31" s="108" t="n"/>
      <c r="I31" s="108" t="n"/>
      <c r="J31" s="108" t="n"/>
      <c r="K31" s="108" t="n"/>
      <c r="L31" s="108" t="n"/>
      <c r="M31" s="108" t="n"/>
      <c r="N31" s="108" t="n"/>
      <c r="O31" s="108" t="n"/>
      <c r="P31" s="108" t="n"/>
      <c r="Q31" s="108" t="n"/>
      <c r="R31" s="108" t="n"/>
      <c r="S31" s="108" t="n"/>
      <c r="T31" s="108" t="n"/>
      <c r="U31" s="108" t="n"/>
      <c r="V31" s="108" t="n"/>
      <c r="W31" s="108" t="n"/>
      <c r="X31" s="108" t="n"/>
      <c r="Y31" s="108" t="n"/>
      <c r="Z31" s="108" t="n"/>
      <c r="AA31" s="108" t="n"/>
      <c r="AB31" s="108" t="n"/>
      <c r="AC31" s="108" t="n"/>
      <c r="AD31" s="108" t="n"/>
      <c r="AE31" s="108" t="n"/>
      <c r="AF31" s="108" t="n"/>
      <c r="AG31" s="108" t="n"/>
      <c r="AH31" s="108" t="n"/>
      <c r="AI31" s="108" t="n"/>
      <c r="AJ31" s="108" t="n"/>
      <c r="AK31" s="108" t="n"/>
      <c r="AL31" s="108" t="n"/>
      <c r="AM31" s="108" t="n"/>
      <c r="AN31" s="108" t="n"/>
      <c r="AO31" s="90" t="n"/>
      <c r="AP31" s="90" t="n"/>
      <c r="AQ31" s="90" t="n"/>
      <c r="AR31" s="90" t="n"/>
      <c r="AS31" s="90" t="n"/>
      <c r="AT31" s="91" t="n"/>
      <c r="AU31" s="64" t="n"/>
      <c r="AV31" s="64" t="n"/>
      <c r="AW31" s="64" t="n"/>
      <c r="AX31" s="64" t="n"/>
      <c r="AY31" s="103" t="n"/>
    </row>
    <row r="32" ht="18.75" customHeight="1">
      <c r="A32" s="62" t="n"/>
      <c r="B32" s="83" t="n"/>
      <c r="C32" s="83" t="n"/>
      <c r="D32" s="83" t="n"/>
      <c r="E32" s="108" t="n"/>
      <c r="F32" s="108" t="n"/>
      <c r="G32" s="108" t="n"/>
      <c r="H32" s="108" t="n"/>
      <c r="I32" s="108" t="n"/>
      <c r="J32" s="108" t="n"/>
      <c r="K32" s="108" t="n"/>
      <c r="L32" s="108" t="n"/>
      <c r="M32" s="108" t="n"/>
      <c r="N32" s="108" t="n"/>
      <c r="O32" s="108" t="n"/>
      <c r="P32" s="108" t="n"/>
      <c r="Q32" s="108" t="n"/>
      <c r="R32" s="108" t="n"/>
      <c r="S32" s="108" t="n"/>
      <c r="T32" s="108" t="n"/>
      <c r="U32" s="108" t="n"/>
      <c r="V32" s="108" t="n"/>
      <c r="W32" s="108" t="n"/>
      <c r="X32" s="108" t="n"/>
      <c r="Y32" s="108" t="n"/>
      <c r="Z32" s="108" t="n"/>
      <c r="AA32" s="108" t="n"/>
      <c r="AB32" s="108" t="n"/>
      <c r="AC32" s="108" t="n"/>
      <c r="AD32" s="108" t="n"/>
      <c r="AE32" s="108" t="n"/>
      <c r="AF32" s="108" t="n"/>
      <c r="AG32" s="108" t="n"/>
      <c r="AH32" s="108" t="n"/>
      <c r="AI32" s="108" t="n"/>
      <c r="AJ32" s="108" t="n"/>
      <c r="AK32" s="108" t="n"/>
      <c r="AL32" s="108" t="n"/>
      <c r="AM32" s="108" t="n"/>
      <c r="AN32" s="108" t="n"/>
      <c r="AO32" s="83" t="n"/>
      <c r="AP32" s="83" t="n"/>
      <c r="AQ32" s="83" t="n"/>
      <c r="AR32" s="83" t="n"/>
      <c r="AS32" s="83" t="n"/>
      <c r="AT32" s="83" t="n"/>
      <c r="AU32" s="64" t="n"/>
      <c r="AV32" s="64" t="n"/>
      <c r="AW32" s="64" t="n"/>
      <c r="AX32" s="64" t="n"/>
      <c r="AY32" s="103" t="n"/>
    </row>
    <row r="33" ht="18.75" customFormat="1" customHeight="1" s="18">
      <c r="A33" s="83" t="n"/>
      <c r="B33" s="83" t="n"/>
      <c r="C33" s="83" t="n"/>
      <c r="D33" s="83" t="n"/>
      <c r="E33" s="105" t="n"/>
      <c r="F33" s="105" t="n"/>
      <c r="G33" s="105" t="n"/>
      <c r="H33" s="105" t="n"/>
      <c r="I33" s="105" t="n"/>
      <c r="J33" s="105" t="n"/>
      <c r="K33" s="105" t="n"/>
      <c r="L33" s="105" t="n"/>
      <c r="M33" s="105" t="n"/>
      <c r="N33" s="105" t="n"/>
      <c r="O33" s="105" t="n"/>
      <c r="P33" s="105" t="n"/>
      <c r="Q33" s="105" t="n"/>
      <c r="R33" s="105" t="n"/>
      <c r="S33" s="105" t="n"/>
      <c r="T33" s="105" t="n"/>
      <c r="U33" s="105" t="n"/>
      <c r="V33" s="105" t="n"/>
      <c r="W33" s="105" t="n"/>
      <c r="X33" s="105" t="n"/>
      <c r="Y33" s="105" t="n"/>
      <c r="Z33" s="105" t="n"/>
      <c r="AA33" s="105" t="n"/>
      <c r="AB33" s="105" t="n"/>
      <c r="AC33" s="105" t="n"/>
      <c r="AD33" s="105" t="n"/>
      <c r="AE33" s="105" t="n"/>
      <c r="AF33" s="105" t="n"/>
      <c r="AG33" s="105" t="n"/>
      <c r="AH33" s="105" t="n"/>
      <c r="AI33" s="105" t="n"/>
      <c r="AJ33" s="105" t="n"/>
      <c r="AK33" s="105" t="n"/>
      <c r="AL33" s="105" t="n"/>
      <c r="AM33" s="105" t="n"/>
      <c r="AN33" s="105" t="n"/>
      <c r="AO33" s="83" t="n"/>
      <c r="AP33" s="83" t="n"/>
      <c r="AQ33" s="83" t="n"/>
      <c r="AR33" s="83" t="n"/>
      <c r="AS33" s="83" t="n"/>
      <c r="AT33" s="83" t="n"/>
      <c r="AU33" s="103" t="n"/>
      <c r="AV33" s="103" t="n"/>
      <c r="AW33" s="103" t="n"/>
      <c r="AX33" s="103" t="n"/>
      <c r="AY33" s="103" t="n"/>
    </row>
    <row r="34" ht="18.75" customFormat="1" customHeight="1" s="18">
      <c r="A34" s="199" t="n"/>
      <c r="B34" s="199" t="n"/>
      <c r="C34" s="199" t="n"/>
      <c r="D34" s="199" t="n"/>
      <c r="E34" s="105" t="n"/>
      <c r="F34" s="105" t="n"/>
      <c r="G34" s="105" t="n"/>
      <c r="H34" s="105" t="n"/>
      <c r="I34" s="105" t="n"/>
      <c r="J34" s="105" t="n"/>
      <c r="K34" s="105" t="n"/>
      <c r="L34" s="105" t="n"/>
      <c r="M34" s="105" t="n"/>
      <c r="N34" s="105" t="n"/>
      <c r="O34" s="105" t="n"/>
      <c r="P34" s="105" t="n"/>
      <c r="Q34" s="105" t="n"/>
      <c r="R34" s="105" t="n"/>
      <c r="S34" s="105" t="n"/>
      <c r="T34" s="105" t="n"/>
      <c r="U34" s="105" t="n"/>
      <c r="V34" s="105" t="n"/>
      <c r="W34" s="105" t="n"/>
      <c r="X34" s="105" t="n"/>
      <c r="Y34" s="105" t="n"/>
      <c r="Z34" s="105" t="n"/>
      <c r="AA34" s="105" t="n"/>
      <c r="AB34" s="105" t="n"/>
      <c r="AC34" s="105" t="n"/>
      <c r="AD34" s="105" t="n"/>
      <c r="AE34" s="105" t="n"/>
      <c r="AF34" s="105" t="n"/>
      <c r="AG34" s="105" t="n"/>
      <c r="AH34" s="105" t="n"/>
      <c r="AI34" s="105" t="n"/>
      <c r="AJ34" s="105" t="n"/>
      <c r="AK34" s="105" t="n"/>
      <c r="AL34" s="105" t="n"/>
      <c r="AM34" s="105" t="n"/>
      <c r="AN34" s="105" t="n"/>
      <c r="AO34" s="199" t="n"/>
      <c r="AP34" s="199" t="n"/>
      <c r="AQ34" s="199" t="n"/>
      <c r="AR34" s="199" t="n"/>
      <c r="AS34" s="199" t="n"/>
      <c r="AT34" s="199" t="n"/>
      <c r="AU34" s="103" t="n"/>
      <c r="AV34" s="103" t="n"/>
      <c r="AW34" s="103" t="n"/>
      <c r="AX34" s="103" t="n"/>
      <c r="AY34" s="103" t="n"/>
    </row>
    <row r="35" ht="18.75" customHeight="1">
      <c r="A35" s="600" t="n"/>
      <c r="B35" s="600" t="n"/>
      <c r="C35" s="600" t="n"/>
      <c r="D35" s="600" t="n"/>
      <c r="E35" s="108" t="n"/>
      <c r="F35" s="108" t="n"/>
      <c r="G35" s="108" t="n"/>
      <c r="H35" s="108" t="n"/>
      <c r="I35" s="108" t="n"/>
      <c r="J35" s="108" t="n"/>
      <c r="K35" s="108" t="n"/>
      <c r="L35" s="108" t="n"/>
      <c r="M35" s="108" t="n"/>
      <c r="N35" s="108" t="n"/>
      <c r="O35" s="108" t="n"/>
      <c r="P35" s="108" t="n"/>
      <c r="Q35" s="108" t="n"/>
      <c r="R35" s="108" t="n"/>
      <c r="S35" s="108" t="n"/>
      <c r="T35" s="108" t="n"/>
      <c r="U35" s="108" t="n"/>
      <c r="V35" s="108" t="n"/>
      <c r="W35" s="108" t="n"/>
      <c r="X35" s="108" t="n"/>
      <c r="Y35" s="108" t="n"/>
      <c r="Z35" s="108" t="n"/>
      <c r="AA35" s="108" t="n"/>
      <c r="AB35" s="108" t="n"/>
      <c r="AC35" s="108" t="n"/>
      <c r="AD35" s="108" t="n"/>
      <c r="AE35" s="108" t="n"/>
      <c r="AF35" s="108" t="n"/>
      <c r="AG35" s="108" t="n"/>
      <c r="AH35" s="108" t="n"/>
      <c r="AI35" s="108" t="n"/>
      <c r="AJ35" s="108" t="n"/>
      <c r="AK35" s="108" t="n"/>
      <c r="AL35" s="108" t="n"/>
      <c r="AM35" s="108" t="n"/>
      <c r="AN35" s="108" t="n"/>
      <c r="AO35" s="77" t="n"/>
      <c r="AP35" s="77" t="n"/>
      <c r="AQ35" s="77" t="n"/>
      <c r="AR35" s="77" t="n"/>
      <c r="AS35" s="77" t="n"/>
      <c r="AT35" s="78" t="n"/>
      <c r="AU35" s="64" t="n"/>
      <c r="AV35" s="64" t="n"/>
      <c r="AW35" s="64" t="n"/>
      <c r="AX35" s="64" t="n"/>
      <c r="AY35" s="103" t="n"/>
    </row>
    <row r="36" ht="18.75" customHeight="1">
      <c r="A36" s="600" t="n"/>
      <c r="B36" s="600" t="n"/>
      <c r="C36" s="600" t="n"/>
      <c r="D36" s="600" t="n"/>
      <c r="E36" s="108" t="n"/>
      <c r="F36" s="108" t="n"/>
      <c r="G36" s="108" t="n"/>
      <c r="H36" s="108" t="n"/>
      <c r="I36" s="108" t="n"/>
      <c r="J36" s="108" t="n"/>
      <c r="K36" s="108" t="n"/>
      <c r="L36" s="108" t="n"/>
      <c r="M36" s="108" t="n"/>
      <c r="N36" s="108" t="n"/>
      <c r="O36" s="108" t="n"/>
      <c r="P36" s="108" t="n"/>
      <c r="Q36" s="108" t="n"/>
      <c r="R36" s="108" t="n"/>
      <c r="S36" s="108" t="n"/>
      <c r="T36" s="108" t="n"/>
      <c r="U36" s="108" t="n"/>
      <c r="V36" s="108" t="n"/>
      <c r="W36" s="108" t="n"/>
      <c r="X36" s="108" t="n"/>
      <c r="Y36" s="108" t="n"/>
      <c r="Z36" s="108" t="n"/>
      <c r="AA36" s="108" t="n"/>
      <c r="AB36" s="108" t="n"/>
      <c r="AC36" s="108" t="n"/>
      <c r="AD36" s="108" t="n"/>
      <c r="AE36" s="108" t="n"/>
      <c r="AF36" s="108" t="n"/>
      <c r="AG36" s="108" t="n"/>
      <c r="AH36" s="108" t="n"/>
      <c r="AI36" s="108" t="n"/>
      <c r="AJ36" s="108" t="n"/>
      <c r="AK36" s="108" t="n"/>
      <c r="AL36" s="108" t="n"/>
      <c r="AM36" s="108" t="n"/>
      <c r="AN36" s="108" t="n"/>
      <c r="AO36" s="77" t="n"/>
      <c r="AP36" s="77" t="n"/>
      <c r="AQ36" s="77" t="n"/>
      <c r="AR36" s="77" t="n"/>
      <c r="AS36" s="77" t="n"/>
      <c r="AT36" s="78" t="n"/>
      <c r="AU36" s="64" t="n"/>
      <c r="AV36" s="64" t="n"/>
      <c r="AW36" s="64" t="n"/>
      <c r="AX36" s="64" t="n"/>
      <c r="AY36" s="103" t="n"/>
    </row>
    <row r="37" ht="18.75" customHeight="1">
      <c r="A37" s="600" t="n"/>
      <c r="B37" s="600" t="n"/>
      <c r="C37" s="600" t="n"/>
      <c r="D37" s="600" t="n"/>
      <c r="E37" s="108" t="n"/>
      <c r="F37" s="108" t="n"/>
      <c r="G37" s="108" t="n"/>
      <c r="H37" s="108" t="n"/>
      <c r="I37" s="108" t="n"/>
      <c r="J37" s="108" t="n"/>
      <c r="K37" s="108" t="n"/>
      <c r="L37" s="108" t="n"/>
      <c r="M37" s="108" t="n"/>
      <c r="N37" s="108" t="n"/>
      <c r="O37" s="108" t="n"/>
      <c r="P37" s="108" t="n"/>
      <c r="Q37" s="108" t="n"/>
      <c r="R37" s="108" t="n"/>
      <c r="S37" s="108" t="n"/>
      <c r="T37" s="108" t="n"/>
      <c r="U37" s="108" t="n"/>
      <c r="V37" s="108" t="n"/>
      <c r="W37" s="108" t="n"/>
      <c r="X37" s="108" t="n"/>
      <c r="Y37" s="108" t="n"/>
      <c r="Z37" s="108" t="n"/>
      <c r="AA37" s="108" t="n"/>
      <c r="AB37" s="108" t="n"/>
      <c r="AC37" s="108" t="n"/>
      <c r="AD37" s="108" t="n"/>
      <c r="AE37" s="108" t="n"/>
      <c r="AF37" s="108" t="n"/>
      <c r="AG37" s="108" t="n"/>
      <c r="AH37" s="108" t="n"/>
      <c r="AI37" s="108" t="n"/>
      <c r="AJ37" s="108" t="n"/>
      <c r="AK37" s="108" t="n"/>
      <c r="AL37" s="108" t="n"/>
      <c r="AM37" s="108" t="n"/>
      <c r="AN37" s="108" t="n"/>
      <c r="AO37" s="77" t="n"/>
      <c r="AP37" s="77" t="n"/>
      <c r="AQ37" s="77" t="n"/>
      <c r="AR37" s="77" t="n"/>
      <c r="AS37" s="77" t="n"/>
      <c r="AT37" s="78" t="n"/>
      <c r="AU37" s="64" t="n"/>
      <c r="AV37" s="64" t="n"/>
      <c r="AW37" s="64" t="n"/>
      <c r="AX37" s="64" t="n"/>
      <c r="AY37" s="103" t="n"/>
    </row>
    <row r="38" ht="18.75" customHeight="1">
      <c r="A38" s="600" t="n"/>
      <c r="B38" s="600" t="n"/>
      <c r="C38" s="600" t="n"/>
      <c r="D38" s="600" t="n"/>
      <c r="E38" s="108" t="n"/>
      <c r="F38" s="108" t="n"/>
      <c r="G38" s="108" t="n"/>
      <c r="H38" s="108" t="n"/>
      <c r="I38" s="108" t="n"/>
      <c r="J38" s="108" t="n"/>
      <c r="K38" s="108" t="n"/>
      <c r="L38" s="108" t="n"/>
      <c r="M38" s="108" t="n"/>
      <c r="N38" s="108" t="n"/>
      <c r="O38" s="108" t="n"/>
      <c r="P38" s="108" t="n"/>
      <c r="Q38" s="108" t="n"/>
      <c r="R38" s="108" t="n"/>
      <c r="S38" s="108" t="n"/>
      <c r="T38" s="108" t="n"/>
      <c r="U38" s="108" t="n"/>
      <c r="V38" s="108" t="n"/>
      <c r="W38" s="108" t="n"/>
      <c r="X38" s="108" t="n"/>
      <c r="Y38" s="108" t="n"/>
      <c r="Z38" s="108" t="n"/>
      <c r="AA38" s="108" t="n"/>
      <c r="AB38" s="108" t="n"/>
      <c r="AC38" s="108" t="n"/>
      <c r="AD38" s="108" t="n"/>
      <c r="AE38" s="108" t="n"/>
      <c r="AF38" s="108" t="n"/>
      <c r="AG38" s="108" t="n"/>
      <c r="AH38" s="108" t="n"/>
      <c r="AI38" s="108" t="n"/>
      <c r="AJ38" s="108" t="n"/>
      <c r="AK38" s="108" t="n"/>
      <c r="AL38" s="108" t="n"/>
      <c r="AM38" s="108" t="n"/>
      <c r="AN38" s="108" t="n"/>
      <c r="AO38" s="77" t="n"/>
      <c r="AP38" s="77" t="n"/>
      <c r="AQ38" s="77" t="n"/>
      <c r="AR38" s="77" t="n"/>
      <c r="AS38" s="77" t="n"/>
      <c r="AT38" s="78" t="n"/>
      <c r="AU38" s="64" t="n"/>
      <c r="AV38" s="64" t="n"/>
      <c r="AW38" s="64" t="n"/>
      <c r="AX38" s="64" t="n"/>
      <c r="AY38" s="103" t="n"/>
    </row>
    <row r="39" ht="18.75" customHeight="1">
      <c r="A39" s="1964" t="n"/>
      <c r="B39" s="1964" t="n"/>
      <c r="C39" s="1964" t="n"/>
      <c r="D39" s="1964" t="n"/>
      <c r="E39" s="1964" t="n"/>
      <c r="F39" s="1964" t="n"/>
      <c r="G39" s="1964" t="n"/>
      <c r="H39" s="1964" t="n"/>
      <c r="I39" s="1964" t="n"/>
      <c r="J39" s="1964" t="n"/>
      <c r="K39" s="1964" t="n"/>
      <c r="L39" s="1964" t="n"/>
      <c r="M39" s="1964" t="n"/>
      <c r="N39" s="1964" t="n"/>
      <c r="O39" s="1964" t="n"/>
      <c r="P39" s="1964" t="n"/>
      <c r="Q39" s="1964" t="n"/>
      <c r="R39" s="1964" t="n"/>
      <c r="S39" s="1964" t="n"/>
      <c r="T39" s="1964" t="n"/>
      <c r="U39" s="1964" t="n"/>
      <c r="V39" s="1964" t="n"/>
      <c r="W39" s="1964" t="n"/>
      <c r="X39" s="1964" t="n"/>
      <c r="Y39" s="1964" t="n"/>
      <c r="Z39" s="1964" t="n"/>
      <c r="AA39" s="1964" t="n"/>
      <c r="AB39" s="1964" t="n"/>
      <c r="AC39" s="1964" t="n"/>
      <c r="AD39" s="1964" t="n"/>
      <c r="AE39" s="1964" t="n"/>
      <c r="AF39" s="1964" t="n"/>
      <c r="AG39" s="199" t="n"/>
      <c r="AH39" s="199" t="n"/>
      <c r="AI39" s="1964" t="n"/>
      <c r="AJ39" s="1964" t="n"/>
      <c r="AK39" s="1964" t="n"/>
      <c r="AL39" s="199" t="n"/>
      <c r="AM39" s="199" t="n"/>
      <c r="AN39" s="199" t="n"/>
      <c r="AO39" s="93" t="n"/>
      <c r="AP39" s="93" t="n"/>
      <c r="AQ39" s="93" t="n"/>
      <c r="AR39" s="93" t="n"/>
      <c r="AS39" s="93" t="n"/>
      <c r="AT39" s="94" t="n"/>
      <c r="AU39" s="64" t="n"/>
      <c r="AV39" s="64" t="n"/>
      <c r="AW39" s="64" t="n"/>
      <c r="AX39" s="64" t="n"/>
      <c r="AY39" s="103" t="n"/>
    </row>
    <row r="40" ht="18.75" customHeight="1">
      <c r="A40" s="219" t="n"/>
      <c r="AU40" s="64" t="n"/>
      <c r="AV40" s="64" t="n"/>
      <c r="AW40" s="64" t="n"/>
      <c r="AX40" s="64" t="n"/>
      <c r="AY40" s="103" t="n"/>
    </row>
    <row r="41" ht="18.75" customHeight="1">
      <c r="A41" s="1964" t="n"/>
      <c r="B41" s="1964" t="n"/>
      <c r="C41" s="1964" t="n"/>
      <c r="D41" s="1964" t="n"/>
      <c r="E41" s="1964" t="n"/>
      <c r="F41" s="1964" t="n"/>
      <c r="G41" s="1964" t="n"/>
      <c r="H41" s="1964" t="n"/>
      <c r="I41" s="1964" t="n"/>
      <c r="J41" s="1964" t="n"/>
      <c r="K41" s="1964" t="n"/>
      <c r="L41" s="1964" t="n"/>
      <c r="M41" s="1964" t="n"/>
      <c r="N41" s="1964" t="n"/>
      <c r="O41" s="1964" t="n"/>
      <c r="P41" s="1964" t="n"/>
      <c r="Q41" s="1964" t="n"/>
      <c r="R41" s="1964" t="n"/>
      <c r="S41" s="1964" t="n"/>
      <c r="T41" s="1964" t="n"/>
      <c r="U41" s="1964" t="n"/>
      <c r="V41" s="1964" t="n"/>
      <c r="W41" s="1964" t="n"/>
      <c r="X41" s="1964" t="n"/>
      <c r="Y41" s="1964" t="n"/>
      <c r="Z41" s="1964" t="n"/>
      <c r="AA41" s="1964" t="n"/>
      <c r="AB41" s="1964" t="n"/>
      <c r="AC41" s="1964" t="n"/>
      <c r="AD41" s="1964" t="n"/>
      <c r="AE41" s="219" t="n"/>
      <c r="AP41" s="93" t="n"/>
      <c r="AQ41" s="93" t="n"/>
      <c r="AR41" s="93" t="n"/>
      <c r="AS41" s="93" t="n"/>
      <c r="AT41" s="94" t="n"/>
      <c r="AU41" s="64" t="n"/>
      <c r="AV41" s="64" t="n"/>
      <c r="AW41" s="64" t="n"/>
      <c r="AX41" s="64" t="n"/>
      <c r="AY41" s="103" t="n"/>
    </row>
    <row r="42" ht="18.75" customHeight="1">
      <c r="A42" s="219" t="n"/>
      <c r="L42" s="96" t="n"/>
      <c r="M42" s="96" t="n"/>
      <c r="N42" s="96" t="n"/>
      <c r="O42" s="96" t="n"/>
      <c r="P42" s="96" t="n"/>
      <c r="Q42" s="1964" t="n"/>
      <c r="R42" s="1964" t="n"/>
      <c r="S42" s="219" t="n"/>
      <c r="AD42" s="1964" t="n"/>
      <c r="AE42" s="1964" t="n"/>
      <c r="AF42" s="1964" t="n"/>
      <c r="AG42" s="1964" t="n"/>
      <c r="AH42" s="1964" t="n"/>
      <c r="AI42" s="96" t="n"/>
      <c r="AJ42" s="219" t="n"/>
      <c r="AU42" s="64" t="n"/>
      <c r="AV42" s="64" t="n"/>
      <c r="AW42" s="64" t="n"/>
      <c r="AX42" s="64" t="n"/>
      <c r="AY42" s="103" t="n"/>
    </row>
    <row r="43" ht="18.75" customHeight="1">
      <c r="A43" s="219" t="n"/>
      <c r="L43" s="96" t="n"/>
      <c r="M43" s="96" t="n"/>
      <c r="N43" s="96" t="n"/>
      <c r="O43" s="96" t="n"/>
      <c r="P43" s="219" t="n"/>
      <c r="AG43" s="1964" t="n"/>
      <c r="AH43" s="1964" t="n"/>
      <c r="AI43" s="96" t="n"/>
      <c r="AJ43" s="219" t="n"/>
      <c r="AU43" s="64" t="n"/>
      <c r="AV43" s="64" t="n"/>
      <c r="AW43" s="64" t="n"/>
      <c r="AX43" s="64" t="n"/>
      <c r="AY43" s="103" t="n"/>
    </row>
    <row r="44" ht="18.75" customHeight="1">
      <c r="A44" s="219" t="n"/>
      <c r="L44" s="96" t="n"/>
      <c r="M44" s="96" t="n"/>
      <c r="N44" s="96" t="n"/>
      <c r="O44" s="96" t="n"/>
      <c r="P44" s="219" t="n"/>
      <c r="AG44" s="1964" t="n"/>
      <c r="AH44" s="1964" t="n"/>
      <c r="AI44" s="96" t="n"/>
      <c r="AJ44" s="219" t="n"/>
      <c r="AU44" s="64" t="n"/>
      <c r="AV44" s="64" t="n"/>
      <c r="AW44" s="64" t="n"/>
      <c r="AX44" s="64" t="n"/>
      <c r="AY44" s="103" t="n"/>
    </row>
    <row r="45" ht="18.75" customHeight="1">
      <c r="A45" s="97" t="n"/>
      <c r="L45" s="108" t="n"/>
      <c r="M45" s="108" t="n"/>
      <c r="N45" s="98" t="n"/>
      <c r="O45" s="98" t="n"/>
      <c r="P45" s="97" t="n"/>
      <c r="AG45" s="99" t="n"/>
      <c r="AH45" s="99" t="n"/>
      <c r="AI45" s="98" t="n"/>
      <c r="AJ45" s="97" t="n"/>
      <c r="AU45" s="64" t="n"/>
      <c r="AV45" s="64" t="n"/>
      <c r="AW45" s="64" t="n"/>
      <c r="AX45" s="64" t="n"/>
      <c r="AY45" s="103" t="n"/>
    </row>
    <row r="46" ht="18.75" customHeight="1">
      <c r="A46" s="98" t="n"/>
      <c r="B46" s="100" t="n"/>
      <c r="C46" s="600" t="n"/>
      <c r="D46" s="600" t="n"/>
      <c r="E46" s="600" t="n"/>
      <c r="F46" s="108" t="n"/>
      <c r="G46" s="108" t="n"/>
      <c r="H46" s="108" t="n"/>
      <c r="I46" s="108" t="n"/>
      <c r="J46" s="108" t="n"/>
      <c r="K46" s="108" t="n"/>
      <c r="L46" s="108" t="n"/>
      <c r="M46" s="108" t="n"/>
      <c r="N46" s="98" t="n"/>
      <c r="O46" s="98" t="n"/>
      <c r="P46" s="98" t="n"/>
      <c r="Q46" s="98" t="n"/>
      <c r="R46" s="98" t="n"/>
      <c r="S46" s="98" t="n"/>
      <c r="T46" s="98" t="n"/>
      <c r="U46" s="98" t="n"/>
      <c r="V46" s="98" t="n"/>
      <c r="W46" s="98" t="n"/>
      <c r="X46" s="98" t="n"/>
      <c r="Y46" s="98" t="n"/>
      <c r="Z46" s="98" t="n"/>
      <c r="AA46" s="98" t="n"/>
      <c r="AB46" s="98" t="n"/>
      <c r="AC46" s="98" t="n"/>
      <c r="AD46" s="98" t="n"/>
      <c r="AE46" s="98" t="n"/>
      <c r="AF46" s="98" t="n"/>
      <c r="AG46" s="98" t="n"/>
      <c r="AH46" s="98" t="n"/>
      <c r="AI46" s="98" t="n"/>
      <c r="AJ46" s="98" t="n"/>
      <c r="AK46" s="98" t="n"/>
      <c r="AL46" s="98" t="n"/>
      <c r="AM46" s="98" t="n"/>
      <c r="AN46" s="98" t="n"/>
      <c r="AO46" s="98" t="n"/>
      <c r="AP46" s="98" t="n"/>
      <c r="AQ46" s="98" t="n"/>
      <c r="AR46" s="98" t="n"/>
      <c r="AS46" s="98" t="n"/>
      <c r="AT46" s="98" t="n"/>
      <c r="AU46" s="64" t="n"/>
      <c r="AV46" s="64" t="n"/>
      <c r="AW46" s="64" t="n"/>
      <c r="AX46" s="64" t="n"/>
      <c r="AY46" s="103" t="n"/>
    </row>
    <row r="47" ht="18.75" customHeight="1">
      <c r="A47" s="98" t="n"/>
      <c r="B47" s="100" t="n"/>
      <c r="C47" s="600" t="n"/>
      <c r="F47" s="108" t="n"/>
      <c r="G47" s="108" t="n"/>
      <c r="H47" s="108" t="n"/>
      <c r="I47" s="108" t="n"/>
      <c r="J47" s="108" t="n"/>
      <c r="K47" s="108" t="n"/>
      <c r="L47" s="108" t="n"/>
      <c r="M47" s="108" t="n"/>
      <c r="N47" s="98" t="n"/>
      <c r="O47" s="98" t="n"/>
      <c r="P47" s="98" t="n"/>
      <c r="Q47" s="98" t="n"/>
      <c r="R47" s="98" t="n"/>
      <c r="S47" s="98" t="n"/>
      <c r="T47" s="98" t="n"/>
      <c r="U47" s="98" t="n"/>
      <c r="V47" s="98" t="n"/>
      <c r="W47" s="98" t="n"/>
      <c r="X47" s="98" t="n"/>
      <c r="Y47" s="98" t="n"/>
      <c r="Z47" s="98" t="n"/>
      <c r="AA47" s="98" t="n"/>
      <c r="AB47" s="98" t="n"/>
      <c r="AC47" s="98" t="n"/>
      <c r="AD47" s="98" t="n"/>
      <c r="AE47" s="98" t="n"/>
      <c r="AF47" s="98" t="n"/>
      <c r="AG47" s="98" t="n"/>
      <c r="AH47" s="98" t="n"/>
      <c r="AI47" s="98" t="n"/>
      <c r="AJ47" s="98" t="n"/>
      <c r="AK47" s="98" t="n"/>
      <c r="AL47" s="98" t="n"/>
      <c r="AM47" s="98" t="n"/>
      <c r="AN47" s="98" t="n"/>
      <c r="AO47" s="98" t="n"/>
      <c r="AP47" s="98" t="n"/>
      <c r="AQ47" s="98" t="n"/>
      <c r="AR47" s="98" t="n"/>
      <c r="AS47" s="98" t="n"/>
      <c r="AT47" s="98" t="n"/>
      <c r="AU47" s="64" t="n"/>
      <c r="AV47" s="64" t="n"/>
      <c r="AW47" s="64" t="n"/>
      <c r="AX47" s="64" t="n"/>
      <c r="AY47" s="103" t="n"/>
    </row>
    <row r="48" ht="18.75" customHeight="1">
      <c r="A48" s="98" t="n"/>
      <c r="B48" s="100" t="n"/>
      <c r="C48" s="600" t="n"/>
      <c r="F48" s="108" t="n"/>
      <c r="G48" s="108" t="n"/>
      <c r="H48" s="108" t="n"/>
      <c r="I48" s="108" t="n"/>
      <c r="J48" s="108" t="n"/>
      <c r="K48" s="108" t="n"/>
      <c r="L48" s="108" t="n"/>
      <c r="M48" s="108" t="n"/>
      <c r="N48" s="98" t="n"/>
      <c r="O48" s="98" t="n"/>
      <c r="P48" s="98" t="n"/>
      <c r="Q48" s="98" t="n"/>
      <c r="R48" s="98" t="n"/>
      <c r="S48" s="98" t="n"/>
      <c r="T48" s="98" t="n"/>
      <c r="U48" s="98" t="n"/>
      <c r="V48" s="98" t="n"/>
      <c r="W48" s="98" t="n"/>
      <c r="X48" s="98" t="n"/>
      <c r="Y48" s="98" t="n"/>
      <c r="Z48" s="98" t="n"/>
      <c r="AA48" s="98" t="n"/>
      <c r="AB48" s="98" t="n"/>
      <c r="AC48" s="98" t="n"/>
      <c r="AD48" s="98" t="n"/>
      <c r="AE48" s="98" t="n"/>
      <c r="AF48" s="98" t="n"/>
      <c r="AG48" s="98" t="n"/>
      <c r="AH48" s="98" t="n"/>
      <c r="AI48" s="98" t="n"/>
      <c r="AJ48" s="98" t="n"/>
      <c r="AK48" s="98" t="n"/>
      <c r="AL48" s="98" t="n"/>
      <c r="AM48" s="98" t="n"/>
      <c r="AN48" s="98" t="n"/>
      <c r="AO48" s="98" t="n"/>
      <c r="AP48" s="98" t="n"/>
      <c r="AQ48" s="98" t="n"/>
      <c r="AR48" s="98" t="n"/>
      <c r="AS48" s="98" t="n"/>
      <c r="AT48" s="98" t="n"/>
      <c r="AU48" s="64" t="n"/>
      <c r="AV48" s="64" t="n"/>
      <c r="AW48" s="64" t="n"/>
      <c r="AX48" s="64" t="n"/>
      <c r="AY48" s="103" t="n"/>
    </row>
    <row r="49" ht="18.75" customHeight="1">
      <c r="A49" s="64" t="n"/>
      <c r="B49" s="108" t="n"/>
      <c r="C49" s="108" t="n"/>
      <c r="D49" s="62" t="n"/>
      <c r="E49" s="62" t="n"/>
      <c r="F49" s="62" t="n"/>
      <c r="G49" s="62" t="n"/>
      <c r="H49" s="62" t="n"/>
      <c r="I49" s="62" t="n"/>
      <c r="J49" s="62" t="n"/>
      <c r="K49" s="62" t="n"/>
      <c r="L49" s="62" t="n"/>
      <c r="M49" s="62" t="n"/>
      <c r="N49" s="62" t="n"/>
      <c r="O49" s="62" t="n"/>
      <c r="P49" s="62" t="n"/>
      <c r="Q49" s="62" t="n"/>
      <c r="R49" s="62" t="n"/>
      <c r="S49" s="62" t="n"/>
      <c r="T49" s="62" t="n"/>
      <c r="U49" s="62" t="n"/>
      <c r="V49" s="62" t="n"/>
      <c r="W49" s="62" t="n"/>
      <c r="X49" s="62" t="n"/>
      <c r="Y49" s="62" t="n"/>
      <c r="Z49" s="62" t="n"/>
      <c r="AA49" s="62" t="n"/>
      <c r="AB49" s="62" t="n"/>
      <c r="AC49" s="62" t="n"/>
      <c r="AD49" s="62" t="n"/>
      <c r="AE49" s="62" t="n"/>
      <c r="AF49" s="62" t="n"/>
      <c r="AG49" s="62" t="n"/>
      <c r="AH49" s="62" t="n"/>
      <c r="AI49" s="62" t="n"/>
      <c r="AJ49" s="62" t="n"/>
      <c r="AK49" s="62" t="n"/>
      <c r="AL49" s="62" t="n"/>
      <c r="AM49" s="62" t="n"/>
      <c r="AN49" s="108" t="n"/>
      <c r="AO49" s="108" t="n"/>
      <c r="AP49" s="108" t="n"/>
      <c r="AQ49" s="108" t="n"/>
      <c r="AR49" s="108" t="n"/>
      <c r="AS49" s="64" t="n"/>
      <c r="AT49" s="64" t="n"/>
      <c r="AU49" s="64" t="n"/>
      <c r="AV49" s="64" t="n"/>
      <c r="AW49" s="64" t="n"/>
      <c r="AX49" s="64" t="n"/>
      <c r="AY49" s="103" t="n"/>
    </row>
    <row r="50" ht="18.75" customHeight="1">
      <c r="A50" s="64" t="n"/>
      <c r="B50" s="108" t="n"/>
      <c r="C50" s="108" t="n"/>
      <c r="D50" s="62" t="n"/>
      <c r="E50" s="62" t="n"/>
      <c r="F50" s="62" t="n"/>
      <c r="G50" s="62" t="n"/>
      <c r="H50" s="62" t="n"/>
      <c r="I50" s="62" t="n"/>
      <c r="J50" s="62" t="n"/>
      <c r="K50" s="62" t="n"/>
      <c r="L50" s="62" t="n"/>
      <c r="M50" s="62" t="n"/>
      <c r="N50" s="62" t="n"/>
      <c r="O50" s="62" t="n"/>
      <c r="P50" s="62" t="n"/>
      <c r="Q50" s="62" t="n"/>
      <c r="R50" s="62" t="n"/>
      <c r="S50" s="62" t="n"/>
      <c r="T50" s="62" t="n"/>
      <c r="U50" s="62" t="n"/>
      <c r="V50" s="62" t="n"/>
      <c r="W50" s="62" t="n"/>
      <c r="X50" s="62" t="n"/>
      <c r="Y50" s="62" t="n"/>
      <c r="Z50" s="62" t="n"/>
      <c r="AA50" s="62" t="n"/>
      <c r="AB50" s="62" t="n"/>
      <c r="AC50" s="62" t="n"/>
      <c r="AD50" s="62" t="n"/>
      <c r="AE50" s="62" t="n"/>
      <c r="AF50" s="62" t="n"/>
      <c r="AG50" s="62" t="n"/>
      <c r="AH50" s="62" t="n"/>
      <c r="AI50" s="62" t="n"/>
      <c r="AJ50" s="62" t="n"/>
      <c r="AK50" s="62" t="n"/>
      <c r="AL50" s="62" t="n"/>
      <c r="AM50" s="62" t="n"/>
      <c r="AN50" s="108" t="n"/>
      <c r="AO50" s="108" t="n"/>
      <c r="AP50" s="108" t="n"/>
      <c r="AQ50" s="108" t="n"/>
      <c r="AR50" s="108" t="n"/>
      <c r="AS50" s="64" t="n"/>
      <c r="AT50" s="64" t="n"/>
      <c r="AU50" s="64" t="n"/>
      <c r="AV50" s="64" t="n"/>
      <c r="AW50" s="64" t="n"/>
      <c r="AX50" s="64" t="n"/>
      <c r="AY50" s="103" t="n"/>
    </row>
    <row r="51" ht="18.75" customHeight="1">
      <c r="A51" s="64" t="n"/>
      <c r="B51" s="108" t="n"/>
      <c r="C51" s="108" t="n"/>
      <c r="D51" s="62" t="n"/>
      <c r="E51" s="62" t="n"/>
      <c r="F51" s="62" t="n"/>
      <c r="G51" s="62" t="n"/>
      <c r="H51" s="62" t="n"/>
      <c r="I51" s="62" t="n"/>
      <c r="J51" s="62" t="n"/>
      <c r="K51" s="62" t="n"/>
      <c r="L51" s="62" t="n"/>
      <c r="M51" s="62" t="n"/>
      <c r="N51" s="62" t="n"/>
      <c r="O51" s="62" t="n"/>
      <c r="P51" s="62" t="n"/>
      <c r="Q51" s="62" t="n"/>
      <c r="R51" s="62" t="n"/>
      <c r="S51" s="62" t="n"/>
      <c r="T51" s="62" t="n"/>
      <c r="U51" s="62" t="n"/>
      <c r="V51" s="62" t="n"/>
      <c r="W51" s="62" t="n"/>
      <c r="X51" s="62" t="n"/>
      <c r="Y51" s="62" t="n"/>
      <c r="Z51" s="62" t="n"/>
      <c r="AA51" s="62" t="n"/>
      <c r="AB51" s="62" t="n"/>
      <c r="AC51" s="62" t="n"/>
      <c r="AD51" s="62" t="n"/>
      <c r="AE51" s="62" t="n"/>
      <c r="AF51" s="62" t="n"/>
      <c r="AG51" s="62" t="n"/>
      <c r="AH51" s="62" t="n"/>
      <c r="AI51" s="62" t="n"/>
      <c r="AJ51" s="62" t="n"/>
      <c r="AK51" s="62" t="n"/>
      <c r="AL51" s="62" t="n"/>
      <c r="AM51" s="62" t="n"/>
      <c r="AN51" s="108" t="n"/>
      <c r="AO51" s="108" t="n"/>
      <c r="AP51" s="108" t="n"/>
      <c r="AQ51" s="108" t="n"/>
      <c r="AR51" s="108" t="n"/>
      <c r="AS51" s="64" t="n"/>
      <c r="AT51" s="64" t="n"/>
      <c r="AU51" s="64" t="n"/>
      <c r="AV51" s="64" t="n"/>
      <c r="AW51" s="64" t="n"/>
      <c r="AX51" s="64" t="n"/>
      <c r="AY51" s="103" t="n"/>
    </row>
    <row r="52" ht="18.75" customHeight="1">
      <c r="A52" s="64" t="n"/>
      <c r="B52" s="108" t="n"/>
      <c r="C52" s="108" t="n"/>
      <c r="D52" s="62" t="n"/>
      <c r="E52" s="62" t="n"/>
      <c r="F52" s="62" t="n"/>
      <c r="G52" s="62" t="n"/>
      <c r="H52" s="62" t="n"/>
      <c r="I52" s="62" t="n"/>
      <c r="J52" s="62" t="n"/>
      <c r="K52" s="62" t="n"/>
      <c r="L52" s="62" t="n"/>
      <c r="M52" s="62" t="n"/>
      <c r="N52" s="62" t="n"/>
      <c r="O52" s="62" t="n"/>
      <c r="P52" s="62" t="n"/>
      <c r="Q52" s="62" t="n"/>
      <c r="R52" s="62" t="n"/>
      <c r="S52" s="62" t="n"/>
      <c r="T52" s="62" t="n"/>
      <c r="U52" s="62" t="n"/>
      <c r="V52" s="62" t="n"/>
      <c r="W52" s="62" t="n"/>
      <c r="X52" s="62" t="n"/>
      <c r="Y52" s="62" t="n"/>
      <c r="Z52" s="62" t="n"/>
      <c r="AA52" s="62" t="n"/>
      <c r="AB52" s="62" t="n"/>
      <c r="AC52" s="62" t="n"/>
      <c r="AD52" s="62" t="n"/>
      <c r="AE52" s="62" t="n"/>
      <c r="AF52" s="62" t="n"/>
      <c r="AG52" s="62" t="n"/>
      <c r="AH52" s="62" t="n"/>
      <c r="AI52" s="62" t="n"/>
      <c r="AJ52" s="62" t="n"/>
      <c r="AK52" s="62" t="n"/>
      <c r="AL52" s="62" t="n"/>
      <c r="AM52" s="62" t="n"/>
      <c r="AN52" s="108" t="n"/>
      <c r="AO52" s="108" t="n"/>
      <c r="AP52" s="108" t="n"/>
      <c r="AQ52" s="108" t="n"/>
      <c r="AR52" s="108" t="n"/>
      <c r="AS52" s="64" t="n"/>
      <c r="AT52" s="64" t="n"/>
      <c r="AU52" s="64" t="n"/>
      <c r="AV52" s="64" t="n"/>
      <c r="AW52" s="64" t="n"/>
      <c r="AX52" s="64" t="n"/>
      <c r="AY52" s="103" t="n"/>
    </row>
    <row r="53" ht="18.75" customHeight="1">
      <c r="A53" s="64" t="n"/>
      <c r="B53" s="108" t="n"/>
      <c r="C53" s="108" t="n"/>
      <c r="D53" s="62" t="n"/>
      <c r="E53" s="62" t="n"/>
      <c r="F53" s="62" t="n"/>
      <c r="G53" s="62" t="n"/>
      <c r="H53" s="62" t="n"/>
      <c r="I53" s="62" t="n"/>
      <c r="J53" s="62" t="n"/>
      <c r="K53" s="62" t="n"/>
      <c r="L53" s="62" t="n"/>
      <c r="M53" s="62" t="n"/>
      <c r="N53" s="62" t="n"/>
      <c r="O53" s="62" t="n"/>
      <c r="P53" s="62" t="n"/>
      <c r="Q53" s="62" t="n"/>
      <c r="R53" s="62" t="n"/>
      <c r="S53" s="62" t="n"/>
      <c r="T53" s="62" t="n"/>
      <c r="U53" s="62" t="n"/>
      <c r="V53" s="62" t="n"/>
      <c r="W53" s="62" t="n"/>
      <c r="X53" s="62" t="n"/>
      <c r="Y53" s="62" t="n"/>
      <c r="Z53" s="62" t="n"/>
      <c r="AA53" s="62" t="n"/>
      <c r="AB53" s="62" t="n"/>
      <c r="AC53" s="62" t="n"/>
      <c r="AD53" s="62" t="n"/>
      <c r="AE53" s="62" t="n"/>
      <c r="AF53" s="62" t="n"/>
      <c r="AG53" s="62" t="n"/>
      <c r="AH53" s="62" t="n"/>
      <c r="AI53" s="62" t="n"/>
      <c r="AJ53" s="62" t="n"/>
      <c r="AK53" s="62" t="n"/>
      <c r="AL53" s="62" t="n"/>
      <c r="AM53" s="62" t="n"/>
      <c r="AN53" s="108" t="n"/>
      <c r="AO53" s="108" t="n"/>
      <c r="AP53" s="108" t="n"/>
      <c r="AQ53" s="108" t="n"/>
      <c r="AR53" s="108" t="n"/>
      <c r="AS53" s="64" t="n"/>
      <c r="AT53" s="64" t="n"/>
      <c r="AU53" s="64" t="n"/>
      <c r="AV53" s="64" t="n"/>
      <c r="AW53" s="64" t="n"/>
      <c r="AX53" s="64" t="n"/>
      <c r="AY53" s="103" t="n"/>
    </row>
    <row r="54" ht="18.75" customHeight="1">
      <c r="A54" s="64" t="n"/>
      <c r="B54" s="314" t="inlineStr">
        <is>
          <t xml:space="preserve">                                                cvZv-2                                                             02| Avwg wbwðqZv cÖ`vb Kwi‡ZwQ †h, GB F‡Yi mKj wbqgKvbyb h_vh_fv‡e gvwbqv Pjv nB‡e| 
03| Avwg AviI A½xKvi Kwi‡ZwQ †h, F‡Yi UvKvi mØ¨envi bv nB‡j A_ev h_vmg‡q Av`vq wbwðZ bv nB‡j Avwg e¨w³MZfv‡e FYwU my` Avm‡j †gqv` DËx‡Y©i c~‡e©B cwi‡kva Kwi‡Z eva¨ _vwKe|</t>
        </is>
      </c>
      <c r="AS54" s="64" t="n"/>
      <c r="AT54" s="64" t="n"/>
      <c r="AU54" s="64" t="n"/>
      <c r="AV54" s="64" t="n"/>
      <c r="AW54" s="64" t="n"/>
      <c r="AX54" s="64" t="n"/>
      <c r="AY54" s="103" t="n"/>
    </row>
    <row r="55" ht="18.75" customHeight="1">
      <c r="A55" s="64" t="n"/>
      <c r="AS55" s="64" t="n"/>
      <c r="AT55" s="64" t="n"/>
      <c r="AU55" s="64" t="n"/>
      <c r="AV55" s="64" t="n"/>
      <c r="AW55" s="64" t="n"/>
      <c r="AX55" s="64" t="n"/>
      <c r="AY55" s="103" t="n"/>
    </row>
    <row r="56" ht="18.75" customHeight="1">
      <c r="A56" s="64" t="n"/>
      <c r="AS56" s="64" t="n"/>
      <c r="AT56" s="64" t="n"/>
      <c r="AU56" s="64" t="n"/>
      <c r="AV56" s="64" t="n"/>
      <c r="AW56" s="64" t="n"/>
      <c r="AX56" s="64" t="n"/>
      <c r="AY56" s="103" t="n"/>
    </row>
    <row r="57" ht="18.75" customHeight="1">
      <c r="A57" s="64" t="n"/>
      <c r="AS57" s="64" t="n"/>
      <c r="AT57" s="64" t="n"/>
      <c r="AU57" s="64" t="n"/>
      <c r="AV57" s="64" t="n"/>
      <c r="AW57" s="64" t="n"/>
      <c r="AX57" s="64" t="n"/>
      <c r="AY57" s="103" t="n"/>
    </row>
    <row r="58" ht="18.75" customHeight="1">
      <c r="A58" s="64" t="n"/>
      <c r="AS58" s="64" t="n"/>
      <c r="AT58" s="64" t="n"/>
      <c r="AU58" s="64" t="n"/>
      <c r="AV58" s="64" t="n"/>
      <c r="AW58" s="64" t="n"/>
      <c r="AX58" s="64" t="n"/>
      <c r="AY58" s="103" t="n"/>
    </row>
    <row r="59" ht="18.75" customHeight="1">
      <c r="A59" s="64" t="n"/>
      <c r="AS59" s="64" t="n"/>
      <c r="AT59" s="64" t="n"/>
      <c r="AU59" s="64" t="n"/>
      <c r="AV59" s="64" t="n"/>
      <c r="AW59" s="64" t="n"/>
      <c r="AX59" s="64" t="n"/>
      <c r="AY59" s="103" t="n"/>
    </row>
    <row r="60" ht="18.75" customHeight="1">
      <c r="A60" s="64" t="n"/>
      <c r="AS60" s="64" t="n"/>
      <c r="AT60" s="64" t="n"/>
      <c r="AU60" s="64" t="n"/>
      <c r="AV60" s="64" t="n"/>
      <c r="AW60" s="64" t="n"/>
      <c r="AX60" s="64" t="n"/>
      <c r="AY60" s="103" t="n"/>
    </row>
    <row r="61" ht="18.75" customHeight="1">
      <c r="A61" s="64" t="n"/>
      <c r="AS61" s="64" t="n"/>
      <c r="AT61" s="64" t="n"/>
      <c r="AU61" s="64" t="n"/>
      <c r="AV61" s="64" t="n"/>
      <c r="AW61" s="64" t="n"/>
      <c r="AX61" s="64" t="n"/>
      <c r="AY61" s="103" t="n"/>
    </row>
    <row r="62" ht="18.75" customHeight="1">
      <c r="A62" s="64" t="n"/>
      <c r="AS62" s="64" t="n"/>
      <c r="AT62" s="64" t="n"/>
      <c r="AU62" s="64" t="n"/>
      <c r="AV62" s="64" t="n"/>
      <c r="AW62" s="64" t="n"/>
      <c r="AX62" s="64" t="n"/>
      <c r="AY62" s="103" t="n"/>
    </row>
  </sheetData>
  <mergeCells count="23">
    <mergeCell ref="A18:AT18"/>
    <mergeCell ref="P45:AF45"/>
    <mergeCell ref="A3:AT3"/>
    <mergeCell ref="AJ43:AT43"/>
    <mergeCell ref="A2:AT2"/>
    <mergeCell ref="AE41:AO41"/>
    <mergeCell ref="A45:K45"/>
    <mergeCell ref="S42:AC42"/>
    <mergeCell ref="AJ42:AT42"/>
    <mergeCell ref="P44:AF44"/>
    <mergeCell ref="A4:AT4"/>
    <mergeCell ref="C48:E48"/>
    <mergeCell ref="A40:AT40"/>
    <mergeCell ref="A42:K42"/>
    <mergeCell ref="A1:AT1"/>
    <mergeCell ref="B21:AR30"/>
    <mergeCell ref="AJ45:AT45"/>
    <mergeCell ref="P43:AF43"/>
    <mergeCell ref="A43:K43"/>
    <mergeCell ref="B54:AR62"/>
    <mergeCell ref="A44:K44"/>
    <mergeCell ref="AJ44:AT44"/>
    <mergeCell ref="C47:E47"/>
  </mergeCells>
  <pageMargins left="0.7" right="0.7" top="0.75" bottom="0.75" header="0.3" footer="0.3"/>
</worksheet>
</file>

<file path=xl/worksheets/sheet32.xml><?xml version="1.0" encoding="utf-8"?>
<worksheet xmlns="http://schemas.openxmlformats.org/spreadsheetml/2006/main">
  <sheetPr>
    <outlinePr summaryBelow="0"/>
    <pageSetUpPr/>
  </sheetPr>
  <dimension ref="A1:AY62"/>
  <sheetViews>
    <sheetView tabSelected="1" workbookViewId="0">
      <selection activeCell="A1" sqref="A1"/>
    </sheetView>
  </sheetViews>
  <sheetFormatPr baseColWidth="8" defaultRowHeight="15"/>
  <cols>
    <col width="3.719285714285714" bestFit="1" customWidth="1" style="64" min="1" max="1"/>
    <col width="2.719285714285714" bestFit="1" customWidth="1" style="63" min="2" max="2"/>
    <col width="2.290714285714285" bestFit="1" customWidth="1" style="63" min="3" max="3"/>
    <col width="2.290714285714285" bestFit="1" customWidth="1" style="63" min="4" max="4"/>
    <col width="2.290714285714285" bestFit="1" customWidth="1" style="63" min="5" max="5"/>
    <col width="2.290714285714285" bestFit="1" customWidth="1" style="63" min="6" max="6"/>
    <col width="2.290714285714285" bestFit="1" customWidth="1" style="63" min="7" max="7"/>
    <col width="2.290714285714285" bestFit="1" customWidth="1" style="63" min="8" max="8"/>
    <col width="1.290714285714286" bestFit="1" customWidth="1" style="63" min="9" max="9"/>
    <col width="2.719285714285714" bestFit="1" customWidth="1" style="63" min="10" max="10"/>
    <col width="2.719285714285714" bestFit="1" customWidth="1" style="63" min="11" max="11"/>
    <col width="2.290714285714285" bestFit="1" customWidth="1" style="63" min="12" max="12"/>
    <col width="2.290714285714285" bestFit="1" customWidth="1" style="63" min="13" max="13"/>
    <col width="2.290714285714285" bestFit="1" customWidth="1" style="63" min="14" max="14"/>
    <col width="2.290714285714285" bestFit="1" customWidth="1" style="63" min="15" max="15"/>
    <col width="2.290714285714285" bestFit="1" customWidth="1" style="63" min="16" max="16"/>
    <col width="4.433571428571429" bestFit="1" customWidth="1" style="63" min="17" max="17"/>
    <col width="2.290714285714285" bestFit="1" customWidth="1" style="63" min="18" max="18"/>
    <col width="2.290714285714285" bestFit="1" customWidth="1" style="63" min="19" max="19"/>
    <col width="1.719285714285714" bestFit="1" customWidth="1" style="63" min="20" max="20"/>
    <col width="1.719285714285714" bestFit="1" customWidth="1" style="63" min="21" max="21"/>
    <col width="1.719285714285714" bestFit="1" customWidth="1" style="63" min="22" max="22"/>
    <col width="1.719285714285714" bestFit="1" customWidth="1" style="63" min="23" max="23"/>
    <col width="1.719285714285714" bestFit="1" customWidth="1" style="63" min="24" max="24"/>
    <col width="1.147857142857143" bestFit="1" customWidth="1" style="63" min="25" max="25"/>
    <col width="1.719285714285714" bestFit="1" customWidth="1" style="63" min="26" max="26"/>
    <col width="1.719285714285714" bestFit="1" customWidth="1" style="63" min="27" max="27"/>
    <col width="2.290714285714285" bestFit="1" customWidth="1" style="63" min="28" max="28"/>
    <col width="2.290714285714285" bestFit="1" customWidth="1" style="63" min="29" max="29"/>
    <col width="1.862142857142857" bestFit="1" customWidth="1" style="63" min="30" max="30"/>
    <col width="2.862142857142857" bestFit="1" customWidth="1" style="63" min="31" max="31"/>
    <col width="2.862142857142857" bestFit="1" customWidth="1" style="63" min="32" max="32"/>
    <col width="2.862142857142857" bestFit="1" customWidth="1" style="63" min="33" max="33"/>
    <col width="2.290714285714285" bestFit="1" customWidth="1" style="63" min="34" max="34"/>
    <col width="2.290714285714285" bestFit="1" customWidth="1" style="63" min="35" max="35"/>
    <col width="2.290714285714285" bestFit="1" customWidth="1" style="63" min="36" max="36"/>
    <col width="2.290714285714285" bestFit="1" customWidth="1" style="63" min="37" max="37"/>
    <col width="2.290714285714285" bestFit="1" customWidth="1" style="63" min="38" max="38"/>
    <col width="2.290714285714285" bestFit="1" customWidth="1" style="63" min="39" max="39"/>
    <col width="2.290714285714285" bestFit="1" customWidth="1" style="63" min="40" max="40"/>
    <col width="2.005" bestFit="1" customWidth="1" style="63" min="41" max="41"/>
    <col width="2.005" bestFit="1" customWidth="1" style="63" min="42" max="42"/>
    <col width="2.005" bestFit="1" customWidth="1" style="63" min="43" max="43"/>
    <col width="2.005" bestFit="1" customWidth="1" style="63" min="44" max="44"/>
    <col width="2.005" bestFit="1" customWidth="1" style="64" min="45" max="45"/>
    <col width="2.005" bestFit="1" customWidth="1" style="64" min="46" max="46"/>
    <col width="13.57642857142857" bestFit="1" customWidth="1" style="64" min="47" max="47"/>
    <col width="11.43357142857143" bestFit="1" customWidth="1" style="64" min="48" max="48"/>
    <col width="11.71928571428571" bestFit="1" customWidth="1" style="64" min="49" max="49"/>
    <col width="13.57642857142857" bestFit="1" customWidth="1" style="64" min="50" max="50"/>
    <col width="13.57642857142857" bestFit="1" customWidth="1" style="103" min="51" max="51"/>
  </cols>
  <sheetData>
    <row r="1" ht="30.75" customFormat="1" customHeight="1" s="18">
      <c r="A1" s="419" t="n"/>
      <c r="AU1" s="103" t="n"/>
      <c r="AV1" s="103" t="n"/>
      <c r="AW1" s="103" t="n"/>
      <c r="AX1" s="103" t="n"/>
      <c r="AY1" s="69" t="n"/>
    </row>
    <row r="2" ht="19.5" customFormat="1" customHeight="1" s="18">
      <c r="A2" s="172" t="n"/>
      <c r="AU2" s="103" t="n"/>
      <c r="AV2" s="103" t="n"/>
      <c r="AW2" s="103" t="n"/>
      <c r="AX2" s="103" t="n"/>
      <c r="AY2" s="71" t="n"/>
    </row>
    <row r="3" ht="13.5" customFormat="1" customHeight="1" s="18">
      <c r="A3" s="173" t="n"/>
      <c r="AU3" s="103" t="n"/>
      <c r="AV3" s="103" t="n"/>
      <c r="AW3" s="103" t="n"/>
      <c r="AX3" s="103" t="n"/>
      <c r="AY3" s="73" t="n"/>
    </row>
    <row r="4" ht="13.5" customFormat="1" customHeight="1" s="18">
      <c r="A4" s="74" t="n"/>
      <c r="AU4" s="103" t="n"/>
      <c r="AV4" s="103" t="n"/>
      <c r="AW4" s="103" t="n"/>
      <c r="AX4" s="103" t="n"/>
      <c r="AY4" s="75" t="n"/>
    </row>
    <row r="5" ht="18.75" customHeight="1">
      <c r="A5" s="600" t="n"/>
      <c r="B5" s="600" t="n"/>
      <c r="C5" s="600" t="n"/>
      <c r="D5" s="600" t="n"/>
      <c r="E5" s="600" t="n"/>
      <c r="F5" s="600" t="n"/>
      <c r="G5" s="600" t="n"/>
      <c r="H5" s="600" t="n"/>
      <c r="I5" s="600" t="n"/>
      <c r="J5" s="600" t="n"/>
      <c r="K5" s="600" t="n"/>
      <c r="L5" s="600" t="n"/>
      <c r="M5" s="600" t="n"/>
      <c r="N5" s="600" t="n"/>
      <c r="O5" s="600" t="n"/>
      <c r="P5" s="600" t="n"/>
      <c r="Q5" s="600" t="n"/>
      <c r="R5" s="600" t="n"/>
      <c r="S5" s="600" t="n"/>
      <c r="T5" s="600" t="n"/>
      <c r="U5" s="600" t="n"/>
      <c r="V5" s="600" t="n"/>
      <c r="W5" s="600" t="n"/>
      <c r="X5" s="600" t="n"/>
      <c r="Y5" s="600" t="n"/>
      <c r="Z5" s="600" t="n"/>
      <c r="AA5" s="600" t="n"/>
      <c r="AB5" s="600" t="n"/>
      <c r="AC5" s="600" t="n"/>
      <c r="AD5" s="600" t="n"/>
      <c r="AE5" s="600" t="n"/>
      <c r="AF5" s="63" t="n"/>
      <c r="AG5" s="76" t="n"/>
      <c r="AH5" s="76" t="n"/>
      <c r="AI5" s="63" t="n"/>
      <c r="AJ5" s="63" t="n"/>
      <c r="AK5" s="63" t="n"/>
      <c r="AL5" s="76" t="n"/>
      <c r="AM5" s="76" t="n"/>
      <c r="AN5" s="76" t="n"/>
      <c r="AO5" s="77" t="n"/>
      <c r="AP5" s="77" t="n"/>
      <c r="AQ5" s="77" t="n"/>
      <c r="AR5" s="77" t="n"/>
      <c r="AS5" s="77" t="n"/>
      <c r="AT5" s="78" t="n"/>
      <c r="AU5" s="64" t="n"/>
      <c r="AV5" s="64" t="n"/>
      <c r="AW5" s="64" t="n"/>
      <c r="AX5" s="64" t="n"/>
      <c r="AY5" s="103" t="n"/>
    </row>
    <row r="6" ht="18.75" customHeight="1">
      <c r="A6" s="600" t="n"/>
      <c r="B6" s="600" t="n"/>
      <c r="C6" s="600" t="n"/>
      <c r="D6" s="600" t="n"/>
      <c r="E6" s="600" t="n"/>
      <c r="F6" s="600" t="n"/>
      <c r="G6" s="600" t="n"/>
      <c r="H6" s="600" t="n"/>
      <c r="I6" s="600" t="n"/>
      <c r="J6" s="600" t="n"/>
      <c r="K6" s="600" t="n"/>
      <c r="L6" s="600" t="n"/>
      <c r="M6" s="600" t="n"/>
      <c r="N6" s="600" t="n"/>
      <c r="O6" s="600" t="n"/>
      <c r="P6" s="600" t="n"/>
      <c r="Q6" s="600" t="n"/>
      <c r="R6" s="600" t="n"/>
      <c r="S6" s="600" t="n"/>
      <c r="T6" s="600" t="n"/>
      <c r="U6" s="600" t="n"/>
      <c r="V6" s="600" t="n"/>
      <c r="W6" s="600" t="n"/>
      <c r="X6" s="600" t="n"/>
      <c r="Y6" s="600" t="n"/>
      <c r="Z6" s="600" t="n"/>
      <c r="AA6" s="600" t="n"/>
      <c r="AB6" s="600" t="n"/>
      <c r="AC6" s="600" t="n"/>
      <c r="AD6" s="600" t="n"/>
      <c r="AE6" s="600" t="n"/>
      <c r="AF6" s="63" t="n"/>
      <c r="AG6" s="76" t="n"/>
      <c r="AH6" s="76" t="n"/>
      <c r="AI6" s="63" t="n"/>
      <c r="AJ6" s="63" t="n"/>
      <c r="AK6" s="63" t="n"/>
      <c r="AL6" s="76" t="n"/>
      <c r="AM6" s="76" t="n"/>
      <c r="AN6" s="76" t="n"/>
      <c r="AO6" s="77" t="n"/>
      <c r="AP6" s="77" t="n"/>
      <c r="AQ6" s="77" t="n"/>
      <c r="AR6" s="77" t="n"/>
      <c r="AS6" s="77" t="n"/>
      <c r="AT6" s="78" t="n"/>
      <c r="AU6" s="64" t="n"/>
      <c r="AV6" s="64" t="n"/>
      <c r="AW6" s="64" t="n"/>
      <c r="AX6" s="64" t="n"/>
      <c r="AY6" s="103" t="n"/>
    </row>
    <row r="7" ht="16.5" customHeight="1">
      <c r="A7" s="600" t="n"/>
      <c r="B7" s="600" t="n"/>
      <c r="C7" s="600" t="n"/>
      <c r="D7" s="600" t="n"/>
      <c r="E7" s="600" t="n"/>
      <c r="F7" s="600" t="n"/>
      <c r="G7" s="600" t="n"/>
      <c r="H7" s="600" t="n"/>
      <c r="I7" s="600" t="n"/>
      <c r="J7" s="600" t="n"/>
      <c r="K7" s="600" t="n"/>
      <c r="L7" s="600" t="n"/>
      <c r="M7" s="600" t="n"/>
      <c r="N7" s="600" t="n"/>
      <c r="O7" s="600" t="n"/>
      <c r="P7" s="600" t="n"/>
      <c r="Q7" s="600" t="n"/>
      <c r="R7" s="600" t="n"/>
      <c r="S7" s="600" t="n"/>
      <c r="T7" s="600" t="n"/>
      <c r="U7" s="600" t="n"/>
      <c r="V7" s="600" t="n"/>
      <c r="W7" s="600" t="n"/>
      <c r="X7" s="600" t="n"/>
      <c r="Y7" s="600" t="n"/>
      <c r="Z7" s="600" t="n"/>
      <c r="AA7" s="600" t="n"/>
      <c r="AB7" s="600" t="n"/>
      <c r="AC7" s="600" t="n"/>
      <c r="AD7" s="600" t="n"/>
      <c r="AE7" s="600" t="n"/>
      <c r="AF7" s="63" t="n"/>
      <c r="AG7" s="76" t="n"/>
      <c r="AH7" s="76" t="n"/>
      <c r="AI7" s="63" t="n"/>
      <c r="AJ7" s="63" t="n"/>
      <c r="AK7" s="63" t="n"/>
      <c r="AL7" s="76" t="n"/>
      <c r="AM7" s="76" t="n"/>
      <c r="AN7" s="76" t="n"/>
      <c r="AO7" s="77" t="n"/>
      <c r="AP7" s="77" t="n"/>
      <c r="AQ7" s="77" t="n"/>
      <c r="AR7" s="77" t="n"/>
      <c r="AS7" s="77" t="n"/>
      <c r="AT7" s="78" t="n"/>
      <c r="AU7" s="64" t="n"/>
      <c r="AV7" s="64" t="n"/>
      <c r="AW7" s="64" t="n"/>
      <c r="AX7" s="64" t="n"/>
      <c r="AY7" s="103" t="n"/>
    </row>
    <row r="8" ht="18.75" customHeight="1">
      <c r="A8" s="64" t="n"/>
      <c r="B8" s="63" t="n"/>
      <c r="C8" s="63" t="n"/>
      <c r="D8" s="63" t="n"/>
      <c r="E8" s="63" t="n"/>
      <c r="F8" s="63" t="n"/>
      <c r="G8" s="63" t="n"/>
      <c r="H8" s="63" t="n"/>
      <c r="I8" s="63" t="n"/>
      <c r="J8" s="63" t="n"/>
      <c r="K8" s="63" t="n"/>
      <c r="L8" s="63" t="n"/>
      <c r="M8" s="63" t="n"/>
      <c r="N8" s="63" t="n"/>
      <c r="O8" s="63" t="n"/>
      <c r="P8" s="63" t="n"/>
      <c r="Q8" s="63" t="n"/>
      <c r="R8" s="63" t="n"/>
      <c r="S8" s="63" t="n"/>
      <c r="T8" s="63" t="n"/>
      <c r="U8" s="63" t="n"/>
      <c r="V8" s="63" t="n"/>
      <c r="W8" s="63" t="n"/>
      <c r="X8" s="63" t="n"/>
      <c r="Y8" s="63" t="n"/>
      <c r="Z8" s="63" t="n"/>
      <c r="AA8" s="63" t="n"/>
      <c r="AB8" s="63" t="n"/>
      <c r="AC8" s="63" t="n"/>
      <c r="AD8" s="63" t="n"/>
      <c r="AE8" s="63" t="n"/>
      <c r="AF8" s="63" t="n"/>
      <c r="AG8" s="63" t="n"/>
      <c r="AH8" s="63" t="n"/>
      <c r="AI8" s="63" t="n"/>
      <c r="AJ8" s="63" t="n"/>
      <c r="AK8" s="63" t="n"/>
      <c r="AL8" s="63" t="n"/>
      <c r="AM8" s="63" t="n"/>
      <c r="AN8" s="63" t="n"/>
      <c r="AO8" s="63" t="n"/>
      <c r="AP8" s="63" t="n"/>
      <c r="AQ8" s="63" t="n"/>
      <c r="AR8" s="63" t="n"/>
      <c r="AS8" s="64" t="n"/>
      <c r="AT8" s="64" t="n"/>
      <c r="AU8" s="64" t="n"/>
      <c r="AV8" s="64" t="n"/>
      <c r="AW8" s="64" t="n"/>
      <c r="AX8" s="64" t="n"/>
      <c r="AY8" s="103" t="n"/>
    </row>
    <row r="9" ht="16.5" customHeight="1">
      <c r="A9" s="600" t="n"/>
      <c r="B9" s="600" t="n"/>
      <c r="C9" s="600" t="n"/>
      <c r="D9" s="600" t="n"/>
      <c r="E9" s="600" t="n"/>
      <c r="F9" s="600" t="n"/>
      <c r="G9" s="600" t="n"/>
      <c r="H9" s="600" t="n"/>
      <c r="I9" s="600" t="n"/>
      <c r="J9" s="600" t="n"/>
      <c r="K9" s="600" t="n"/>
      <c r="L9" s="600" t="n"/>
      <c r="M9" s="600" t="n"/>
      <c r="N9" s="600" t="n"/>
      <c r="O9" s="600" t="inlineStr">
        <is>
          <t xml:space="preserve">                                                   </t>
        </is>
      </c>
      <c r="P9" s="600" t="n"/>
      <c r="Q9" s="600" t="n"/>
      <c r="R9" s="600" t="n"/>
      <c r="S9" s="600" t="n"/>
      <c r="T9" s="600" t="n"/>
      <c r="U9" s="600" t="n"/>
      <c r="V9" s="600" t="n"/>
      <c r="W9" s="600" t="n"/>
      <c r="X9" s="600" t="n"/>
      <c r="Y9" s="600" t="n"/>
      <c r="Z9" s="600" t="n"/>
      <c r="AA9" s="600" t="n"/>
      <c r="AB9" s="600" t="n"/>
      <c r="AC9" s="600" t="n"/>
      <c r="AD9" s="600" t="n"/>
      <c r="AE9" s="600" t="n"/>
      <c r="AF9" s="63" t="n"/>
      <c r="AG9" s="76" t="n"/>
      <c r="AH9" s="76" t="n"/>
      <c r="AI9" s="63" t="n"/>
      <c r="AJ9" s="63" t="n"/>
      <c r="AK9" s="63" t="n"/>
      <c r="AL9" s="76" t="n"/>
      <c r="AM9" s="76" t="n"/>
      <c r="AN9" s="76" t="n"/>
      <c r="AO9" s="77" t="n"/>
      <c r="AP9" s="77" t="n"/>
      <c r="AQ9" s="77" t="n"/>
      <c r="AR9" s="77" t="n"/>
      <c r="AS9" s="77" t="n"/>
      <c r="AT9" s="78" t="n"/>
      <c r="AU9" s="64" t="n"/>
      <c r="AV9" s="64" t="n"/>
      <c r="AW9" s="64" t="n"/>
      <c r="AX9" s="64" t="n"/>
      <c r="AY9" s="103" t="n"/>
    </row>
    <row r="10" ht="123.75" customHeight="1">
      <c r="A10" s="600" t="n"/>
      <c r="B10" s="600" t="n"/>
      <c r="C10" s="600" t="n"/>
      <c r="D10" s="600" t="n"/>
      <c r="E10" s="600" t="n"/>
      <c r="F10" s="600" t="n"/>
      <c r="G10" s="600" t="n"/>
      <c r="H10" s="600" t="n"/>
      <c r="I10" s="600" t="n"/>
      <c r="J10" s="600" t="n"/>
      <c r="K10" s="600" t="n"/>
      <c r="L10" s="600" t="n"/>
      <c r="M10" s="600" t="n"/>
      <c r="N10" s="600" t="n"/>
      <c r="O10" s="600" t="n"/>
      <c r="P10" s="600" t="n"/>
      <c r="Q10" s="600" t="n"/>
      <c r="R10" s="600" t="n"/>
      <c r="S10" s="600" t="n"/>
      <c r="T10" s="600" t="n"/>
      <c r="U10" s="600" t="n"/>
      <c r="V10" s="600" t="n"/>
      <c r="W10" s="600" t="n"/>
      <c r="X10" s="600" t="n"/>
      <c r="Y10" s="600" t="n"/>
      <c r="Z10" s="600" t="n"/>
      <c r="AA10" s="600" t="n"/>
      <c r="AB10" s="600" t="n"/>
      <c r="AC10" s="600" t="n"/>
      <c r="AD10" s="600" t="n"/>
      <c r="AE10" s="600" t="n"/>
      <c r="AF10" s="63" t="n"/>
      <c r="AG10" s="76" t="n"/>
      <c r="AH10" s="76" t="n"/>
      <c r="AI10" s="63" t="n"/>
      <c r="AJ10" s="63" t="n"/>
      <c r="AK10" s="63" t="n"/>
      <c r="AL10" s="76" t="n"/>
      <c r="AM10" s="76" t="n"/>
      <c r="AN10" s="76" t="n"/>
      <c r="AO10" s="77" t="n"/>
      <c r="AP10" s="77" t="n"/>
      <c r="AQ10" s="77" t="n"/>
      <c r="AR10" s="77" t="n"/>
      <c r="AS10" s="77" t="n"/>
      <c r="AT10" s="78" t="n"/>
      <c r="AU10" s="64" t="n"/>
      <c r="AV10" s="64" t="n"/>
      <c r="AW10" s="64" t="n"/>
      <c r="AX10" s="64" t="n"/>
      <c r="AY10" s="103" t="n"/>
    </row>
    <row r="11" ht="16.5" customHeight="1">
      <c r="A11" s="600" t="n"/>
      <c r="B11" s="79" t="n"/>
      <c r="C11" s="80" t="n"/>
      <c r="D11" s="600" t="n"/>
      <c r="E11" s="600" t="n"/>
      <c r="F11" s="600" t="n"/>
      <c r="G11" s="600" t="n"/>
      <c r="H11" s="600" t="n"/>
      <c r="I11" s="600" t="n"/>
      <c r="J11" s="600" t="n"/>
      <c r="K11" s="600" t="n"/>
      <c r="L11" s="600" t="n"/>
      <c r="M11" s="600" t="n"/>
      <c r="N11" s="600" t="n"/>
      <c r="O11" s="600" t="n"/>
      <c r="P11" s="600" t="n"/>
      <c r="Q11" s="600" t="n"/>
      <c r="R11" s="600" t="n"/>
      <c r="S11" s="600" t="n"/>
      <c r="T11" s="600" t="n"/>
      <c r="U11" s="600" t="n"/>
      <c r="V11" s="600" t="n"/>
      <c r="W11" s="600" t="n"/>
      <c r="X11" s="600" t="n"/>
      <c r="Y11" s="600" t="n"/>
      <c r="Z11" s="600" t="n"/>
      <c r="AA11" s="600" t="n"/>
      <c r="AB11" s="600" t="n"/>
      <c r="AC11" s="600" t="n"/>
      <c r="AD11" s="600" t="n"/>
      <c r="AE11" s="600" t="n"/>
      <c r="AF11" s="600" t="n"/>
      <c r="AG11" s="600" t="n"/>
      <c r="AH11" s="600" t="n"/>
      <c r="AI11" s="600" t="n"/>
      <c r="AJ11" s="600" t="n"/>
      <c r="AK11" s="600" t="n"/>
      <c r="AL11" s="600" t="n"/>
      <c r="AM11" s="600" t="n"/>
      <c r="AN11" s="600" t="n"/>
      <c r="AO11" s="600" t="n"/>
      <c r="AP11" s="600" t="n"/>
      <c r="AQ11" s="600" t="n"/>
      <c r="AR11" s="600" t="n"/>
      <c r="AS11" s="64" t="n"/>
      <c r="AT11" s="64" t="n"/>
      <c r="AU11" s="64" t="n"/>
      <c r="AV11" s="64" t="n"/>
      <c r="AW11" s="64" t="n"/>
      <c r="AX11" s="64" t="n"/>
      <c r="AY11" s="103" t="n"/>
    </row>
    <row r="12" ht="16.5" customHeight="1">
      <c r="A12" s="62" t="n"/>
      <c r="B12" s="81" t="n"/>
      <c r="C12" s="82" t="n"/>
      <c r="D12" s="62" t="n"/>
      <c r="E12" s="62" t="n"/>
      <c r="F12" s="62" t="n"/>
      <c r="G12" s="62" t="n"/>
      <c r="H12" s="62" t="n"/>
      <c r="I12" s="62" t="n"/>
      <c r="J12" s="62" t="n"/>
      <c r="K12" s="62" t="n"/>
      <c r="L12" s="62" t="n"/>
      <c r="M12" s="62" t="n"/>
      <c r="N12" s="62" t="n"/>
      <c r="O12" s="62" t="n"/>
      <c r="P12" s="62" t="n"/>
      <c r="Q12" s="62" t="n"/>
      <c r="R12" s="62" t="n"/>
      <c r="S12" s="62" t="n"/>
      <c r="T12" s="62" t="n"/>
      <c r="U12" s="62" t="n"/>
      <c r="V12" s="62" t="n"/>
      <c r="W12" s="62" t="n"/>
      <c r="X12" s="62" t="n"/>
      <c r="Y12" s="62" t="n"/>
      <c r="Z12" s="62" t="n"/>
      <c r="AA12" s="62" t="n"/>
      <c r="AB12" s="62" t="n"/>
      <c r="AC12" s="62" t="n"/>
      <c r="AD12" s="62" t="n"/>
      <c r="AE12" s="62" t="n"/>
      <c r="AF12" s="62" t="n"/>
      <c r="AG12" s="62" t="n"/>
      <c r="AH12" s="62" t="n"/>
      <c r="AI12" s="62" t="n"/>
      <c r="AJ12" s="62" t="n"/>
      <c r="AK12" s="62" t="n"/>
      <c r="AL12" s="62" t="n"/>
      <c r="AM12" s="62" t="n"/>
      <c r="AN12" s="62" t="n"/>
      <c r="AO12" s="62" t="n"/>
      <c r="AP12" s="62" t="n"/>
      <c r="AQ12" s="62" t="n"/>
      <c r="AR12" s="62" t="n"/>
      <c r="AS12" s="64" t="n"/>
      <c r="AT12" s="64" t="n"/>
      <c r="AU12" s="64" t="n"/>
      <c r="AV12" s="64" t="n"/>
      <c r="AW12" s="64" t="n"/>
      <c r="AX12" s="64" t="n"/>
      <c r="AY12" s="103" t="n"/>
    </row>
    <row r="13" ht="16.5" customHeight="1">
      <c r="A13" s="64" t="n"/>
      <c r="B13" s="62" t="n"/>
      <c r="C13" s="62" t="n"/>
      <c r="D13" s="62" t="n"/>
      <c r="E13" s="62" t="n"/>
      <c r="F13" s="62" t="n"/>
      <c r="G13" s="62" t="n"/>
      <c r="H13" s="62" t="n"/>
      <c r="I13" s="62" t="n"/>
      <c r="J13" s="62" t="n"/>
      <c r="K13" s="62" t="n"/>
      <c r="L13" s="62" t="n"/>
      <c r="M13" s="62" t="n"/>
      <c r="N13" s="62" t="n"/>
      <c r="O13" s="62" t="n"/>
      <c r="P13" s="62" t="n"/>
      <c r="Q13" s="62" t="n"/>
      <c r="R13" s="62" t="n"/>
      <c r="S13" s="62" t="n"/>
      <c r="T13" s="62" t="n"/>
      <c r="U13" s="62" t="n"/>
      <c r="V13" s="62" t="n"/>
      <c r="W13" s="62" t="n"/>
      <c r="X13" s="62" t="n"/>
      <c r="Y13" s="62" t="n"/>
      <c r="Z13" s="62" t="n"/>
      <c r="AA13" s="62" t="n"/>
      <c r="AB13" s="62" t="n"/>
      <c r="AC13" s="62" t="n"/>
      <c r="AD13" s="62" t="n"/>
      <c r="AE13" s="62" t="n"/>
      <c r="AF13" s="62" t="n"/>
      <c r="AG13" s="62" t="n"/>
      <c r="AH13" s="62" t="n"/>
      <c r="AI13" s="62" t="n"/>
      <c r="AJ13" s="62" t="n"/>
      <c r="AK13" s="62" t="n"/>
      <c r="AL13" s="62" t="n"/>
      <c r="AM13" s="62" t="n"/>
      <c r="AN13" s="62" t="n"/>
      <c r="AO13" s="62" t="n"/>
      <c r="AP13" s="62" t="n"/>
      <c r="AQ13" s="62" t="n"/>
      <c r="AR13" s="62" t="n"/>
      <c r="AS13" s="64" t="n"/>
      <c r="AT13" s="64" t="n"/>
      <c r="AU13" s="64" t="n"/>
      <c r="AV13" s="64" t="n"/>
      <c r="AW13" s="64" t="n"/>
      <c r="AX13" s="64" t="n"/>
      <c r="AY13" s="103" t="n"/>
    </row>
    <row r="14" ht="16.5" customHeight="1">
      <c r="A14" s="83" t="n"/>
      <c r="B14" s="62" t="n"/>
      <c r="C14" s="62" t="n"/>
      <c r="D14" s="62" t="n"/>
      <c r="E14" s="62" t="n"/>
      <c r="F14" s="62" t="n"/>
      <c r="G14" s="62" t="n"/>
      <c r="H14" s="62" t="n"/>
      <c r="I14" s="62" t="n"/>
      <c r="J14" s="62" t="n"/>
      <c r="K14" s="62" t="n"/>
      <c r="L14" s="62" t="n"/>
      <c r="M14" s="62" t="n"/>
      <c r="N14" s="62" t="n"/>
      <c r="O14" s="62" t="n"/>
      <c r="P14" s="62" t="n"/>
      <c r="Q14" s="62" t="n"/>
      <c r="R14" s="62" t="n"/>
      <c r="S14" s="62" t="n"/>
      <c r="T14" s="62" t="n"/>
      <c r="U14" s="62" t="n"/>
      <c r="V14" s="62" t="n"/>
      <c r="W14" s="62" t="n"/>
      <c r="X14" s="62" t="n"/>
      <c r="Y14" s="62" t="n"/>
      <c r="Z14" s="62" t="n"/>
      <c r="AA14" s="62" t="n"/>
      <c r="AB14" s="62" t="n"/>
      <c r="AC14" s="62" t="n"/>
      <c r="AD14" s="62" t="n"/>
      <c r="AE14" s="62" t="n"/>
      <c r="AF14" s="62" t="n"/>
      <c r="AG14" s="62" t="n"/>
      <c r="AH14" s="62" t="n"/>
      <c r="AI14" s="62" t="n"/>
      <c r="AJ14" s="62" t="n"/>
      <c r="AK14" s="62" t="n"/>
      <c r="AL14" s="62" t="n"/>
      <c r="AM14" s="62" t="n"/>
      <c r="AN14" s="62" t="n"/>
      <c r="AO14" s="62" t="n"/>
      <c r="AP14" s="62" t="n"/>
      <c r="AQ14" s="62" t="n"/>
      <c r="AR14" s="62" t="n"/>
      <c r="AS14" s="64" t="n"/>
      <c r="AT14" s="64" t="n"/>
      <c r="AU14" s="64" t="n"/>
      <c r="AV14" s="64" t="n"/>
      <c r="AW14" s="64" t="n"/>
      <c r="AX14" s="64" t="n"/>
      <c r="AY14" s="103" t="n"/>
    </row>
    <row r="15" ht="16.5" customHeight="1">
      <c r="A15" s="199" t="n"/>
      <c r="B15" s="1964" t="n"/>
      <c r="C15" s="1964" t="n"/>
      <c r="D15" s="600" t="n"/>
      <c r="E15" s="600" t="n"/>
      <c r="F15" s="600" t="n"/>
      <c r="G15" s="600" t="n"/>
      <c r="H15" s="600" t="n"/>
      <c r="I15" s="600" t="n"/>
      <c r="J15" s="600" t="n"/>
      <c r="K15" s="600" t="n"/>
      <c r="L15" s="600" t="n"/>
      <c r="M15" s="600" t="n"/>
      <c r="N15" s="600" t="n"/>
      <c r="O15" s="600" t="n"/>
      <c r="P15" s="600" t="n"/>
      <c r="Q15" s="600" t="n"/>
      <c r="R15" s="600" t="n"/>
      <c r="S15" s="600" t="n"/>
      <c r="T15" s="600" t="n"/>
      <c r="U15" s="600" t="n"/>
      <c r="V15" s="600" t="n"/>
      <c r="W15" s="600" t="n"/>
      <c r="X15" s="600" t="n"/>
      <c r="Y15" s="600" t="n"/>
      <c r="Z15" s="600" t="n"/>
      <c r="AA15" s="600" t="n"/>
      <c r="AB15" s="600" t="n"/>
      <c r="AC15" s="600" t="n"/>
      <c r="AD15" s="600" t="n"/>
      <c r="AE15" s="600" t="n"/>
      <c r="AF15" s="600" t="n"/>
      <c r="AG15" s="600" t="n"/>
      <c r="AH15" s="600" t="n"/>
      <c r="AI15" s="600" t="n"/>
      <c r="AJ15" s="600" t="n"/>
      <c r="AK15" s="600" t="n"/>
      <c r="AL15" s="600" t="n"/>
      <c r="AM15" s="600" t="n"/>
      <c r="AN15" s="600" t="n"/>
      <c r="AO15" s="600" t="n"/>
      <c r="AP15" s="600" t="n"/>
      <c r="AQ15" s="600" t="n"/>
      <c r="AR15" s="600" t="n"/>
      <c r="AS15" s="64" t="n"/>
      <c r="AT15" s="64" t="n"/>
      <c r="AU15" s="64" t="n"/>
      <c r="AV15" s="64" t="n"/>
      <c r="AW15" s="64" t="n"/>
      <c r="AX15" s="64" t="n"/>
      <c r="AY15" s="103" t="n"/>
    </row>
    <row r="16" ht="16.5" customHeight="1">
      <c r="A16" s="600" t="n"/>
      <c r="B16" s="79" t="n"/>
      <c r="C16" s="80" t="n"/>
      <c r="D16" s="600" t="n"/>
      <c r="E16" s="600" t="n"/>
      <c r="F16" s="600" t="n"/>
      <c r="G16" s="600" t="n"/>
      <c r="H16" s="600" t="n"/>
      <c r="I16" s="600" t="n"/>
      <c r="J16" s="600" t="n"/>
      <c r="K16" s="600" t="n"/>
      <c r="L16" s="600" t="n"/>
      <c r="M16" s="600" t="n"/>
      <c r="N16" s="600" t="n"/>
      <c r="O16" s="600" t="n"/>
      <c r="P16" s="600" t="n"/>
      <c r="Q16" s="600" t="n"/>
      <c r="R16" s="600" t="n"/>
      <c r="S16" s="600" t="n"/>
      <c r="T16" s="600" t="n"/>
      <c r="U16" s="600" t="n"/>
      <c r="V16" s="600" t="n"/>
      <c r="W16" s="600" t="n"/>
      <c r="X16" s="600" t="n"/>
      <c r="Y16" s="600" t="n"/>
      <c r="Z16" s="600" t="n"/>
      <c r="AA16" s="600" t="n"/>
      <c r="AB16" s="600" t="n"/>
      <c r="AC16" s="600" t="n"/>
      <c r="AD16" s="600" t="n"/>
      <c r="AE16" s="600" t="n"/>
      <c r="AF16" s="600" t="n"/>
      <c r="AG16" s="600" t="n"/>
      <c r="AH16" s="600" t="n"/>
      <c r="AI16" s="600" t="n"/>
      <c r="AJ16" s="600" t="n"/>
      <c r="AK16" s="600" t="n"/>
      <c r="AL16" s="600" t="n"/>
      <c r="AM16" s="600" t="n"/>
      <c r="AN16" s="600" t="n"/>
      <c r="AO16" s="600" t="n"/>
      <c r="AP16" s="600" t="n"/>
      <c r="AQ16" s="600" t="n"/>
      <c r="AR16" s="600" t="n"/>
      <c r="AS16" s="64" t="n"/>
      <c r="AT16" s="64" t="n"/>
      <c r="AU16" s="64" t="n"/>
      <c r="AV16" s="64" t="n"/>
      <c r="AW16" s="64" t="n"/>
      <c r="AX16" s="64" t="n"/>
      <c r="AY16" s="103" t="n"/>
    </row>
    <row r="17" ht="16.5" customHeight="1">
      <c r="A17" s="600" t="n"/>
      <c r="B17" s="79" t="n"/>
      <c r="C17" s="80" t="n"/>
      <c r="D17" s="600" t="n"/>
      <c r="E17" s="600" t="n"/>
      <c r="F17" s="600" t="n"/>
      <c r="G17" s="600" t="n"/>
      <c r="H17" s="600" t="n"/>
      <c r="I17" s="600" t="n"/>
      <c r="J17" s="600" t="n"/>
      <c r="K17" s="600" t="n"/>
      <c r="L17" s="600" t="n"/>
      <c r="M17" s="600" t="n"/>
      <c r="N17" s="600" t="n"/>
      <c r="O17" s="600" t="n"/>
      <c r="P17" s="600" t="n"/>
      <c r="Q17" s="600" t="n"/>
      <c r="R17" s="600" t="n"/>
      <c r="S17" s="600" t="n"/>
      <c r="T17" s="600" t="n"/>
      <c r="U17" s="600" t="n"/>
      <c r="V17" s="600" t="n"/>
      <c r="W17" s="600" t="n"/>
      <c r="X17" s="600" t="n"/>
      <c r="Y17" s="600" t="n"/>
      <c r="Z17" s="600" t="n"/>
      <c r="AA17" s="600" t="n"/>
      <c r="AB17" s="600" t="n"/>
      <c r="AC17" s="600" t="n"/>
      <c r="AD17" s="600" t="n"/>
      <c r="AE17" s="600" t="n"/>
      <c r="AF17" s="600" t="n"/>
      <c r="AG17" s="600" t="n"/>
      <c r="AH17" s="600" t="n"/>
      <c r="AI17" s="600" t="n"/>
      <c r="AJ17" s="600" t="n"/>
      <c r="AK17" s="600" t="n"/>
      <c r="AL17" s="600" t="n"/>
      <c r="AM17" s="600" t="n"/>
      <c r="AN17" s="600" t="n"/>
      <c r="AO17" s="600" t="n"/>
      <c r="AP17" s="600" t="n"/>
      <c r="AQ17" s="600" t="n"/>
      <c r="AR17" s="600" t="n"/>
      <c r="AS17" s="64" t="n"/>
      <c r="AT17" s="64" t="n"/>
      <c r="AU17" s="64" t="n"/>
      <c r="AV17" s="64" t="n"/>
      <c r="AW17" s="64" t="n"/>
      <c r="AX17" s="64" t="n"/>
      <c r="AY17" s="103" t="n"/>
    </row>
    <row r="18" ht="18.75" customHeight="1">
      <c r="A18" s="86" t="inlineStr">
        <is>
          <t>e¨w³MZ M¨vivw›U</t>
        </is>
      </c>
      <c r="AU18" s="64" t="n"/>
      <c r="AV18" s="64" t="n"/>
      <c r="AW18" s="64" t="n"/>
      <c r="AX18" s="64" t="n"/>
      <c r="AY18" s="103" t="n"/>
    </row>
    <row r="19" ht="24" customHeight="1">
      <c r="A19" s="1964" t="n"/>
      <c r="B19" s="87" t="n"/>
      <c r="C19" s="88" t="n"/>
      <c r="D19" s="1964" t="n"/>
      <c r="E19" s="1964" t="n"/>
      <c r="F19" s="1964" t="n"/>
      <c r="G19" s="1964" t="n"/>
      <c r="H19" s="1964" t="n"/>
      <c r="I19" s="1964" t="n"/>
      <c r="J19" s="1964" t="n"/>
      <c r="K19" s="1964" t="n"/>
      <c r="L19" s="1964" t="n"/>
      <c r="M19" s="1964" t="n"/>
      <c r="N19" s="1964" t="n"/>
      <c r="O19" s="1964" t="n"/>
      <c r="P19" s="1964" t="n"/>
      <c r="Q19" s="1964" t="n"/>
      <c r="R19" s="1964" t="n"/>
      <c r="S19" s="1964" t="n"/>
      <c r="T19" s="1964" t="n"/>
      <c r="U19" s="1964" t="n"/>
      <c r="V19" s="1964" t="n"/>
      <c r="W19" s="1964" t="n"/>
      <c r="X19" s="1964" t="n"/>
      <c r="Y19" s="1964" t="n"/>
      <c r="Z19" s="1964" t="n"/>
      <c r="AA19" s="1964" t="n"/>
      <c r="AB19" s="1964" t="n"/>
      <c r="AC19" s="1964" t="n"/>
      <c r="AD19" s="1964" t="n"/>
      <c r="AE19" s="1964" t="n"/>
      <c r="AF19" s="1964" t="n"/>
      <c r="AG19" s="1964" t="n"/>
      <c r="AH19" s="1964" t="n"/>
      <c r="AI19" s="1964" t="n"/>
      <c r="AJ19" s="1964" t="n"/>
      <c r="AK19" s="1964" t="n"/>
      <c r="AL19" s="1964" t="n"/>
      <c r="AM19" s="1964" t="n"/>
      <c r="AN19" s="1964" t="n"/>
      <c r="AO19" s="1964" t="n"/>
      <c r="AP19" s="1964" t="n"/>
      <c r="AQ19" s="1964" t="n"/>
      <c r="AR19" s="1964" t="n"/>
      <c r="AS19" s="64" t="n"/>
      <c r="AT19" s="64" t="n"/>
      <c r="AU19" s="64" t="n"/>
      <c r="AV19" s="64" t="n"/>
      <c r="AW19" s="64" t="n"/>
      <c r="AX19" s="64" t="n"/>
      <c r="AY19" s="103" t="n"/>
    </row>
    <row r="20" ht="18.75" customHeight="1">
      <c r="A20" s="600" t="inlineStr">
        <is>
          <t xml:space="preserve">                                                   </t>
        </is>
      </c>
      <c r="B20" s="600" t="n"/>
      <c r="C20" s="600" t="n"/>
      <c r="D20" s="600" t="n"/>
      <c r="E20" s="600" t="n"/>
      <c r="F20" s="600" t="n"/>
      <c r="G20" s="600" t="n"/>
      <c r="H20" s="600" t="n"/>
      <c r="I20" s="600" t="n"/>
      <c r="J20" s="600" t="n"/>
      <c r="K20" s="600" t="n"/>
      <c r="L20" s="600" t="n"/>
      <c r="M20" s="600" t="n"/>
      <c r="N20" s="600" t="n"/>
      <c r="O20" s="600" t="n"/>
      <c r="P20" s="600" t="n"/>
      <c r="Q20" s="600" t="n"/>
      <c r="R20" s="600" t="n"/>
      <c r="S20" s="600" t="n"/>
      <c r="T20" s="600" t="n"/>
      <c r="U20" s="600" t="n"/>
      <c r="V20" s="600" t="n"/>
      <c r="W20" s="600" t="n"/>
      <c r="X20" s="600" t="n"/>
      <c r="Y20" s="600" t="n"/>
      <c r="Z20" s="600" t="n"/>
      <c r="AA20" s="600" t="n"/>
      <c r="AB20" s="600" t="n"/>
      <c r="AC20" s="600" t="n"/>
      <c r="AD20" s="600" t="n"/>
      <c r="AE20" s="600" t="n"/>
      <c r="AF20" s="600" t="n"/>
      <c r="AG20" s="600" t="n"/>
      <c r="AH20" s="600" t="n"/>
      <c r="AI20" s="600" t="n"/>
      <c r="AJ20" s="600" t="n"/>
      <c r="AK20" s="600" t="n"/>
      <c r="AL20" s="600" t="n"/>
      <c r="AM20" s="600" t="n"/>
      <c r="AN20" s="600" t="n"/>
      <c r="AO20" s="600" t="n"/>
      <c r="AP20" s="600" t="n"/>
      <c r="AQ20" s="600" t="n"/>
      <c r="AR20" s="600" t="n"/>
      <c r="AS20" s="600" t="n"/>
      <c r="AT20" s="600" t="n"/>
      <c r="AU20" s="64" t="n"/>
      <c r="AV20" s="64" t="n"/>
      <c r="AW20" s="64" t="n"/>
      <c r="AX20" s="64" t="n"/>
      <c r="AY20" s="103" t="n"/>
    </row>
    <row r="21" ht="31.5" customHeight="1">
      <c r="A21" s="600" t="n"/>
      <c r="B21" s="89">
        <f>"Avwg wbgœ¯^vÿiKvix GB g‡g© wbðqZv cÖ`vb Kwi‡ZwQ †h, "&amp;'Data Input'!D12&amp;", wcZv/¯^vgxi bvgt "&amp;'Data Input'!D13&amp;", gvZvi bvgt "&amp;'Data Input'!D14&amp;",eZ©gvb wVKvbvt "&amp;+'Data Input'!D17&amp;", ¯’vqx wVKvbvt "&amp;+'Data Input'!D17&amp;" ;evsjv‡`k K…wl e¨vsK,dZzjøv kvLv nB‡Z gyw` cY¨ e¨emv cwiPvjbv Kivi Rb¨ gs "&amp;+'Data Input'!D11&amp;" (K_vqt cvuP jÿ) UvKv gvÎ wmGgGmGgB Lv‡Z RvgvbZwenxb FY cÖ`vb Kiv nB‡j D³ F‡Yi UvKv h_vh_ fv‡e e¨eüZ nB‡e Ges FYwU h_vmg‡q my‡` Avm‡j cwi‡kva wbwðZ nB‡e|"</f>
        <v/>
      </c>
      <c r="AS21" s="600" t="n"/>
      <c r="AT21" s="600" t="n"/>
      <c r="AU21" s="64" t="n"/>
      <c r="AV21" s="64" t="n"/>
      <c r="AW21" s="64" t="n"/>
      <c r="AX21" s="64" t="n"/>
      <c r="AY21" s="103" t="n"/>
    </row>
    <row r="22" ht="18.75" customHeight="1">
      <c r="A22" s="600" t="n"/>
      <c r="AS22" s="600" t="n"/>
      <c r="AT22" s="600" t="n"/>
      <c r="AU22" s="64" t="n"/>
      <c r="AV22" s="64" t="n"/>
      <c r="AW22" s="64" t="n"/>
      <c r="AX22" s="64" t="n"/>
      <c r="AY22" s="103" t="n"/>
    </row>
    <row r="23" ht="18.75" customHeight="1">
      <c r="A23" s="600" t="n"/>
      <c r="AS23" s="600" t="n"/>
      <c r="AT23" s="600" t="n"/>
      <c r="AU23" s="64" t="n"/>
      <c r="AV23" s="64" t="n"/>
      <c r="AW23" s="64" t="n"/>
      <c r="AX23" s="64" t="n"/>
      <c r="AY23" s="103" t="n"/>
    </row>
    <row r="24" ht="18.75" customHeight="1">
      <c r="A24" s="600" t="n"/>
      <c r="AS24" s="600" t="n"/>
      <c r="AT24" s="600" t="n"/>
      <c r="AU24" s="64" t="n"/>
      <c r="AV24" s="64" t="n"/>
      <c r="AW24" s="64" t="n"/>
      <c r="AX24" s="64" t="n"/>
      <c r="AY24" s="103" t="n"/>
    </row>
    <row r="25" ht="18.75" customHeight="1">
      <c r="A25" s="600" t="n"/>
      <c r="AS25" s="600" t="n"/>
      <c r="AT25" s="600" t="n"/>
      <c r="AU25" s="64" t="n"/>
      <c r="AV25" s="64" t="n"/>
      <c r="AW25" s="64" t="n"/>
      <c r="AX25" s="64" t="n"/>
      <c r="AY25" s="103" t="n"/>
    </row>
    <row r="26" ht="18.75" customHeight="1">
      <c r="A26" s="600" t="n"/>
      <c r="AS26" s="600" t="n"/>
      <c r="AT26" s="600" t="n"/>
      <c r="AU26" s="64" t="n"/>
      <c r="AV26" s="64" t="n"/>
      <c r="AW26" s="64" t="n"/>
      <c r="AX26" s="64" t="n"/>
      <c r="AY26" s="103" t="n"/>
    </row>
    <row r="27" ht="18.75" customHeight="1">
      <c r="A27" s="600" t="n"/>
      <c r="AS27" s="600" t="n"/>
      <c r="AT27" s="600" t="n"/>
      <c r="AU27" s="64" t="n"/>
      <c r="AV27" s="64" t="n"/>
      <c r="AW27" s="64" t="n"/>
      <c r="AX27" s="64" t="n"/>
      <c r="AY27" s="103" t="n"/>
    </row>
    <row r="28" ht="18.75" customHeight="1">
      <c r="A28" s="600" t="n"/>
      <c r="AS28" s="600" t="n"/>
      <c r="AT28" s="600" t="n"/>
      <c r="AU28" s="64" t="n"/>
      <c r="AV28" s="64" t="n"/>
      <c r="AW28" s="64" t="n"/>
      <c r="AX28" s="64" t="n"/>
      <c r="AY28" s="103" t="n"/>
    </row>
    <row r="29" ht="18.75" customHeight="1">
      <c r="A29" s="600" t="n"/>
      <c r="AS29" s="600" t="n"/>
      <c r="AT29" s="600" t="n"/>
      <c r="AU29" s="64" t="n"/>
      <c r="AV29" s="64" t="n"/>
      <c r="AW29" s="64" t="n"/>
      <c r="AX29" s="64" t="n"/>
      <c r="AY29" s="103" t="n"/>
    </row>
    <row r="30" ht="18.75" customHeight="1">
      <c r="A30" s="600" t="n"/>
      <c r="AS30" s="77" t="n"/>
      <c r="AT30" s="78" t="n"/>
      <c r="AU30" s="64" t="n"/>
      <c r="AV30" s="64" t="n"/>
      <c r="AW30" s="64" t="n"/>
      <c r="AX30" s="64" t="n"/>
      <c r="AY30" s="103" t="n"/>
    </row>
    <row r="31" ht="18.75" customHeight="1">
      <c r="A31" s="62" t="n"/>
      <c r="B31" s="62" t="n"/>
      <c r="C31" s="62" t="n"/>
      <c r="D31" s="62" t="n"/>
      <c r="E31" s="63" t="n"/>
      <c r="F31" s="63" t="n"/>
      <c r="G31" s="63" t="n"/>
      <c r="H31" s="63" t="n"/>
      <c r="I31" s="63" t="n"/>
      <c r="J31" s="63" t="n"/>
      <c r="K31" s="63" t="n"/>
      <c r="L31" s="63" t="n"/>
      <c r="M31" s="63" t="n"/>
      <c r="N31" s="63" t="n"/>
      <c r="O31" s="63" t="n"/>
      <c r="P31" s="63" t="n"/>
      <c r="Q31" s="63" t="n"/>
      <c r="R31" s="63" t="n"/>
      <c r="S31" s="63" t="n"/>
      <c r="T31" s="63" t="n"/>
      <c r="U31" s="63" t="n"/>
      <c r="V31" s="63" t="n"/>
      <c r="W31" s="63" t="n"/>
      <c r="X31" s="63" t="n"/>
      <c r="Y31" s="63" t="n"/>
      <c r="Z31" s="63" t="n"/>
      <c r="AA31" s="63" t="n"/>
      <c r="AB31" s="63" t="n"/>
      <c r="AC31" s="63" t="n"/>
      <c r="AD31" s="63" t="n"/>
      <c r="AE31" s="63" t="n"/>
      <c r="AF31" s="63" t="n"/>
      <c r="AG31" s="63" t="n"/>
      <c r="AH31" s="63" t="n"/>
      <c r="AI31" s="63" t="n"/>
      <c r="AJ31" s="63" t="n"/>
      <c r="AK31" s="63" t="n"/>
      <c r="AL31" s="63" t="n"/>
      <c r="AM31" s="63" t="n"/>
      <c r="AN31" s="63" t="n"/>
      <c r="AO31" s="90" t="n"/>
      <c r="AP31" s="90" t="n"/>
      <c r="AQ31" s="90" t="n"/>
      <c r="AR31" s="90" t="n"/>
      <c r="AS31" s="90" t="n"/>
      <c r="AT31" s="91" t="n"/>
      <c r="AU31" s="64" t="n"/>
      <c r="AV31" s="64" t="n"/>
      <c r="AW31" s="64" t="n"/>
      <c r="AX31" s="64" t="n"/>
      <c r="AY31" s="103" t="n"/>
    </row>
    <row r="32" ht="18.75" customHeight="1">
      <c r="A32" s="62" t="n"/>
      <c r="B32" s="83" t="n"/>
      <c r="C32" s="83" t="n"/>
      <c r="D32" s="83" t="n"/>
      <c r="E32" s="63" t="n"/>
      <c r="F32" s="63" t="n"/>
      <c r="G32" s="63" t="n"/>
      <c r="H32" s="63" t="n"/>
      <c r="I32" s="63" t="n"/>
      <c r="J32" s="63" t="n"/>
      <c r="K32" s="63" t="n"/>
      <c r="L32" s="63" t="n"/>
      <c r="M32" s="63" t="n"/>
      <c r="N32" s="63" t="n"/>
      <c r="O32" s="63" t="n"/>
      <c r="P32" s="63" t="n"/>
      <c r="Q32" s="63" t="n"/>
      <c r="R32" s="63" t="n"/>
      <c r="S32" s="63" t="n"/>
      <c r="T32" s="63" t="n"/>
      <c r="U32" s="63" t="n"/>
      <c r="V32" s="63" t="n"/>
      <c r="W32" s="63" t="n"/>
      <c r="X32" s="63" t="n"/>
      <c r="Y32" s="63" t="n"/>
      <c r="Z32" s="63" t="n"/>
      <c r="AA32" s="63" t="n"/>
      <c r="AB32" s="63" t="n"/>
      <c r="AC32" s="63" t="n"/>
      <c r="AD32" s="63" t="n"/>
      <c r="AE32" s="63" t="n"/>
      <c r="AF32" s="63" t="n"/>
      <c r="AG32" s="63" t="n"/>
      <c r="AH32" s="63" t="n"/>
      <c r="AI32" s="63" t="n"/>
      <c r="AJ32" s="63" t="n"/>
      <c r="AK32" s="63" t="n"/>
      <c r="AL32" s="63" t="n"/>
      <c r="AM32" s="63" t="n"/>
      <c r="AN32" s="63" t="n"/>
      <c r="AO32" s="83" t="n"/>
      <c r="AP32" s="83" t="n"/>
      <c r="AQ32" s="83" t="n"/>
      <c r="AR32" s="83" t="n"/>
      <c r="AS32" s="83" t="n"/>
      <c r="AT32" s="83" t="n"/>
      <c r="AU32" s="64" t="n"/>
      <c r="AV32" s="64" t="n"/>
      <c r="AW32" s="64" t="n"/>
      <c r="AX32" s="64" t="n"/>
      <c r="AY32" s="103" t="n"/>
    </row>
    <row r="33" ht="18.75" customFormat="1" customHeight="1" s="18">
      <c r="A33" s="83" t="n"/>
      <c r="B33" s="83" t="n"/>
      <c r="C33" s="83" t="n"/>
      <c r="D33" s="83" t="n"/>
      <c r="E33" s="375" t="n"/>
      <c r="F33" s="375" t="n"/>
      <c r="G33" s="375" t="n"/>
      <c r="H33" s="375" t="n"/>
      <c r="I33" s="375" t="n"/>
      <c r="J33" s="375" t="n"/>
      <c r="K33" s="375" t="n"/>
      <c r="L33" s="375" t="n"/>
      <c r="M33" s="375" t="n"/>
      <c r="N33" s="375" t="n"/>
      <c r="O33" s="375" t="n"/>
      <c r="P33" s="375" t="n"/>
      <c r="Q33" s="375" t="n"/>
      <c r="R33" s="375" t="n"/>
      <c r="S33" s="375" t="n"/>
      <c r="T33" s="375" t="n"/>
      <c r="U33" s="375" t="n"/>
      <c r="V33" s="375" t="n"/>
      <c r="W33" s="375" t="n"/>
      <c r="X33" s="375" t="n"/>
      <c r="Y33" s="375" t="n"/>
      <c r="Z33" s="375" t="n"/>
      <c r="AA33" s="375" t="n"/>
      <c r="AB33" s="375" t="n"/>
      <c r="AC33" s="375" t="n"/>
      <c r="AD33" s="375" t="n"/>
      <c r="AE33" s="375" t="n"/>
      <c r="AF33" s="375" t="n"/>
      <c r="AG33" s="375" t="n"/>
      <c r="AH33" s="375" t="n"/>
      <c r="AI33" s="375" t="n"/>
      <c r="AJ33" s="375" t="n"/>
      <c r="AK33" s="375" t="n"/>
      <c r="AL33" s="375" t="n"/>
      <c r="AM33" s="375" t="n"/>
      <c r="AN33" s="375" t="n"/>
      <c r="AO33" s="83" t="n"/>
      <c r="AP33" s="83" t="n"/>
      <c r="AQ33" s="83" t="n"/>
      <c r="AR33" s="83" t="n"/>
      <c r="AS33" s="83" t="n"/>
      <c r="AT33" s="83" t="n"/>
      <c r="AU33" s="103" t="n"/>
      <c r="AV33" s="103" t="n"/>
      <c r="AW33" s="103" t="n"/>
      <c r="AX33" s="103" t="n"/>
      <c r="AY33" s="103" t="n"/>
    </row>
    <row r="34" ht="18.75" customFormat="1" customHeight="1" s="18">
      <c r="A34" s="199" t="n"/>
      <c r="B34" s="199" t="n"/>
      <c r="C34" s="199" t="n"/>
      <c r="D34" s="199" t="n"/>
      <c r="E34" s="375" t="n"/>
      <c r="F34" s="375" t="n"/>
      <c r="G34" s="375" t="n"/>
      <c r="H34" s="375" t="n"/>
      <c r="I34" s="375" t="n"/>
      <c r="J34" s="375" t="n"/>
      <c r="K34" s="375" t="n"/>
      <c r="L34" s="375" t="n"/>
      <c r="M34" s="375" t="n"/>
      <c r="N34" s="375" t="n"/>
      <c r="O34" s="375" t="n"/>
      <c r="P34" s="375" t="n"/>
      <c r="Q34" s="375" t="n"/>
      <c r="R34" s="375" t="n"/>
      <c r="S34" s="375" t="n"/>
      <c r="T34" s="375" t="n"/>
      <c r="U34" s="375" t="n"/>
      <c r="V34" s="375" t="n"/>
      <c r="W34" s="375" t="n"/>
      <c r="X34" s="375" t="n"/>
      <c r="Y34" s="375" t="n"/>
      <c r="Z34" s="375" t="n"/>
      <c r="AA34" s="375" t="n"/>
      <c r="AB34" s="375" t="n"/>
      <c r="AC34" s="375" t="n"/>
      <c r="AD34" s="375" t="n"/>
      <c r="AE34" s="375" t="n"/>
      <c r="AF34" s="375" t="n"/>
      <c r="AG34" s="375" t="n"/>
      <c r="AH34" s="375" t="n"/>
      <c r="AI34" s="375" t="n"/>
      <c r="AJ34" s="375" t="n"/>
      <c r="AK34" s="375" t="n"/>
      <c r="AL34" s="375" t="n"/>
      <c r="AM34" s="375" t="n"/>
      <c r="AN34" s="375" t="n"/>
      <c r="AO34" s="199" t="n"/>
      <c r="AP34" s="199" t="n"/>
      <c r="AQ34" s="199" t="n"/>
      <c r="AR34" s="199" t="n"/>
      <c r="AS34" s="199" t="n"/>
      <c r="AT34" s="199" t="n"/>
      <c r="AU34" s="103" t="n"/>
      <c r="AV34" s="103" t="n"/>
      <c r="AW34" s="103" t="n"/>
      <c r="AX34" s="103" t="n"/>
      <c r="AY34" s="103" t="n"/>
    </row>
    <row r="35" ht="18.75" customHeight="1">
      <c r="A35" s="600" t="n"/>
      <c r="B35" s="600" t="n"/>
      <c r="C35" s="600" t="n"/>
      <c r="D35" s="600" t="n"/>
      <c r="E35" s="63" t="n"/>
      <c r="F35" s="63" t="n"/>
      <c r="G35" s="63" t="n"/>
      <c r="H35" s="63" t="n"/>
      <c r="I35" s="63" t="n"/>
      <c r="J35" s="63" t="n"/>
      <c r="K35" s="63" t="n"/>
      <c r="L35" s="63" t="n"/>
      <c r="M35" s="63" t="n"/>
      <c r="N35" s="63" t="n"/>
      <c r="O35" s="63" t="n"/>
      <c r="P35" s="63" t="n"/>
      <c r="Q35" s="63" t="n"/>
      <c r="R35" s="63" t="n"/>
      <c r="S35" s="63" t="n"/>
      <c r="T35" s="63" t="n"/>
      <c r="U35" s="63" t="n"/>
      <c r="V35" s="63" t="n"/>
      <c r="W35" s="63" t="n"/>
      <c r="X35" s="63" t="n"/>
      <c r="Y35" s="63" t="n"/>
      <c r="Z35" s="63" t="n"/>
      <c r="AA35" s="63" t="n"/>
      <c r="AB35" s="63" t="n"/>
      <c r="AC35" s="63" t="n"/>
      <c r="AD35" s="63" t="n"/>
      <c r="AE35" s="63" t="n"/>
      <c r="AF35" s="63" t="n"/>
      <c r="AG35" s="63" t="n"/>
      <c r="AH35" s="63" t="n"/>
      <c r="AI35" s="63" t="n"/>
      <c r="AJ35" s="63" t="n"/>
      <c r="AK35" s="63" t="n"/>
      <c r="AL35" s="63" t="n"/>
      <c r="AM35" s="63" t="n"/>
      <c r="AN35" s="63" t="n"/>
      <c r="AO35" s="77" t="n"/>
      <c r="AP35" s="77" t="n"/>
      <c r="AQ35" s="77" t="n"/>
      <c r="AR35" s="77" t="n"/>
      <c r="AS35" s="77" t="n"/>
      <c r="AT35" s="78" t="n"/>
      <c r="AU35" s="64" t="n"/>
      <c r="AV35" s="64" t="n"/>
      <c r="AW35" s="64" t="n"/>
      <c r="AX35" s="64" t="n"/>
      <c r="AY35" s="103" t="n"/>
    </row>
    <row r="36" ht="18.75" customHeight="1">
      <c r="A36" s="600" t="n"/>
      <c r="B36" s="600" t="n"/>
      <c r="C36" s="600" t="n"/>
      <c r="D36" s="600" t="n"/>
      <c r="E36" s="63" t="n"/>
      <c r="F36" s="63" t="n"/>
      <c r="G36" s="63" t="n"/>
      <c r="H36" s="63" t="n"/>
      <c r="I36" s="63" t="n"/>
      <c r="J36" s="63" t="n"/>
      <c r="K36" s="63" t="n"/>
      <c r="L36" s="63" t="n"/>
      <c r="M36" s="63" t="n"/>
      <c r="N36" s="63" t="n"/>
      <c r="O36" s="63" t="n"/>
      <c r="P36" s="63" t="n"/>
      <c r="Q36" s="63" t="n"/>
      <c r="R36" s="63" t="n"/>
      <c r="S36" s="63" t="n"/>
      <c r="T36" s="63" t="n"/>
      <c r="U36" s="63" t="n"/>
      <c r="V36" s="63" t="n"/>
      <c r="W36" s="63" t="n"/>
      <c r="X36" s="63" t="n"/>
      <c r="Y36" s="63" t="n"/>
      <c r="Z36" s="63" t="n"/>
      <c r="AA36" s="63" t="n"/>
      <c r="AB36" s="63" t="n"/>
      <c r="AC36" s="63" t="n"/>
      <c r="AD36" s="63" t="n"/>
      <c r="AE36" s="63" t="n"/>
      <c r="AF36" s="63" t="n"/>
      <c r="AG36" s="63" t="n"/>
      <c r="AH36" s="63" t="n"/>
      <c r="AI36" s="63" t="n"/>
      <c r="AJ36" s="63" t="n"/>
      <c r="AK36" s="63" t="n"/>
      <c r="AL36" s="63" t="n"/>
      <c r="AM36" s="63" t="n"/>
      <c r="AN36" s="63" t="n"/>
      <c r="AO36" s="77" t="n"/>
      <c r="AP36" s="77" t="n"/>
      <c r="AQ36" s="77" t="n"/>
      <c r="AR36" s="77" t="n"/>
      <c r="AS36" s="77" t="n"/>
      <c r="AT36" s="78" t="n"/>
      <c r="AU36" s="64" t="n"/>
      <c r="AV36" s="64" t="n"/>
      <c r="AW36" s="64" t="n"/>
      <c r="AX36" s="64" t="n"/>
      <c r="AY36" s="103" t="n"/>
    </row>
    <row r="37" ht="18.75" customHeight="1">
      <c r="A37" s="600" t="n"/>
      <c r="B37" s="600" t="n"/>
      <c r="C37" s="600" t="n"/>
      <c r="D37" s="600" t="n"/>
      <c r="E37" s="63" t="n"/>
      <c r="F37" s="63" t="n"/>
      <c r="G37" s="63" t="n"/>
      <c r="H37" s="63" t="n"/>
      <c r="I37" s="63" t="n"/>
      <c r="J37" s="63" t="n"/>
      <c r="K37" s="63" t="n"/>
      <c r="L37" s="63" t="n"/>
      <c r="M37" s="63" t="n"/>
      <c r="N37" s="63" t="n"/>
      <c r="O37" s="63" t="n"/>
      <c r="P37" s="63" t="n"/>
      <c r="Q37" s="63" t="n"/>
      <c r="R37" s="63" t="n"/>
      <c r="S37" s="63" t="n"/>
      <c r="T37" s="63" t="n"/>
      <c r="U37" s="63" t="n"/>
      <c r="V37" s="63" t="n"/>
      <c r="W37" s="63" t="n"/>
      <c r="X37" s="63" t="n"/>
      <c r="Y37" s="63" t="n"/>
      <c r="Z37" s="63" t="n"/>
      <c r="AA37" s="63" t="n"/>
      <c r="AB37" s="63" t="n"/>
      <c r="AC37" s="63" t="n"/>
      <c r="AD37" s="63" t="n"/>
      <c r="AE37" s="63" t="n"/>
      <c r="AF37" s="63" t="n"/>
      <c r="AG37" s="63" t="n"/>
      <c r="AH37" s="63" t="n"/>
      <c r="AI37" s="63" t="n"/>
      <c r="AJ37" s="63" t="n"/>
      <c r="AK37" s="63" t="n"/>
      <c r="AL37" s="63" t="n"/>
      <c r="AM37" s="63" t="n"/>
      <c r="AN37" s="63" t="n"/>
      <c r="AO37" s="77" t="n"/>
      <c r="AP37" s="77" t="n"/>
      <c r="AQ37" s="77" t="n"/>
      <c r="AR37" s="77" t="n"/>
      <c r="AS37" s="77" t="n"/>
      <c r="AT37" s="78" t="n"/>
      <c r="AU37" s="64" t="n"/>
      <c r="AV37" s="64" t="n"/>
      <c r="AW37" s="64" t="n"/>
      <c r="AX37" s="64" t="n"/>
      <c r="AY37" s="103" t="n"/>
    </row>
    <row r="38" ht="18.75" customHeight="1">
      <c r="A38" s="600" t="n"/>
      <c r="B38" s="600" t="n"/>
      <c r="C38" s="600" t="n"/>
      <c r="D38" s="600" t="n"/>
      <c r="E38" s="63" t="n"/>
      <c r="F38" s="63" t="n"/>
      <c r="G38" s="63" t="n"/>
      <c r="H38" s="63" t="n"/>
      <c r="I38" s="63" t="n"/>
      <c r="J38" s="63" t="n"/>
      <c r="K38" s="63" t="n"/>
      <c r="L38" s="63" t="n"/>
      <c r="M38" s="63" t="n"/>
      <c r="N38" s="63" t="n"/>
      <c r="O38" s="63" t="n"/>
      <c r="P38" s="63" t="n"/>
      <c r="Q38" s="63" t="n"/>
      <c r="R38" s="63" t="n"/>
      <c r="S38" s="63" t="n"/>
      <c r="T38" s="63" t="n"/>
      <c r="U38" s="63" t="n"/>
      <c r="V38" s="63" t="n"/>
      <c r="W38" s="63" t="n"/>
      <c r="X38" s="63" t="n"/>
      <c r="Y38" s="63" t="n"/>
      <c r="Z38" s="63" t="n"/>
      <c r="AA38" s="63" t="n"/>
      <c r="AB38" s="63" t="n"/>
      <c r="AC38" s="63" t="n"/>
      <c r="AD38" s="63" t="n"/>
      <c r="AE38" s="63" t="n"/>
      <c r="AF38" s="63" t="n"/>
      <c r="AG38" s="63" t="n"/>
      <c r="AH38" s="63" t="n"/>
      <c r="AI38" s="63" t="n"/>
      <c r="AJ38" s="63" t="n"/>
      <c r="AK38" s="63" t="n"/>
      <c r="AL38" s="63" t="n"/>
      <c r="AM38" s="63" t="n"/>
      <c r="AN38" s="63" t="n"/>
      <c r="AO38" s="77" t="n"/>
      <c r="AP38" s="77" t="n"/>
      <c r="AQ38" s="77" t="n"/>
      <c r="AR38" s="77" t="n"/>
      <c r="AS38" s="77" t="n"/>
      <c r="AT38" s="78" t="n"/>
      <c r="AU38" s="64" t="n"/>
      <c r="AV38" s="64" t="n"/>
      <c r="AW38" s="64" t="n"/>
      <c r="AX38" s="64" t="n"/>
      <c r="AY38" s="103" t="n"/>
    </row>
    <row r="39" ht="18.75" customHeight="1">
      <c r="A39" s="1964" t="n"/>
      <c r="B39" s="1964" t="n"/>
      <c r="C39" s="1964" t="n"/>
      <c r="D39" s="1964" t="n"/>
      <c r="E39" s="1964" t="n"/>
      <c r="F39" s="1964" t="n"/>
      <c r="G39" s="1964" t="n"/>
      <c r="H39" s="1964" t="n"/>
      <c r="I39" s="1964" t="n"/>
      <c r="J39" s="1964" t="n"/>
      <c r="K39" s="1964" t="n"/>
      <c r="L39" s="1964" t="n"/>
      <c r="M39" s="1964" t="n"/>
      <c r="N39" s="1964" t="n"/>
      <c r="O39" s="1964" t="n"/>
      <c r="P39" s="1964" t="n"/>
      <c r="Q39" s="1964" t="n"/>
      <c r="R39" s="1964" t="n"/>
      <c r="S39" s="1964" t="n"/>
      <c r="T39" s="1964" t="n"/>
      <c r="U39" s="1964" t="n"/>
      <c r="V39" s="1964" t="n"/>
      <c r="W39" s="1964" t="n"/>
      <c r="X39" s="1964" t="n"/>
      <c r="Y39" s="1964" t="n"/>
      <c r="Z39" s="1964" t="n"/>
      <c r="AA39" s="1964" t="n"/>
      <c r="AB39" s="1964" t="n"/>
      <c r="AC39" s="1964" t="n"/>
      <c r="AD39" s="1964" t="n"/>
      <c r="AE39" s="1964" t="n"/>
      <c r="AF39" s="1964" t="n"/>
      <c r="AG39" s="199" t="n"/>
      <c r="AH39" s="199" t="n"/>
      <c r="AI39" s="1964" t="n"/>
      <c r="AJ39" s="1964" t="n"/>
      <c r="AK39" s="1964" t="n"/>
      <c r="AL39" s="199" t="n"/>
      <c r="AM39" s="199" t="n"/>
      <c r="AN39" s="199" t="n"/>
      <c r="AO39" s="93" t="n"/>
      <c r="AP39" s="93" t="n"/>
      <c r="AQ39" s="93" t="n"/>
      <c r="AR39" s="93" t="n"/>
      <c r="AS39" s="93" t="n"/>
      <c r="AT39" s="94" t="n"/>
      <c r="AU39" s="64" t="n"/>
      <c r="AV39" s="64" t="n"/>
      <c r="AW39" s="64" t="n"/>
      <c r="AX39" s="64" t="n"/>
      <c r="AY39" s="103" t="n"/>
    </row>
    <row r="40" ht="18.75" customHeight="1">
      <c r="A40" s="219" t="n"/>
      <c r="AU40" s="64" t="n"/>
      <c r="AV40" s="64" t="n"/>
      <c r="AW40" s="64" t="n"/>
      <c r="AX40" s="64" t="n"/>
      <c r="AY40" s="103" t="n"/>
    </row>
    <row r="41" ht="18.75" customHeight="1">
      <c r="A41" s="1964" t="n"/>
      <c r="B41" s="1964" t="n"/>
      <c r="C41" s="1964" t="n"/>
      <c r="D41" s="1964" t="n"/>
      <c r="E41" s="1964" t="n"/>
      <c r="F41" s="1964" t="n"/>
      <c r="G41" s="1964" t="n"/>
      <c r="H41" s="1964" t="n"/>
      <c r="I41" s="1964" t="n"/>
      <c r="J41" s="1964" t="n"/>
      <c r="K41" s="1964" t="n"/>
      <c r="L41" s="1964" t="n"/>
      <c r="M41" s="1964" t="n"/>
      <c r="N41" s="1964" t="n"/>
      <c r="O41" s="1964" t="n"/>
      <c r="P41" s="1964" t="n"/>
      <c r="Q41" s="1964" t="n"/>
      <c r="R41" s="1964" t="n"/>
      <c r="S41" s="1964" t="n"/>
      <c r="T41" s="1964" t="n"/>
      <c r="U41" s="1964" t="n"/>
      <c r="V41" s="1964" t="n"/>
      <c r="W41" s="1964" t="n"/>
      <c r="X41" s="1964" t="n"/>
      <c r="Y41" s="1964" t="n"/>
      <c r="Z41" s="1964" t="n"/>
      <c r="AA41" s="1964" t="n"/>
      <c r="AB41" s="1964" t="n"/>
      <c r="AC41" s="1964" t="n"/>
      <c r="AD41" s="1964" t="n"/>
      <c r="AE41" s="219" t="n"/>
      <c r="AP41" s="93" t="n"/>
      <c r="AQ41" s="93" t="n"/>
      <c r="AR41" s="93" t="n"/>
      <c r="AS41" s="93" t="n"/>
      <c r="AT41" s="94" t="n"/>
      <c r="AU41" s="64" t="n"/>
      <c r="AV41" s="64" t="n"/>
      <c r="AW41" s="64" t="n"/>
      <c r="AX41" s="64" t="n"/>
      <c r="AY41" s="103" t="n"/>
    </row>
    <row r="42" ht="18.75" customHeight="1">
      <c r="A42" s="219" t="n"/>
      <c r="L42" s="96" t="n"/>
      <c r="M42" s="96" t="n"/>
      <c r="N42" s="96" t="n"/>
      <c r="O42" s="96" t="n"/>
      <c r="P42" s="96" t="n"/>
      <c r="Q42" s="1964" t="n"/>
      <c r="R42" s="1964" t="n"/>
      <c r="S42" s="219" t="n"/>
      <c r="AD42" s="1964" t="n"/>
      <c r="AE42" s="1964" t="n"/>
      <c r="AF42" s="1964" t="n"/>
      <c r="AG42" s="1964" t="n"/>
      <c r="AH42" s="1964" t="n"/>
      <c r="AI42" s="96" t="n"/>
      <c r="AJ42" s="219" t="n"/>
      <c r="AU42" s="64" t="n"/>
      <c r="AV42" s="64" t="n"/>
      <c r="AW42" s="64" t="n"/>
      <c r="AX42" s="64" t="n"/>
      <c r="AY42" s="103" t="n"/>
    </row>
    <row r="43" ht="18.75" customHeight="1">
      <c r="A43" s="219" t="n"/>
      <c r="L43" s="96" t="n"/>
      <c r="M43" s="96" t="n"/>
      <c r="N43" s="96" t="n"/>
      <c r="O43" s="96" t="n"/>
      <c r="P43" s="219" t="n"/>
      <c r="AG43" s="1964" t="n"/>
      <c r="AH43" s="1964" t="n"/>
      <c r="AI43" s="96" t="n"/>
      <c r="AJ43" s="219" t="n"/>
      <c r="AU43" s="64" t="n"/>
      <c r="AV43" s="64" t="n"/>
      <c r="AW43" s="64" t="n"/>
      <c r="AX43" s="64" t="n"/>
      <c r="AY43" s="103" t="n"/>
    </row>
    <row r="44" ht="18.75" customHeight="1">
      <c r="A44" s="219" t="n"/>
      <c r="L44" s="96" t="n"/>
      <c r="M44" s="96" t="n"/>
      <c r="N44" s="96" t="n"/>
      <c r="O44" s="96" t="n"/>
      <c r="P44" s="219" t="n"/>
      <c r="AG44" s="1964" t="n"/>
      <c r="AH44" s="1964" t="n"/>
      <c r="AI44" s="96" t="n"/>
      <c r="AJ44" s="219" t="n"/>
      <c r="AU44" s="64" t="n"/>
      <c r="AV44" s="64" t="n"/>
      <c r="AW44" s="64" t="n"/>
      <c r="AX44" s="64" t="n"/>
      <c r="AY44" s="103" t="n"/>
    </row>
    <row r="45" ht="18.75" customHeight="1">
      <c r="A45" s="97" t="n"/>
      <c r="L45" s="63" t="n"/>
      <c r="M45" s="63" t="n"/>
      <c r="N45" s="98" t="n"/>
      <c r="O45" s="98" t="n"/>
      <c r="P45" s="97" t="n"/>
      <c r="AG45" s="99" t="n"/>
      <c r="AH45" s="99" t="n"/>
      <c r="AI45" s="98" t="n"/>
      <c r="AJ45" s="97" t="n"/>
      <c r="AU45" s="64" t="n"/>
      <c r="AV45" s="64" t="n"/>
      <c r="AW45" s="64" t="n"/>
      <c r="AX45" s="64" t="n"/>
      <c r="AY45" s="103" t="n"/>
    </row>
    <row r="46" ht="18.75" customHeight="1">
      <c r="A46" s="98" t="n"/>
      <c r="B46" s="100" t="n"/>
      <c r="C46" s="600" t="n"/>
      <c r="D46" s="600" t="n"/>
      <c r="E46" s="600" t="n"/>
      <c r="F46" s="63" t="n"/>
      <c r="G46" s="63" t="n"/>
      <c r="H46" s="63" t="n"/>
      <c r="I46" s="63" t="n"/>
      <c r="J46" s="63" t="n"/>
      <c r="K46" s="63" t="n"/>
      <c r="L46" s="63" t="n"/>
      <c r="M46" s="63" t="n"/>
      <c r="N46" s="98" t="n"/>
      <c r="O46" s="98" t="n"/>
      <c r="P46" s="98" t="n"/>
      <c r="Q46" s="98" t="n"/>
      <c r="R46" s="98" t="n"/>
      <c r="S46" s="98" t="n"/>
      <c r="T46" s="98" t="n"/>
      <c r="U46" s="98" t="n"/>
      <c r="V46" s="98" t="n"/>
      <c r="W46" s="98" t="n"/>
      <c r="X46" s="98" t="n"/>
      <c r="Y46" s="98" t="n"/>
      <c r="Z46" s="98" t="n"/>
      <c r="AA46" s="98" t="n"/>
      <c r="AB46" s="98" t="n"/>
      <c r="AC46" s="98" t="n"/>
      <c r="AD46" s="98" t="n"/>
      <c r="AE46" s="98" t="n"/>
      <c r="AF46" s="98" t="n"/>
      <c r="AG46" s="98" t="n"/>
      <c r="AH46" s="98" t="n"/>
      <c r="AI46" s="98" t="n"/>
      <c r="AJ46" s="98" t="n"/>
      <c r="AK46" s="98" t="n"/>
      <c r="AL46" s="98" t="n"/>
      <c r="AM46" s="98" t="n"/>
      <c r="AN46" s="98" t="n"/>
      <c r="AO46" s="98" t="n"/>
      <c r="AP46" s="98" t="n"/>
      <c r="AQ46" s="98" t="n"/>
      <c r="AR46" s="98" t="n"/>
      <c r="AS46" s="98" t="n"/>
      <c r="AT46" s="98" t="n"/>
      <c r="AU46" s="64" t="n"/>
      <c r="AV46" s="64" t="n"/>
      <c r="AW46" s="64" t="n"/>
      <c r="AX46" s="64" t="n"/>
      <c r="AY46" s="103" t="n"/>
    </row>
    <row r="47" ht="18.75" customHeight="1">
      <c r="A47" s="98" t="n"/>
      <c r="B47" s="100" t="n"/>
      <c r="C47" s="600" t="n"/>
      <c r="F47" s="63" t="n"/>
      <c r="G47" s="63" t="n"/>
      <c r="H47" s="63" t="n"/>
      <c r="I47" s="63" t="n"/>
      <c r="J47" s="63" t="n"/>
      <c r="K47" s="63" t="n"/>
      <c r="L47" s="63" t="n"/>
      <c r="M47" s="63" t="n"/>
      <c r="N47" s="98" t="n"/>
      <c r="O47" s="98" t="n"/>
      <c r="P47" s="98" t="n"/>
      <c r="Q47" s="98" t="n"/>
      <c r="R47" s="98" t="n"/>
      <c r="S47" s="98" t="n"/>
      <c r="T47" s="98" t="n"/>
      <c r="U47" s="98" t="n"/>
      <c r="V47" s="98" t="n"/>
      <c r="W47" s="98" t="n"/>
      <c r="X47" s="98" t="n"/>
      <c r="Y47" s="98" t="n"/>
      <c r="Z47" s="98" t="n"/>
      <c r="AA47" s="98" t="n"/>
      <c r="AB47" s="98" t="n"/>
      <c r="AC47" s="98" t="n"/>
      <c r="AD47" s="98" t="n"/>
      <c r="AE47" s="98" t="n"/>
      <c r="AF47" s="98" t="n"/>
      <c r="AG47" s="98" t="n"/>
      <c r="AH47" s="98" t="n"/>
      <c r="AI47" s="98" t="n"/>
      <c r="AJ47" s="98" t="n"/>
      <c r="AK47" s="98" t="n"/>
      <c r="AL47" s="98" t="n"/>
      <c r="AM47" s="98" t="n"/>
      <c r="AN47" s="98" t="n"/>
      <c r="AO47" s="98" t="n"/>
      <c r="AP47" s="98" t="n"/>
      <c r="AQ47" s="98" t="n"/>
      <c r="AR47" s="98" t="n"/>
      <c r="AS47" s="98" t="n"/>
      <c r="AT47" s="98" t="n"/>
      <c r="AU47" s="64" t="n"/>
      <c r="AV47" s="64" t="n"/>
      <c r="AW47" s="64" t="n"/>
      <c r="AX47" s="64" t="n"/>
      <c r="AY47" s="103" t="n"/>
    </row>
    <row r="48" ht="18.75" customHeight="1">
      <c r="A48" s="98" t="n"/>
      <c r="B48" s="100" t="n"/>
      <c r="C48" s="600" t="n"/>
      <c r="F48" s="63" t="n"/>
      <c r="G48" s="63" t="n"/>
      <c r="H48" s="63" t="n"/>
      <c r="I48" s="63" t="n"/>
      <c r="J48" s="63" t="n"/>
      <c r="K48" s="63" t="n"/>
      <c r="L48" s="63" t="n"/>
      <c r="M48" s="63" t="n"/>
      <c r="N48" s="98" t="n"/>
      <c r="O48" s="98" t="n"/>
      <c r="P48" s="98" t="n"/>
      <c r="Q48" s="98" t="n"/>
      <c r="R48" s="98" t="n"/>
      <c r="S48" s="98" t="n"/>
      <c r="T48" s="98" t="n"/>
      <c r="U48" s="98" t="n"/>
      <c r="V48" s="98" t="n"/>
      <c r="W48" s="98" t="n"/>
      <c r="X48" s="98" t="n"/>
      <c r="Y48" s="98" t="n"/>
      <c r="Z48" s="98" t="n"/>
      <c r="AA48" s="98" t="n"/>
      <c r="AB48" s="98" t="n"/>
      <c r="AC48" s="98" t="n"/>
      <c r="AD48" s="98" t="n"/>
      <c r="AE48" s="98" t="n"/>
      <c r="AF48" s="98" t="n"/>
      <c r="AG48" s="98" t="n"/>
      <c r="AH48" s="98" t="n"/>
      <c r="AI48" s="98" t="n"/>
      <c r="AJ48" s="98" t="n"/>
      <c r="AK48" s="98" t="n"/>
      <c r="AL48" s="98" t="n"/>
      <c r="AM48" s="98" t="n"/>
      <c r="AN48" s="98" t="n"/>
      <c r="AO48" s="98" t="n"/>
      <c r="AP48" s="98" t="n"/>
      <c r="AQ48" s="98" t="n"/>
      <c r="AR48" s="98" t="n"/>
      <c r="AS48" s="98" t="n"/>
      <c r="AT48" s="98" t="n"/>
      <c r="AU48" s="64" t="n"/>
      <c r="AV48" s="64" t="n"/>
      <c r="AW48" s="64" t="n"/>
      <c r="AX48" s="64" t="n"/>
      <c r="AY48" s="103" t="n"/>
    </row>
    <row r="49" ht="18.75" customHeight="1">
      <c r="A49" s="64" t="n"/>
      <c r="B49" s="63" t="n"/>
      <c r="C49" s="63" t="n"/>
      <c r="D49" s="62" t="n"/>
      <c r="E49" s="62" t="n"/>
      <c r="F49" s="62" t="n"/>
      <c r="G49" s="62" t="n"/>
      <c r="H49" s="62" t="n"/>
      <c r="I49" s="62" t="n"/>
      <c r="J49" s="62" t="n"/>
      <c r="K49" s="62" t="n"/>
      <c r="L49" s="62" t="n"/>
      <c r="M49" s="62" t="n"/>
      <c r="N49" s="62" t="n"/>
      <c r="O49" s="62" t="n"/>
      <c r="P49" s="62" t="n"/>
      <c r="Q49" s="62" t="n"/>
      <c r="R49" s="62" t="n"/>
      <c r="S49" s="62" t="n"/>
      <c r="T49" s="62" t="n"/>
      <c r="U49" s="62" t="n"/>
      <c r="V49" s="62" t="n"/>
      <c r="W49" s="62" t="n"/>
      <c r="X49" s="62" t="n"/>
      <c r="Y49" s="62" t="n"/>
      <c r="Z49" s="62" t="n"/>
      <c r="AA49" s="62" t="n"/>
      <c r="AB49" s="62" t="n"/>
      <c r="AC49" s="62" t="n"/>
      <c r="AD49" s="62" t="n"/>
      <c r="AE49" s="62" t="n"/>
      <c r="AF49" s="62" t="n"/>
      <c r="AG49" s="62" t="n"/>
      <c r="AH49" s="62" t="n"/>
      <c r="AI49" s="62" t="n"/>
      <c r="AJ49" s="62" t="n"/>
      <c r="AK49" s="62" t="n"/>
      <c r="AL49" s="62" t="n"/>
      <c r="AM49" s="62" t="n"/>
      <c r="AN49" s="63" t="n"/>
      <c r="AO49" s="63" t="n"/>
      <c r="AP49" s="63" t="n"/>
      <c r="AQ49" s="63" t="n"/>
      <c r="AR49" s="63" t="n"/>
      <c r="AS49" s="64" t="n"/>
      <c r="AT49" s="64" t="n"/>
      <c r="AU49" s="64" t="n"/>
      <c r="AV49" s="64" t="n"/>
      <c r="AW49" s="64" t="n"/>
      <c r="AX49" s="64" t="n"/>
      <c r="AY49" s="103" t="n"/>
    </row>
    <row r="50" ht="18.75" customHeight="1">
      <c r="A50" s="64" t="n"/>
      <c r="B50" s="63" t="n"/>
      <c r="C50" s="63" t="n"/>
      <c r="D50" s="62" t="n"/>
      <c r="E50" s="62" t="n"/>
      <c r="F50" s="62" t="n"/>
      <c r="G50" s="62" t="n"/>
      <c r="H50" s="62" t="n"/>
      <c r="I50" s="62" t="n"/>
      <c r="J50" s="62" t="n"/>
      <c r="K50" s="62" t="n"/>
      <c r="L50" s="62" t="n"/>
      <c r="M50" s="62" t="n"/>
      <c r="N50" s="62" t="n"/>
      <c r="O50" s="62" t="n"/>
      <c r="P50" s="62" t="n"/>
      <c r="Q50" s="62" t="n"/>
      <c r="R50" s="62" t="n"/>
      <c r="S50" s="62" t="n"/>
      <c r="T50" s="62" t="n"/>
      <c r="U50" s="62" t="n"/>
      <c r="V50" s="62" t="n"/>
      <c r="W50" s="62" t="n"/>
      <c r="X50" s="62" t="n"/>
      <c r="Y50" s="62" t="n"/>
      <c r="Z50" s="62" t="n"/>
      <c r="AA50" s="62" t="n"/>
      <c r="AB50" s="62" t="n"/>
      <c r="AC50" s="62" t="n"/>
      <c r="AD50" s="62" t="n"/>
      <c r="AE50" s="62" t="n"/>
      <c r="AF50" s="62" t="n"/>
      <c r="AG50" s="62" t="n"/>
      <c r="AH50" s="62" t="n"/>
      <c r="AI50" s="62" t="n"/>
      <c r="AJ50" s="62" t="n"/>
      <c r="AK50" s="62" t="n"/>
      <c r="AL50" s="62" t="n"/>
      <c r="AM50" s="62" t="n"/>
      <c r="AN50" s="63" t="n"/>
      <c r="AO50" s="63" t="n"/>
      <c r="AP50" s="63" t="n"/>
      <c r="AQ50" s="63" t="n"/>
      <c r="AR50" s="63" t="n"/>
      <c r="AS50" s="64" t="n"/>
      <c r="AT50" s="64" t="n"/>
      <c r="AU50" s="64" t="n"/>
      <c r="AV50" s="64" t="n"/>
      <c r="AW50" s="64" t="n"/>
      <c r="AX50" s="64" t="n"/>
      <c r="AY50" s="103" t="n"/>
    </row>
    <row r="51" ht="18.75" customHeight="1">
      <c r="A51" s="64" t="n"/>
      <c r="B51" s="63" t="n"/>
      <c r="C51" s="63" t="n"/>
      <c r="D51" s="62" t="n"/>
      <c r="E51" s="62" t="n"/>
      <c r="F51" s="62" t="n"/>
      <c r="G51" s="62" t="n"/>
      <c r="H51" s="62" t="n"/>
      <c r="I51" s="62" t="n"/>
      <c r="J51" s="62" t="n"/>
      <c r="K51" s="62" t="n"/>
      <c r="L51" s="62" t="n"/>
      <c r="M51" s="62" t="n"/>
      <c r="N51" s="62" t="n"/>
      <c r="O51" s="62" t="n"/>
      <c r="P51" s="62" t="n"/>
      <c r="Q51" s="62" t="n"/>
      <c r="R51" s="62" t="n"/>
      <c r="S51" s="62" t="n"/>
      <c r="T51" s="62" t="n"/>
      <c r="U51" s="62" t="n"/>
      <c r="V51" s="62" t="n"/>
      <c r="W51" s="62" t="n"/>
      <c r="X51" s="62" t="n"/>
      <c r="Y51" s="62" t="n"/>
      <c r="Z51" s="62" t="n"/>
      <c r="AA51" s="62" t="n"/>
      <c r="AB51" s="62" t="n"/>
      <c r="AC51" s="62" t="n"/>
      <c r="AD51" s="62" t="n"/>
      <c r="AE51" s="62" t="n"/>
      <c r="AF51" s="62" t="n"/>
      <c r="AG51" s="62" t="n"/>
      <c r="AH51" s="62" t="n"/>
      <c r="AI51" s="62" t="n"/>
      <c r="AJ51" s="62" t="n"/>
      <c r="AK51" s="62" t="n"/>
      <c r="AL51" s="62" t="n"/>
      <c r="AM51" s="62" t="n"/>
      <c r="AN51" s="63" t="n"/>
      <c r="AO51" s="63" t="n"/>
      <c r="AP51" s="63" t="n"/>
      <c r="AQ51" s="63" t="n"/>
      <c r="AR51" s="63" t="n"/>
      <c r="AS51" s="64" t="n"/>
      <c r="AT51" s="64" t="n"/>
      <c r="AU51" s="64" t="n"/>
      <c r="AV51" s="64" t="n"/>
      <c r="AW51" s="64" t="n"/>
      <c r="AX51" s="64" t="n"/>
      <c r="AY51" s="103" t="n"/>
    </row>
    <row r="52" ht="18.75" customHeight="1">
      <c r="A52" s="64" t="n"/>
      <c r="B52" s="63" t="n"/>
      <c r="C52" s="63" t="n"/>
      <c r="D52" s="62" t="n"/>
      <c r="E52" s="62" t="n"/>
      <c r="F52" s="62" t="n"/>
      <c r="G52" s="62" t="n"/>
      <c r="H52" s="62" t="n"/>
      <c r="I52" s="62" t="n"/>
      <c r="J52" s="62" t="n"/>
      <c r="K52" s="62" t="n"/>
      <c r="L52" s="62" t="n"/>
      <c r="M52" s="62" t="n"/>
      <c r="N52" s="62" t="n"/>
      <c r="O52" s="62" t="n"/>
      <c r="P52" s="62" t="n"/>
      <c r="Q52" s="62" t="n"/>
      <c r="R52" s="62" t="n"/>
      <c r="S52" s="62" t="n"/>
      <c r="T52" s="62" t="n"/>
      <c r="U52" s="62" t="n"/>
      <c r="V52" s="62" t="n"/>
      <c r="W52" s="62" t="n"/>
      <c r="X52" s="62" t="n"/>
      <c r="Y52" s="62" t="n"/>
      <c r="Z52" s="62" t="n"/>
      <c r="AA52" s="62" t="n"/>
      <c r="AB52" s="62" t="n"/>
      <c r="AC52" s="62" t="n"/>
      <c r="AD52" s="62" t="n"/>
      <c r="AE52" s="62" t="n"/>
      <c r="AF52" s="62" t="n"/>
      <c r="AG52" s="62" t="n"/>
      <c r="AH52" s="62" t="n"/>
      <c r="AI52" s="62" t="n"/>
      <c r="AJ52" s="62" t="n"/>
      <c r="AK52" s="62" t="n"/>
      <c r="AL52" s="62" t="n"/>
      <c r="AM52" s="62" t="n"/>
      <c r="AN52" s="63" t="n"/>
      <c r="AO52" s="63" t="n"/>
      <c r="AP52" s="63" t="n"/>
      <c r="AQ52" s="63" t="n"/>
      <c r="AR52" s="63" t="n"/>
      <c r="AS52" s="64" t="n"/>
      <c r="AT52" s="64" t="n"/>
      <c r="AU52" s="64" t="n"/>
      <c r="AV52" s="64" t="n"/>
      <c r="AW52" s="64" t="n"/>
      <c r="AX52" s="64" t="n"/>
      <c r="AY52" s="103" t="n"/>
    </row>
    <row r="53" ht="18.75" customHeight="1">
      <c r="A53" s="64" t="n"/>
      <c r="B53" s="63" t="n"/>
      <c r="C53" s="63" t="n"/>
      <c r="D53" s="62" t="n"/>
      <c r="E53" s="62" t="n"/>
      <c r="F53" s="62" t="n"/>
      <c r="G53" s="62" t="n"/>
      <c r="H53" s="62" t="n"/>
      <c r="I53" s="62" t="n"/>
      <c r="J53" s="62" t="n"/>
      <c r="K53" s="62" t="n"/>
      <c r="L53" s="62" t="n"/>
      <c r="M53" s="62" t="n"/>
      <c r="N53" s="62" t="n"/>
      <c r="O53" s="62" t="n"/>
      <c r="P53" s="62" t="n"/>
      <c r="Q53" s="62" t="n"/>
      <c r="R53" s="62" t="n"/>
      <c r="S53" s="62" t="n"/>
      <c r="T53" s="62" t="n"/>
      <c r="U53" s="62" t="n"/>
      <c r="V53" s="62" t="n"/>
      <c r="W53" s="62" t="n"/>
      <c r="X53" s="62" t="n"/>
      <c r="Y53" s="62" t="n"/>
      <c r="Z53" s="62" t="n"/>
      <c r="AA53" s="62" t="n"/>
      <c r="AB53" s="62" t="n"/>
      <c r="AC53" s="62" t="n"/>
      <c r="AD53" s="62" t="n"/>
      <c r="AE53" s="62" t="n"/>
      <c r="AF53" s="62" t="n"/>
      <c r="AG53" s="62" t="n"/>
      <c r="AH53" s="62" t="n"/>
      <c r="AI53" s="62" t="n"/>
      <c r="AJ53" s="62" t="n"/>
      <c r="AK53" s="62" t="n"/>
      <c r="AL53" s="62" t="n"/>
      <c r="AM53" s="62" t="n"/>
      <c r="AN53" s="63" t="n"/>
      <c r="AO53" s="63" t="n"/>
      <c r="AP53" s="63" t="n"/>
      <c r="AQ53" s="63" t="n"/>
      <c r="AR53" s="63" t="n"/>
      <c r="AS53" s="64" t="n"/>
      <c r="AT53" s="64" t="n"/>
      <c r="AU53" s="64" t="n"/>
      <c r="AV53" s="64" t="n"/>
      <c r="AW53" s="64" t="n"/>
      <c r="AX53" s="64" t="n"/>
      <c r="AY53" s="103" t="n"/>
    </row>
    <row r="54" ht="18.75" customHeight="1">
      <c r="A54" s="64" t="n"/>
      <c r="B54" s="101" t="inlineStr">
        <is>
          <t xml:space="preserve">                                                cvZv-2                                                             02| Avwg wbwðqZv cÖ`vb Kwi‡ZwQ †h, GB F‡Yi mKj wbqgKvbyb h_vh_fv‡e gvwbqv Pjv nB‡e| 
03| Avwg AviI A½xKvi Kwi‡ZwQ †h, F‡Yi UvKvi mØ¨envi bv nB‡j A_ev h_vmg‡q Av`vq wbwðZ bv nB‡j Avwg e¨w³MZfv‡e FYwU my` Avm‡j †gqv` DËx‡Y©i c~‡e©B cwi‡kva Kwi‡Z eva¨ _vwKe|</t>
        </is>
      </c>
      <c r="AS54" s="64" t="n"/>
      <c r="AT54" s="64" t="n"/>
      <c r="AU54" s="64" t="n"/>
      <c r="AV54" s="64" t="n"/>
      <c r="AW54" s="64" t="n"/>
      <c r="AX54" s="64" t="n"/>
      <c r="AY54" s="103" t="n"/>
    </row>
    <row r="55" ht="18.75" customHeight="1">
      <c r="A55" s="64" t="n"/>
      <c r="AS55" s="64" t="n"/>
      <c r="AT55" s="64" t="n"/>
      <c r="AU55" s="64" t="n"/>
      <c r="AV55" s="64" t="n"/>
      <c r="AW55" s="64" t="n"/>
      <c r="AX55" s="64" t="n"/>
      <c r="AY55" s="103" t="n"/>
    </row>
    <row r="56" ht="18.75" customHeight="1">
      <c r="A56" s="64" t="n"/>
      <c r="AS56" s="64" t="n"/>
      <c r="AT56" s="64" t="n"/>
      <c r="AU56" s="64" t="n"/>
      <c r="AV56" s="64" t="n"/>
      <c r="AW56" s="64" t="n"/>
      <c r="AX56" s="64" t="n"/>
      <c r="AY56" s="103" t="n"/>
    </row>
    <row r="57" ht="18.75" customHeight="1">
      <c r="A57" s="64" t="n"/>
      <c r="AS57" s="64" t="n"/>
      <c r="AT57" s="64" t="n"/>
      <c r="AU57" s="64" t="n"/>
      <c r="AV57" s="64" t="n"/>
      <c r="AW57" s="64" t="n"/>
      <c r="AX57" s="64" t="n"/>
      <c r="AY57" s="103" t="n"/>
    </row>
    <row r="58" ht="18.75" customHeight="1">
      <c r="A58" s="64" t="n"/>
      <c r="AS58" s="64" t="n"/>
      <c r="AT58" s="64" t="n"/>
      <c r="AU58" s="64" t="n"/>
      <c r="AV58" s="64" t="n"/>
      <c r="AW58" s="64" t="n"/>
      <c r="AX58" s="64" t="n"/>
      <c r="AY58" s="103" t="n"/>
    </row>
    <row r="59" ht="18.75" customHeight="1">
      <c r="A59" s="64" t="n"/>
      <c r="AS59" s="64" t="n"/>
      <c r="AT59" s="64" t="n"/>
      <c r="AU59" s="64" t="n"/>
      <c r="AV59" s="64" t="n"/>
      <c r="AW59" s="64" t="n"/>
      <c r="AX59" s="64" t="n"/>
      <c r="AY59" s="103" t="n"/>
    </row>
    <row r="60" ht="18.75" customHeight="1">
      <c r="A60" s="64" t="n"/>
      <c r="AS60" s="64" t="n"/>
      <c r="AT60" s="64" t="n"/>
      <c r="AU60" s="64" t="n"/>
      <c r="AV60" s="64" t="n"/>
      <c r="AW60" s="64" t="n"/>
      <c r="AX60" s="64" t="n"/>
      <c r="AY60" s="103" t="n"/>
    </row>
    <row r="61" ht="18.75" customHeight="1">
      <c r="A61" s="64" t="n"/>
      <c r="AS61" s="64" t="n"/>
      <c r="AT61" s="64" t="n"/>
      <c r="AU61" s="64" t="n"/>
      <c r="AV61" s="64" t="n"/>
      <c r="AW61" s="64" t="n"/>
      <c r="AX61" s="64" t="n"/>
      <c r="AY61" s="103" t="n"/>
    </row>
    <row r="62" ht="18.75" customHeight="1">
      <c r="A62" s="64" t="n"/>
      <c r="AS62" s="64" t="n"/>
      <c r="AT62" s="64" t="n"/>
      <c r="AU62" s="64" t="n"/>
      <c r="AV62" s="64" t="n"/>
      <c r="AW62" s="64" t="n"/>
      <c r="AX62" s="64" t="n"/>
      <c r="AY62" s="103" t="n"/>
    </row>
  </sheetData>
  <mergeCells count="23">
    <mergeCell ref="A18:AT18"/>
    <mergeCell ref="P45:AF45"/>
    <mergeCell ref="A3:AT3"/>
    <mergeCell ref="AJ43:AT43"/>
    <mergeCell ref="A2:AT2"/>
    <mergeCell ref="AE41:AO41"/>
    <mergeCell ref="A45:K45"/>
    <mergeCell ref="S42:AC42"/>
    <mergeCell ref="AJ42:AT42"/>
    <mergeCell ref="P44:AF44"/>
    <mergeCell ref="A4:AT4"/>
    <mergeCell ref="C48:E48"/>
    <mergeCell ref="A40:AT40"/>
    <mergeCell ref="A42:K42"/>
    <mergeCell ref="A1:AT1"/>
    <mergeCell ref="B21:AR30"/>
    <mergeCell ref="AJ45:AT45"/>
    <mergeCell ref="P43:AF43"/>
    <mergeCell ref="A43:K43"/>
    <mergeCell ref="B54:AR62"/>
    <mergeCell ref="A44:K44"/>
    <mergeCell ref="AJ44:AT44"/>
    <mergeCell ref="C47:E47"/>
  </mergeCells>
  <pageMargins left="0.7" right="0.7" top="0.75" bottom="0.75" header="0.3" footer="0.3"/>
</worksheet>
</file>

<file path=xl/worksheets/sheet33.xml><?xml version="1.0" encoding="utf-8"?>
<worksheet xmlns="http://schemas.openxmlformats.org/spreadsheetml/2006/main">
  <sheetPr>
    <outlinePr summaryBelow="0"/>
    <pageSetUpPr/>
  </sheetPr>
  <dimension ref="A1:N59"/>
  <sheetViews>
    <sheetView workbookViewId="0">
      <selection activeCell="A1" sqref="A1"/>
    </sheetView>
  </sheetViews>
  <sheetFormatPr baseColWidth="8" defaultRowHeight="15"/>
  <cols>
    <col width="4.147857142857143" bestFit="1" customWidth="1" style="63" min="1" max="1"/>
    <col width="7.576428571428571" bestFit="1" customWidth="1" style="64" min="2" max="2"/>
    <col width="6.719285714285714" bestFit="1" customWidth="1" style="63" min="3" max="3"/>
    <col width="6.719285714285714" bestFit="1" customWidth="1" style="63" min="4" max="4"/>
    <col width="6.719285714285714" bestFit="1" customWidth="1" style="63" min="5" max="5"/>
    <col width="6.719285714285714" bestFit="1" customWidth="1" style="63" min="6" max="6"/>
    <col width="6.719285714285714" bestFit="1" customWidth="1" style="65" min="7" max="7"/>
    <col width="6.719285714285714" bestFit="1" customWidth="1" style="63" min="8" max="8"/>
    <col width="6.719285714285714" bestFit="1" customWidth="1" style="65" min="9" max="9"/>
    <col width="6.719285714285714" bestFit="1" customWidth="1" style="63" min="10" max="10"/>
    <col width="8.290714285714287" bestFit="1" customWidth="1" style="66" min="11" max="11"/>
    <col width="8.290714285714287" bestFit="1" customWidth="1" style="65" min="12" max="12"/>
    <col width="8.290714285714287" bestFit="1" customWidth="1" style="63" min="13" max="13"/>
    <col width="5.576428571428571" bestFit="1" customWidth="1" style="63" min="14" max="14"/>
  </cols>
  <sheetData>
    <row r="1" ht="18.75" customHeight="1">
      <c r="A1" s="191" t="n"/>
      <c r="B1" s="64" t="n"/>
      <c r="C1" s="63" t="n"/>
      <c r="D1" s="63" t="n"/>
      <c r="E1" s="63" t="n"/>
      <c r="F1" s="63" t="n"/>
      <c r="G1" s="65" t="n"/>
      <c r="H1" s="63" t="n"/>
      <c r="I1" s="65" t="n"/>
      <c r="J1" s="63" t="n"/>
      <c r="K1" s="66" t="n"/>
      <c r="L1" s="65" t="n"/>
      <c r="M1" s="63" t="n"/>
      <c r="N1" s="63" t="n"/>
    </row>
    <row r="2" ht="18.75" customHeight="1">
      <c r="A2" s="191" t="n"/>
      <c r="B2" s="64" t="n"/>
      <c r="C2" s="63" t="n"/>
      <c r="D2" s="63" t="n"/>
      <c r="E2" s="63" t="n"/>
      <c r="F2" s="63" t="n"/>
      <c r="G2" s="65" t="n"/>
      <c r="H2" s="63" t="n"/>
      <c r="I2" s="65" t="n"/>
      <c r="J2" s="63" t="n"/>
      <c r="K2" s="66" t="n"/>
      <c r="L2" s="65" t="n"/>
      <c r="M2" s="63" t="n"/>
      <c r="N2" s="63" t="n"/>
    </row>
    <row r="3" ht="18.75" customHeight="1">
      <c r="A3" s="191" t="n"/>
      <c r="B3" s="64" t="n"/>
      <c r="C3" s="63" t="n"/>
      <c r="D3" s="63" t="n"/>
      <c r="E3" s="63" t="n"/>
      <c r="F3" s="63" t="n"/>
      <c r="G3" s="65" t="n"/>
      <c r="H3" s="63" t="n"/>
      <c r="I3" s="65" t="n"/>
      <c r="J3" s="63" t="n"/>
      <c r="K3" s="66" t="n"/>
      <c r="L3" s="65" t="n"/>
      <c r="M3" s="63" t="n"/>
      <c r="N3" s="63" t="n"/>
    </row>
    <row r="4" ht="18.75" customHeight="1">
      <c r="A4" s="191" t="n"/>
      <c r="B4" s="64" t="n"/>
      <c r="C4" s="63" t="n"/>
      <c r="D4" s="63" t="n"/>
      <c r="E4" s="63" t="n"/>
      <c r="F4" s="63" t="n"/>
      <c r="G4" s="65" t="n"/>
      <c r="H4" s="63" t="n"/>
      <c r="I4" s="65" t="n"/>
      <c r="J4" s="63" t="n"/>
      <c r="K4" s="66" t="n"/>
      <c r="L4" s="65" t="n"/>
      <c r="M4" s="63" t="n"/>
      <c r="N4" s="63" t="n"/>
    </row>
    <row r="5" ht="18.75" customHeight="1">
      <c r="A5" s="191" t="n"/>
      <c r="B5" s="64" t="n"/>
      <c r="C5" s="63" t="n"/>
      <c r="D5" s="63" t="n"/>
      <c r="E5" s="63" t="n"/>
      <c r="F5" s="63" t="n"/>
      <c r="G5" s="65" t="n"/>
      <c r="H5" s="63" t="n"/>
      <c r="I5" s="65" t="n"/>
      <c r="J5" s="63" t="n"/>
      <c r="K5" s="66" t="n"/>
      <c r="L5" s="65" t="n"/>
      <c r="M5" s="63" t="n"/>
      <c r="N5" s="63" t="n"/>
    </row>
    <row r="6" ht="18.75" customHeight="1">
      <c r="A6" s="191" t="n"/>
      <c r="B6" s="64" t="n"/>
      <c r="C6" s="63" t="n"/>
      <c r="D6" s="63" t="n"/>
      <c r="E6" s="63" t="n"/>
      <c r="F6" s="63" t="n"/>
      <c r="G6" s="65" t="n"/>
      <c r="H6" s="63" t="n"/>
      <c r="I6" s="65" t="n"/>
      <c r="J6" s="63" t="n"/>
      <c r="K6" s="66" t="n"/>
      <c r="L6" s="65" t="n"/>
      <c r="M6" s="63" t="n"/>
      <c r="N6" s="63" t="n"/>
    </row>
    <row r="7" ht="18.75" customHeight="1">
      <c r="A7" s="191" t="n"/>
      <c r="B7" s="64" t="n"/>
      <c r="C7" s="63" t="n"/>
      <c r="D7" s="63" t="n"/>
      <c r="E7" s="63" t="n"/>
      <c r="F7" s="63" t="n"/>
      <c r="G7" s="65" t="n"/>
      <c r="H7" s="63" t="n"/>
      <c r="I7" s="65" t="n"/>
      <c r="J7" s="63" t="n"/>
      <c r="K7" s="66" t="n"/>
      <c r="L7" s="65" t="n"/>
      <c r="M7" s="63" t="n"/>
      <c r="N7" s="63" t="n"/>
    </row>
    <row r="8" ht="18.75" customHeight="1">
      <c r="A8" s="191" t="inlineStr">
        <is>
          <t>evsjv‡`k K…wl e¨vsK</t>
        </is>
      </c>
    </row>
    <row r="9" ht="18.75" customHeight="1">
      <c r="A9" s="9">
        <f>+'Data Input'!D2</f>
        <v/>
      </c>
    </row>
    <row r="10" ht="18.75" customHeight="1">
      <c r="A10" s="12" t="n"/>
      <c r="B10" s="64" t="n"/>
      <c r="C10" s="63" t="n"/>
      <c r="D10" s="63" t="n"/>
      <c r="E10" s="63" t="n"/>
      <c r="F10" s="63" t="n"/>
      <c r="G10" s="65" t="n"/>
      <c r="H10" s="63" t="n"/>
      <c r="I10" s="65" t="n"/>
      <c r="J10" s="63" t="n"/>
      <c r="K10" s="66" t="n"/>
      <c r="L10" s="65" t="n"/>
      <c r="M10" s="63" t="n"/>
      <c r="N10" s="63" t="n"/>
    </row>
    <row r="11" ht="18.75" customHeight="1">
      <c r="A11" s="13" t="n"/>
      <c r="B11" s="64" t="n"/>
      <c r="C11" s="63" t="n"/>
      <c r="D11" s="63" t="n"/>
      <c r="E11" s="63" t="n"/>
      <c r="F11" s="63" t="n"/>
      <c r="G11" s="65" t="n"/>
      <c r="H11" s="63" t="n"/>
      <c r="I11" s="65" t="n"/>
      <c r="J11" s="63" t="n"/>
      <c r="K11" s="66" t="n"/>
      <c r="L11" s="65" t="n"/>
      <c r="M11" s="63" t="n"/>
      <c r="N11" s="63" t="n"/>
    </row>
    <row r="12" ht="18.75" customHeight="1">
      <c r="A12" s="14" t="inlineStr">
        <is>
          <t>njdbvgv</t>
        </is>
      </c>
    </row>
    <row r="13" ht="18.75" customHeight="1">
      <c r="A13" s="14" t="n"/>
      <c r="B13" s="14" t="n"/>
      <c r="C13" s="14" t="n"/>
      <c r="D13" s="14" t="n"/>
      <c r="E13" s="14" t="n"/>
      <c r="F13" s="14" t="n"/>
      <c r="G13" s="15" t="n"/>
      <c r="H13" s="14" t="n"/>
      <c r="I13" s="15" t="n"/>
      <c r="J13" s="14" t="n"/>
      <c r="K13" s="16" t="n"/>
      <c r="L13" s="15" t="n"/>
      <c r="M13" s="14" t="n"/>
      <c r="N13" s="14" t="n"/>
    </row>
    <row r="14" ht="18.75" customHeight="1">
      <c r="A14" s="14" t="n"/>
      <c r="B14" s="14" t="n"/>
      <c r="C14" s="14" t="n"/>
      <c r="D14" s="14" t="n"/>
      <c r="E14" s="14" t="n"/>
      <c r="F14" s="14" t="n"/>
      <c r="G14" s="15" t="n"/>
      <c r="H14" s="14" t="n"/>
      <c r="I14" s="15" t="n"/>
      <c r="J14" s="14" t="n"/>
      <c r="K14" s="16" t="n"/>
      <c r="L14" s="15" t="n"/>
      <c r="M14" s="14" t="n"/>
      <c r="N14" s="14" t="n"/>
    </row>
    <row r="15" ht="18.75" customHeight="1">
      <c r="A15" s="17" t="n"/>
      <c r="B15" s="64" t="n"/>
      <c r="C15" s="63" t="n"/>
      <c r="D15" s="63" t="n"/>
      <c r="E15" s="63" t="n"/>
      <c r="F15" s="63" t="n"/>
      <c r="G15" s="65" t="n"/>
      <c r="H15" s="63" t="n"/>
      <c r="I15" s="65" t="n"/>
      <c r="J15" s="63" t="n"/>
      <c r="K15" s="66" t="n"/>
      <c r="L15" s="65" t="n"/>
      <c r="M15" s="63" t="n"/>
      <c r="N15" s="63" t="n"/>
    </row>
    <row r="16" ht="62.25" customFormat="1" customHeight="1" s="18">
      <c r="A16" s="19" t="inlineStr">
        <is>
          <t>Avwg/Avgiv cÖwZÁv c~e©K RvbvB‡ZwQ †h, Avwg/ Avgiv evsjv‡`‡ki cªvßeq¯‹ bvMwiK| †Kvb e¨w³ ev A_© jwMœKvix cÖwZôv‡b Avgvi/Avgv‡`I bv‡g †Kvb `vq-‡`bv †bB|</t>
        </is>
      </c>
    </row>
    <row r="17" ht="22.5" customFormat="1" customHeight="1" s="18">
      <c r="A17" s="19" t="n"/>
      <c r="B17" s="19" t="n"/>
      <c r="C17" s="19" t="n"/>
      <c r="D17" s="19" t="n"/>
      <c r="E17" s="19" t="n"/>
      <c r="F17" s="19" t="n"/>
      <c r="G17" s="20" t="n"/>
      <c r="H17" s="19" t="n"/>
      <c r="I17" s="20" t="n"/>
      <c r="J17" s="19" t="n"/>
      <c r="K17" s="21" t="n"/>
      <c r="L17" s="20" t="n"/>
      <c r="M17" s="19" t="n"/>
      <c r="N17" s="19" t="n"/>
    </row>
    <row r="18" ht="124.5" customFormat="1" customHeight="1" s="18">
      <c r="A18" s="19" t="inlineStr">
        <is>
          <t xml:space="preserve">evsjv‡`k K…wl e¨vs‡Ki gÄyixK…Z ................................... Zvwi‡Li F‡Yi `iLv‡¯Í wb‡¤œ ewY©Z m¤úwË Avgvi/Avgv‡`i ¯^Z¡ `Ljxq GKK/GRgvjx †lvj-AvbvivqZx †RvZ ¯^Z¡ hvnv †Kv_vI †Kvb cÖKv‡i `vb, weµq, n¯ÍvšÍiev †Kvb cÖKv‡i `vqe× b‡n| D³ m¤úwË †Kvb cÖKv‡I n¯ÍvšÍi ev `vqe× Kwi‡j Avwg/Avgiv MYcÖRvZš¿x esjv‡`k miKv‡ii gnvgvb¨ ivóªcwZi evsjv‡`k K…wl e¨vsK Av‡`‡ki 29 bs aviv g‡Z AvBbZ `Ûbxq nBe| </t>
        </is>
      </c>
    </row>
    <row r="19" ht="18.75" customHeight="1">
      <c r="A19" s="22" t="n"/>
      <c r="B19" s="64" t="n"/>
      <c r="C19" s="63" t="n"/>
      <c r="D19" s="63" t="n"/>
      <c r="E19" s="63" t="n"/>
      <c r="F19" s="63" t="n"/>
      <c r="G19" s="65" t="n"/>
      <c r="H19" s="63" t="n"/>
      <c r="I19" s="65" t="n"/>
      <c r="J19" s="63" t="n"/>
      <c r="K19" s="66" t="n"/>
      <c r="L19" s="65" t="n"/>
      <c r="M19" s="63" t="n"/>
      <c r="N19" s="63" t="n"/>
    </row>
    <row r="20" ht="18.75" customHeight="1">
      <c r="A20" s="23" t="n"/>
      <c r="B20" s="64" t="n"/>
      <c r="C20" s="63" t="n"/>
      <c r="D20" s="63" t="n"/>
      <c r="E20" s="63" t="n"/>
      <c r="F20" s="63" t="n"/>
      <c r="G20" s="65" t="n"/>
      <c r="H20" s="63" t="n"/>
      <c r="I20" s="65" t="n"/>
      <c r="J20" s="63" t="n"/>
      <c r="K20" s="66" t="n"/>
      <c r="L20" s="65" t="n"/>
      <c r="M20" s="63" t="n"/>
      <c r="N20" s="63" t="n"/>
    </row>
    <row r="21" ht="18.75" customHeight="1">
      <c r="A21" s="23" t="n"/>
      <c r="B21" s="64" t="n"/>
      <c r="C21" s="63" t="n"/>
      <c r="D21" s="63" t="n"/>
      <c r="E21" s="63" t="n"/>
      <c r="F21" s="63" t="n"/>
      <c r="G21" s="65" t="n"/>
      <c r="H21" s="63" t="n"/>
      <c r="I21" s="65" t="n"/>
      <c r="J21" s="63" t="n"/>
      <c r="K21" s="66" t="n"/>
      <c r="L21" s="65" t="n"/>
      <c r="M21" s="63" t="n"/>
      <c r="N21" s="63" t="n"/>
    </row>
    <row r="22" ht="18.75" customHeight="1">
      <c r="A22" s="23" t="n"/>
      <c r="B22" s="64" t="n"/>
      <c r="C22" s="63" t="n"/>
      <c r="D22" s="63" t="n"/>
      <c r="E22" s="63" t="n"/>
      <c r="F22" s="63" t="n"/>
      <c r="G22" s="65" t="n"/>
      <c r="H22" s="63" t="n"/>
      <c r="I22" s="65" t="n"/>
      <c r="J22" s="63" t="n"/>
      <c r="K22" s="66" t="n"/>
      <c r="L22" s="65" t="n"/>
      <c r="M22" s="63" t="n"/>
      <c r="N22" s="63" t="n"/>
    </row>
    <row r="23" ht="18.75" customHeight="1">
      <c r="A23" s="23" t="n"/>
      <c r="B23" s="64" t="n"/>
      <c r="C23" s="63" t="n"/>
      <c r="D23" s="63" t="n"/>
      <c r="E23" s="63" t="n"/>
      <c r="F23" s="63" t="n"/>
      <c r="G23" s="65" t="n"/>
      <c r="H23" s="63" t="n"/>
      <c r="I23" s="65" t="n"/>
      <c r="J23" s="63" t="n"/>
      <c r="K23" s="66" t="n"/>
      <c r="L23" s="65" t="n"/>
      <c r="M23" s="63" t="n"/>
      <c r="N23" s="63" t="n"/>
    </row>
    <row r="24" ht="18.75" customHeight="1">
      <c r="A24" s="23" t="n"/>
      <c r="B24" s="64" t="n"/>
      <c r="C24" s="63" t="n"/>
      <c r="D24" s="63" t="n"/>
      <c r="E24" s="63" t="n"/>
      <c r="F24" s="63" t="n"/>
      <c r="G24" s="65" t="n"/>
      <c r="H24" s="63" t="n"/>
      <c r="I24" s="65" t="n"/>
      <c r="J24" s="63" t="n"/>
      <c r="K24" s="66" t="n"/>
      <c r="L24" s="65" t="n"/>
      <c r="M24" s="63" t="n"/>
      <c r="N24" s="63" t="n"/>
    </row>
    <row r="25" ht="18.75" customHeight="1">
      <c r="A25" s="23" t="n"/>
      <c r="B25" s="64" t="n"/>
      <c r="C25" s="63" t="n"/>
      <c r="D25" s="63" t="n"/>
      <c r="E25" s="63" t="n"/>
      <c r="F25" s="63" t="n"/>
      <c r="G25" s="65" t="n"/>
      <c r="H25" s="63" t="n"/>
      <c r="I25" s="65" t="n"/>
      <c r="J25" s="63" t="n"/>
      <c r="K25" s="66" t="n"/>
      <c r="L25" s="65" t="n"/>
      <c r="M25" s="63" t="n"/>
      <c r="N25" s="63" t="n"/>
    </row>
    <row r="26" ht="18.75" customHeight="1">
      <c r="A26" s="23" t="n"/>
      <c r="B26" s="64" t="n"/>
      <c r="C26" s="63" t="n"/>
      <c r="D26" s="63" t="n"/>
      <c r="E26" s="63" t="n"/>
      <c r="F26" s="63" t="n"/>
      <c r="G26" s="65" t="n"/>
      <c r="H26" s="63" t="n"/>
      <c r="I26" s="65" t="n"/>
      <c r="J26" s="63" t="n"/>
      <c r="K26" s="66" t="n"/>
      <c r="L26" s="65" t="n"/>
      <c r="M26" s="63" t="n"/>
      <c r="N26" s="63" t="n"/>
    </row>
    <row r="27" ht="18.75" customHeight="1">
      <c r="A27" s="23" t="n"/>
      <c r="B27" s="64" t="n"/>
      <c r="C27" s="63" t="n"/>
      <c r="D27" s="63" t="n"/>
      <c r="E27" s="63" t="n"/>
      <c r="F27" s="63" t="n"/>
      <c r="G27" s="65" t="n"/>
      <c r="H27" s="63" t="n"/>
      <c r="I27" s="65" t="n"/>
      <c r="J27" s="63" t="n"/>
      <c r="K27" s="66" t="n"/>
      <c r="L27" s="65" t="n"/>
      <c r="M27" s="63" t="n"/>
      <c r="N27" s="63" t="n"/>
    </row>
    <row r="28" ht="18.75" customHeight="1">
      <c r="A28" s="23" t="n"/>
      <c r="B28" s="64" t="n"/>
      <c r="C28" s="63" t="n"/>
      <c r="D28" s="63" t="n"/>
      <c r="E28" s="63" t="n"/>
      <c r="F28" s="63" t="n"/>
      <c r="G28" s="65" t="n"/>
      <c r="H28" s="63" t="n"/>
      <c r="I28" s="65" t="n"/>
      <c r="J28" s="63" t="n"/>
      <c r="K28" s="66" t="n"/>
      <c r="L28" s="65" t="n"/>
      <c r="M28" s="63" t="n"/>
      <c r="N28" s="63" t="n"/>
    </row>
    <row r="29" ht="75.75" customHeight="1">
      <c r="A29" s="23" t="n"/>
      <c r="B29" s="64" t="n"/>
      <c r="C29" s="63" t="n"/>
      <c r="D29" s="63" t="n"/>
      <c r="E29" s="63" t="n"/>
      <c r="F29" s="63" t="n"/>
      <c r="G29" s="65" t="n"/>
      <c r="H29" s="63" t="n"/>
      <c r="I29" s="65" t="n"/>
      <c r="J29" s="63" t="n"/>
      <c r="K29" s="66" t="n"/>
      <c r="L29" s="65" t="n"/>
      <c r="M29" s="63" t="n"/>
      <c r="N29" s="63" t="n"/>
    </row>
    <row r="30" ht="135" customHeight="1">
      <c r="A30" s="23" t="n"/>
      <c r="B30" s="64" t="n"/>
      <c r="C30" s="63" t="n"/>
      <c r="D30" s="63" t="n"/>
      <c r="E30" s="63" t="n"/>
      <c r="F30" s="63" t="n"/>
      <c r="G30" s="65" t="n"/>
      <c r="H30" s="63" t="n"/>
      <c r="I30" s="65" t="n"/>
      <c r="J30" s="63" t="n"/>
      <c r="K30" s="66" t="n"/>
      <c r="L30" s="65" t="n"/>
      <c r="M30" s="63" t="n"/>
      <c r="N30" s="63" t="n"/>
    </row>
    <row r="31" ht="18.75" customHeight="1">
      <c r="A31" s="24" t="n"/>
      <c r="B31" s="64" t="n"/>
      <c r="C31" s="63" t="n"/>
      <c r="D31" s="63" t="n"/>
      <c r="E31" s="63" t="n"/>
      <c r="F31" s="63" t="n"/>
      <c r="G31" s="65" t="n"/>
      <c r="H31" s="63" t="n"/>
      <c r="I31" s="65" t="n"/>
      <c r="J31" s="63" t="n"/>
      <c r="K31" s="66" t="n"/>
      <c r="L31" s="65" t="n"/>
      <c r="M31" s="63" t="n"/>
      <c r="N31" s="63" t="n"/>
    </row>
    <row r="32" ht="23.25" customHeight="1">
      <c r="A32" s="25" t="inlineStr">
        <is>
          <t>eÜKx Rwgi weeiY</t>
        </is>
      </c>
    </row>
    <row r="33" ht="23.25" customFormat="1" customHeight="1" s="18">
      <c r="A33" s="28" t="inlineStr">
        <is>
          <t>‡Rjv</t>
        </is>
      </c>
      <c r="B33" s="2627" t="n"/>
      <c r="C33" s="29" t="inlineStr">
        <is>
          <t xml:space="preserve">Dc‡Rjv </t>
        </is>
      </c>
      <c r="D33" s="2627" t="n"/>
      <c r="E33" s="29" t="inlineStr">
        <is>
          <t xml:space="preserve"> †gŠRv</t>
        </is>
      </c>
      <c r="F33" s="2627" t="n"/>
      <c r="G33" s="30" t="inlineStr">
        <is>
          <t xml:space="preserve">LwZqvb bs </t>
        </is>
      </c>
      <c r="H33" s="2627" t="n"/>
      <c r="I33" s="30" t="inlineStr">
        <is>
          <t>`vM bs</t>
        </is>
      </c>
      <c r="J33" s="2627" t="n"/>
      <c r="K33" s="31" t="inlineStr">
        <is>
          <t xml:space="preserve">Rwgi cwigvY </t>
        </is>
      </c>
      <c r="L33" s="2627" t="n"/>
      <c r="M33" s="29" t="inlineStr">
        <is>
          <t>gšÍe¨</t>
        </is>
      </c>
      <c r="N33" s="2627" t="n"/>
    </row>
    <row r="34" ht="23.25" customFormat="1" customHeight="1" s="18">
      <c r="A34" s="39">
        <f>+'Data Input'!#REF!</f>
        <v/>
      </c>
      <c r="B34" s="2617" t="n"/>
      <c r="C34" s="35">
        <f>+'Data Input'!#REF!</f>
        <v/>
      </c>
      <c r="D34" s="2617" t="n"/>
      <c r="E34" s="35">
        <f>IF('Data Input'!L4&gt;0,+'Data Input'!J4,"")</f>
        <v/>
      </c>
      <c r="F34" s="2617" t="n"/>
      <c r="G34" s="36">
        <f>+'Data Input'!K4</f>
        <v/>
      </c>
      <c r="H34" s="2617" t="n"/>
      <c r="I34" s="36">
        <f>+'Data Input'!L4</f>
        <v/>
      </c>
      <c r="J34" s="2617" t="n"/>
      <c r="K34" s="36">
        <f>+'Data Input'!M4</f>
        <v/>
      </c>
      <c r="L34" s="36">
        <f>+'Data Input'!N4</f>
        <v/>
      </c>
      <c r="M34" s="37" t="n"/>
      <c r="N34" s="2642" t="n"/>
    </row>
    <row r="35" ht="23.25" customFormat="1" customHeight="1" s="18">
      <c r="A35" s="39" t="n"/>
      <c r="B35" s="2617" t="n"/>
      <c r="C35" s="35" t="n"/>
      <c r="D35" s="2617" t="n"/>
      <c r="E35" s="35">
        <f>IF('Data Input'!L5&gt;0,+'Data Input'!J5,"")</f>
        <v/>
      </c>
      <c r="F35" s="2617" t="n"/>
      <c r="G35" s="36">
        <f>+'Data Input'!K5</f>
        <v/>
      </c>
      <c r="H35" s="2617" t="n"/>
      <c r="I35" s="36">
        <f>+'Data Input'!L5</f>
        <v/>
      </c>
      <c r="J35" s="2617" t="n"/>
      <c r="K35" s="36">
        <f>+'Data Input'!M5</f>
        <v/>
      </c>
      <c r="L35" s="36">
        <f>+'Data Input'!N5</f>
        <v/>
      </c>
      <c r="M35" s="2647" t="n"/>
      <c r="N35" s="2641" t="n"/>
    </row>
    <row r="36" ht="23.25" customFormat="1" customHeight="1" s="18">
      <c r="A36" s="39" t="n"/>
      <c r="B36" s="2617" t="n"/>
      <c r="C36" s="35" t="n"/>
      <c r="D36" s="2617" t="n"/>
      <c r="E36" s="35">
        <f>IF('Data Input'!L8&gt;0,+'Data Input'!J8,"")</f>
        <v/>
      </c>
      <c r="F36" s="2617" t="n"/>
      <c r="G36" s="36">
        <f>+'Data Input'!K8</f>
        <v/>
      </c>
      <c r="H36" s="2617" t="n"/>
      <c r="I36" s="36">
        <f>+'Data Input'!L8</f>
        <v/>
      </c>
      <c r="J36" s="2617" t="n"/>
      <c r="K36" s="36">
        <f>+'Data Input'!M8</f>
        <v/>
      </c>
      <c r="L36" s="36">
        <f>+'Data Input'!N8</f>
        <v/>
      </c>
      <c r="M36" s="2647" t="n"/>
      <c r="N36" s="2641" t="n"/>
    </row>
    <row r="37" ht="23.25" customFormat="1" customHeight="1" s="18">
      <c r="A37" s="39" t="n"/>
      <c r="B37" s="2617" t="n"/>
      <c r="C37" s="35" t="n"/>
      <c r="D37" s="2617" t="n"/>
      <c r="E37" s="35">
        <f>IF('Data Input'!L9&gt;0,+'Data Input'!J9,"")</f>
        <v/>
      </c>
      <c r="F37" s="2617" t="n"/>
      <c r="G37" s="36">
        <f>+'Data Input'!K9</f>
        <v/>
      </c>
      <c r="H37" s="2617" t="n"/>
      <c r="I37" s="36">
        <f>+'Data Input'!L9</f>
        <v/>
      </c>
      <c r="J37" s="2617" t="n"/>
      <c r="K37" s="36">
        <f>+'Data Input'!M9</f>
        <v/>
      </c>
      <c r="L37" s="36">
        <f>+'Data Input'!N9</f>
        <v/>
      </c>
      <c r="M37" s="2647" t="n"/>
      <c r="N37" s="2641" t="n"/>
    </row>
    <row r="38" ht="23.25" customFormat="1" customHeight="1" s="18">
      <c r="A38" s="39" t="n"/>
      <c r="B38" s="2617" t="n"/>
      <c r="C38" s="35" t="n"/>
      <c r="D38" s="2617" t="n"/>
      <c r="E38" s="35">
        <f>IF('Data Input'!L10&gt;0,+'Data Input'!J10,"")</f>
        <v/>
      </c>
      <c r="F38" s="2617" t="n"/>
      <c r="G38" s="36">
        <f>+'Data Input'!K10</f>
        <v/>
      </c>
      <c r="H38" s="2617" t="n"/>
      <c r="I38" s="36">
        <f>+'Data Input'!L10</f>
        <v/>
      </c>
      <c r="J38" s="2617" t="n"/>
      <c r="K38" s="36">
        <f>+'Data Input'!M10</f>
        <v/>
      </c>
      <c r="L38" s="36">
        <f>+'Data Input'!N10</f>
        <v/>
      </c>
      <c r="M38" s="2647" t="n"/>
      <c r="N38" s="2641" t="n"/>
    </row>
    <row r="39" ht="23.25" customFormat="1" customHeight="1" s="18">
      <c r="A39" s="39" t="n"/>
      <c r="B39" s="2617" t="n"/>
      <c r="C39" s="35" t="n"/>
      <c r="D39" s="2617" t="n"/>
      <c r="E39" s="35">
        <f>IF('Data Input'!L11&gt;0,+'Data Input'!J11,"")</f>
        <v/>
      </c>
      <c r="F39" s="2617" t="n"/>
      <c r="G39" s="36">
        <f>+'Data Input'!K11</f>
        <v/>
      </c>
      <c r="H39" s="2617" t="n"/>
      <c r="I39" s="36">
        <f>+'Data Input'!L11</f>
        <v/>
      </c>
      <c r="J39" s="2617" t="n"/>
      <c r="K39" s="36">
        <f>+'Data Input'!M11</f>
        <v/>
      </c>
      <c r="L39" s="36">
        <f>+'Data Input'!N11</f>
        <v/>
      </c>
      <c r="M39" s="2647" t="n"/>
      <c r="N39" s="2641" t="n"/>
    </row>
    <row r="40" ht="23.25" customFormat="1" customHeight="1" s="18">
      <c r="A40" s="39" t="n"/>
      <c r="B40" s="2617" t="n"/>
      <c r="C40" s="35" t="n"/>
      <c r="D40" s="2617" t="n"/>
      <c r="E40" s="35">
        <f>IF('Data Input'!L12&gt;0,+'Data Input'!J12,"")</f>
        <v/>
      </c>
      <c r="F40" s="2617" t="n"/>
      <c r="G40" s="36">
        <f>+'Data Input'!K12</f>
        <v/>
      </c>
      <c r="H40" s="2617" t="n"/>
      <c r="I40" s="36">
        <f>+'Data Input'!L12</f>
        <v/>
      </c>
      <c r="J40" s="2617" t="n"/>
      <c r="K40" s="36">
        <f>+'Data Input'!M12</f>
        <v/>
      </c>
      <c r="L40" s="36">
        <f>+'Data Input'!N12</f>
        <v/>
      </c>
      <c r="M40" s="2647" t="n"/>
      <c r="N40" s="2641" t="n"/>
    </row>
    <row r="41" ht="23.25" customFormat="1" customHeight="1" s="18">
      <c r="A41" s="39" t="n"/>
      <c r="B41" s="2617" t="n"/>
      <c r="C41" s="35" t="n"/>
      <c r="D41" s="2617" t="n"/>
      <c r="E41" s="35">
        <f>IF('Data Input'!L13&gt;0,+'Data Input'!J13,"")</f>
        <v/>
      </c>
      <c r="F41" s="2617" t="n"/>
      <c r="G41" s="36">
        <f>+'Data Input'!K13</f>
        <v/>
      </c>
      <c r="H41" s="2617" t="n"/>
      <c r="I41" s="36">
        <f>+'Data Input'!L13</f>
        <v/>
      </c>
      <c r="J41" s="2617" t="n"/>
      <c r="K41" s="36">
        <f>+'Data Input'!M13</f>
        <v/>
      </c>
      <c r="L41" s="36">
        <f>+'Data Input'!N13</f>
        <v/>
      </c>
      <c r="M41" s="2647" t="n"/>
      <c r="N41" s="2641" t="n"/>
    </row>
    <row r="42" ht="23.25" customFormat="1" customHeight="1" s="18">
      <c r="A42" s="39" t="n"/>
      <c r="B42" s="2617" t="n"/>
      <c r="C42" s="35" t="n"/>
      <c r="D42" s="2617" t="n"/>
      <c r="E42" s="35">
        <f>IF('Data Input'!L14&gt;0,+'Data Input'!J14,"")</f>
        <v/>
      </c>
      <c r="F42" s="2617" t="n"/>
      <c r="G42" s="36">
        <f>+'Data Input'!K14</f>
        <v/>
      </c>
      <c r="H42" s="2617" t="n"/>
      <c r="I42" s="36">
        <f>+'Data Input'!L14</f>
        <v/>
      </c>
      <c r="J42" s="2617" t="n"/>
      <c r="K42" s="36">
        <f>+'Data Input'!M14</f>
        <v/>
      </c>
      <c r="L42" s="36">
        <f>+'Data Input'!N14</f>
        <v/>
      </c>
      <c r="M42" s="2647" t="n"/>
      <c r="N42" s="2641" t="n"/>
    </row>
    <row r="43" ht="23.25" customFormat="1" customHeight="1" s="18">
      <c r="A43" s="39" t="n"/>
      <c r="B43" s="2617" t="n"/>
      <c r="C43" s="35" t="n"/>
      <c r="D43" s="2617" t="n"/>
      <c r="E43" s="35">
        <f>IF('Data Input'!L15&gt;0,+'Data Input'!J15,"")</f>
        <v/>
      </c>
      <c r="F43" s="2617" t="n"/>
      <c r="G43" s="36">
        <f>+'Data Input'!K15</f>
        <v/>
      </c>
      <c r="H43" s="2617" t="n"/>
      <c r="I43" s="36">
        <f>+'Data Input'!L15</f>
        <v/>
      </c>
      <c r="J43" s="2617" t="n"/>
      <c r="K43" s="36">
        <f>+'Data Input'!M15</f>
        <v/>
      </c>
      <c r="L43" s="36">
        <f>+'Data Input'!N15</f>
        <v/>
      </c>
      <c r="M43" s="2647" t="n"/>
      <c r="N43" s="2641" t="n"/>
    </row>
    <row r="44" ht="23.25" customFormat="1" customHeight="1" s="18">
      <c r="A44" s="40" t="n"/>
      <c r="B44" s="2628" t="n"/>
      <c r="C44" s="41" t="n"/>
      <c r="D44" s="2628" t="n"/>
      <c r="E44" s="35">
        <f>IF('Data Input'!L17&gt;0,+'Data Input'!J17,"")</f>
        <v/>
      </c>
      <c r="F44" s="2617" t="n"/>
      <c r="G44" s="42">
        <f>+'Data Input'!K17</f>
        <v/>
      </c>
      <c r="H44" s="2628" t="n"/>
      <c r="I44" s="42">
        <f>+'Data Input'!L17</f>
        <v/>
      </c>
      <c r="J44" s="2628" t="n"/>
      <c r="K44" s="42">
        <f>+'Data Input'!M17</f>
        <v/>
      </c>
      <c r="L44" s="42">
        <f>+'Data Input'!N17</f>
        <v/>
      </c>
      <c r="M44" s="2648" t="n"/>
      <c r="N44" s="2649" t="n"/>
    </row>
    <row r="45" ht="18.75" customFormat="1" customHeight="1" s="18">
      <c r="A45" s="2759" t="inlineStr">
        <is>
          <t xml:space="preserve">‡gvUt </t>
        </is>
      </c>
      <c r="B45" s="2630" t="n"/>
      <c r="C45" s="2630" t="n"/>
      <c r="D45" s="2630" t="n"/>
      <c r="E45" s="2630" t="n"/>
      <c r="F45" s="2630" t="n"/>
      <c r="G45" s="2630" t="n"/>
      <c r="H45" s="2630" t="n"/>
      <c r="I45" s="2630" t="n"/>
      <c r="J45" s="2760" t="n"/>
      <c r="K45" s="2761">
        <f>SUM(L34:L44)</f>
        <v/>
      </c>
      <c r="L45" s="2636" t="n"/>
      <c r="M45" s="2762" t="inlineStr">
        <is>
          <t>GKi</t>
        </is>
      </c>
      <c r="N45" s="2756" t="n"/>
    </row>
    <row r="46" ht="51.75" customFormat="1" customHeight="1" s="18">
      <c r="A46" s="52" t="inlineStr">
        <is>
          <t>Dc‡iv³ Z_¨vw` m¤ú~Y© mZ¨ Ges †Kvbiƒc cÖZviYv Kwi‡j AvBbZ `ÐYxq nB‡e Ges m¤ú~b© ÿwZc~iY w`‡Z eva¨ _vwK‡ev|</t>
        </is>
      </c>
    </row>
    <row r="47" ht="9" customFormat="1" customHeight="1" s="18">
      <c r="A47" s="52" t="n"/>
      <c r="B47" s="52" t="n"/>
      <c r="C47" s="52" t="n"/>
      <c r="D47" s="52" t="n"/>
      <c r="E47" s="52" t="n"/>
      <c r="F47" s="52" t="n"/>
      <c r="G47" s="53" t="n"/>
      <c r="H47" s="52" t="n"/>
      <c r="I47" s="53" t="n"/>
      <c r="J47" s="52" t="n"/>
      <c r="K47" s="54" t="n"/>
      <c r="L47" s="53" t="n"/>
      <c r="M47" s="52" t="n"/>
      <c r="N47" s="52" t="n"/>
    </row>
    <row r="48" ht="9" customFormat="1" customHeight="1" s="18">
      <c r="A48" s="52" t="n"/>
      <c r="B48" s="52" t="n"/>
      <c r="C48" s="52" t="n"/>
      <c r="D48" s="52" t="n"/>
      <c r="E48" s="52" t="n"/>
      <c r="F48" s="52" t="n"/>
      <c r="G48" s="53" t="n"/>
      <c r="H48" s="52" t="n"/>
      <c r="I48" s="53" t="n"/>
      <c r="J48" s="52" t="n"/>
      <c r="K48" s="54" t="n"/>
      <c r="L48" s="53" t="n"/>
      <c r="M48" s="52" t="n"/>
      <c r="N48" s="52" t="n"/>
    </row>
    <row r="49" ht="9" customFormat="1" customHeight="1" s="18">
      <c r="A49" s="52" t="n"/>
      <c r="B49" s="52" t="n"/>
      <c r="C49" s="52" t="n"/>
      <c r="D49" s="52" t="n"/>
      <c r="E49" s="52" t="n"/>
      <c r="F49" s="52" t="n"/>
      <c r="G49" s="53" t="n"/>
      <c r="H49" s="52" t="n"/>
      <c r="I49" s="53" t="n"/>
      <c r="J49" s="52" t="n"/>
      <c r="K49" s="54" t="n"/>
      <c r="L49" s="53" t="n"/>
      <c r="M49" s="52" t="n"/>
      <c r="N49" s="52" t="n"/>
    </row>
    <row r="50" ht="18.75" customHeight="1">
      <c r="A50" s="55" t="inlineStr">
        <is>
          <t>GZØv‡_© †¯^”Qvq, ¯^Áv‡b Ges my¯’ gw¯Í‡¯‹ Avwg/Avgiv GB njdbvgvq ¯^vÿi/wUc mwn w`jvg|</t>
        </is>
      </c>
    </row>
    <row r="51" ht="18.75" customHeight="1">
      <c r="A51" s="55" t="n"/>
      <c r="B51" s="55" t="n"/>
      <c r="C51" s="55" t="n"/>
      <c r="D51" s="55" t="n"/>
      <c r="E51" s="55" t="n"/>
      <c r="F51" s="55" t="n"/>
      <c r="G51" s="56" t="n"/>
      <c r="H51" s="55" t="n"/>
      <c r="I51" s="56" t="n"/>
      <c r="J51" s="55" t="n"/>
      <c r="K51" s="57" t="n"/>
      <c r="L51" s="56" t="n"/>
      <c r="M51" s="55" t="n"/>
      <c r="N51" s="55" t="n"/>
    </row>
    <row r="52" ht="18.75" customHeight="1">
      <c r="A52" s="62" t="inlineStr">
        <is>
          <t>¯^vÿxi ¯^vÿi t</t>
        </is>
      </c>
      <c r="B52" s="64" t="n"/>
      <c r="C52" s="63" t="n"/>
      <c r="D52" s="63" t="n"/>
      <c r="E52" s="63" t="n"/>
      <c r="F52" s="63" t="n"/>
      <c r="G52" s="65" t="n"/>
      <c r="H52" s="63" t="n"/>
      <c r="I52" s="65" t="n"/>
      <c r="J52" s="63" t="n"/>
      <c r="K52" s="66" t="n"/>
      <c r="L52" s="59" t="inlineStr">
        <is>
          <t>FY MÖnxZvi ¯^vÿi</t>
        </is>
      </c>
    </row>
    <row r="53" ht="37.5" customHeight="1">
      <c r="A53" s="600" t="inlineStr">
        <is>
          <t>01|</t>
        </is>
      </c>
      <c r="B53" s="62" t="inlineStr">
        <is>
          <t>bvg  t</t>
        </is>
      </c>
      <c r="C53" s="63" t="n"/>
      <c r="D53" s="63" t="n"/>
      <c r="E53" s="63" t="n"/>
      <c r="F53" s="63" t="n"/>
      <c r="G53" s="65" t="n"/>
      <c r="H53" s="63" t="n"/>
      <c r="I53" s="65" t="n"/>
      <c r="J53" s="63" t="n"/>
      <c r="K53" s="66" t="n"/>
      <c r="L53" s="65" t="n"/>
      <c r="M53" s="63" t="n"/>
      <c r="N53" s="63" t="n"/>
    </row>
    <row r="54" ht="37.5" customHeight="1">
      <c r="A54" s="62" t="n"/>
      <c r="B54" s="62" t="inlineStr">
        <is>
          <t>wcZv t</t>
        </is>
      </c>
      <c r="C54" s="63" t="n"/>
      <c r="D54" s="63" t="n"/>
      <c r="E54" s="63" t="n"/>
      <c r="F54" s="63" t="n"/>
      <c r="G54" s="65" t="n"/>
      <c r="H54" s="63" t="n"/>
      <c r="I54" s="65" t="n"/>
      <c r="J54" s="63" t="n"/>
      <c r="K54" s="66" t="n"/>
      <c r="L54" s="65" t="n"/>
      <c r="M54" s="63" t="n"/>
      <c r="N54" s="63" t="n"/>
    </row>
    <row r="55" ht="37.5" customHeight="1">
      <c r="A55" s="62" t="n"/>
      <c r="B55" s="62" t="inlineStr">
        <is>
          <t>MÖvg  t</t>
        </is>
      </c>
      <c r="C55" s="63" t="n"/>
      <c r="D55" s="63" t="n"/>
      <c r="E55" s="63" t="n"/>
      <c r="F55" s="63" t="n"/>
      <c r="G55" s="65" t="n"/>
      <c r="H55" s="63" t="n"/>
      <c r="I55" s="65" t="n"/>
      <c r="J55" s="63" t="n"/>
      <c r="K55" s="66" t="n"/>
      <c r="L55" s="65" t="n"/>
      <c r="M55" s="63" t="n"/>
      <c r="N55" s="63" t="n"/>
    </row>
    <row r="56" ht="37.5" customHeight="1">
      <c r="A56" s="62" t="n"/>
      <c r="B56" s="62" t="n"/>
      <c r="C56" s="63" t="n"/>
      <c r="D56" s="63" t="n"/>
      <c r="E56" s="63" t="n"/>
      <c r="F56" s="63" t="n"/>
      <c r="G56" s="65" t="n"/>
      <c r="H56" s="63" t="n"/>
      <c r="I56" s="65" t="n"/>
      <c r="J56" s="63" t="n"/>
      <c r="K56" s="66" t="n"/>
      <c r="L56" s="65" t="n"/>
      <c r="M56" s="63" t="n"/>
      <c r="N56" s="63" t="n"/>
    </row>
    <row r="57" ht="37.5" customHeight="1">
      <c r="A57" s="600" t="inlineStr">
        <is>
          <t>02|</t>
        </is>
      </c>
      <c r="B57" s="62">
        <f>+B53</f>
        <v/>
      </c>
      <c r="C57" s="63" t="n"/>
      <c r="D57" s="63" t="n"/>
      <c r="E57" s="63" t="n"/>
      <c r="F57" s="63" t="n"/>
      <c r="G57" s="65" t="n"/>
      <c r="H57" s="63" t="n"/>
      <c r="I57" s="65" t="n"/>
      <c r="J57" s="63" t="n"/>
      <c r="K57" s="66" t="n"/>
      <c r="L57" s="65" t="n"/>
      <c r="M57" s="63" t="n"/>
      <c r="N57" s="63" t="n"/>
    </row>
    <row r="58" ht="37.5" customHeight="1">
      <c r="A58" s="55" t="n"/>
      <c r="B58" s="62">
        <f>+B54</f>
        <v/>
      </c>
      <c r="C58" s="55" t="n"/>
      <c r="D58" s="55" t="n"/>
      <c r="E58" s="55" t="n"/>
      <c r="F58" s="55" t="n"/>
      <c r="G58" s="56" t="n"/>
      <c r="H58" s="55" t="n"/>
      <c r="I58" s="56" t="n"/>
      <c r="J58" s="55" t="n"/>
      <c r="K58" s="57" t="n"/>
      <c r="L58" s="56" t="n"/>
      <c r="M58" s="55" t="n"/>
      <c r="N58" s="55" t="n"/>
    </row>
    <row r="59" ht="37.5" customHeight="1">
      <c r="A59" s="55" t="n"/>
      <c r="B59" s="62">
        <f>+B55</f>
        <v/>
      </c>
      <c r="C59" s="55" t="n"/>
      <c r="D59" s="55" t="n"/>
      <c r="E59" s="55" t="n"/>
      <c r="F59" s="55" t="n"/>
      <c r="G59" s="56" t="n"/>
      <c r="H59" s="55" t="n"/>
      <c r="I59" s="56" t="n"/>
      <c r="J59" s="55" t="n"/>
      <c r="K59" s="57" t="n"/>
      <c r="L59" s="56" t="n"/>
      <c r="M59" s="55" t="n"/>
      <c r="N59" s="55" t="n"/>
    </row>
  </sheetData>
  <mergeCells count="75">
    <mergeCell ref="E43:F43"/>
    <mergeCell ref="A9:N9"/>
    <mergeCell ref="I34:J34"/>
    <mergeCell ref="G43:H43"/>
    <mergeCell ref="C34:D34"/>
    <mergeCell ref="C33:D33"/>
    <mergeCell ref="E33:F33"/>
    <mergeCell ref="K33:L33"/>
    <mergeCell ref="C42:D42"/>
    <mergeCell ref="G42:H42"/>
    <mergeCell ref="E42:F42"/>
    <mergeCell ref="A36:B36"/>
    <mergeCell ref="G36:H36"/>
    <mergeCell ref="I36:J36"/>
    <mergeCell ref="K45:L45"/>
    <mergeCell ref="E39:F39"/>
    <mergeCell ref="G39:H39"/>
    <mergeCell ref="E44:F44"/>
    <mergeCell ref="C35:D35"/>
    <mergeCell ref="E35:F35"/>
    <mergeCell ref="E38:F38"/>
    <mergeCell ref="G38:H38"/>
    <mergeCell ref="A41:B41"/>
    <mergeCell ref="A16:N16"/>
    <mergeCell ref="C41:D41"/>
    <mergeCell ref="I41:J41"/>
    <mergeCell ref="A37:B37"/>
    <mergeCell ref="G37:H37"/>
    <mergeCell ref="C44:D44"/>
    <mergeCell ref="I37:J37"/>
    <mergeCell ref="C40:D40"/>
    <mergeCell ref="E40:F40"/>
    <mergeCell ref="A46:N46"/>
    <mergeCell ref="L52:N52"/>
    <mergeCell ref="E34:F34"/>
    <mergeCell ref="A18:N18"/>
    <mergeCell ref="C43:D43"/>
    <mergeCell ref="G34:H34"/>
    <mergeCell ref="I43:J43"/>
    <mergeCell ref="M34:N44"/>
    <mergeCell ref="A45:J45"/>
    <mergeCell ref="A12:N12"/>
    <mergeCell ref="A50:N50"/>
    <mergeCell ref="A33:B33"/>
    <mergeCell ref="G33:H33"/>
    <mergeCell ref="I42:J42"/>
    <mergeCell ref="I33:J33"/>
    <mergeCell ref="A42:B42"/>
    <mergeCell ref="C36:D36"/>
    <mergeCell ref="M33:N33"/>
    <mergeCell ref="E36:F36"/>
    <mergeCell ref="I39:J39"/>
    <mergeCell ref="M45:N45"/>
    <mergeCell ref="A32:N32"/>
    <mergeCell ref="C39:D39"/>
    <mergeCell ref="A35:B35"/>
    <mergeCell ref="G35:H35"/>
    <mergeCell ref="I44:J44"/>
    <mergeCell ref="A8:N8"/>
    <mergeCell ref="I35:J35"/>
    <mergeCell ref="A38:B38"/>
    <mergeCell ref="C38:D38"/>
    <mergeCell ref="I38:J38"/>
    <mergeCell ref="A43:B43"/>
    <mergeCell ref="E41:F41"/>
    <mergeCell ref="C37:D37"/>
    <mergeCell ref="G41:H41"/>
    <mergeCell ref="E37:F37"/>
    <mergeCell ref="A44:B44"/>
    <mergeCell ref="G44:H44"/>
    <mergeCell ref="A40:B40"/>
    <mergeCell ref="G40:H40"/>
    <mergeCell ref="I40:J40"/>
    <mergeCell ref="A39:B39"/>
    <mergeCell ref="A34:B34"/>
  </mergeCells>
  <pageMargins left="0.7" right="0.7" top="0.75" bottom="0.75" header="0.3" footer="0.3"/>
</worksheet>
</file>

<file path=xl/worksheets/sheet34.xml><?xml version="1.0" encoding="utf-8"?>
<worksheet xmlns="http://schemas.openxmlformats.org/spreadsheetml/2006/main">
  <sheetPr>
    <outlinePr summaryBelow="1" summaryRight="1"/>
    <pageSetUpPr/>
  </sheetPr>
  <dimension ref="A1:AY62"/>
  <sheetViews>
    <sheetView workbookViewId="0">
      <selection activeCell="A1" sqref="A1"/>
    </sheetView>
  </sheetViews>
  <sheetFormatPr baseColWidth="8" defaultRowHeight="15"/>
  <cols>
    <col width="3.719285714285714" customWidth="1" min="1" max="1"/>
    <col width="2.719285714285714" customWidth="1" min="2" max="2"/>
    <col width="2.290714285714285" customWidth="1" min="3" max="3"/>
    <col width="2.290714285714285" customWidth="1" min="4" max="4"/>
    <col width="2.290714285714285" customWidth="1" min="5" max="5"/>
    <col width="2.290714285714285" customWidth="1" min="6" max="6"/>
    <col width="2.290714285714285" customWidth="1" min="7" max="7"/>
    <col width="2.290714285714285" customWidth="1" min="8" max="8"/>
    <col width="1.290714285714286" customWidth="1" min="9" max="9"/>
    <col width="2.719285714285714" customWidth="1" min="10" max="10"/>
    <col width="2.719285714285714" customWidth="1" min="11" max="11"/>
    <col width="2.290714285714285" customWidth="1" min="12" max="12"/>
    <col width="2.290714285714285" customWidth="1" min="13" max="13"/>
    <col width="2.290714285714285" customWidth="1" min="14" max="14"/>
    <col width="2.290714285714285" customWidth="1" min="15" max="15"/>
    <col width="2.290714285714285" customWidth="1" min="16" max="16"/>
    <col width="4.433571428571429" customWidth="1" min="17" max="17"/>
    <col width="2.290714285714285" customWidth="1" min="18" max="18"/>
    <col width="2.290714285714285" customWidth="1" min="19" max="19"/>
    <col width="1.719285714285714" customWidth="1" min="20" max="20"/>
    <col width="1.719285714285714" customWidth="1" min="21" max="21"/>
    <col width="1.719285714285714" customWidth="1" min="22" max="22"/>
    <col width="1.719285714285714" customWidth="1" min="23" max="23"/>
    <col width="1.719285714285714" customWidth="1" min="24" max="24"/>
    <col width="1.147857142857143" customWidth="1" min="25" max="25"/>
    <col width="1.719285714285714" customWidth="1" min="26" max="26"/>
    <col width="1.719285714285714" customWidth="1" min="27" max="27"/>
    <col width="2.290714285714285" customWidth="1" min="28" max="28"/>
    <col width="2.290714285714285" customWidth="1" min="29" max="29"/>
    <col width="1.862142857142857" customWidth="1" min="30" max="30"/>
    <col width="2.862142857142857" customWidth="1" min="31" max="31"/>
    <col width="2.862142857142857" customWidth="1" min="32" max="32"/>
    <col width="2.862142857142857" customWidth="1" min="33" max="33"/>
    <col width="2.290714285714285" customWidth="1" min="34" max="34"/>
    <col width="2.290714285714285" customWidth="1" min="35" max="35"/>
    <col width="2.290714285714285" customWidth="1" min="36" max="36"/>
    <col width="2.290714285714285" customWidth="1" min="37" max="37"/>
    <col width="2.290714285714285" customWidth="1" min="38" max="38"/>
    <col width="2.290714285714285" customWidth="1" min="39" max="39"/>
    <col width="2.290714285714285" customWidth="1" min="40" max="40"/>
    <col width="2.005" customWidth="1" min="41" max="41"/>
    <col width="2.005" customWidth="1" min="42" max="42"/>
    <col width="2.005" customWidth="1" min="43" max="43"/>
    <col width="2.005" customWidth="1" min="44" max="44"/>
    <col width="2.005" customWidth="1" min="45" max="45"/>
    <col width="2.005" customWidth="1" min="46" max="46"/>
    <col width="13.57642857142857" customWidth="1" min="47" max="47"/>
    <col width="11.43357142857143" customWidth="1" min="48" max="48"/>
    <col width="11.71928571428571" customWidth="1" min="49" max="49"/>
    <col width="13.57642857142857" customWidth="1" min="50" max="50"/>
    <col width="13.57642857142857" customWidth="1" min="51" max="51"/>
  </cols>
  <sheetData>
    <row r="1" ht="30.75" customHeight="1">
      <c r="A1" s="419" t="n"/>
      <c r="AU1" s="2763" t="n"/>
      <c r="AV1" s="2763" t="n"/>
      <c r="AW1" s="2763" t="n"/>
      <c r="AX1" s="2763" t="n"/>
      <c r="AY1" s="69" t="n"/>
    </row>
    <row r="2" ht="19.5" customHeight="1">
      <c r="A2" s="172" t="n"/>
      <c r="AU2" s="2763" t="n"/>
      <c r="AV2" s="2763" t="n"/>
      <c r="AW2" s="2763" t="n"/>
      <c r="AX2" s="2763" t="n"/>
      <c r="AY2" s="71" t="n"/>
    </row>
    <row r="3" ht="13.5" customHeight="1">
      <c r="A3" s="173" t="n"/>
      <c r="AU3" s="2763" t="n"/>
      <c r="AV3" s="2763" t="n"/>
      <c r="AW3" s="2763" t="n"/>
      <c r="AX3" s="2763" t="n"/>
      <c r="AY3" s="73" t="n"/>
    </row>
    <row r="4" ht="13.5" customHeight="1">
      <c r="A4" s="74" t="n"/>
      <c r="AU4" s="2763" t="n"/>
      <c r="AV4" s="2763" t="n"/>
      <c r="AW4" s="2763" t="n"/>
      <c r="AX4" s="2763" t="n"/>
      <c r="AY4" s="75" t="n"/>
    </row>
    <row r="5" ht="18.75" customHeight="1">
      <c r="A5" s="600" t="n"/>
      <c r="B5" s="600" t="n"/>
      <c r="C5" s="600" t="n"/>
      <c r="D5" s="600" t="n"/>
      <c r="E5" s="600" t="n"/>
      <c r="F5" s="600" t="n"/>
      <c r="G5" s="600" t="n"/>
      <c r="H5" s="600" t="n"/>
      <c r="I5" s="600" t="n"/>
      <c r="J5" s="600" t="n"/>
      <c r="K5" s="600" t="n"/>
      <c r="L5" s="600" t="n"/>
      <c r="M5" s="600" t="n"/>
      <c r="N5" s="600" t="n"/>
      <c r="O5" s="600" t="n"/>
      <c r="P5" s="600" t="n"/>
      <c r="Q5" s="600" t="n"/>
      <c r="R5" s="600" t="n"/>
      <c r="S5" s="600" t="n"/>
      <c r="T5" s="600" t="n"/>
      <c r="U5" s="600" t="n"/>
      <c r="V5" s="600" t="n"/>
      <c r="W5" s="600" t="n"/>
      <c r="X5" s="600" t="n"/>
      <c r="Y5" s="600" t="n"/>
      <c r="Z5" s="600" t="n"/>
      <c r="AA5" s="600" t="n"/>
      <c r="AB5" s="600" t="n"/>
      <c r="AC5" s="600" t="n"/>
      <c r="AD5" s="600" t="n"/>
      <c r="AE5" s="600" t="n"/>
      <c r="AF5" s="2764" t="n"/>
      <c r="AG5" s="76" t="n"/>
      <c r="AH5" s="76" t="n"/>
      <c r="AI5" s="2764" t="n"/>
      <c r="AJ5" s="2764" t="n"/>
      <c r="AK5" s="2764" t="n"/>
      <c r="AL5" s="76" t="n"/>
      <c r="AM5" s="76" t="n"/>
      <c r="AN5" s="76" t="n"/>
      <c r="AO5" s="77" t="n"/>
      <c r="AP5" s="77" t="n"/>
      <c r="AQ5" s="77" t="n"/>
      <c r="AR5" s="77" t="n"/>
      <c r="AS5" s="77" t="n"/>
      <c r="AT5" s="78" t="n"/>
      <c r="AU5" s="2755" t="n"/>
      <c r="AV5" s="2755" t="n"/>
      <c r="AW5" s="2755" t="n"/>
      <c r="AX5" s="2755" t="n"/>
      <c r="AY5" s="2763" t="n"/>
    </row>
    <row r="6" ht="18.75" customHeight="1">
      <c r="A6" s="600" t="n"/>
      <c r="B6" s="600" t="n"/>
      <c r="C6" s="600" t="n"/>
      <c r="D6" s="600" t="n"/>
      <c r="E6" s="600" t="n"/>
      <c r="F6" s="600" t="n"/>
      <c r="G6" s="600" t="n"/>
      <c r="H6" s="600" t="n"/>
      <c r="I6" s="600" t="n"/>
      <c r="J6" s="600" t="n"/>
      <c r="K6" s="600" t="n"/>
      <c r="L6" s="600" t="n"/>
      <c r="M6" s="600" t="n"/>
      <c r="N6" s="600" t="n"/>
      <c r="O6" s="600" t="n"/>
      <c r="P6" s="600" t="n"/>
      <c r="Q6" s="600" t="n"/>
      <c r="R6" s="600" t="n"/>
      <c r="S6" s="600" t="n"/>
      <c r="T6" s="600" t="n"/>
      <c r="U6" s="600" t="n"/>
      <c r="V6" s="600" t="n"/>
      <c r="W6" s="600" t="n"/>
      <c r="X6" s="600" t="n"/>
      <c r="Y6" s="600" t="n"/>
      <c r="Z6" s="600" t="n"/>
      <c r="AA6" s="600" t="n"/>
      <c r="AB6" s="600" t="n"/>
      <c r="AC6" s="600" t="n"/>
      <c r="AD6" s="600" t="n"/>
      <c r="AE6" s="600" t="n"/>
      <c r="AF6" s="2764" t="n"/>
      <c r="AG6" s="76" t="n"/>
      <c r="AH6" s="76" t="n"/>
      <c r="AI6" s="2764" t="n"/>
      <c r="AJ6" s="2764" t="n"/>
      <c r="AK6" s="2764" t="n"/>
      <c r="AL6" s="76" t="n"/>
      <c r="AM6" s="76" t="n"/>
      <c r="AN6" s="76" t="n"/>
      <c r="AO6" s="77" t="n"/>
      <c r="AP6" s="77" t="n"/>
      <c r="AQ6" s="77" t="n"/>
      <c r="AR6" s="77" t="n"/>
      <c r="AS6" s="77" t="n"/>
      <c r="AT6" s="78" t="n"/>
      <c r="AU6" s="2755" t="n"/>
      <c r="AV6" s="2755" t="n"/>
      <c r="AW6" s="2755" t="n"/>
      <c r="AX6" s="2755" t="n"/>
      <c r="AY6" s="2763" t="n"/>
    </row>
    <row r="7" ht="16.5" customHeight="1">
      <c r="A7" s="600" t="n"/>
      <c r="B7" s="600" t="n"/>
      <c r="C7" s="600" t="n"/>
      <c r="D7" s="600" t="n"/>
      <c r="E7" s="600" t="n"/>
      <c r="F7" s="600" t="n"/>
      <c r="G7" s="600" t="n"/>
      <c r="H7" s="600" t="n"/>
      <c r="I7" s="600" t="n"/>
      <c r="J7" s="600" t="n"/>
      <c r="K7" s="600" t="n"/>
      <c r="L7" s="600" t="n"/>
      <c r="M7" s="600" t="n"/>
      <c r="N7" s="600" t="n"/>
      <c r="O7" s="600" t="n"/>
      <c r="P7" s="600" t="n"/>
      <c r="Q7" s="600" t="n"/>
      <c r="R7" s="600" t="n"/>
      <c r="S7" s="600" t="n"/>
      <c r="T7" s="600" t="n"/>
      <c r="U7" s="600" t="n"/>
      <c r="V7" s="600" t="n"/>
      <c r="W7" s="600" t="n"/>
      <c r="X7" s="600" t="n"/>
      <c r="Y7" s="600" t="n"/>
      <c r="Z7" s="600" t="n"/>
      <c r="AA7" s="600" t="n"/>
      <c r="AB7" s="600" t="n"/>
      <c r="AC7" s="600" t="n"/>
      <c r="AD7" s="600" t="n"/>
      <c r="AE7" s="600" t="n"/>
      <c r="AF7" s="2764" t="n"/>
      <c r="AG7" s="76" t="n"/>
      <c r="AH7" s="76" t="n"/>
      <c r="AI7" s="2764" t="n"/>
      <c r="AJ7" s="2764" t="n"/>
      <c r="AK7" s="2764" t="n"/>
      <c r="AL7" s="76" t="n"/>
      <c r="AM7" s="76" t="n"/>
      <c r="AN7" s="76" t="n"/>
      <c r="AO7" s="77" t="n"/>
      <c r="AP7" s="77" t="n"/>
      <c r="AQ7" s="77" t="n"/>
      <c r="AR7" s="77" t="n"/>
      <c r="AS7" s="77" t="n"/>
      <c r="AT7" s="78" t="n"/>
      <c r="AU7" s="2755" t="n"/>
      <c r="AV7" s="2755" t="n"/>
      <c r="AW7" s="2755" t="n"/>
      <c r="AX7" s="2755" t="n"/>
      <c r="AY7" s="2763" t="n"/>
    </row>
    <row r="8" ht="18.75" customHeight="1">
      <c r="A8" s="2755" t="n"/>
      <c r="B8" s="2764" t="n"/>
      <c r="C8" s="2764" t="n"/>
      <c r="D8" s="2764" t="n"/>
      <c r="E8" s="2764" t="n"/>
      <c r="F8" s="2764" t="n"/>
      <c r="G8" s="2764" t="n"/>
      <c r="H8" s="2764" t="n"/>
      <c r="I8" s="2764" t="n"/>
      <c r="J8" s="2764" t="n"/>
      <c r="K8" s="2764" t="n"/>
      <c r="L8" s="2764" t="n"/>
      <c r="M8" s="2764" t="n"/>
      <c r="N8" s="2764" t="n"/>
      <c r="O8" s="2764" t="n"/>
      <c r="P8" s="2764" t="n"/>
      <c r="Q8" s="2764" t="n"/>
      <c r="R8" s="2764" t="n"/>
      <c r="S8" s="2764" t="n"/>
      <c r="T8" s="2764" t="n"/>
      <c r="U8" s="2764" t="n"/>
      <c r="V8" s="2764" t="n"/>
      <c r="W8" s="2764" t="n"/>
      <c r="X8" s="2764" t="n"/>
      <c r="Y8" s="2764" t="n"/>
      <c r="Z8" s="2764" t="n"/>
      <c r="AA8" s="2764" t="n"/>
      <c r="AB8" s="2764" t="n"/>
      <c r="AC8" s="2764" t="n"/>
      <c r="AD8" s="2764" t="n"/>
      <c r="AE8" s="2764" t="n"/>
      <c r="AF8" s="2764" t="n"/>
      <c r="AG8" s="2764" t="n"/>
      <c r="AH8" s="2764" t="n"/>
      <c r="AI8" s="2764" t="n"/>
      <c r="AJ8" s="2764" t="n"/>
      <c r="AK8" s="2764" t="n"/>
      <c r="AL8" s="2764" t="n"/>
      <c r="AM8" s="2764" t="n"/>
      <c r="AN8" s="2764" t="n"/>
      <c r="AO8" s="2764" t="n"/>
      <c r="AP8" s="2764" t="n"/>
      <c r="AQ8" s="2764" t="n"/>
      <c r="AR8" s="2764" t="n"/>
      <c r="AS8" s="2755" t="n"/>
      <c r="AT8" s="2755" t="n"/>
      <c r="AU8" s="2755" t="n"/>
      <c r="AV8" s="2755" t="n"/>
      <c r="AW8" s="2755" t="n"/>
      <c r="AX8" s="2755" t="n"/>
      <c r="AY8" s="2763" t="n"/>
    </row>
    <row r="9" ht="16.5" customHeight="1">
      <c r="A9" s="600" t="n"/>
      <c r="B9" s="600" t="n"/>
      <c r="C9" s="600" t="n"/>
      <c r="D9" s="600" t="n"/>
      <c r="E9" s="600" t="n"/>
      <c r="F9" s="600" t="n"/>
      <c r="G9" s="600" t="n"/>
      <c r="H9" s="600" t="n"/>
      <c r="I9" s="600" t="n"/>
      <c r="J9" s="600" t="n"/>
      <c r="K9" s="600" t="n"/>
      <c r="L9" s="600" t="n"/>
      <c r="M9" s="600" t="n"/>
      <c r="N9" s="600" t="n"/>
      <c r="O9" s="600" t="inlineStr">
        <is>
          <t xml:space="preserve">                                                   </t>
        </is>
      </c>
      <c r="P9" s="600" t="n"/>
      <c r="Q9" s="600" t="n"/>
      <c r="R9" s="600" t="n"/>
      <c r="S9" s="600" t="n"/>
      <c r="T9" s="600" t="n"/>
      <c r="U9" s="600" t="n"/>
      <c r="V9" s="600" t="n"/>
      <c r="W9" s="600" t="n"/>
      <c r="X9" s="600" t="n"/>
      <c r="Y9" s="600" t="n"/>
      <c r="Z9" s="600" t="n"/>
      <c r="AA9" s="600" t="n"/>
      <c r="AB9" s="600" t="n"/>
      <c r="AC9" s="600" t="n"/>
      <c r="AD9" s="600" t="n"/>
      <c r="AE9" s="600" t="n"/>
      <c r="AF9" s="2764" t="n"/>
      <c r="AG9" s="76" t="n"/>
      <c r="AH9" s="76" t="n"/>
      <c r="AI9" s="2764" t="n"/>
      <c r="AJ9" s="2764" t="n"/>
      <c r="AK9" s="2764" t="n"/>
      <c r="AL9" s="76" t="n"/>
      <c r="AM9" s="76" t="n"/>
      <c r="AN9" s="76" t="n"/>
      <c r="AO9" s="77" t="n"/>
      <c r="AP9" s="77" t="n"/>
      <c r="AQ9" s="77" t="n"/>
      <c r="AR9" s="77" t="n"/>
      <c r="AS9" s="77" t="n"/>
      <c r="AT9" s="78" t="n"/>
      <c r="AU9" s="2755" t="n"/>
      <c r="AV9" s="2755" t="n"/>
      <c r="AW9" s="2755" t="n"/>
      <c r="AX9" s="2755" t="n"/>
      <c r="AY9" s="2763" t="n"/>
    </row>
    <row r="10" ht="123.75" customHeight="1">
      <c r="A10" s="600" t="n"/>
      <c r="B10" s="600" t="n"/>
      <c r="C10" s="600" t="n"/>
      <c r="D10" s="600" t="n"/>
      <c r="E10" s="600" t="n"/>
      <c r="F10" s="600" t="n"/>
      <c r="G10" s="600" t="n"/>
      <c r="H10" s="600" t="n"/>
      <c r="I10" s="600" t="n"/>
      <c r="J10" s="600" t="n"/>
      <c r="K10" s="600" t="n"/>
      <c r="L10" s="600" t="n"/>
      <c r="M10" s="600" t="n"/>
      <c r="N10" s="600" t="n"/>
      <c r="O10" s="600" t="n"/>
      <c r="P10" s="600" t="n"/>
      <c r="Q10" s="600" t="n"/>
      <c r="R10" s="600" t="n"/>
      <c r="S10" s="600" t="n"/>
      <c r="T10" s="600" t="n"/>
      <c r="U10" s="600" t="n"/>
      <c r="V10" s="600" t="n"/>
      <c r="W10" s="600" t="n"/>
      <c r="X10" s="600" t="n"/>
      <c r="Y10" s="600" t="n"/>
      <c r="Z10" s="600" t="n"/>
      <c r="AA10" s="600" t="n"/>
      <c r="AB10" s="600" t="n"/>
      <c r="AC10" s="600" t="n"/>
      <c r="AD10" s="600" t="n"/>
      <c r="AE10" s="600" t="n"/>
      <c r="AF10" s="2764" t="n"/>
      <c r="AG10" s="76" t="n"/>
      <c r="AH10" s="76" t="n"/>
      <c r="AI10" s="2764" t="n"/>
      <c r="AJ10" s="2764" t="n"/>
      <c r="AK10" s="2764" t="n"/>
      <c r="AL10" s="76" t="n"/>
      <c r="AM10" s="76" t="n"/>
      <c r="AN10" s="76" t="n"/>
      <c r="AO10" s="77" t="n"/>
      <c r="AP10" s="77" t="n"/>
      <c r="AQ10" s="77" t="n"/>
      <c r="AR10" s="77" t="n"/>
      <c r="AS10" s="77" t="n"/>
      <c r="AT10" s="78" t="n"/>
      <c r="AU10" s="2755" t="n"/>
      <c r="AV10" s="2755" t="n"/>
      <c r="AW10" s="2755" t="n"/>
      <c r="AX10" s="2755" t="n"/>
      <c r="AY10" s="2763" t="n"/>
    </row>
    <row r="11" ht="16.5" customHeight="1">
      <c r="A11" s="600" t="n"/>
      <c r="B11" s="79" t="n"/>
      <c r="C11" s="80" t="n"/>
      <c r="D11" s="600" t="n"/>
      <c r="E11" s="600" t="n"/>
      <c r="F11" s="600" t="n"/>
      <c r="G11" s="600" t="n"/>
      <c r="H11" s="600" t="n"/>
      <c r="I11" s="600" t="n"/>
      <c r="J11" s="600" t="n"/>
      <c r="K11" s="600" t="n"/>
      <c r="L11" s="600" t="n"/>
      <c r="M11" s="600" t="n"/>
      <c r="N11" s="600" t="n"/>
      <c r="O11" s="600" t="n"/>
      <c r="P11" s="600" t="n"/>
      <c r="Q11" s="600" t="n"/>
      <c r="R11" s="600" t="n"/>
      <c r="S11" s="600" t="n"/>
      <c r="T11" s="600" t="n"/>
      <c r="U11" s="600" t="n"/>
      <c r="V11" s="600" t="n"/>
      <c r="W11" s="600" t="n"/>
      <c r="X11" s="600" t="n"/>
      <c r="Y11" s="600" t="n"/>
      <c r="Z11" s="600" t="n"/>
      <c r="AA11" s="600" t="n"/>
      <c r="AB11" s="600" t="n"/>
      <c r="AC11" s="600" t="n"/>
      <c r="AD11" s="600" t="n"/>
      <c r="AE11" s="600" t="n"/>
      <c r="AF11" s="600" t="n"/>
      <c r="AG11" s="600" t="n"/>
      <c r="AH11" s="600" t="n"/>
      <c r="AI11" s="600" t="n"/>
      <c r="AJ11" s="600" t="n"/>
      <c r="AK11" s="600" t="n"/>
      <c r="AL11" s="600" t="n"/>
      <c r="AM11" s="600" t="n"/>
      <c r="AN11" s="600" t="n"/>
      <c r="AO11" s="600" t="n"/>
      <c r="AP11" s="600" t="n"/>
      <c r="AQ11" s="600" t="n"/>
      <c r="AR11" s="600" t="n"/>
      <c r="AS11" s="2755" t="n"/>
      <c r="AT11" s="2755" t="n"/>
      <c r="AU11" s="2755" t="n"/>
      <c r="AV11" s="2755" t="n"/>
      <c r="AW11" s="2755" t="n"/>
      <c r="AX11" s="2755" t="n"/>
      <c r="AY11" s="2763" t="n"/>
    </row>
    <row r="12" ht="24.75" customHeight="1">
      <c r="A12" s="62" t="n"/>
      <c r="B12" s="81" t="n"/>
      <c r="C12" s="82" t="n"/>
      <c r="D12" s="62" t="n"/>
      <c r="E12" s="62" t="n"/>
      <c r="F12" s="62" t="n"/>
      <c r="G12" s="62" t="n"/>
      <c r="H12" s="62" t="n"/>
      <c r="I12" s="62" t="n"/>
      <c r="J12" s="62" t="n"/>
      <c r="K12" s="62" t="n"/>
      <c r="L12" s="62" t="n"/>
      <c r="M12" s="62" t="n"/>
      <c r="N12" s="62" t="n"/>
      <c r="O12" s="62" t="n"/>
      <c r="P12" s="62" t="n"/>
      <c r="Q12" s="62" t="n"/>
      <c r="R12" s="62" t="n"/>
      <c r="S12" s="62" t="n"/>
      <c r="T12" s="62" t="n"/>
      <c r="U12" s="62" t="n"/>
      <c r="V12" s="62" t="n"/>
      <c r="W12" s="62" t="n"/>
      <c r="X12" s="62" t="n"/>
      <c r="Y12" s="62" t="n"/>
      <c r="Z12" s="62" t="n"/>
      <c r="AA12" s="62" t="n"/>
      <c r="AB12" s="62" t="n"/>
      <c r="AC12" s="62" t="n"/>
      <c r="AD12" s="62" t="n"/>
      <c r="AE12" s="62" t="n"/>
      <c r="AF12" s="62" t="n"/>
      <c r="AG12" s="62" t="n"/>
      <c r="AH12" s="62" t="n"/>
      <c r="AI12" s="62" t="n"/>
      <c r="AJ12" s="62" t="n"/>
      <c r="AK12" s="62" t="n"/>
      <c r="AL12" s="62" t="n"/>
      <c r="AM12" s="62" t="n"/>
      <c r="AN12" s="62" t="n"/>
      <c r="AO12" s="62" t="n"/>
      <c r="AP12" s="62" t="n"/>
      <c r="AQ12" s="62" t="n"/>
      <c r="AR12" s="62" t="n"/>
      <c r="AS12" s="2755" t="n"/>
      <c r="AT12" s="2755" t="n"/>
      <c r="AU12" s="2755" t="n"/>
      <c r="AV12" s="2755" t="n"/>
      <c r="AW12" s="2755" t="n"/>
      <c r="AX12" s="2755" t="n"/>
      <c r="AY12" s="2763" t="n"/>
    </row>
    <row r="13" ht="24.75" customHeight="1">
      <c r="A13" s="2755" t="n"/>
      <c r="B13" s="62" t="n"/>
      <c r="C13" s="62" t="n"/>
      <c r="D13" s="62" t="n"/>
      <c r="E13" s="62" t="n"/>
      <c r="F13" s="62" t="n"/>
      <c r="G13" s="62" t="n"/>
      <c r="H13" s="62" t="n"/>
      <c r="I13" s="62" t="n"/>
      <c r="J13" s="62" t="n"/>
      <c r="K13" s="62" t="n"/>
      <c r="L13" s="62" t="n"/>
      <c r="M13" s="62" t="n"/>
      <c r="N13" s="62" t="n"/>
      <c r="O13" s="62" t="n"/>
      <c r="P13" s="62" t="n"/>
      <c r="Q13" s="62" t="n"/>
      <c r="R13" s="62" t="n"/>
      <c r="S13" s="62" t="n"/>
      <c r="T13" s="62" t="n"/>
      <c r="U13" s="62" t="n"/>
      <c r="V13" s="62" t="n"/>
      <c r="W13" s="62" t="n"/>
      <c r="X13" s="62" t="n"/>
      <c r="Y13" s="62" t="n"/>
      <c r="Z13" s="62" t="n"/>
      <c r="AA13" s="62" t="n"/>
      <c r="AB13" s="62" t="n"/>
      <c r="AC13" s="62" t="n"/>
      <c r="AD13" s="62" t="n"/>
      <c r="AE13" s="62" t="n"/>
      <c r="AF13" s="62" t="n"/>
      <c r="AG13" s="62" t="n"/>
      <c r="AH13" s="62" t="n"/>
      <c r="AI13" s="62" t="n"/>
      <c r="AJ13" s="62" t="n"/>
      <c r="AK13" s="62" t="n"/>
      <c r="AL13" s="62" t="n"/>
      <c r="AM13" s="62" t="n"/>
      <c r="AN13" s="62" t="n"/>
      <c r="AO13" s="62" t="n"/>
      <c r="AP13" s="62" t="n"/>
      <c r="AQ13" s="62" t="n"/>
      <c r="AR13" s="62" t="n"/>
      <c r="AS13" s="2755" t="n"/>
      <c r="AT13" s="2755" t="n"/>
      <c r="AU13" s="2755" t="n"/>
      <c r="AV13" s="2755" t="n"/>
      <c r="AW13" s="2755" t="n"/>
      <c r="AX13" s="2755" t="n"/>
      <c r="AY13" s="2763" t="n"/>
    </row>
    <row r="14" ht="24.75" customHeight="1">
      <c r="A14" s="83" t="n"/>
      <c r="B14" s="62" t="n"/>
      <c r="C14" s="62" t="n"/>
      <c r="D14" s="62" t="n"/>
      <c r="E14" s="62" t="n"/>
      <c r="F14" s="62" t="n"/>
      <c r="G14" s="62" t="n"/>
      <c r="H14" s="62" t="n"/>
      <c r="I14" s="62" t="n"/>
      <c r="J14" s="62" t="n"/>
      <c r="K14" s="62" t="n"/>
      <c r="L14" s="62" t="n"/>
      <c r="M14" s="62" t="n"/>
      <c r="N14" s="62" t="n"/>
      <c r="O14" s="62" t="n"/>
      <c r="P14" s="62" t="n"/>
      <c r="Q14" s="62" t="n"/>
      <c r="R14" s="62" t="n"/>
      <c r="S14" s="62" t="n"/>
      <c r="T14" s="62" t="n"/>
      <c r="U14" s="62" t="n"/>
      <c r="V14" s="62" t="n"/>
      <c r="W14" s="62" t="n"/>
      <c r="X14" s="62" t="n"/>
      <c r="Y14" s="62" t="n"/>
      <c r="Z14" s="62" t="n"/>
      <c r="AA14" s="62" t="n"/>
      <c r="AB14" s="62" t="n"/>
      <c r="AC14" s="62" t="n"/>
      <c r="AD14" s="62" t="n"/>
      <c r="AE14" s="62" t="n"/>
      <c r="AF14" s="62" t="n"/>
      <c r="AG14" s="62" t="n"/>
      <c r="AH14" s="62" t="n"/>
      <c r="AI14" s="62" t="n"/>
      <c r="AJ14" s="62" t="n"/>
      <c r="AK14" s="62" t="n"/>
      <c r="AL14" s="62" t="n"/>
      <c r="AM14" s="62" t="n"/>
      <c r="AN14" s="62" t="n"/>
      <c r="AO14" s="62" t="n"/>
      <c r="AP14" s="62" t="n"/>
      <c r="AQ14" s="62" t="n"/>
      <c r="AR14" s="62" t="n"/>
      <c r="AS14" s="2755" t="n"/>
      <c r="AT14" s="2755" t="n"/>
      <c r="AU14" s="2755" t="n"/>
      <c r="AV14" s="2755" t="n"/>
      <c r="AW14" s="2755" t="n"/>
      <c r="AX14" s="2755" t="n"/>
      <c r="AY14" s="2763" t="n"/>
    </row>
    <row r="15" ht="22.5" customHeight="1">
      <c r="A15" s="2765" t="n"/>
      <c r="B15" s="2766" t="n"/>
      <c r="C15" s="2766" t="n"/>
      <c r="D15" s="600" t="n"/>
      <c r="E15" s="600" t="n"/>
      <c r="F15" s="600" t="n"/>
      <c r="G15" s="600" t="n"/>
      <c r="H15" s="600" t="n"/>
      <c r="I15" s="600" t="n"/>
      <c r="J15" s="600" t="n"/>
      <c r="K15" s="600" t="n"/>
      <c r="L15" s="600" t="n"/>
      <c r="M15" s="600" t="n"/>
      <c r="N15" s="600" t="n"/>
      <c r="O15" s="600" t="n"/>
      <c r="P15" s="600" t="n"/>
      <c r="Q15" s="600" t="n"/>
      <c r="R15" s="600" t="n"/>
      <c r="S15" s="600" t="n"/>
      <c r="T15" s="600" t="n"/>
      <c r="U15" s="600" t="n"/>
      <c r="V15" s="600" t="n"/>
      <c r="W15" s="600" t="n"/>
      <c r="X15" s="600" t="n"/>
      <c r="Y15" s="600" t="n"/>
      <c r="Z15" s="600" t="n"/>
      <c r="AA15" s="600" t="n"/>
      <c r="AB15" s="600" t="n"/>
      <c r="AC15" s="600" t="n"/>
      <c r="AD15" s="600" t="n"/>
      <c r="AE15" s="600" t="n"/>
      <c r="AF15" s="600" t="n"/>
      <c r="AG15" s="600" t="n"/>
      <c r="AH15" s="600" t="n"/>
      <c r="AI15" s="600" t="n"/>
      <c r="AJ15" s="600" t="n"/>
      <c r="AK15" s="600" t="n"/>
      <c r="AL15" s="600" t="n"/>
      <c r="AM15" s="600" t="n"/>
      <c r="AN15" s="600" t="n"/>
      <c r="AO15" s="600" t="n"/>
      <c r="AP15" s="600" t="n"/>
      <c r="AQ15" s="600" t="n"/>
      <c r="AR15" s="600" t="n"/>
      <c r="AS15" s="2755" t="n"/>
      <c r="AT15" s="2755" t="n"/>
      <c r="AU15" s="2755" t="n"/>
      <c r="AV15" s="2755" t="n"/>
      <c r="AW15" s="2755" t="n"/>
      <c r="AX15" s="2755" t="n"/>
      <c r="AY15" s="2763" t="n"/>
    </row>
    <row r="16" ht="20.25" customHeight="1">
      <c r="A16" s="600" t="n"/>
      <c r="B16" s="79" t="n"/>
      <c r="C16" s="80" t="n"/>
      <c r="D16" s="600" t="n"/>
      <c r="E16" s="600" t="n"/>
      <c r="F16" s="600" t="n"/>
      <c r="G16" s="600" t="n"/>
      <c r="H16" s="600" t="n"/>
      <c r="I16" s="600" t="n"/>
      <c r="J16" s="600" t="n"/>
      <c r="K16" s="600" t="n"/>
      <c r="L16" s="600" t="n"/>
      <c r="M16" s="600" t="n"/>
      <c r="N16" s="600" t="n"/>
      <c r="O16" s="600" t="n"/>
      <c r="P16" s="600" t="n"/>
      <c r="Q16" s="600" t="n"/>
      <c r="R16" s="600" t="n"/>
      <c r="S16" s="600" t="n"/>
      <c r="T16" s="600" t="n"/>
      <c r="U16" s="600" t="n"/>
      <c r="V16" s="600" t="n"/>
      <c r="W16" s="600" t="n"/>
      <c r="X16" s="600" t="n"/>
      <c r="Y16" s="600" t="n"/>
      <c r="Z16" s="600" t="n"/>
      <c r="AA16" s="600" t="n"/>
      <c r="AB16" s="600" t="n"/>
      <c r="AC16" s="600" t="n"/>
      <c r="AD16" s="600" t="n"/>
      <c r="AE16" s="600" t="n"/>
      <c r="AF16" s="600" t="n"/>
      <c r="AG16" s="600" t="n"/>
      <c r="AH16" s="600" t="n"/>
      <c r="AI16" s="600" t="n"/>
      <c r="AJ16" s="600" t="n"/>
      <c r="AK16" s="600" t="n"/>
      <c r="AL16" s="600" t="n"/>
      <c r="AM16" s="600" t="n"/>
      <c r="AN16" s="600" t="n"/>
      <c r="AO16" s="600" t="n"/>
      <c r="AP16" s="600" t="n"/>
      <c r="AQ16" s="600" t="n"/>
      <c r="AR16" s="600" t="n"/>
      <c r="AS16" s="2755" t="n"/>
      <c r="AT16" s="2755" t="n"/>
      <c r="AU16" s="2755" t="n"/>
      <c r="AV16" s="2755" t="n"/>
      <c r="AW16" s="2755" t="n"/>
      <c r="AX16" s="2755" t="n"/>
      <c r="AY16" s="2763" t="n"/>
    </row>
    <row r="17" ht="20.25" customHeight="1">
      <c r="A17" s="600" t="n"/>
      <c r="B17" s="79" t="n"/>
      <c r="C17" s="80" t="n"/>
      <c r="D17" s="600" t="n"/>
      <c r="E17" s="600" t="n"/>
      <c r="F17" s="600" t="n"/>
      <c r="G17" s="600" t="n"/>
      <c r="H17" s="600" t="n"/>
      <c r="I17" s="600" t="n"/>
      <c r="J17" s="600" t="n"/>
      <c r="K17" s="600" t="n"/>
      <c r="L17" s="600" t="n"/>
      <c r="M17" s="600" t="n"/>
      <c r="N17" s="600" t="n"/>
      <c r="O17" s="600" t="n"/>
      <c r="P17" s="600" t="n"/>
      <c r="Q17" s="600" t="n"/>
      <c r="R17" s="600" t="n"/>
      <c r="S17" s="600" t="n"/>
      <c r="T17" s="600" t="n"/>
      <c r="U17" s="600" t="n"/>
      <c r="V17" s="600" t="n"/>
      <c r="W17" s="600" t="n"/>
      <c r="X17" s="600" t="n"/>
      <c r="Y17" s="600" t="n"/>
      <c r="Z17" s="600" t="n"/>
      <c r="AA17" s="600" t="n"/>
      <c r="AB17" s="600" t="n"/>
      <c r="AC17" s="600" t="n"/>
      <c r="AD17" s="600" t="n"/>
      <c r="AE17" s="600" t="n"/>
      <c r="AF17" s="600" t="n"/>
      <c r="AG17" s="600" t="n"/>
      <c r="AH17" s="600" t="n"/>
      <c r="AI17" s="600" t="n"/>
      <c r="AJ17" s="600" t="n"/>
      <c r="AK17" s="600" t="n"/>
      <c r="AL17" s="600" t="n"/>
      <c r="AM17" s="600" t="n"/>
      <c r="AN17" s="600" t="n"/>
      <c r="AO17" s="600" t="n"/>
      <c r="AP17" s="600" t="n"/>
      <c r="AQ17" s="600" t="n"/>
      <c r="AR17" s="600" t="n"/>
      <c r="AS17" s="2755" t="n"/>
      <c r="AT17" s="2755" t="n"/>
      <c r="AU17" s="2755" t="n"/>
      <c r="AV17" s="2755" t="n"/>
      <c r="AW17" s="2755" t="n"/>
      <c r="AX17" s="2755" t="n"/>
      <c r="AY17" s="2763" t="n"/>
    </row>
    <row r="18" ht="42" customHeight="1">
      <c r="A18" s="86" t="inlineStr">
        <is>
          <t>e¨w³MZ M¨vivw›U</t>
        </is>
      </c>
      <c r="AU18" s="2755" t="n"/>
      <c r="AV18" s="2755" t="n"/>
      <c r="AW18" s="2755" t="n"/>
      <c r="AX18" s="2755" t="n"/>
      <c r="AY18" s="2763" t="n"/>
    </row>
    <row r="19" ht="22.5" customHeight="1">
      <c r="A19" s="2766" t="n"/>
      <c r="B19" s="2767" t="n"/>
      <c r="C19" s="2768" t="n"/>
      <c r="D19" s="2766" t="n"/>
      <c r="E19" s="2766" t="n"/>
      <c r="F19" s="2766" t="n"/>
      <c r="G19" s="2766" t="n"/>
      <c r="H19" s="2766" t="n"/>
      <c r="I19" s="2766" t="n"/>
      <c r="J19" s="2766" t="n"/>
      <c r="K19" s="2766" t="n"/>
      <c r="L19" s="2766" t="n"/>
      <c r="M19" s="2766" t="n"/>
      <c r="N19" s="2766" t="n"/>
      <c r="O19" s="2766" t="n"/>
      <c r="P19" s="2766" t="n"/>
      <c r="Q19" s="2766" t="n"/>
      <c r="R19" s="2766" t="n"/>
      <c r="S19" s="2766" t="n"/>
      <c r="T19" s="2766" t="n"/>
      <c r="U19" s="2766" t="n"/>
      <c r="V19" s="2766" t="n"/>
      <c r="W19" s="2766" t="n"/>
      <c r="X19" s="2766" t="n"/>
      <c r="Y19" s="2766" t="n"/>
      <c r="Z19" s="2766" t="n"/>
      <c r="AA19" s="2766" t="n"/>
      <c r="AB19" s="2766" t="n"/>
      <c r="AC19" s="2766" t="n"/>
      <c r="AD19" s="2766" t="n"/>
      <c r="AE19" s="2766" t="n"/>
      <c r="AF19" s="2766" t="n"/>
      <c r="AG19" s="2766" t="n"/>
      <c r="AH19" s="2766" t="n"/>
      <c r="AI19" s="2766" t="n"/>
      <c r="AJ19" s="2766" t="n"/>
      <c r="AK19" s="2766" t="n"/>
      <c r="AL19" s="2766" t="n"/>
      <c r="AM19" s="2766" t="n"/>
      <c r="AN19" s="2766" t="n"/>
      <c r="AO19" s="2766" t="n"/>
      <c r="AP19" s="2766" t="n"/>
      <c r="AQ19" s="2766" t="n"/>
      <c r="AR19" s="2766" t="n"/>
      <c r="AS19" s="2755" t="n"/>
      <c r="AT19" s="2755" t="n"/>
      <c r="AU19" s="2755" t="n"/>
      <c r="AV19" s="2755" t="n"/>
      <c r="AW19" s="2755" t="n"/>
      <c r="AX19" s="2755" t="n"/>
      <c r="AY19" s="2763" t="n"/>
    </row>
    <row r="20" ht="20.25" customHeight="1">
      <c r="A20" s="600" t="inlineStr">
        <is>
          <t xml:space="preserve">                                                   </t>
        </is>
      </c>
      <c r="B20" s="600" t="n"/>
      <c r="C20" s="600" t="n"/>
      <c r="D20" s="600" t="n"/>
      <c r="E20" s="600" t="n"/>
      <c r="F20" s="600" t="n"/>
      <c r="G20" s="600" t="n"/>
      <c r="H20" s="600" t="n"/>
      <c r="I20" s="600" t="n"/>
      <c r="J20" s="600" t="n"/>
      <c r="K20" s="600" t="n"/>
      <c r="L20" s="600" t="n"/>
      <c r="M20" s="600" t="n"/>
      <c r="N20" s="600" t="n"/>
      <c r="O20" s="600" t="n"/>
      <c r="P20" s="600" t="n"/>
      <c r="Q20" s="600" t="n"/>
      <c r="R20" s="600" t="n"/>
      <c r="S20" s="600" t="n"/>
      <c r="T20" s="600" t="n"/>
      <c r="U20" s="600" t="n"/>
      <c r="V20" s="600" t="n"/>
      <c r="W20" s="600" t="n"/>
      <c r="X20" s="600" t="n"/>
      <c r="Y20" s="600" t="n"/>
      <c r="Z20" s="600" t="n"/>
      <c r="AA20" s="600" t="n"/>
      <c r="AB20" s="600" t="n"/>
      <c r="AC20" s="600" t="n"/>
      <c r="AD20" s="600" t="n"/>
      <c r="AE20" s="600" t="n"/>
      <c r="AF20" s="600" t="n"/>
      <c r="AG20" s="600" t="n"/>
      <c r="AH20" s="600" t="n"/>
      <c r="AI20" s="600" t="n"/>
      <c r="AJ20" s="600" t="n"/>
      <c r="AK20" s="600" t="n"/>
      <c r="AL20" s="600" t="n"/>
      <c r="AM20" s="600" t="n"/>
      <c r="AN20" s="600" t="n"/>
      <c r="AO20" s="600" t="n"/>
      <c r="AP20" s="600" t="n"/>
      <c r="AQ20" s="600" t="n"/>
      <c r="AR20" s="600" t="n"/>
      <c r="AS20" s="600" t="n"/>
      <c r="AT20" s="600" t="n"/>
      <c r="AU20" s="2755" t="n"/>
      <c r="AV20" s="2755" t="n"/>
      <c r="AW20" s="2755" t="n"/>
      <c r="AX20" s="2755" t="n"/>
      <c r="AY20" s="2763" t="n"/>
    </row>
    <row r="21" ht="20.25" customHeight="1">
      <c r="A21" s="600" t="n"/>
      <c r="B21" s="89">
        <f>"Avwg wbgœ¯^vÿiKvix GB g‡g© wbðqZv cÖ`vb Kwi‡ZwQ †h, "&amp;'Data Input'!D12&amp;", wcZv/¯^vgxi bvgt "&amp;'Data Input'!D13&amp;", gvZvi bvgt "&amp;'Data Input'!D14&amp;",eZ©gvb wVKvbvt "&amp;+'Data Input'!D17&amp;", ¯’vqx wVKvbvt "&amp;+'Data Input'!D17&amp;" ;evsjv‡`k K…wl e¨vsK,dZzjøv kvLv nB‡Z gyw` cY¨ e¨emv cwiPvjbv Kivi Rb¨ gs "&amp;+'Data Input'!D11&amp;" (K_vqt cvuP jÿ) UvKv gvÎ wmGgGmGgB Lv‡Z RvgvbZwenxb FY cÖ`vb Kiv nB‡j D³ F‡Yi UvKv h_vh_ fv‡e e¨eüZ nB‡e Ges FYwU h_vmg‡q my‡` Avm‡j cwi‡kva wbwðZ nB‡e|"</f>
        <v/>
      </c>
      <c r="AS21" s="600" t="n"/>
      <c r="AT21" s="600" t="n"/>
      <c r="AU21" s="2755" t="n"/>
      <c r="AV21" s="2755" t="n"/>
      <c r="AW21" s="2755" t="n"/>
      <c r="AX21" s="2755" t="n"/>
      <c r="AY21" s="2763" t="n"/>
    </row>
    <row r="22" ht="20.25" customHeight="1">
      <c r="A22" s="600" t="n"/>
      <c r="AS22" s="600" t="n"/>
      <c r="AT22" s="600" t="n"/>
      <c r="AU22" s="2755" t="n"/>
      <c r="AV22" s="2755" t="n"/>
      <c r="AW22" s="2755" t="n"/>
      <c r="AX22" s="2755" t="n"/>
      <c r="AY22" s="2763" t="n"/>
    </row>
    <row r="23" ht="20.25" customHeight="1">
      <c r="A23" s="600" t="n"/>
      <c r="AS23" s="600" t="n"/>
      <c r="AT23" s="600" t="n"/>
      <c r="AU23" s="2755" t="n"/>
      <c r="AV23" s="2755" t="n"/>
      <c r="AW23" s="2755" t="n"/>
      <c r="AX23" s="2755" t="n"/>
      <c r="AY23" s="2763" t="n"/>
    </row>
    <row r="24" ht="20.25" customHeight="1">
      <c r="A24" s="600" t="n"/>
      <c r="AS24" s="600" t="n"/>
      <c r="AT24" s="600" t="n"/>
      <c r="AU24" s="2755" t="n"/>
      <c r="AV24" s="2755" t="n"/>
      <c r="AW24" s="2755" t="n"/>
      <c r="AX24" s="2755" t="n"/>
      <c r="AY24" s="2763" t="n"/>
    </row>
    <row r="25" ht="20.25" customHeight="1">
      <c r="A25" s="600" t="n"/>
      <c r="AS25" s="600" t="n"/>
      <c r="AT25" s="600" t="n"/>
      <c r="AU25" s="2755" t="n"/>
      <c r="AV25" s="2755" t="n"/>
      <c r="AW25" s="2755" t="n"/>
      <c r="AX25" s="2755" t="n"/>
      <c r="AY25" s="2763" t="n"/>
    </row>
    <row r="26" ht="20.25" customHeight="1">
      <c r="A26" s="600" t="n"/>
      <c r="AS26" s="600" t="n"/>
      <c r="AT26" s="600" t="n"/>
      <c r="AU26" s="2755" t="n"/>
      <c r="AV26" s="2755" t="n"/>
      <c r="AW26" s="2755" t="n"/>
      <c r="AX26" s="2755" t="n"/>
      <c r="AY26" s="2763" t="n"/>
    </row>
    <row r="27" ht="20.25" customHeight="1">
      <c r="A27" s="600" t="n"/>
      <c r="AS27" s="600" t="n"/>
      <c r="AT27" s="600" t="n"/>
      <c r="AU27" s="2755" t="n"/>
      <c r="AV27" s="2755" t="n"/>
      <c r="AW27" s="2755" t="n"/>
      <c r="AX27" s="2755" t="n"/>
      <c r="AY27" s="2763" t="n"/>
    </row>
    <row r="28" ht="20.25" customHeight="1">
      <c r="A28" s="600" t="n"/>
      <c r="AS28" s="600" t="n"/>
      <c r="AT28" s="600" t="n"/>
      <c r="AU28" s="2755" t="n"/>
      <c r="AV28" s="2755" t="n"/>
      <c r="AW28" s="2755" t="n"/>
      <c r="AX28" s="2755" t="n"/>
      <c r="AY28" s="2763" t="n"/>
    </row>
    <row r="29" ht="18.75" customHeight="1">
      <c r="A29" s="600" t="n"/>
      <c r="AS29" s="600" t="n"/>
      <c r="AT29" s="600" t="n"/>
      <c r="AU29" s="2755" t="n"/>
      <c r="AV29" s="2755" t="n"/>
      <c r="AW29" s="2755" t="n"/>
      <c r="AX29" s="2755" t="n"/>
      <c r="AY29" s="2763" t="n"/>
    </row>
    <row r="30" ht="18.75" customHeight="1">
      <c r="A30" s="600" t="n"/>
      <c r="AS30" s="77" t="n"/>
      <c r="AT30" s="78" t="n"/>
      <c r="AU30" s="2755" t="n"/>
      <c r="AV30" s="2755" t="n"/>
      <c r="AW30" s="2755" t="n"/>
      <c r="AX30" s="2755" t="n"/>
      <c r="AY30" s="2763" t="n"/>
    </row>
    <row r="31" ht="18.75" customHeight="1">
      <c r="A31" s="62" t="n"/>
      <c r="B31" s="62" t="n"/>
      <c r="C31" s="62" t="n"/>
      <c r="D31" s="62" t="n"/>
      <c r="E31" s="2764" t="n"/>
      <c r="F31" s="2764" t="n"/>
      <c r="G31" s="2764" t="n"/>
      <c r="H31" s="2764" t="n"/>
      <c r="I31" s="2764" t="n"/>
      <c r="J31" s="2764" t="n"/>
      <c r="K31" s="2764" t="n"/>
      <c r="L31" s="2764" t="n"/>
      <c r="M31" s="2764" t="n"/>
      <c r="N31" s="2764" t="n"/>
      <c r="O31" s="2764" t="n"/>
      <c r="P31" s="2764" t="n"/>
      <c r="Q31" s="2764" t="n"/>
      <c r="R31" s="2764" t="n"/>
      <c r="S31" s="2764" t="n"/>
      <c r="T31" s="2764" t="n"/>
      <c r="U31" s="2764" t="n"/>
      <c r="V31" s="2764" t="n"/>
      <c r="W31" s="2764" t="n"/>
      <c r="X31" s="2764" t="n"/>
      <c r="Y31" s="2764" t="n"/>
      <c r="Z31" s="2764" t="n"/>
      <c r="AA31" s="2764" t="n"/>
      <c r="AB31" s="2764" t="n"/>
      <c r="AC31" s="2764" t="n"/>
      <c r="AD31" s="2764" t="n"/>
      <c r="AE31" s="2764" t="n"/>
      <c r="AF31" s="2764" t="n"/>
      <c r="AG31" s="2764" t="n"/>
      <c r="AH31" s="2764" t="n"/>
      <c r="AI31" s="2764" t="n"/>
      <c r="AJ31" s="2764" t="n"/>
      <c r="AK31" s="2764" t="n"/>
      <c r="AL31" s="2764" t="n"/>
      <c r="AM31" s="2764" t="n"/>
      <c r="AN31" s="2764" t="n"/>
      <c r="AO31" s="90" t="n"/>
      <c r="AP31" s="90" t="n"/>
      <c r="AQ31" s="90" t="n"/>
      <c r="AR31" s="90" t="n"/>
      <c r="AS31" s="90" t="n"/>
      <c r="AT31" s="91" t="n"/>
      <c r="AU31" s="2755" t="n"/>
      <c r="AV31" s="2755" t="n"/>
      <c r="AW31" s="2755" t="n"/>
      <c r="AX31" s="2755" t="n"/>
      <c r="AY31" s="2763" t="n"/>
    </row>
    <row r="32" ht="18.75" customHeight="1">
      <c r="A32" s="62" t="n"/>
      <c r="B32" s="83" t="n"/>
      <c r="C32" s="83" t="n"/>
      <c r="D32" s="83" t="n"/>
      <c r="E32" s="2764" t="n"/>
      <c r="F32" s="2764" t="n"/>
      <c r="G32" s="2764" t="n"/>
      <c r="H32" s="2764" t="n"/>
      <c r="I32" s="2764" t="n"/>
      <c r="J32" s="2764" t="n"/>
      <c r="K32" s="2764" t="n"/>
      <c r="L32" s="2764" t="n"/>
      <c r="M32" s="2764" t="n"/>
      <c r="N32" s="2764" t="n"/>
      <c r="O32" s="2764" t="n"/>
      <c r="P32" s="2764" t="n"/>
      <c r="Q32" s="2764" t="n"/>
      <c r="R32" s="2764" t="n"/>
      <c r="S32" s="2764" t="n"/>
      <c r="T32" s="2764" t="n"/>
      <c r="U32" s="2764" t="n"/>
      <c r="V32" s="2764" t="n"/>
      <c r="W32" s="2764" t="n"/>
      <c r="X32" s="2764" t="n"/>
      <c r="Y32" s="2764" t="n"/>
      <c r="Z32" s="2764" t="n"/>
      <c r="AA32" s="2764" t="n"/>
      <c r="AB32" s="2764" t="n"/>
      <c r="AC32" s="2764" t="n"/>
      <c r="AD32" s="2764" t="n"/>
      <c r="AE32" s="2764" t="n"/>
      <c r="AF32" s="2764" t="n"/>
      <c r="AG32" s="2764" t="n"/>
      <c r="AH32" s="2764" t="n"/>
      <c r="AI32" s="2764" t="n"/>
      <c r="AJ32" s="2764" t="n"/>
      <c r="AK32" s="2764" t="n"/>
      <c r="AL32" s="2764" t="n"/>
      <c r="AM32" s="2764" t="n"/>
      <c r="AN32" s="2764" t="n"/>
      <c r="AO32" s="83" t="n"/>
      <c r="AP32" s="83" t="n"/>
      <c r="AQ32" s="83" t="n"/>
      <c r="AR32" s="83" t="n"/>
      <c r="AS32" s="83" t="n"/>
      <c r="AT32" s="83" t="n"/>
      <c r="AU32" s="2755" t="n"/>
      <c r="AV32" s="2755" t="n"/>
      <c r="AW32" s="2755" t="n"/>
      <c r="AX32" s="2755" t="n"/>
      <c r="AY32" s="2763" t="n"/>
    </row>
    <row r="33" ht="18.75" customHeight="1">
      <c r="A33" s="83" t="n"/>
      <c r="B33" s="83" t="n"/>
      <c r="C33" s="83" t="n"/>
      <c r="D33" s="83" t="n"/>
      <c r="E33" s="2769" t="n"/>
      <c r="F33" s="2769" t="n"/>
      <c r="G33" s="2769" t="n"/>
      <c r="H33" s="2769" t="n"/>
      <c r="I33" s="2769" t="n"/>
      <c r="J33" s="2769" t="n"/>
      <c r="K33" s="2769" t="n"/>
      <c r="L33" s="2769" t="n"/>
      <c r="M33" s="2769" t="n"/>
      <c r="N33" s="2769" t="n"/>
      <c r="O33" s="2769" t="n"/>
      <c r="P33" s="2769" t="n"/>
      <c r="Q33" s="2769" t="n"/>
      <c r="R33" s="2769" t="n"/>
      <c r="S33" s="2769" t="n"/>
      <c r="T33" s="2769" t="n"/>
      <c r="U33" s="2769" t="n"/>
      <c r="V33" s="2769" t="n"/>
      <c r="W33" s="2769" t="n"/>
      <c r="X33" s="2769" t="n"/>
      <c r="Y33" s="2769" t="n"/>
      <c r="Z33" s="2769" t="n"/>
      <c r="AA33" s="2769" t="n"/>
      <c r="AB33" s="2769" t="n"/>
      <c r="AC33" s="2769" t="n"/>
      <c r="AD33" s="2769" t="n"/>
      <c r="AE33" s="2769" t="n"/>
      <c r="AF33" s="2769" t="n"/>
      <c r="AG33" s="2769" t="n"/>
      <c r="AH33" s="2769" t="n"/>
      <c r="AI33" s="2769" t="n"/>
      <c r="AJ33" s="2769" t="n"/>
      <c r="AK33" s="2769" t="n"/>
      <c r="AL33" s="2769" t="n"/>
      <c r="AM33" s="2769" t="n"/>
      <c r="AN33" s="2769" t="n"/>
      <c r="AO33" s="83" t="n"/>
      <c r="AP33" s="83" t="n"/>
      <c r="AQ33" s="83" t="n"/>
      <c r="AR33" s="83" t="n"/>
      <c r="AS33" s="83" t="n"/>
      <c r="AT33" s="83" t="n"/>
      <c r="AU33" s="2763" t="n"/>
      <c r="AV33" s="2763" t="n"/>
      <c r="AW33" s="2763" t="n"/>
      <c r="AX33" s="2763" t="n"/>
      <c r="AY33" s="2763" t="n"/>
    </row>
    <row r="34" ht="18.75" customHeight="1">
      <c r="A34" s="2765" t="n"/>
      <c r="B34" s="2765" t="n"/>
      <c r="C34" s="2765" t="n"/>
      <c r="D34" s="2765" t="n"/>
      <c r="E34" s="2769" t="n"/>
      <c r="F34" s="2769" t="n"/>
      <c r="G34" s="2769" t="n"/>
      <c r="H34" s="2769" t="n"/>
      <c r="I34" s="2769" t="n"/>
      <c r="J34" s="2769" t="n"/>
      <c r="K34" s="2769" t="n"/>
      <c r="L34" s="2769" t="n"/>
      <c r="M34" s="2769" t="n"/>
      <c r="N34" s="2769" t="n"/>
      <c r="O34" s="2769" t="n"/>
      <c r="P34" s="2769" t="n"/>
      <c r="Q34" s="2769" t="n"/>
      <c r="R34" s="2769" t="n"/>
      <c r="S34" s="2769" t="n"/>
      <c r="T34" s="2769" t="n"/>
      <c r="U34" s="2769" t="n"/>
      <c r="V34" s="2769" t="n"/>
      <c r="W34" s="2769" t="n"/>
      <c r="X34" s="2769" t="n"/>
      <c r="Y34" s="2769" t="n"/>
      <c r="Z34" s="2769" t="n"/>
      <c r="AA34" s="2769" t="n"/>
      <c r="AB34" s="2769" t="n"/>
      <c r="AC34" s="2769" t="n"/>
      <c r="AD34" s="2769" t="n"/>
      <c r="AE34" s="2769" t="n"/>
      <c r="AF34" s="2769" t="n"/>
      <c r="AG34" s="2769" t="n"/>
      <c r="AH34" s="2769" t="n"/>
      <c r="AI34" s="2769" t="n"/>
      <c r="AJ34" s="2769" t="n"/>
      <c r="AK34" s="2769" t="n"/>
      <c r="AL34" s="2769" t="n"/>
      <c r="AM34" s="2769" t="n"/>
      <c r="AN34" s="2769" t="n"/>
      <c r="AO34" s="2765" t="n"/>
      <c r="AP34" s="2765" t="n"/>
      <c r="AQ34" s="2765" t="n"/>
      <c r="AR34" s="2765" t="n"/>
      <c r="AS34" s="2765" t="n"/>
      <c r="AT34" s="2765" t="n"/>
      <c r="AU34" s="2763" t="n"/>
      <c r="AV34" s="2763" t="n"/>
      <c r="AW34" s="2763" t="n"/>
      <c r="AX34" s="2763" t="n"/>
      <c r="AY34" s="2763" t="n"/>
    </row>
    <row r="35" ht="18.75" customHeight="1">
      <c r="A35" s="600" t="n"/>
      <c r="B35" s="600" t="n"/>
      <c r="C35" s="600" t="n"/>
      <c r="D35" s="600" t="n"/>
      <c r="E35" s="2764" t="n"/>
      <c r="F35" s="2764" t="n"/>
      <c r="G35" s="2764" t="n"/>
      <c r="H35" s="2764" t="n"/>
      <c r="I35" s="2764" t="n"/>
      <c r="J35" s="2764" t="n"/>
      <c r="K35" s="2764" t="n"/>
      <c r="L35" s="2764" t="n"/>
      <c r="M35" s="2764" t="n"/>
      <c r="N35" s="2764" t="n"/>
      <c r="O35" s="2764" t="n"/>
      <c r="P35" s="2764" t="n"/>
      <c r="Q35" s="2764" t="n"/>
      <c r="R35" s="2764" t="n"/>
      <c r="S35" s="2764" t="n"/>
      <c r="T35" s="2764" t="n"/>
      <c r="U35" s="2764" t="n"/>
      <c r="V35" s="2764" t="n"/>
      <c r="W35" s="2764" t="n"/>
      <c r="X35" s="2764" t="n"/>
      <c r="Y35" s="2764" t="n"/>
      <c r="Z35" s="2764" t="n"/>
      <c r="AA35" s="2764" t="n"/>
      <c r="AB35" s="2764" t="n"/>
      <c r="AC35" s="2764" t="n"/>
      <c r="AD35" s="2764" t="n"/>
      <c r="AE35" s="2764" t="n"/>
      <c r="AF35" s="2764" t="n"/>
      <c r="AG35" s="2764" t="n"/>
      <c r="AH35" s="2764" t="n"/>
      <c r="AI35" s="2764" t="n"/>
      <c r="AJ35" s="2764" t="n"/>
      <c r="AK35" s="2764" t="n"/>
      <c r="AL35" s="2764" t="n"/>
      <c r="AM35" s="2764" t="n"/>
      <c r="AN35" s="2764" t="n"/>
      <c r="AO35" s="77" t="n"/>
      <c r="AP35" s="77" t="n"/>
      <c r="AQ35" s="77" t="n"/>
      <c r="AR35" s="77" t="n"/>
      <c r="AS35" s="77" t="n"/>
      <c r="AT35" s="78" t="n"/>
      <c r="AU35" s="2755" t="n"/>
      <c r="AV35" s="2755" t="n"/>
      <c r="AW35" s="2755" t="n"/>
      <c r="AX35" s="2755" t="n"/>
      <c r="AY35" s="2763" t="n"/>
    </row>
    <row r="36" ht="18.75" customHeight="1">
      <c r="A36" s="600" t="n"/>
      <c r="B36" s="600" t="n"/>
      <c r="C36" s="600" t="n"/>
      <c r="D36" s="600" t="n"/>
      <c r="E36" s="2764" t="n"/>
      <c r="F36" s="2764" t="n"/>
      <c r="G36" s="2764" t="n"/>
      <c r="H36" s="2764" t="n"/>
      <c r="I36" s="2764" t="n"/>
      <c r="J36" s="2764" t="n"/>
      <c r="K36" s="2764" t="n"/>
      <c r="L36" s="2764" t="n"/>
      <c r="M36" s="2764" t="n"/>
      <c r="N36" s="2764" t="n"/>
      <c r="O36" s="2764" t="n"/>
      <c r="P36" s="2764" t="n"/>
      <c r="Q36" s="2764" t="n"/>
      <c r="R36" s="2764" t="n"/>
      <c r="S36" s="2764" t="n"/>
      <c r="T36" s="2764" t="n"/>
      <c r="U36" s="2764" t="n"/>
      <c r="V36" s="2764" t="n"/>
      <c r="W36" s="2764" t="n"/>
      <c r="X36" s="2764" t="n"/>
      <c r="Y36" s="2764" t="n"/>
      <c r="Z36" s="2764" t="n"/>
      <c r="AA36" s="2764" t="n"/>
      <c r="AB36" s="2764" t="n"/>
      <c r="AC36" s="2764" t="n"/>
      <c r="AD36" s="2764" t="n"/>
      <c r="AE36" s="2764" t="n"/>
      <c r="AF36" s="2764" t="n"/>
      <c r="AG36" s="2764" t="n"/>
      <c r="AH36" s="2764" t="n"/>
      <c r="AI36" s="2764" t="n"/>
      <c r="AJ36" s="2764" t="n"/>
      <c r="AK36" s="2764" t="n"/>
      <c r="AL36" s="2764" t="n"/>
      <c r="AM36" s="2764" t="n"/>
      <c r="AN36" s="2764" t="n"/>
      <c r="AO36" s="77" t="n"/>
      <c r="AP36" s="77" t="n"/>
      <c r="AQ36" s="77" t="n"/>
      <c r="AR36" s="77" t="n"/>
      <c r="AS36" s="77" t="n"/>
      <c r="AT36" s="78" t="n"/>
      <c r="AU36" s="2755" t="n"/>
      <c r="AV36" s="2755" t="n"/>
      <c r="AW36" s="2755" t="n"/>
      <c r="AX36" s="2755" t="n"/>
      <c r="AY36" s="2763" t="n"/>
    </row>
    <row r="37" ht="18.75" customHeight="1">
      <c r="A37" s="600" t="n"/>
      <c r="B37" s="600" t="n"/>
      <c r="C37" s="600" t="n"/>
      <c r="D37" s="600" t="n"/>
      <c r="E37" s="2764" t="n"/>
      <c r="F37" s="2764" t="n"/>
      <c r="G37" s="2764" t="n"/>
      <c r="H37" s="2764" t="n"/>
      <c r="I37" s="2764" t="n"/>
      <c r="J37" s="2764" t="n"/>
      <c r="K37" s="2764" t="n"/>
      <c r="L37" s="2764" t="n"/>
      <c r="M37" s="2764" t="n"/>
      <c r="N37" s="2764" t="n"/>
      <c r="O37" s="2764" t="n"/>
      <c r="P37" s="2764" t="n"/>
      <c r="Q37" s="2764" t="n"/>
      <c r="R37" s="2764" t="n"/>
      <c r="S37" s="2764" t="n"/>
      <c r="T37" s="2764" t="n"/>
      <c r="U37" s="2764" t="n"/>
      <c r="V37" s="2764" t="n"/>
      <c r="W37" s="2764" t="n"/>
      <c r="X37" s="2764" t="n"/>
      <c r="Y37" s="2764" t="n"/>
      <c r="Z37" s="2764" t="n"/>
      <c r="AA37" s="2764" t="n"/>
      <c r="AB37" s="2764" t="n"/>
      <c r="AC37" s="2764" t="n"/>
      <c r="AD37" s="2764" t="n"/>
      <c r="AE37" s="2764" t="n"/>
      <c r="AF37" s="2764" t="n"/>
      <c r="AG37" s="2764" t="n"/>
      <c r="AH37" s="2764" t="n"/>
      <c r="AI37" s="2764" t="n"/>
      <c r="AJ37" s="2764" t="n"/>
      <c r="AK37" s="2764" t="n"/>
      <c r="AL37" s="2764" t="n"/>
      <c r="AM37" s="2764" t="n"/>
      <c r="AN37" s="2764" t="n"/>
      <c r="AO37" s="77" t="n"/>
      <c r="AP37" s="77" t="n"/>
      <c r="AQ37" s="77" t="n"/>
      <c r="AR37" s="77" t="n"/>
      <c r="AS37" s="77" t="n"/>
      <c r="AT37" s="78" t="n"/>
      <c r="AU37" s="2755" t="n"/>
      <c r="AV37" s="2755" t="n"/>
      <c r="AW37" s="2755" t="n"/>
      <c r="AX37" s="2755" t="n"/>
      <c r="AY37" s="2763" t="n"/>
    </row>
    <row r="38" ht="18.75" customHeight="1">
      <c r="A38" s="600" t="n"/>
      <c r="B38" s="600" t="n"/>
      <c r="C38" s="600" t="n"/>
      <c r="D38" s="600" t="n"/>
      <c r="E38" s="2764" t="n"/>
      <c r="F38" s="2764" t="n"/>
      <c r="G38" s="2764" t="n"/>
      <c r="H38" s="2764" t="n"/>
      <c r="I38" s="2764" t="n"/>
      <c r="J38" s="2764" t="n"/>
      <c r="K38" s="2764" t="n"/>
      <c r="L38" s="2764" t="n"/>
      <c r="M38" s="2764" t="n"/>
      <c r="N38" s="2764" t="n"/>
      <c r="O38" s="2764" t="n"/>
      <c r="P38" s="2764" t="n"/>
      <c r="Q38" s="2764" t="n"/>
      <c r="R38" s="2764" t="n"/>
      <c r="S38" s="2764" t="n"/>
      <c r="T38" s="2764" t="n"/>
      <c r="U38" s="2764" t="n"/>
      <c r="V38" s="2764" t="n"/>
      <c r="W38" s="2764" t="n"/>
      <c r="X38" s="2764" t="n"/>
      <c r="Y38" s="2764" t="n"/>
      <c r="Z38" s="2764" t="n"/>
      <c r="AA38" s="2764" t="n"/>
      <c r="AB38" s="2764" t="n"/>
      <c r="AC38" s="2764" t="n"/>
      <c r="AD38" s="2764" t="n"/>
      <c r="AE38" s="2764" t="n"/>
      <c r="AF38" s="2764" t="n"/>
      <c r="AG38" s="2764" t="n"/>
      <c r="AH38" s="2764" t="n"/>
      <c r="AI38" s="2764" t="n"/>
      <c r="AJ38" s="2764" t="n"/>
      <c r="AK38" s="2764" t="n"/>
      <c r="AL38" s="2764" t="n"/>
      <c r="AM38" s="2764" t="n"/>
      <c r="AN38" s="2764" t="n"/>
      <c r="AO38" s="77" t="n"/>
      <c r="AP38" s="77" t="n"/>
      <c r="AQ38" s="77" t="n"/>
      <c r="AR38" s="77" t="n"/>
      <c r="AS38" s="77" t="n"/>
      <c r="AT38" s="78" t="n"/>
      <c r="AU38" s="2755" t="n"/>
      <c r="AV38" s="2755" t="n"/>
      <c r="AW38" s="2755" t="n"/>
      <c r="AX38" s="2755" t="n"/>
      <c r="AY38" s="2763" t="n"/>
    </row>
    <row r="39" ht="18.75" customHeight="1">
      <c r="A39" s="2766" t="n"/>
      <c r="B39" s="2766" t="n"/>
      <c r="C39" s="2766" t="n"/>
      <c r="D39" s="2766" t="n"/>
      <c r="E39" s="2766" t="n"/>
      <c r="F39" s="2766" t="n"/>
      <c r="G39" s="2766" t="n"/>
      <c r="H39" s="2766" t="n"/>
      <c r="I39" s="2766" t="n"/>
      <c r="J39" s="2766" t="n"/>
      <c r="K39" s="2766" t="n"/>
      <c r="L39" s="2766" t="n"/>
      <c r="M39" s="2766" t="n"/>
      <c r="N39" s="2766" t="n"/>
      <c r="O39" s="2766" t="n"/>
      <c r="P39" s="2766" t="n"/>
      <c r="Q39" s="2766" t="n"/>
      <c r="R39" s="2766" t="n"/>
      <c r="S39" s="2766" t="n"/>
      <c r="T39" s="2766" t="n"/>
      <c r="U39" s="2766" t="n"/>
      <c r="V39" s="2766" t="n"/>
      <c r="W39" s="2766" t="n"/>
      <c r="X39" s="2766" t="n"/>
      <c r="Y39" s="2766" t="n"/>
      <c r="Z39" s="2766" t="n"/>
      <c r="AA39" s="2766" t="n"/>
      <c r="AB39" s="2766" t="n"/>
      <c r="AC39" s="2766" t="n"/>
      <c r="AD39" s="2766" t="n"/>
      <c r="AE39" s="2766" t="n"/>
      <c r="AF39" s="2766" t="n"/>
      <c r="AG39" s="2765" t="n"/>
      <c r="AH39" s="2765" t="n"/>
      <c r="AI39" s="2766" t="n"/>
      <c r="AJ39" s="2766" t="n"/>
      <c r="AK39" s="2766" t="n"/>
      <c r="AL39" s="2765" t="n"/>
      <c r="AM39" s="2765" t="n"/>
      <c r="AN39" s="2765" t="n"/>
      <c r="AO39" s="2770" t="n"/>
      <c r="AP39" s="2770" t="n"/>
      <c r="AQ39" s="2770" t="n"/>
      <c r="AR39" s="2770" t="n"/>
      <c r="AS39" s="2770" t="n"/>
      <c r="AT39" s="2771" t="n"/>
      <c r="AU39" s="2755" t="n"/>
      <c r="AV39" s="2755" t="n"/>
      <c r="AW39" s="2755" t="n"/>
      <c r="AX39" s="2755" t="n"/>
      <c r="AY39" s="2763" t="n"/>
    </row>
    <row r="40" ht="18.75" customHeight="1">
      <c r="A40" s="2772" t="n"/>
      <c r="AU40" s="2755" t="n"/>
      <c r="AV40" s="2755" t="n"/>
      <c r="AW40" s="2755" t="n"/>
      <c r="AX40" s="2755" t="n"/>
      <c r="AY40" s="2763" t="n"/>
    </row>
    <row r="41" ht="18.75" customHeight="1">
      <c r="A41" s="2766" t="n"/>
      <c r="B41" s="2766" t="n"/>
      <c r="C41" s="2766" t="n"/>
      <c r="D41" s="2766" t="n"/>
      <c r="E41" s="2766" t="n"/>
      <c r="F41" s="2766" t="n"/>
      <c r="G41" s="2766" t="n"/>
      <c r="H41" s="2766" t="n"/>
      <c r="I41" s="2766" t="n"/>
      <c r="J41" s="2766" t="n"/>
      <c r="K41" s="2766" t="n"/>
      <c r="L41" s="2766" t="n"/>
      <c r="M41" s="2766" t="n"/>
      <c r="N41" s="2766" t="n"/>
      <c r="O41" s="2766" t="n"/>
      <c r="P41" s="2766" t="n"/>
      <c r="Q41" s="2766" t="n"/>
      <c r="R41" s="2766" t="n"/>
      <c r="S41" s="2766" t="n"/>
      <c r="T41" s="2766" t="n"/>
      <c r="U41" s="2766" t="n"/>
      <c r="V41" s="2766" t="n"/>
      <c r="W41" s="2766" t="n"/>
      <c r="X41" s="2766" t="n"/>
      <c r="Y41" s="2766" t="n"/>
      <c r="Z41" s="2766" t="n"/>
      <c r="AA41" s="2766" t="n"/>
      <c r="AB41" s="2766" t="n"/>
      <c r="AC41" s="2766" t="n"/>
      <c r="AD41" s="2766" t="n"/>
      <c r="AE41" s="2772" t="n"/>
      <c r="AP41" s="2770" t="n"/>
      <c r="AQ41" s="2770" t="n"/>
      <c r="AR41" s="2770" t="n"/>
      <c r="AS41" s="2770" t="n"/>
      <c r="AT41" s="2771" t="n"/>
      <c r="AU41" s="2755" t="n"/>
      <c r="AV41" s="2755" t="n"/>
      <c r="AW41" s="2755" t="n"/>
      <c r="AX41" s="2755" t="n"/>
      <c r="AY41" s="2763" t="n"/>
    </row>
    <row r="42" ht="18.75" customHeight="1">
      <c r="A42" s="2772" t="n"/>
      <c r="L42" s="96" t="n"/>
      <c r="M42" s="96" t="n"/>
      <c r="N42" s="96" t="n"/>
      <c r="O42" s="96" t="n"/>
      <c r="P42" s="96" t="n"/>
      <c r="Q42" s="2766" t="n"/>
      <c r="R42" s="2766" t="n"/>
      <c r="S42" s="2772" t="n"/>
      <c r="AD42" s="2766" t="n"/>
      <c r="AE42" s="2766" t="n"/>
      <c r="AF42" s="2766" t="n"/>
      <c r="AG42" s="2766" t="n"/>
      <c r="AH42" s="2766" t="n"/>
      <c r="AI42" s="96" t="n"/>
      <c r="AJ42" s="2772" t="n"/>
      <c r="AU42" s="2755" t="n"/>
      <c r="AV42" s="2755" t="n"/>
      <c r="AW42" s="2755" t="n"/>
      <c r="AX42" s="2755" t="n"/>
      <c r="AY42" s="2763" t="n"/>
    </row>
    <row r="43" ht="18.75" customHeight="1">
      <c r="A43" s="2772" t="n"/>
      <c r="L43" s="96" t="n"/>
      <c r="M43" s="96" t="n"/>
      <c r="N43" s="96" t="n"/>
      <c r="O43" s="96" t="n"/>
      <c r="P43" s="2772" t="n"/>
      <c r="AG43" s="2766" t="n"/>
      <c r="AH43" s="2766" t="n"/>
      <c r="AI43" s="96" t="n"/>
      <c r="AJ43" s="2772" t="n"/>
      <c r="AU43" s="2755" t="n"/>
      <c r="AV43" s="2755" t="n"/>
      <c r="AW43" s="2755" t="n"/>
      <c r="AX43" s="2755" t="n"/>
      <c r="AY43" s="2763" t="n"/>
    </row>
    <row r="44" ht="18.75" customHeight="1">
      <c r="A44" s="2772" t="n"/>
      <c r="L44" s="96" t="n"/>
      <c r="M44" s="96" t="n"/>
      <c r="N44" s="96" t="n"/>
      <c r="O44" s="96" t="n"/>
      <c r="P44" s="2772" t="n"/>
      <c r="AG44" s="2766" t="n"/>
      <c r="AH44" s="2766" t="n"/>
      <c r="AI44" s="96" t="n"/>
      <c r="AJ44" s="2772" t="n"/>
      <c r="AU44" s="2755" t="n"/>
      <c r="AV44" s="2755" t="n"/>
      <c r="AW44" s="2755" t="n"/>
      <c r="AX44" s="2755" t="n"/>
      <c r="AY44" s="2763" t="n"/>
    </row>
    <row r="45" ht="18.75" customHeight="1">
      <c r="A45" s="97" t="n"/>
      <c r="L45" s="2764" t="n"/>
      <c r="M45" s="2764" t="n"/>
      <c r="N45" s="784" t="n"/>
      <c r="O45" s="784" t="n"/>
      <c r="P45" s="97" t="n"/>
      <c r="AG45" s="99" t="n"/>
      <c r="AH45" s="99" t="n"/>
      <c r="AI45" s="784" t="n"/>
      <c r="AJ45" s="97" t="n"/>
      <c r="AU45" s="2755" t="n"/>
      <c r="AV45" s="2755" t="n"/>
      <c r="AW45" s="2755" t="n"/>
      <c r="AX45" s="2755" t="n"/>
      <c r="AY45" s="2763" t="n"/>
    </row>
    <row r="46" ht="18.75" customHeight="1">
      <c r="A46" s="784" t="n"/>
      <c r="B46" s="100" t="n"/>
      <c r="C46" s="600" t="n"/>
      <c r="D46" s="600" t="n"/>
      <c r="E46" s="600" t="n"/>
      <c r="F46" s="2764" t="n"/>
      <c r="G46" s="2764" t="n"/>
      <c r="H46" s="2764" t="n"/>
      <c r="I46" s="2764" t="n"/>
      <c r="J46" s="2764" t="n"/>
      <c r="K46" s="2764" t="n"/>
      <c r="L46" s="2764" t="n"/>
      <c r="M46" s="2764" t="n"/>
      <c r="N46" s="784" t="n"/>
      <c r="O46" s="784" t="n"/>
      <c r="P46" s="784" t="n"/>
      <c r="Q46" s="784" t="n"/>
      <c r="R46" s="784" t="n"/>
      <c r="S46" s="784" t="n"/>
      <c r="T46" s="784" t="n"/>
      <c r="U46" s="784" t="n"/>
      <c r="V46" s="784" t="n"/>
      <c r="W46" s="784" t="n"/>
      <c r="X46" s="784" t="n"/>
      <c r="Y46" s="784" t="n"/>
      <c r="Z46" s="784" t="n"/>
      <c r="AA46" s="784" t="n"/>
      <c r="AB46" s="784" t="n"/>
      <c r="AC46" s="784" t="n"/>
      <c r="AD46" s="784" t="n"/>
      <c r="AE46" s="784" t="n"/>
      <c r="AF46" s="784" t="n"/>
      <c r="AG46" s="784" t="n"/>
      <c r="AH46" s="784" t="n"/>
      <c r="AI46" s="784" t="n"/>
      <c r="AJ46" s="784" t="n"/>
      <c r="AK46" s="784" t="n"/>
      <c r="AL46" s="784" t="n"/>
      <c r="AM46" s="784" t="n"/>
      <c r="AN46" s="784" t="n"/>
      <c r="AO46" s="784" t="n"/>
      <c r="AP46" s="784" t="n"/>
      <c r="AQ46" s="784" t="n"/>
      <c r="AR46" s="784" t="n"/>
      <c r="AS46" s="784" t="n"/>
      <c r="AT46" s="784" t="n"/>
      <c r="AU46" s="2755" t="n"/>
      <c r="AV46" s="2755" t="n"/>
      <c r="AW46" s="2755" t="n"/>
      <c r="AX46" s="2755" t="n"/>
      <c r="AY46" s="2763" t="n"/>
    </row>
    <row r="47" ht="18.75" customHeight="1">
      <c r="A47" s="784" t="n"/>
      <c r="B47" s="100" t="n"/>
      <c r="C47" s="600" t="n"/>
      <c r="F47" s="2764" t="n"/>
      <c r="G47" s="2764" t="n"/>
      <c r="H47" s="2764" t="n"/>
      <c r="I47" s="2764" t="n"/>
      <c r="J47" s="2764" t="n"/>
      <c r="K47" s="2764" t="n"/>
      <c r="L47" s="2764" t="n"/>
      <c r="M47" s="2764" t="n"/>
      <c r="N47" s="784" t="n"/>
      <c r="O47" s="784" t="n"/>
      <c r="P47" s="784" t="n"/>
      <c r="Q47" s="784" t="n"/>
      <c r="R47" s="784" t="n"/>
      <c r="S47" s="784" t="n"/>
      <c r="T47" s="784" t="n"/>
      <c r="U47" s="784" t="n"/>
      <c r="V47" s="784" t="n"/>
      <c r="W47" s="784" t="n"/>
      <c r="X47" s="784" t="n"/>
      <c r="Y47" s="784" t="n"/>
      <c r="Z47" s="784" t="n"/>
      <c r="AA47" s="784" t="n"/>
      <c r="AB47" s="784" t="n"/>
      <c r="AC47" s="784" t="n"/>
      <c r="AD47" s="784" t="n"/>
      <c r="AE47" s="784" t="n"/>
      <c r="AF47" s="784" t="n"/>
      <c r="AG47" s="784" t="n"/>
      <c r="AH47" s="784" t="n"/>
      <c r="AI47" s="784" t="n"/>
      <c r="AJ47" s="784" t="n"/>
      <c r="AK47" s="784" t="n"/>
      <c r="AL47" s="784" t="n"/>
      <c r="AM47" s="784" t="n"/>
      <c r="AN47" s="784" t="n"/>
      <c r="AO47" s="784" t="n"/>
      <c r="AP47" s="784" t="n"/>
      <c r="AQ47" s="784" t="n"/>
      <c r="AR47" s="784" t="n"/>
      <c r="AS47" s="784" t="n"/>
      <c r="AT47" s="784" t="n"/>
      <c r="AU47" s="2755" t="n"/>
      <c r="AV47" s="2755" t="n"/>
      <c r="AW47" s="2755" t="n"/>
      <c r="AX47" s="2755" t="n"/>
      <c r="AY47" s="2763" t="n"/>
    </row>
    <row r="48" ht="18.75" customHeight="1">
      <c r="A48" s="784" t="n"/>
      <c r="B48" s="100" t="n"/>
      <c r="C48" s="600" t="n"/>
      <c r="F48" s="2764" t="n"/>
      <c r="G48" s="2764" t="n"/>
      <c r="H48" s="2764" t="n"/>
      <c r="I48" s="2764" t="n"/>
      <c r="J48" s="2764" t="n"/>
      <c r="K48" s="2764" t="n"/>
      <c r="L48" s="2764" t="n"/>
      <c r="M48" s="2764" t="n"/>
      <c r="N48" s="784" t="n"/>
      <c r="O48" s="784" t="n"/>
      <c r="P48" s="784" t="n"/>
      <c r="Q48" s="784" t="n"/>
      <c r="R48" s="784" t="n"/>
      <c r="S48" s="784" t="n"/>
      <c r="T48" s="784" t="n"/>
      <c r="U48" s="784" t="n"/>
      <c r="V48" s="784" t="n"/>
      <c r="W48" s="784" t="n"/>
      <c r="X48" s="784" t="n"/>
      <c r="Y48" s="784" t="n"/>
      <c r="Z48" s="784" t="n"/>
      <c r="AA48" s="784" t="n"/>
      <c r="AB48" s="784" t="n"/>
      <c r="AC48" s="784" t="n"/>
      <c r="AD48" s="784" t="n"/>
      <c r="AE48" s="784" t="n"/>
      <c r="AF48" s="784" t="n"/>
      <c r="AG48" s="784" t="n"/>
      <c r="AH48" s="784" t="n"/>
      <c r="AI48" s="784" t="n"/>
      <c r="AJ48" s="784" t="n"/>
      <c r="AK48" s="784" t="n"/>
      <c r="AL48" s="784" t="n"/>
      <c r="AM48" s="784" t="n"/>
      <c r="AN48" s="784" t="n"/>
      <c r="AO48" s="784" t="n"/>
      <c r="AP48" s="784" t="n"/>
      <c r="AQ48" s="784" t="n"/>
      <c r="AR48" s="784" t="n"/>
      <c r="AS48" s="784" t="n"/>
      <c r="AT48" s="784" t="n"/>
      <c r="AU48" s="2755" t="n"/>
      <c r="AV48" s="2755" t="n"/>
      <c r="AW48" s="2755" t="n"/>
      <c r="AX48" s="2755" t="n"/>
      <c r="AY48" s="2763" t="n"/>
    </row>
    <row r="49" ht="18.75" customHeight="1">
      <c r="A49" s="2755" t="n"/>
      <c r="B49" s="2764" t="n"/>
      <c r="C49" s="2764" t="n"/>
      <c r="D49" s="62" t="n"/>
      <c r="E49" s="62" t="n"/>
      <c r="F49" s="62" t="n"/>
      <c r="G49" s="62" t="n"/>
      <c r="H49" s="62" t="n"/>
      <c r="I49" s="62" t="n"/>
      <c r="J49" s="62" t="n"/>
      <c r="K49" s="62" t="n"/>
      <c r="L49" s="62" t="n"/>
      <c r="M49" s="62" t="n"/>
      <c r="N49" s="62" t="n"/>
      <c r="O49" s="62" t="n"/>
      <c r="P49" s="62" t="n"/>
      <c r="Q49" s="62" t="n"/>
      <c r="R49" s="62" t="n"/>
      <c r="S49" s="62" t="n"/>
      <c r="T49" s="62" t="n"/>
      <c r="U49" s="62" t="n"/>
      <c r="V49" s="62" t="n"/>
      <c r="W49" s="62" t="n"/>
      <c r="X49" s="62" t="n"/>
      <c r="Y49" s="62" t="n"/>
      <c r="Z49" s="62" t="n"/>
      <c r="AA49" s="62" t="n"/>
      <c r="AB49" s="62" t="n"/>
      <c r="AC49" s="62" t="n"/>
      <c r="AD49" s="62" t="n"/>
      <c r="AE49" s="62" t="n"/>
      <c r="AF49" s="62" t="n"/>
      <c r="AG49" s="62" t="n"/>
      <c r="AH49" s="62" t="n"/>
      <c r="AI49" s="62" t="n"/>
      <c r="AJ49" s="62" t="n"/>
      <c r="AK49" s="62" t="n"/>
      <c r="AL49" s="62" t="n"/>
      <c r="AM49" s="62" t="n"/>
      <c r="AN49" s="2764" t="n"/>
      <c r="AO49" s="2764" t="n"/>
      <c r="AP49" s="2764" t="n"/>
      <c r="AQ49" s="2764" t="n"/>
      <c r="AR49" s="2764" t="n"/>
      <c r="AS49" s="2755" t="n"/>
      <c r="AT49" s="2755" t="n"/>
      <c r="AU49" s="2755" t="n"/>
      <c r="AV49" s="2755" t="n"/>
      <c r="AW49" s="2755" t="n"/>
      <c r="AX49" s="2755" t="n"/>
      <c r="AY49" s="2763" t="n"/>
    </row>
    <row r="50" ht="18.75" customHeight="1">
      <c r="A50" s="2755" t="n"/>
      <c r="B50" s="2764" t="n"/>
      <c r="C50" s="2764" t="n"/>
      <c r="D50" s="62" t="n"/>
      <c r="E50" s="62" t="n"/>
      <c r="F50" s="62" t="n"/>
      <c r="G50" s="62" t="n"/>
      <c r="H50" s="62" t="n"/>
      <c r="I50" s="62" t="n"/>
      <c r="J50" s="62" t="n"/>
      <c r="K50" s="62" t="n"/>
      <c r="L50" s="62" t="n"/>
      <c r="M50" s="62" t="n"/>
      <c r="N50" s="62" t="n"/>
      <c r="O50" s="62" t="n"/>
      <c r="P50" s="62" t="n"/>
      <c r="Q50" s="62" t="n"/>
      <c r="R50" s="62" t="n"/>
      <c r="S50" s="62" t="n"/>
      <c r="T50" s="62" t="n"/>
      <c r="U50" s="62" t="n"/>
      <c r="V50" s="62" t="n"/>
      <c r="W50" s="62" t="n"/>
      <c r="X50" s="62" t="n"/>
      <c r="Y50" s="62" t="n"/>
      <c r="Z50" s="62" t="n"/>
      <c r="AA50" s="62" t="n"/>
      <c r="AB50" s="62" t="n"/>
      <c r="AC50" s="62" t="n"/>
      <c r="AD50" s="62" t="n"/>
      <c r="AE50" s="62" t="n"/>
      <c r="AF50" s="62" t="n"/>
      <c r="AG50" s="62" t="n"/>
      <c r="AH50" s="62" t="n"/>
      <c r="AI50" s="62" t="n"/>
      <c r="AJ50" s="62" t="n"/>
      <c r="AK50" s="62" t="n"/>
      <c r="AL50" s="62" t="n"/>
      <c r="AM50" s="62" t="n"/>
      <c r="AN50" s="2764" t="n"/>
      <c r="AO50" s="2764" t="n"/>
      <c r="AP50" s="2764" t="n"/>
      <c r="AQ50" s="2764" t="n"/>
      <c r="AR50" s="2764" t="n"/>
      <c r="AS50" s="2755" t="n"/>
      <c r="AT50" s="2755" t="n"/>
      <c r="AU50" s="2755" t="n"/>
      <c r="AV50" s="2755" t="n"/>
      <c r="AW50" s="2755" t="n"/>
      <c r="AX50" s="2755" t="n"/>
      <c r="AY50" s="2763" t="n"/>
    </row>
    <row r="51" ht="18.75" customHeight="1">
      <c r="A51" s="2755" t="n"/>
      <c r="B51" s="2764" t="n"/>
      <c r="C51" s="2764" t="n"/>
      <c r="D51" s="62" t="n"/>
      <c r="E51" s="62" t="n"/>
      <c r="F51" s="62" t="n"/>
      <c r="G51" s="62" t="n"/>
      <c r="H51" s="62" t="n"/>
      <c r="I51" s="62" t="n"/>
      <c r="J51" s="62" t="n"/>
      <c r="K51" s="62" t="n"/>
      <c r="L51" s="62" t="n"/>
      <c r="M51" s="62" t="n"/>
      <c r="N51" s="62" t="n"/>
      <c r="O51" s="62" t="n"/>
      <c r="P51" s="62" t="n"/>
      <c r="Q51" s="62" t="n"/>
      <c r="R51" s="62" t="n"/>
      <c r="S51" s="62" t="n"/>
      <c r="T51" s="62" t="n"/>
      <c r="U51" s="62" t="n"/>
      <c r="V51" s="62" t="n"/>
      <c r="W51" s="62" t="n"/>
      <c r="X51" s="62" t="n"/>
      <c r="Y51" s="62" t="n"/>
      <c r="Z51" s="62" t="n"/>
      <c r="AA51" s="62" t="n"/>
      <c r="AB51" s="62" t="n"/>
      <c r="AC51" s="62" t="n"/>
      <c r="AD51" s="62" t="n"/>
      <c r="AE51" s="62" t="n"/>
      <c r="AF51" s="62" t="n"/>
      <c r="AG51" s="62" t="n"/>
      <c r="AH51" s="62" t="n"/>
      <c r="AI51" s="62" t="n"/>
      <c r="AJ51" s="62" t="n"/>
      <c r="AK51" s="62" t="n"/>
      <c r="AL51" s="62" t="n"/>
      <c r="AM51" s="62" t="n"/>
      <c r="AN51" s="2764" t="n"/>
      <c r="AO51" s="2764" t="n"/>
      <c r="AP51" s="2764" t="n"/>
      <c r="AQ51" s="2764" t="n"/>
      <c r="AR51" s="2764" t="n"/>
      <c r="AS51" s="2755" t="n"/>
      <c r="AT51" s="2755" t="n"/>
      <c r="AU51" s="2755" t="n"/>
      <c r="AV51" s="2755" t="n"/>
      <c r="AW51" s="2755" t="n"/>
      <c r="AX51" s="2755" t="n"/>
      <c r="AY51" s="2763" t="n"/>
    </row>
    <row r="52" ht="18.75" customHeight="1">
      <c r="A52" s="2755" t="n"/>
      <c r="B52" s="2764" t="n"/>
      <c r="C52" s="2764" t="n"/>
      <c r="D52" s="62" t="n"/>
      <c r="E52" s="62" t="n"/>
      <c r="F52" s="62" t="n"/>
      <c r="G52" s="62" t="n"/>
      <c r="H52" s="62" t="n"/>
      <c r="I52" s="62" t="n"/>
      <c r="J52" s="62" t="n"/>
      <c r="K52" s="62" t="n"/>
      <c r="L52" s="62" t="n"/>
      <c r="M52" s="62" t="n"/>
      <c r="N52" s="62" t="n"/>
      <c r="O52" s="62" t="n"/>
      <c r="P52" s="62" t="n"/>
      <c r="Q52" s="62" t="n"/>
      <c r="R52" s="62" t="n"/>
      <c r="S52" s="62" t="n"/>
      <c r="T52" s="62" t="n"/>
      <c r="U52" s="62" t="n"/>
      <c r="V52" s="62" t="n"/>
      <c r="W52" s="62" t="n"/>
      <c r="X52" s="62" t="n"/>
      <c r="Y52" s="62" t="n"/>
      <c r="Z52" s="62" t="n"/>
      <c r="AA52" s="62" t="n"/>
      <c r="AB52" s="62" t="n"/>
      <c r="AC52" s="62" t="n"/>
      <c r="AD52" s="62" t="n"/>
      <c r="AE52" s="62" t="n"/>
      <c r="AF52" s="62" t="n"/>
      <c r="AG52" s="62" t="n"/>
      <c r="AH52" s="62" t="n"/>
      <c r="AI52" s="62" t="n"/>
      <c r="AJ52" s="62" t="n"/>
      <c r="AK52" s="62" t="n"/>
      <c r="AL52" s="62" t="n"/>
      <c r="AM52" s="62" t="n"/>
      <c r="AN52" s="2764" t="n"/>
      <c r="AO52" s="2764" t="n"/>
      <c r="AP52" s="2764" t="n"/>
      <c r="AQ52" s="2764" t="n"/>
      <c r="AR52" s="2764" t="n"/>
      <c r="AS52" s="2755" t="n"/>
      <c r="AT52" s="2755" t="n"/>
      <c r="AU52" s="2755" t="n"/>
      <c r="AV52" s="2755" t="n"/>
      <c r="AW52" s="2755" t="n"/>
      <c r="AX52" s="2755" t="n"/>
      <c r="AY52" s="2763" t="n"/>
    </row>
    <row r="53" ht="18.75" customHeight="1">
      <c r="A53" s="2755" t="n"/>
      <c r="B53" s="2764" t="n"/>
      <c r="C53" s="2764" t="n"/>
      <c r="D53" s="62" t="n"/>
      <c r="E53" s="62" t="n"/>
      <c r="F53" s="62" t="n"/>
      <c r="G53" s="62" t="n"/>
      <c r="H53" s="62" t="n"/>
      <c r="I53" s="62" t="n"/>
      <c r="J53" s="62" t="n"/>
      <c r="K53" s="62" t="n"/>
      <c r="L53" s="62" t="n"/>
      <c r="M53" s="62" t="n"/>
      <c r="N53" s="62" t="n"/>
      <c r="O53" s="62" t="n"/>
      <c r="P53" s="62" t="n"/>
      <c r="Q53" s="62" t="n"/>
      <c r="R53" s="62" t="n"/>
      <c r="S53" s="62" t="n"/>
      <c r="T53" s="62" t="n"/>
      <c r="U53" s="62" t="n"/>
      <c r="V53" s="62" t="n"/>
      <c r="W53" s="62" t="n"/>
      <c r="X53" s="62" t="n"/>
      <c r="Y53" s="62" t="n"/>
      <c r="Z53" s="62" t="n"/>
      <c r="AA53" s="62" t="n"/>
      <c r="AB53" s="62" t="n"/>
      <c r="AC53" s="62" t="n"/>
      <c r="AD53" s="62" t="n"/>
      <c r="AE53" s="62" t="n"/>
      <c r="AF53" s="62" t="n"/>
      <c r="AG53" s="62" t="n"/>
      <c r="AH53" s="62" t="n"/>
      <c r="AI53" s="62" t="n"/>
      <c r="AJ53" s="62" t="n"/>
      <c r="AK53" s="62" t="n"/>
      <c r="AL53" s="62" t="n"/>
      <c r="AM53" s="62" t="n"/>
      <c r="AN53" s="2764" t="n"/>
      <c r="AO53" s="2764" t="n"/>
      <c r="AP53" s="2764" t="n"/>
      <c r="AQ53" s="2764" t="n"/>
      <c r="AR53" s="2764" t="n"/>
      <c r="AS53" s="2755" t="n"/>
      <c r="AT53" s="2755" t="n"/>
      <c r="AU53" s="2755" t="n"/>
      <c r="AV53" s="2755" t="n"/>
      <c r="AW53" s="2755" t="n"/>
      <c r="AX53" s="2755" t="n"/>
      <c r="AY53" s="2763" t="n"/>
    </row>
    <row r="54" ht="18.75" customHeight="1">
      <c r="A54" s="2755" t="n"/>
      <c r="B54" s="314" t="inlineStr">
        <is>
          <t xml:space="preserve">                                                cvZv-2                                                             02| Avwg wbwðqZv cÖ`vb Kwi‡ZwQ †h, GB F‡Yi mKj wbqgKvbyb h_vh_fv‡e gvwbqv Pjv nB‡e| 
03| Avwg AviI A½xKvi Kwi‡ZwQ †h, F‡Yi UvKvi mØ¨envi bv nB‡j A_ev h_vmg‡q Av`vq wbwðZ bv nB‡j Avwg e¨w³MZfv‡e FYwU my` Avm‡j †gqv` DËx‡Y©i c~‡e©B cwi‡kva Kwi‡Z eva¨ _vwKe|</t>
        </is>
      </c>
      <c r="AS54" s="2755" t="n"/>
      <c r="AT54" s="2755" t="n"/>
      <c r="AU54" s="2755" t="n"/>
      <c r="AV54" s="2755" t="n"/>
      <c r="AW54" s="2755" t="n"/>
      <c r="AX54" s="2755" t="n"/>
      <c r="AY54" s="2763" t="n"/>
    </row>
    <row r="55" ht="18.75" customHeight="1">
      <c r="A55" s="2755" t="n"/>
      <c r="AS55" s="2755" t="n"/>
      <c r="AT55" s="2755" t="n"/>
      <c r="AU55" s="2755" t="n"/>
      <c r="AV55" s="2755" t="n"/>
      <c r="AW55" s="2755" t="n"/>
      <c r="AX55" s="2755" t="n"/>
      <c r="AY55" s="2763" t="n"/>
    </row>
    <row r="56" ht="18.75" customHeight="1">
      <c r="A56" s="2755" t="n"/>
      <c r="AS56" s="2755" t="n"/>
      <c r="AT56" s="2755" t="n"/>
      <c r="AU56" s="2755" t="n"/>
      <c r="AV56" s="2755" t="n"/>
      <c r="AW56" s="2755" t="n"/>
      <c r="AX56" s="2755" t="n"/>
      <c r="AY56" s="2763" t="n"/>
    </row>
    <row r="57" ht="18.75" customHeight="1">
      <c r="A57" s="2755" t="n"/>
      <c r="AS57" s="2755" t="n"/>
      <c r="AT57" s="2755" t="n"/>
      <c r="AU57" s="2755" t="n"/>
      <c r="AV57" s="2755" t="n"/>
      <c r="AW57" s="2755" t="n"/>
      <c r="AX57" s="2755" t="n"/>
      <c r="AY57" s="2763" t="n"/>
    </row>
    <row r="58" ht="18.75" customHeight="1">
      <c r="A58" s="2755" t="n"/>
      <c r="AS58" s="2755" t="n"/>
      <c r="AT58" s="2755" t="n"/>
      <c r="AU58" s="2755" t="n"/>
      <c r="AV58" s="2755" t="n"/>
      <c r="AW58" s="2755" t="n"/>
      <c r="AX58" s="2755" t="n"/>
      <c r="AY58" s="2763" t="n"/>
    </row>
    <row r="59" ht="18.75" customHeight="1">
      <c r="A59" s="2755" t="n"/>
      <c r="AS59" s="2755" t="n"/>
      <c r="AT59" s="2755" t="n"/>
      <c r="AU59" s="2755" t="n"/>
      <c r="AV59" s="2755" t="n"/>
      <c r="AW59" s="2755" t="n"/>
      <c r="AX59" s="2755" t="n"/>
      <c r="AY59" s="2763" t="n"/>
    </row>
    <row r="60" ht="18.75" customHeight="1">
      <c r="A60" s="2755" t="n"/>
      <c r="AS60" s="2755" t="n"/>
      <c r="AT60" s="2755" t="n"/>
      <c r="AU60" s="2755" t="n"/>
      <c r="AV60" s="2755" t="n"/>
      <c r="AW60" s="2755" t="n"/>
      <c r="AX60" s="2755" t="n"/>
      <c r="AY60" s="2763" t="n"/>
    </row>
    <row r="61" ht="18.75" customHeight="1">
      <c r="A61" s="2755" t="n"/>
      <c r="AS61" s="2755" t="n"/>
      <c r="AT61" s="2755" t="n"/>
      <c r="AU61" s="2755" t="n"/>
      <c r="AV61" s="2755" t="n"/>
      <c r="AW61" s="2755" t="n"/>
      <c r="AX61" s="2755" t="n"/>
      <c r="AY61" s="2763" t="n"/>
    </row>
    <row r="62" ht="18.75" customHeight="1">
      <c r="A62" s="2755" t="n"/>
      <c r="AS62" s="2755" t="n"/>
      <c r="AT62" s="2755" t="n"/>
      <c r="AU62" s="2755" t="n"/>
      <c r="AV62" s="2755" t="n"/>
      <c r="AW62" s="2755" t="n"/>
      <c r="AX62" s="2755" t="n"/>
      <c r="AY62" s="2763" t="n"/>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terms:created xmlns:dcterms="http://purl.org/dc/terms/" xmlns:xsi="http://www.w3.org/2001/XMLSchema-instance" xsi:type="dcterms:W3CDTF">2025-05-09T02:35:23Z</dcterms:created>
  <dcterms:modified xmlns:dcterms="http://purl.org/dc/terms/" xmlns:xsi="http://www.w3.org/2001/XMLSchema-instance" xsi:type="dcterms:W3CDTF">2025-05-09T02:40:39Z</dcterms:modified>
</cp:coreProperties>
</file>